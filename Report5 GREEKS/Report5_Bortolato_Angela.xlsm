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4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Questa_cartella_di_lavor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angelabortolato/Desktop/Stochastic methods for finance/"/>
    </mc:Choice>
  </mc:AlternateContent>
  <xr:revisionPtr revIDLastSave="0" documentId="13_ncr:1_{8C5BF360-546F-A144-BC58-3D0F54D01ECD}" xr6:coauthVersionLast="47" xr6:coauthVersionMax="47" xr10:uidLastSave="{00000000-0000-0000-0000-000000000000}"/>
  <bookViews>
    <workbookView xWindow="13980" yWindow="660" windowWidth="15420" windowHeight="16900" xr2:uid="{AFD0D823-AFAA-458D-9CE9-2CD2300F4175}"/>
  </bookViews>
  <sheets>
    <sheet name="PART 1" sheetId="1" r:id="rId1"/>
    <sheet name="PART 2" sheetId="9" r:id="rId2"/>
    <sheet name="PART 3" sheetId="12" r:id="rId3"/>
  </sheets>
  <functionGroups builtInGroupCount="19"/>
  <definedNames>
    <definedName name="_xlnm._FilterDatabase" localSheetId="2" hidden="1">'PART 3'!$D$11:$D$36</definedName>
    <definedName name="_xleta.T" hidden="1" xlm="1">#NAME?</definedName>
  </definedNames>
  <calcPr calcId="191029"/>
  <pivotCaches>
    <pivotCache cacheId="62" r:id="rId4"/>
    <pivotCache cacheId="63" r:id="rId5"/>
    <pivotCache cacheId="64" r:id="rId6"/>
    <pivotCache cacheId="65" r:id="rId7"/>
    <pivotCache cacheId="66" r:id="rId8"/>
    <pivotCache cacheId="67" r:id="rId9"/>
    <pivotCache cacheId="68" r:id="rId10"/>
    <pivotCache cacheId="69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6" i="12" l="1"/>
  <c r="G36" i="12"/>
  <c r="Z35" i="12"/>
  <c r="G35" i="12"/>
  <c r="Z34" i="12"/>
  <c r="G34" i="12"/>
  <c r="Z33" i="12"/>
  <c r="G33" i="12"/>
  <c r="C33" i="12"/>
  <c r="Z32" i="12"/>
  <c r="G32" i="12"/>
  <c r="C32" i="12"/>
  <c r="Z31" i="12"/>
  <c r="G31" i="12"/>
  <c r="Z30" i="12"/>
  <c r="G30" i="12"/>
  <c r="Z29" i="12"/>
  <c r="G29" i="12"/>
  <c r="Z28" i="12"/>
  <c r="G28" i="12"/>
  <c r="C28" i="12"/>
  <c r="Z27" i="12"/>
  <c r="G27" i="12"/>
  <c r="C27" i="12"/>
  <c r="Z26" i="12"/>
  <c r="G26" i="12"/>
  <c r="Z25" i="12"/>
  <c r="G25" i="12"/>
  <c r="Z24" i="12"/>
  <c r="G24" i="12"/>
  <c r="Z23" i="12"/>
  <c r="G23" i="12"/>
  <c r="C23" i="12"/>
  <c r="Z22" i="12"/>
  <c r="G22" i="12"/>
  <c r="C22" i="12"/>
  <c r="Z21" i="12"/>
  <c r="G21" i="12"/>
  <c r="Z20" i="12"/>
  <c r="G20" i="12"/>
  <c r="Z19" i="12"/>
  <c r="G19" i="12"/>
  <c r="Z18" i="12"/>
  <c r="G18" i="12"/>
  <c r="Z17" i="12"/>
  <c r="G17" i="12"/>
  <c r="C17" i="12"/>
  <c r="Z16" i="12"/>
  <c r="G16" i="12"/>
  <c r="Z15" i="12"/>
  <c r="G15" i="12"/>
  <c r="Z14" i="12"/>
  <c r="G14" i="12"/>
  <c r="Z13" i="12"/>
  <c r="G13" i="12"/>
  <c r="Z12" i="12"/>
  <c r="G12" i="12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11" i="9"/>
  <c r="C31" i="9"/>
  <c r="C26" i="9"/>
  <c r="C21" i="9"/>
  <c r="C32" i="9"/>
  <c r="C27" i="9"/>
  <c r="C22" i="9"/>
  <c r="C16" i="9"/>
  <c r="G26" i="9"/>
  <c r="G27" i="9"/>
  <c r="G28" i="9"/>
  <c r="G29" i="9"/>
  <c r="G30" i="9"/>
  <c r="G31" i="9"/>
  <c r="G32" i="9"/>
  <c r="G33" i="9"/>
  <c r="G34" i="9"/>
  <c r="G35" i="9"/>
  <c r="G12" i="9"/>
  <c r="FE50" i="1" a="1"/>
  <c r="FA44" i="1" a="1"/>
  <c r="FD37" i="1" a="1"/>
  <c r="FC39" i="1" a="1"/>
  <c r="EV11" i="1" a="1"/>
  <c r="FA18" i="1" a="1"/>
  <c r="FC6" i="1" a="1"/>
  <c r="EV26" i="1" a="1"/>
  <c r="FA50" i="1" a="1"/>
  <c r="EU14" i="1" a="1"/>
  <c r="EW25" i="1" a="1"/>
  <c r="FD21" i="1" a="1"/>
  <c r="FE44" i="1" a="1"/>
  <c r="EW45" i="1" a="1"/>
  <c r="ES31" i="1" a="1"/>
  <c r="EX27" i="1" a="1"/>
  <c r="ET24" i="1" a="1"/>
  <c r="EV17" i="1" a="1"/>
  <c r="EZ21" i="1" a="1"/>
  <c r="EZ32" i="1" a="1"/>
  <c r="EX44" i="1" a="1"/>
  <c r="EY28" i="1" a="1"/>
  <c r="EY47" i="1" a="1"/>
  <c r="EX21" i="1" a="1"/>
  <c r="EV47" i="1" a="1"/>
  <c r="EW57" i="1" a="1"/>
  <c r="FC42" i="1" a="1"/>
  <c r="EU32" i="1" a="1"/>
  <c r="FA25" i="1" a="1"/>
  <c r="EY13" i="1" a="1"/>
  <c r="FD20" i="1" a="1"/>
  <c r="EU28" i="1" a="1"/>
  <c r="EY55" i="1" a="1"/>
  <c r="ET9" i="1" a="1"/>
  <c r="FE28" i="1" a="1"/>
  <c r="ET45" i="1" a="1"/>
  <c r="ER56" i="1" a="1"/>
  <c r="FA53" i="1" a="1"/>
  <c r="FE33" i="1" a="1"/>
  <c r="EV27" i="1" a="1"/>
  <c r="EW7" i="1" a="1"/>
  <c r="ET17" i="1" a="1"/>
  <c r="EW19" i="1" a="1"/>
  <c r="EX45" i="1" a="1"/>
  <c r="ER20" i="1" a="1"/>
  <c r="FA37" i="1" a="1"/>
  <c r="ES14" i="1" a="1"/>
  <c r="ES32" i="1" a="1"/>
  <c r="FE45" i="1" a="1"/>
  <c r="ET26" i="1" a="1"/>
  <c r="ER14" i="1" a="1"/>
  <c r="EY33" i="1" a="1"/>
  <c r="ER36" i="1" a="1"/>
  <c r="FC21" i="1" a="1"/>
  <c r="EX33" i="1" a="1"/>
  <c r="FD36" i="1" a="1"/>
  <c r="ET10" i="1" a="1"/>
  <c r="EX43" i="1" a="1"/>
  <c r="EZ49" i="1" a="1"/>
  <c r="FC13" i="1" a="1"/>
  <c r="ER30" i="1" a="1"/>
  <c r="FA33" i="1" a="1"/>
  <c r="EU13" i="1" a="1"/>
  <c r="EX16" i="1" a="1"/>
  <c r="EY35" i="1" a="1"/>
  <c r="FC54" i="1" a="1"/>
  <c r="ER7" i="1" a="1"/>
  <c r="DU12" i="1" a="1"/>
  <c r="DW15" i="1" a="1"/>
  <c r="DV31" i="1" a="1"/>
  <c r="DV43" i="1" a="1"/>
  <c r="DS16" i="1" a="1"/>
  <c r="DS19" i="1" a="1"/>
  <c r="DU33" i="1" a="1"/>
  <c r="DW21" i="1" a="1"/>
  <c r="DW42" i="1" a="1"/>
  <c r="DT69" i="1" a="1"/>
  <c r="DU14" i="1" a="1"/>
  <c r="DW56" i="1" a="1"/>
  <c r="DV84" i="1" a="1"/>
  <c r="DV94" i="1" a="1"/>
  <c r="DV106" i="1" a="1"/>
  <c r="DV116" i="1" a="1"/>
  <c r="DS31" i="1" a="1"/>
  <c r="DT51" i="1" a="1"/>
  <c r="DT77" i="1" a="1"/>
  <c r="DV10" i="1" a="1"/>
  <c r="DW65" i="1" a="1"/>
  <c r="DU86" i="1" a="1"/>
  <c r="DU96" i="1" a="1"/>
  <c r="DU108" i="1" a="1"/>
  <c r="BA7" i="1" a="1"/>
  <c r="BA17" i="1" a="1"/>
  <c r="DW38" i="1" a="1"/>
  <c r="AZ12" i="1" a="1"/>
  <c r="DU74" i="1" a="1"/>
  <c r="DS94" i="1" a="1"/>
  <c r="DW112" i="1" a="1"/>
  <c r="BC21" i="1" a="1"/>
  <c r="BC33" i="1" a="1"/>
  <c r="BC45" i="1" a="1"/>
  <c r="BC55" i="1" a="1"/>
  <c r="BC72" i="1" a="1"/>
  <c r="BC84" i="1" a="1"/>
  <c r="BC94" i="1" a="1"/>
  <c r="BC106" i="1" a="1"/>
  <c r="DT28" i="1" a="1"/>
  <c r="DS69" i="1" a="1"/>
  <c r="AZ18" i="1" a="1"/>
  <c r="DV69" i="1" a="1"/>
  <c r="DT101" i="1" a="1"/>
  <c r="AY7" i="1" a="1"/>
  <c r="DS46" i="1" a="1"/>
  <c r="DS87" i="1" a="1"/>
  <c r="DW105" i="1" a="1"/>
  <c r="BB13" i="1" a="1"/>
  <c r="BB29" i="1" a="1"/>
  <c r="BB39" i="1" a="1"/>
  <c r="BB51" i="1" a="1"/>
  <c r="BB68" i="1" a="1"/>
  <c r="BB78" i="1" a="1"/>
  <c r="BB90" i="1" a="1"/>
  <c r="BB102" i="1" a="1"/>
  <c r="DW76" i="1" a="1"/>
  <c r="CA11" i="1" a="1"/>
  <c r="DT55" i="1" a="1"/>
  <c r="DW111" i="1" a="1"/>
  <c r="ER57" i="1" a="1"/>
  <c r="FE52" i="1" a="1"/>
  <c r="EV38" i="1" a="1"/>
  <c r="FD39" i="1" a="1"/>
  <c r="FD14" i="1" a="1"/>
  <c r="EU21" i="1" a="1"/>
  <c r="FB6" i="1" a="1"/>
  <c r="FC8" i="1" a="1"/>
  <c r="EZ52" i="1" a="1"/>
  <c r="ES9" i="1" a="1"/>
  <c r="ER34" i="1" a="1"/>
  <c r="EW14" i="1" a="1"/>
  <c r="EU43" i="1" a="1"/>
  <c r="EU57" i="1" a="1"/>
  <c r="FA34" i="1" a="1"/>
  <c r="EU31" i="1" a="1"/>
  <c r="ES8" i="1" a="1"/>
  <c r="EZ18" i="1" a="1"/>
  <c r="EV7" i="1" a="1"/>
  <c r="FA32" i="1" a="1"/>
  <c r="EU48" i="1" a="1"/>
  <c r="FE24" i="1" a="1"/>
  <c r="FE53" i="1" a="1"/>
  <c r="EU18" i="1" a="1"/>
  <c r="FD50" i="1" a="1"/>
  <c r="EX57" i="1" a="1"/>
  <c r="EW42" i="1" a="1"/>
  <c r="EU37" i="1" a="1"/>
  <c r="FB37" i="1" a="1"/>
  <c r="ES17" i="1" a="1"/>
  <c r="ET11" i="1" a="1"/>
  <c r="EU36" i="1" a="1"/>
  <c r="ES53" i="1" a="1"/>
  <c r="ES7" i="1" a="1"/>
  <c r="ES39" i="1" a="1"/>
  <c r="FB51" i="1" a="1"/>
  <c r="EU50" i="1" a="1"/>
  <c r="FB55" i="1" a="1"/>
  <c r="EY37" i="1" a="1"/>
  <c r="EW38" i="1" a="1"/>
  <c r="FE10" i="1" a="1"/>
  <c r="EU17" i="1" a="1"/>
  <c r="EX6" i="1" a="1"/>
  <c r="FD46" i="1" a="1"/>
  <c r="FC11" i="1" a="1"/>
  <c r="ER29" i="1" a="1"/>
  <c r="FE51" i="1" a="1"/>
  <c r="EY29" i="1" a="1"/>
  <c r="EZ48" i="1" a="1"/>
  <c r="EV37" i="1" a="1"/>
  <c r="ES6" i="1" a="1"/>
  <c r="ER17" i="1" a="1"/>
  <c r="FE14" i="1" a="1"/>
  <c r="FD45" i="1" a="1"/>
  <c r="FB33" i="1" a="1"/>
  <c r="EV31" i="1" a="1"/>
  <c r="ER51" i="1" a="1"/>
  <c r="FE42" i="1" a="1"/>
  <c r="ET56" i="1" a="1"/>
  <c r="EY8" i="1" a="1"/>
  <c r="EX38" i="1" a="1"/>
  <c r="FB17" i="1" a="1"/>
  <c r="EX49" i="1" a="1"/>
  <c r="FB42" i="1" a="1"/>
  <c r="FB28" i="1" a="1"/>
  <c r="EX30" i="1" a="1"/>
  <c r="ER9" i="1" a="1"/>
  <c r="DV14" i="1" a="1"/>
  <c r="DS17" i="1" a="1"/>
  <c r="DV32" i="1" a="1"/>
  <c r="DV44" i="1" a="1"/>
  <c r="DT18" i="1" a="1"/>
  <c r="DT21" i="1" a="1"/>
  <c r="DU34" i="1" a="1"/>
  <c r="DW25" i="1" a="1"/>
  <c r="DU45" i="1" a="1"/>
  <c r="DU71" i="1" a="1"/>
  <c r="DU16" i="1" a="1"/>
  <c r="DS66" i="1" a="1"/>
  <c r="DV85" i="1" a="1"/>
  <c r="DV95" i="1" a="1"/>
  <c r="DV107" i="1" a="1"/>
  <c r="BB6" i="1" a="1"/>
  <c r="DW32" i="1" a="1"/>
  <c r="DU52" i="1" a="1"/>
  <c r="DU79" i="1" a="1"/>
  <c r="DT12" i="1" a="1"/>
  <c r="DS68" i="1" a="1"/>
  <c r="DU87" i="1" a="1"/>
  <c r="DU97" i="1" a="1"/>
  <c r="DU109" i="1" a="1"/>
  <c r="BA8" i="1" a="1"/>
  <c r="BA18" i="1" a="1"/>
  <c r="DU43" i="1" a="1"/>
  <c r="BC13" i="1" a="1"/>
  <c r="DU76" i="1" a="1"/>
  <c r="DW95" i="1" a="1"/>
  <c r="DT114" i="1" a="1"/>
  <c r="BC24" i="1" a="1"/>
  <c r="BC34" i="1" a="1"/>
  <c r="BC46" i="1" a="1"/>
  <c r="BC56" i="1" a="1"/>
  <c r="BC73" i="1" a="1"/>
  <c r="BC85" i="1" a="1"/>
  <c r="BC95" i="1" a="1"/>
  <c r="BC107" i="1" a="1"/>
  <c r="DT31" i="1" a="1"/>
  <c r="DS71" i="1" a="1"/>
  <c r="BC19" i="1" a="1"/>
  <c r="DT84" i="1" a="1"/>
  <c r="DS103" i="1" a="1"/>
  <c r="AZ11" i="1" a="1"/>
  <c r="DS48" i="1" a="1"/>
  <c r="DW88" i="1" a="1"/>
  <c r="DT107" i="1" a="1"/>
  <c r="AY15" i="1" a="1"/>
  <c r="BB30" i="1" a="1"/>
  <c r="BB42" i="1" a="1"/>
  <c r="BB52" i="1" a="1"/>
  <c r="BB69" i="1" a="1"/>
  <c r="BB79" i="1" a="1"/>
  <c r="BB91" i="1" a="1"/>
  <c r="BB103" i="1" a="1"/>
  <c r="DW80" i="1" a="1"/>
  <c r="CA16" i="1" a="1"/>
  <c r="DT66" i="1" a="1"/>
  <c r="DS115" i="1" a="1"/>
  <c r="FD53" i="1" a="1"/>
  <c r="FB49" i="1" a="1"/>
  <c r="FA31" i="1" a="1"/>
  <c r="EY25" i="1" a="1"/>
  <c r="EX18" i="1" a="1"/>
  <c r="EW10" i="1" a="1"/>
  <c r="FA47" i="1" a="1"/>
  <c r="EY20" i="1" a="1"/>
  <c r="EY52" i="1" a="1"/>
  <c r="EX20" i="1" a="1"/>
  <c r="EW29" i="1" a="1"/>
  <c r="EV52" i="1" a="1"/>
  <c r="EV51" i="1" a="1"/>
  <c r="FC55" i="1" a="1"/>
  <c r="EU38" i="1" a="1"/>
  <c r="FE25" i="1" a="1"/>
  <c r="FA11" i="1" a="1"/>
  <c r="ES20" i="1" a="1"/>
  <c r="EY6" i="1" a="1"/>
  <c r="EZ26" i="1" a="1"/>
  <c r="EZ45" i="1" a="1"/>
  <c r="FD19" i="1" a="1"/>
  <c r="FB54" i="1" a="1"/>
  <c r="EY10" i="1" a="1"/>
  <c r="EX54" i="1" a="1"/>
  <c r="EX47" i="1" a="1"/>
  <c r="FD27" i="1" a="1"/>
  <c r="FD29" i="1" a="1"/>
  <c r="FC37" i="1" a="1"/>
  <c r="FA20" i="1" a="1"/>
  <c r="FB19" i="1" a="1"/>
  <c r="FE37" i="1" a="1"/>
  <c r="EZ50" i="1" a="1"/>
  <c r="EW21" i="1" a="1"/>
  <c r="EV33" i="1" a="1"/>
  <c r="FA46" i="1" a="1"/>
  <c r="EV56" i="1" a="1"/>
  <c r="ER49" i="1" a="1"/>
  <c r="EZ37" i="1" a="1"/>
  <c r="ES38" i="1" a="1"/>
  <c r="EY14" i="1" a="1"/>
  <c r="ES19" i="1" a="1"/>
  <c r="EV6" i="1" a="1"/>
  <c r="ER42" i="1" a="1"/>
  <c r="EY11" i="1" a="1"/>
  <c r="FB31" i="1" a="1"/>
  <c r="FA49" i="1" a="1"/>
  <c r="FB24" i="1" a="1"/>
  <c r="FE48" i="1" a="1"/>
  <c r="FE36" i="1" a="1"/>
  <c r="FE11" i="1" a="1"/>
  <c r="EU11" i="1" a="1"/>
  <c r="FA8" i="1" a="1"/>
  <c r="EY49" i="1" a="1"/>
  <c r="ES37" i="1" a="1"/>
  <c r="EW11" i="1" a="1"/>
  <c r="FD32" i="1" a="1"/>
  <c r="ER28" i="1" a="1"/>
  <c r="EV53" i="1" a="1"/>
  <c r="ER8" i="1" a="1"/>
  <c r="FD24" i="1" a="1"/>
  <c r="EY16" i="1" a="1"/>
  <c r="EZ55" i="1" a="1"/>
  <c r="EZ54" i="1" a="1"/>
  <c r="EX37" i="1" a="1"/>
  <c r="EU24" i="1" a="1"/>
  <c r="EV48" i="1" a="1"/>
  <c r="DW16" i="1" a="1"/>
  <c r="DT19" i="1" a="1"/>
  <c r="DV33" i="1" a="1"/>
  <c r="DV45" i="1" a="1"/>
  <c r="DU20" i="1" a="1"/>
  <c r="DU25" i="1" a="1"/>
  <c r="DU35" i="1" a="1"/>
  <c r="DT27" i="1" a="1"/>
  <c r="DS47" i="1" a="1"/>
  <c r="DV72" i="1" a="1"/>
  <c r="DU18" i="1" a="1"/>
  <c r="DT68" i="1" a="1"/>
  <c r="DV86" i="1" a="1"/>
  <c r="DV96" i="1" a="1"/>
  <c r="DV108" i="1" a="1"/>
  <c r="DU7" i="1" a="1"/>
  <c r="DT34" i="1" a="1"/>
  <c r="DV53" i="1" a="1"/>
  <c r="DV80" i="1" a="1"/>
  <c r="DT14" i="1" a="1"/>
  <c r="DT70" i="1" a="1"/>
  <c r="DU88" i="1" a="1"/>
  <c r="DU98" i="1" a="1"/>
  <c r="DU110" i="1" a="1"/>
  <c r="BA9" i="1" a="1"/>
  <c r="ET44" i="1" a="1"/>
  <c r="ER43" i="1" a="1"/>
  <c r="ES48" i="1" a="1"/>
  <c r="EZ53" i="1" a="1"/>
  <c r="EZ27" i="1" a="1"/>
  <c r="EZ36" i="1" a="1"/>
  <c r="EU9" i="1" a="1"/>
  <c r="EV13" i="1" a="1"/>
  <c r="ES50" i="1" a="1"/>
  <c r="FD7" i="1" a="1"/>
  <c r="EW37" i="1" a="1"/>
  <c r="EW6" i="1" a="1"/>
  <c r="FA27" i="1" a="1"/>
  <c r="ET48" i="1" a="1"/>
  <c r="EV55" i="1" a="1"/>
  <c r="ET57" i="1" a="1"/>
  <c r="ES33" i="1" a="1"/>
  <c r="FD25" i="1" a="1"/>
  <c r="FC18" i="1" a="1"/>
  <c r="ES11" i="1" a="1"/>
  <c r="ET55" i="1" a="1"/>
  <c r="EZ24" i="1" a="1"/>
  <c r="FC45" i="1" a="1"/>
  <c r="FB20" i="1" a="1"/>
  <c r="ET39" i="1" a="1"/>
  <c r="EU56" i="1" a="1"/>
  <c r="ER45" i="1" a="1"/>
  <c r="EW55" i="1" a="1"/>
  <c r="ER35" i="1" a="1"/>
  <c r="FE31" i="1" a="1"/>
  <c r="EX8" i="1" a="1"/>
  <c r="EV19" i="1" a="1"/>
  <c r="EX9" i="1" a="1"/>
  <c r="FA39" i="1" a="1"/>
  <c r="FA48" i="1" a="1"/>
  <c r="FD11" i="1" a="1"/>
  <c r="EV32" i="1" a="1"/>
  <c r="ES44" i="1" a="1"/>
  <c r="FC43" i="1" a="1"/>
  <c r="EX50" i="1" a="1"/>
  <c r="EZ29" i="1" a="1"/>
  <c r="ES29" i="1" a="1"/>
  <c r="FA21" i="1" a="1"/>
  <c r="EV14" i="1" a="1"/>
  <c r="FC46" i="1" a="1"/>
  <c r="FA28" i="1" a="1"/>
  <c r="EZ51" i="1" a="1"/>
  <c r="FE39" i="1" a="1"/>
  <c r="ES52" i="1" a="1"/>
  <c r="EZ14" i="1" a="1"/>
  <c r="FC48" i="1" a="1"/>
  <c r="EY38" i="1" a="1"/>
  <c r="EY24" i="1" a="1"/>
  <c r="FE57" i="1" a="1"/>
  <c r="EZ33" i="1" a="1"/>
  <c r="EW49" i="1" a="1"/>
  <c r="ET8" i="1" a="1"/>
  <c r="EZ6" i="1" a="1"/>
  <c r="ES12" i="1" a="1"/>
  <c r="ER47" i="1" a="1"/>
  <c r="ET36" i="1" a="1"/>
  <c r="EW20" i="1" a="1"/>
  <c r="ER53" i="1" a="1"/>
  <c r="FB36" i="1" a="1"/>
  <c r="EY57" i="1" a="1"/>
  <c r="EX51" i="1" a="1"/>
  <c r="EV21" i="1" a="1"/>
  <c r="ES43" i="1" a="1"/>
  <c r="EW28" i="1" a="1"/>
  <c r="DT20" i="1" a="1"/>
  <c r="DV25" i="1" a="1"/>
  <c r="DV35" i="1" a="1"/>
  <c r="DV47" i="1" a="1"/>
  <c r="DW7" i="1" a="1"/>
  <c r="DU27" i="1" a="1"/>
  <c r="DU37" i="1" a="1"/>
  <c r="DW30" i="1" a="1"/>
  <c r="DS51" i="1" a="1"/>
  <c r="DS77" i="1" a="1"/>
  <c r="DS24" i="1" a="1"/>
  <c r="DV71" i="1" a="1"/>
  <c r="DV88" i="1" a="1"/>
  <c r="DV98" i="1" a="1"/>
  <c r="DV110" i="1" a="1"/>
  <c r="DS11" i="1" a="1"/>
  <c r="DW37" i="1" a="1"/>
  <c r="DS65" i="1" a="1"/>
  <c r="DV18" i="1" a="1"/>
  <c r="DS44" i="1" a="1"/>
  <c r="DV73" i="1" a="1"/>
  <c r="DU90" i="1" a="1"/>
  <c r="DU102" i="1" a="1"/>
  <c r="DU112" i="1" a="1"/>
  <c r="BA11" i="1" a="1"/>
  <c r="EZ46" i="1" a="1"/>
  <c r="FE55" i="1" a="1"/>
  <c r="ES42" i="1" a="1"/>
  <c r="EY31" i="1" a="1"/>
  <c r="ER37" i="1" a="1"/>
  <c r="FC12" i="1" a="1"/>
  <c r="EZ16" i="1" a="1"/>
  <c r="ET51" i="1" a="1"/>
  <c r="EU7" i="1" a="1"/>
  <c r="FE32" i="1" a="1"/>
  <c r="FD55" i="1" a="1"/>
  <c r="FD38" i="1" a="1"/>
  <c r="FD57" i="1" a="1"/>
  <c r="EY44" i="1" a="1"/>
  <c r="EZ57" i="1" a="1"/>
  <c r="EX32" i="1" a="1"/>
  <c r="FC29" i="1" a="1"/>
  <c r="EU16" i="1" a="1"/>
  <c r="EW15" i="1" a="1"/>
  <c r="EV44" i="1" a="1"/>
  <c r="EY19" i="1" a="1"/>
  <c r="FD42" i="1" a="1"/>
  <c r="EY17" i="1" a="1"/>
  <c r="EW39" i="1" a="1"/>
  <c r="ET54" i="1" a="1"/>
  <c r="ER52" i="1" a="1"/>
  <c r="EV43" i="1" a="1"/>
  <c r="EZ38" i="1" a="1"/>
  <c r="FB27" i="1" a="1"/>
  <c r="ER12" i="1" a="1"/>
  <c r="EY21" i="1" a="1"/>
  <c r="FD6" i="1" a="1"/>
  <c r="EW12" i="1" a="1"/>
  <c r="ER25" i="1" a="1"/>
  <c r="FC44" i="1" a="1"/>
  <c r="EX24" i="1" a="1"/>
  <c r="FD49" i="1" a="1"/>
  <c r="FB47" i="1" a="1"/>
  <c r="FE47" i="1" a="1"/>
  <c r="EU27" i="1" a="1"/>
  <c r="ET35" i="1" a="1"/>
  <c r="FD8" i="1" a="1"/>
  <c r="ES21" i="1" a="1"/>
  <c r="EW52" i="1" a="1"/>
  <c r="EV30" i="1" a="1"/>
  <c r="ER46" i="1" a="1"/>
  <c r="FB12" i="1" a="1"/>
  <c r="FC50" i="1" a="1"/>
  <c r="EZ13" i="1" a="1"/>
  <c r="FC53" i="1" a="1"/>
  <c r="EZ10" i="1" a="1"/>
  <c r="FC9" i="1" a="1"/>
  <c r="ER27" i="1" a="1"/>
  <c r="FC32" i="1" a="1"/>
  <c r="EW44" i="1" a="1"/>
  <c r="EU19" i="1" a="1"/>
  <c r="EW50" i="1" a="1"/>
  <c r="ES15" i="1" a="1"/>
  <c r="FB34" i="1" a="1"/>
  <c r="FD26" i="1" a="1"/>
  <c r="EU6" i="1" a="1"/>
  <c r="ET46" i="1" a="1"/>
  <c r="EZ20" i="1" a="1"/>
  <c r="ES56" i="1" a="1"/>
  <c r="EX56" i="1" a="1"/>
  <c r="EY18" i="1" a="1"/>
  <c r="EU33" i="1" a="1"/>
  <c r="FA15" i="1" a="1"/>
  <c r="DU24" i="1" a="1"/>
  <c r="DV26" i="1" a="1"/>
  <c r="DV36" i="1" a="1"/>
  <c r="DV48" i="1" a="1"/>
  <c r="DS9" i="1" a="1"/>
  <c r="DU28" i="1" a="1"/>
  <c r="DU38" i="1" a="1"/>
  <c r="DT32" i="1" a="1"/>
  <c r="DT52" i="1" a="1"/>
  <c r="DT79" i="1" a="1"/>
  <c r="DT44" i="1" a="1"/>
  <c r="DW73" i="1" a="1"/>
  <c r="DV89" i="1" a="1"/>
  <c r="DV101" i="1" a="1"/>
  <c r="DV111" i="1" a="1"/>
  <c r="DS13" i="1" a="1"/>
  <c r="DT39" i="1" a="1"/>
  <c r="DT67" i="1" a="1"/>
  <c r="DV20" i="1" a="1"/>
  <c r="DT48" i="1" a="1"/>
  <c r="DW75" i="1" a="1"/>
  <c r="DU91" i="1" a="1"/>
  <c r="ET50" i="1" a="1"/>
  <c r="FB53" i="1" a="1"/>
  <c r="EY43" i="1" a="1"/>
  <c r="ET27" i="1" a="1"/>
  <c r="FA26" i="1" a="1"/>
  <c r="EV39" i="1" a="1"/>
  <c r="FE19" i="1" a="1"/>
  <c r="FD16" i="1" a="1"/>
  <c r="ES25" i="1" a="1"/>
  <c r="ER48" i="1" a="1"/>
  <c r="EZ31" i="1" a="1"/>
  <c r="FB46" i="1" a="1"/>
  <c r="EX7" i="1" a="1"/>
  <c r="FE46" i="1" a="1"/>
  <c r="FA56" i="1" a="1"/>
  <c r="EX42" i="1" a="1"/>
  <c r="FD31" i="1" a="1"/>
  <c r="FC38" i="1" a="1"/>
  <c r="ET13" i="1" a="1"/>
  <c r="FB18" i="1" a="1"/>
  <c r="EY42" i="1" a="1"/>
  <c r="EW8" i="1" a="1"/>
  <c r="EX25" i="1" a="1"/>
  <c r="EW48" i="1" a="1"/>
  <c r="FE29" i="1" a="1"/>
  <c r="EY53" i="1" a="1"/>
  <c r="FB56" i="1" a="1"/>
  <c r="ES45" i="1" a="1"/>
  <c r="EY34" i="1" a="1"/>
  <c r="EU26" i="1" a="1"/>
  <c r="ET19" i="1" a="1"/>
  <c r="EX11" i="1" a="1"/>
  <c r="EU51" i="1" a="1"/>
  <c r="FE21" i="1" a="1"/>
  <c r="FA38" i="1" a="1"/>
  <c r="FA51" i="1" a="1"/>
  <c r="FB21" i="1" a="1"/>
  <c r="FC49" i="1" a="1"/>
  <c r="FC52" i="1" a="1"/>
  <c r="EU42" i="1" a="1"/>
  <c r="EX35" i="1" a="1"/>
  <c r="EV35" i="1" a="1"/>
  <c r="ER16" i="1" a="1"/>
  <c r="FB9" i="1" a="1"/>
  <c r="FE43" i="1" a="1"/>
  <c r="ET38" i="1" a="1"/>
  <c r="FB50" i="1" a="1"/>
  <c r="FB10" i="1" a="1"/>
  <c r="ES36" i="1" a="1"/>
  <c r="EV8" i="1" a="1"/>
  <c r="ET52" i="1" a="1"/>
  <c r="FD18" i="1" a="1"/>
  <c r="FE49" i="1" a="1"/>
  <c r="ER15" i="1" a="1"/>
  <c r="ET53" i="1" a="1"/>
  <c r="ES35" i="1" a="1"/>
  <c r="FA19" i="1" a="1"/>
  <c r="ES30" i="1" a="1"/>
  <c r="FC28" i="1" a="1"/>
  <c r="EW9" i="1" a="1"/>
  <c r="FD34" i="1" a="1"/>
  <c r="ET14" i="1" a="1"/>
  <c r="EW17" i="1" a="1"/>
  <c r="ES55" i="1" a="1"/>
  <c r="EV36" i="1" a="1"/>
  <c r="FC36" i="1" a="1"/>
  <c r="FE13" i="1" a="1"/>
  <c r="FB15" i="1" a="1"/>
  <c r="DW6" i="1" a="1"/>
  <c r="DT9" i="1" a="1"/>
  <c r="DV28" i="1" a="1"/>
  <c r="DV38" i="1" a="1"/>
  <c r="DU10" i="1" a="1"/>
  <c r="DU13" i="1" a="1"/>
  <c r="DU30" i="1" a="1"/>
  <c r="DU42" i="1" a="1"/>
  <c r="DW35" i="1" a="1"/>
  <c r="DV55" i="1" a="1"/>
  <c r="DW8" i="1" a="1"/>
  <c r="DU48" i="1" a="1"/>
  <c r="DT78" i="1" a="1"/>
  <c r="DV91" i="1" a="1"/>
  <c r="DV103" i="1" a="1"/>
  <c r="DV113" i="1" a="1"/>
  <c r="DS26" i="1" a="1"/>
  <c r="DT47" i="1" a="1"/>
  <c r="DV70" i="1" a="1"/>
  <c r="DT6" i="1" a="1"/>
  <c r="DT53" i="1" a="1"/>
  <c r="DT80" i="1" a="1"/>
  <c r="DU93" i="1" a="1"/>
  <c r="DU105" i="1" a="1"/>
  <c r="DU115" i="1" a="1"/>
  <c r="BA14" i="1" a="1"/>
  <c r="DT30" i="1" a="1"/>
  <c r="DW68" i="1" a="1"/>
  <c r="DV50" i="1" a="1"/>
  <c r="DS89" i="1" a="1"/>
  <c r="DW107" i="1" a="1"/>
  <c r="BC16" i="1" a="1"/>
  <c r="BC30" i="1" a="1"/>
  <c r="BC42" i="1" a="1"/>
  <c r="BC52" i="1" a="1"/>
  <c r="BC69" i="1" a="1"/>
  <c r="BC79" i="1" a="1"/>
  <c r="BC91" i="1" a="1"/>
  <c r="BC103" i="1" a="1"/>
  <c r="DT13" i="1" a="1"/>
  <c r="DU56" i="1" a="1"/>
  <c r="BC9" i="1" a="1"/>
  <c r="DS57" i="1" a="1"/>
  <c r="DT94" i="1" a="1"/>
  <c r="DS113" i="1" a="1"/>
  <c r="DU15" i="1" a="1"/>
  <c r="DW79" i="1" a="1"/>
  <c r="DW98" i="1" a="1"/>
  <c r="AZ6" i="1" a="1"/>
  <c r="BB26" i="1" a="1"/>
  <c r="BB36" i="1" a="1"/>
  <c r="BB48" i="1" a="1"/>
  <c r="BB65" i="1" a="1"/>
  <c r="BB75" i="1" a="1"/>
  <c r="BB87" i="1" a="1"/>
  <c r="BB97" i="1" a="1"/>
  <c r="DW46" i="1" a="1"/>
  <c r="BA111" i="1" a="1"/>
  <c r="BY42" i="1" a="1"/>
  <c r="DW101" i="1" a="1"/>
  <c r="EU44" i="1" a="1"/>
  <c r="EZ43" i="1" a="1"/>
  <c r="FB30" i="1" a="1"/>
  <c r="EW26" i="1" a="1"/>
  <c r="EW24" i="1" a="1"/>
  <c r="ET15" i="1" a="1"/>
  <c r="FC19" i="1" a="1"/>
  <c r="FE30" i="1" a="1"/>
  <c r="FD48" i="1" a="1"/>
  <c r="ES24" i="1" a="1"/>
  <c r="FB44" i="1" a="1"/>
  <c r="ET18" i="1" a="1"/>
  <c r="EY50" i="1" a="1"/>
  <c r="FA55" i="1" a="1"/>
  <c r="FA42" i="1" a="1"/>
  <c r="EY36" i="1" a="1"/>
  <c r="EW27" i="1" a="1"/>
  <c r="FB16" i="1" a="1"/>
  <c r="EX10" i="1" a="1"/>
  <c r="FC31" i="1" a="1"/>
  <c r="ER19" i="1" a="1"/>
  <c r="EW32" i="1" a="1"/>
  <c r="EV50" i="1" a="1"/>
  <c r="ES13" i="1" a="1"/>
  <c r="EW54" i="1" a="1"/>
  <c r="FD44" i="1" a="1"/>
  <c r="EU47" i="1" a="1"/>
  <c r="FD33" i="1" a="1"/>
  <c r="EY30" i="1" a="1"/>
  <c r="EW18" i="1" a="1"/>
  <c r="ES16" i="1" a="1"/>
  <c r="FD47" i="1" a="1"/>
  <c r="FC16" i="1" a="1"/>
  <c r="EZ30" i="1" a="1"/>
  <c r="EV54" i="1" a="1"/>
  <c r="EY12" i="1" a="1"/>
  <c r="EW53" i="1" a="1"/>
  <c r="FA57" i="1" a="1"/>
  <c r="FC26" i="1" a="1"/>
  <c r="EU25" i="1" a="1"/>
  <c r="EU39" i="1" a="1"/>
  <c r="EZ19" i="1" a="1"/>
  <c r="EX15" i="1" a="1"/>
  <c r="EU45" i="1" a="1"/>
  <c r="FE15" i="1" a="1"/>
  <c r="FC56" i="1" a="1"/>
  <c r="EU8" i="1" a="1"/>
  <c r="FC25" i="1" a="1"/>
  <c r="FD15" i="1" a="1"/>
  <c r="ES26" i="1" a="1"/>
  <c r="ET16" i="1" a="1"/>
  <c r="FC51" i="1" a="1"/>
  <c r="EZ56" i="1" a="1"/>
  <c r="EX36" i="1" a="1"/>
  <c r="EY26" i="1" a="1"/>
  <c r="FB14" i="1" a="1"/>
  <c r="FB32" i="1" a="1"/>
  <c r="ER24" i="1" a="1"/>
  <c r="ES49" i="1" a="1"/>
  <c r="EX34" i="1" a="1"/>
  <c r="FA7" i="1" a="1"/>
  <c r="EV12" i="1" a="1"/>
  <c r="FC34" i="1" a="1"/>
  <c r="FA35" i="1" a="1"/>
  <c r="ET28" i="1" a="1"/>
  <c r="FE12" i="1" a="1"/>
  <c r="FE56" i="1" a="1"/>
  <c r="DS8" i="1" a="1"/>
  <c r="DU11" i="1" a="1"/>
  <c r="DV29" i="1" a="1"/>
  <c r="DV39" i="1" a="1"/>
  <c r="DV12" i="1" a="1"/>
  <c r="DV15" i="1" a="1"/>
  <c r="DU31" i="1" a="1"/>
  <c r="DT7" i="1" a="1"/>
  <c r="DT37" i="1" a="1"/>
  <c r="DW57" i="1" a="1"/>
  <c r="DW10" i="1" a="1"/>
  <c r="DU53" i="1" a="1"/>
  <c r="DU80" i="1" a="1"/>
  <c r="DV92" i="1" a="1"/>
  <c r="DV104" i="1" a="1"/>
  <c r="DV114" i="1" a="1"/>
  <c r="DW27" i="1" a="1"/>
  <c r="DW48" i="1" a="1"/>
  <c r="DW72" i="1" a="1"/>
  <c r="DV6" i="1" a="1"/>
  <c r="DU55" i="1" a="1"/>
  <c r="DU84" i="1" a="1"/>
  <c r="DU94" i="1" a="1"/>
  <c r="DU106" i="1" a="1"/>
  <c r="DU116" i="1" a="1"/>
  <c r="BA15" i="1" a="1"/>
  <c r="DT33" i="1" a="1"/>
  <c r="DW70" i="1" a="1"/>
  <c r="DW52" i="1" a="1"/>
  <c r="DW90" i="1" a="1"/>
  <c r="DT109" i="1" a="1"/>
  <c r="BB19" i="1" a="1"/>
  <c r="BC31" i="1" a="1"/>
  <c r="BC43" i="1" a="1"/>
  <c r="BC53" i="1" a="1"/>
  <c r="BC70" i="1" a="1"/>
  <c r="BC80" i="1" a="1"/>
  <c r="BC92" i="1" a="1"/>
  <c r="BC104" i="1" a="1"/>
  <c r="DT17" i="1" a="1"/>
  <c r="DU65" i="1" a="1"/>
  <c r="BB12" i="1" a="1"/>
  <c r="DV65" i="1" a="1"/>
  <c r="DS96" i="1" a="1"/>
  <c r="DW114" i="1" a="1"/>
  <c r="DU19" i="1" a="1"/>
  <c r="DW83" i="1" a="1"/>
  <c r="DT102" i="1" a="1"/>
  <c r="AZ9" i="1" a="1"/>
  <c r="BB27" i="1" a="1"/>
  <c r="BB37" i="1" a="1"/>
  <c r="BB49" i="1" a="1"/>
  <c r="BB66" i="1" a="1"/>
  <c r="BB76" i="1" a="1"/>
  <c r="BB88" i="1" a="1"/>
  <c r="BB98" i="1" a="1"/>
  <c r="DU51" i="1" a="1"/>
  <c r="BC112" i="1" a="1"/>
  <c r="DS14" i="1" a="1"/>
  <c r="DS105" i="1" a="1"/>
  <c r="ES57" i="1" a="1"/>
  <c r="ER55" i="1" a="1"/>
  <c r="EV34" i="1" a="1"/>
  <c r="ET30" i="1" a="1"/>
  <c r="FB7" i="1" a="1"/>
  <c r="FD17" i="1" a="1"/>
  <c r="ET21" i="1" a="1"/>
  <c r="ET29" i="1" a="1"/>
  <c r="FB45" i="1" a="1"/>
  <c r="EV16" i="1" a="1"/>
  <c r="EY51" i="1" a="1"/>
  <c r="FD10" i="1" a="1"/>
  <c r="ES54" i="1" a="1"/>
  <c r="FA45" i="1" a="1"/>
  <c r="EY27" i="1" a="1"/>
  <c r="EX28" i="1" a="1"/>
  <c r="EZ39" i="1" a="1"/>
  <c r="EV20" i="1" a="1"/>
  <c r="EV18" i="1" a="1"/>
  <c r="FE35" i="1" a="1"/>
  <c r="FC20" i="1" a="1"/>
  <c r="FA30" i="1" a="1"/>
  <c r="ET47" i="1" a="1"/>
  <c r="ER11" i="1" a="1"/>
  <c r="FB43" i="1" a="1"/>
  <c r="ET49" i="1" a="1"/>
  <c r="ER50" i="1" a="1"/>
  <c r="EV28" i="1" a="1"/>
  <c r="EX39" i="1" a="1"/>
  <c r="FE9" i="1" a="1"/>
  <c r="EZ17" i="1" a="1"/>
  <c r="ER44" i="1" a="1"/>
  <c r="FC10" i="1" a="1"/>
  <c r="ES28" i="1" a="1"/>
  <c r="EZ47" i="1" a="1"/>
  <c r="EU12" i="1" a="1"/>
  <c r="EV57" i="1" a="1"/>
  <c r="FC57" i="1" a="1"/>
  <c r="EW30" i="1" a="1"/>
  <c r="EY39" i="1" a="1"/>
  <c r="EV24" i="1" a="1"/>
  <c r="EW13" i="1" a="1"/>
  <c r="FA17" i="1" a="1"/>
  <c r="FD43" i="1" a="1"/>
  <c r="FD13" i="1" a="1"/>
  <c r="EZ28" i="1" a="1"/>
  <c r="FE7" i="1" a="1"/>
  <c r="FC33" i="1" a="1"/>
  <c r="FB48" i="1" a="1"/>
  <c r="ET37" i="1" a="1"/>
  <c r="FE18" i="1" a="1"/>
  <c r="EZ25" i="1" a="1"/>
  <c r="ET42" i="1" a="1"/>
  <c r="EU34" i="1" a="1"/>
  <c r="FB38" i="1" a="1"/>
  <c r="FE6" i="1" a="1"/>
  <c r="FB11" i="1" a="1"/>
  <c r="FA9" i="1" a="1"/>
  <c r="FD54" i="1" a="1"/>
  <c r="FC24" i="1" a="1"/>
  <c r="FA52" i="1" a="1"/>
  <c r="ES51" i="1" a="1"/>
  <c r="FD9" i="1" a="1"/>
  <c r="EW34" i="1" a="1"/>
  <c r="FD35" i="1" a="1"/>
  <c r="ET20" i="1" a="1"/>
  <c r="EV25" i="1" a="1"/>
  <c r="DT10" i="1" a="1"/>
  <c r="DV13" i="1" a="1"/>
  <c r="DV30" i="1" a="1"/>
  <c r="DV42" i="1" a="1"/>
  <c r="DW14" i="1" a="1"/>
  <c r="DW17" i="1" a="1"/>
  <c r="DU32" i="1" a="1"/>
  <c r="DW19" i="1" a="1"/>
  <c r="DS39" i="1" a="1"/>
  <c r="DS67" i="1" a="1"/>
  <c r="DW12" i="1" a="1"/>
  <c r="DV54" i="1" a="1"/>
  <c r="DV83" i="1" a="1"/>
  <c r="DV93" i="1" a="1"/>
  <c r="DV105" i="1" a="1"/>
  <c r="DV115" i="1" a="1"/>
  <c r="DT29" i="1" a="1"/>
  <c r="DS50" i="1" a="1"/>
  <c r="DS75" i="1" a="1"/>
  <c r="DV8" i="1" a="1"/>
  <c r="EU54" i="1" a="1"/>
  <c r="ES10" i="1" a="1"/>
  <c r="EY9" i="1" a="1"/>
  <c r="ER38" i="1" a="1"/>
  <c r="FB35" i="1" a="1"/>
  <c r="FD51" i="1" a="1"/>
  <c r="DS6" i="1" a="1"/>
  <c r="EU46" i="1" a="1"/>
  <c r="EX12" i="1" a="1"/>
  <c r="FA10" i="1" a="1"/>
  <c r="FB13" i="1" a="1"/>
  <c r="FA54" i="1" a="1"/>
  <c r="EZ34" i="1" a="1"/>
  <c r="EW31" i="1" a="1"/>
  <c r="DT8" i="1" a="1"/>
  <c r="DU54" i="1" a="1"/>
  <c r="DV102" i="1" a="1"/>
  <c r="DV7" i="1" a="1"/>
  <c r="DU101" i="1" a="1"/>
  <c r="BA13" i="1" a="1"/>
  <c r="DT56" i="1" a="1"/>
  <c r="DU78" i="1" a="1"/>
  <c r="DS106" i="1" a="1"/>
  <c r="BC27" i="1" a="1"/>
  <c r="BC47" i="1" a="1"/>
  <c r="BC68" i="1" a="1"/>
  <c r="BC88" i="1" a="1"/>
  <c r="BC108" i="1" a="1"/>
  <c r="DW50" i="1" a="1"/>
  <c r="DU46" i="1" a="1"/>
  <c r="DW104" i="1" a="1"/>
  <c r="DW11" i="1" a="1"/>
  <c r="DW93" i="1" a="1"/>
  <c r="AZ19" i="1" a="1"/>
  <c r="BB35" i="1" a="1"/>
  <c r="BB55" i="1" a="1"/>
  <c r="BB80" i="1" a="1"/>
  <c r="BB96" i="1" a="1"/>
  <c r="BB18" i="1" a="1"/>
  <c r="DW69" i="1" a="1"/>
  <c r="AY25" i="1" a="1"/>
  <c r="BA43" i="1" a="1"/>
  <c r="AZ67" i="1" a="1"/>
  <c r="AY86" i="1" a="1"/>
  <c r="BA104" i="1" a="1"/>
  <c r="BY9" i="1" a="1"/>
  <c r="BW24" i="1" a="1"/>
  <c r="BY39" i="1" a="1"/>
  <c r="BZ52" i="1" a="1"/>
  <c r="BZ69" i="1" a="1"/>
  <c r="BZ79" i="1" a="1"/>
  <c r="BZ91" i="1" a="1"/>
  <c r="BZ103" i="1" a="1"/>
  <c r="DU6" i="1" a="1"/>
  <c r="AZ10" i="1" a="1"/>
  <c r="CA32" i="1" a="1"/>
  <c r="DS74" i="1" a="1"/>
  <c r="DT115" i="1" a="1"/>
  <c r="BA33" i="1" a="1"/>
  <c r="AZ52" i="1" a="1"/>
  <c r="AY76" i="1" a="1"/>
  <c r="DS33" i="1" a="1"/>
  <c r="BA24" i="1" a="1"/>
  <c r="AZ43" i="1" a="1"/>
  <c r="AY67" i="1" a="1"/>
  <c r="BA85" i="1" a="1"/>
  <c r="AZ104" i="1" a="1"/>
  <c r="BY10" i="1" a="1"/>
  <c r="BW25" i="1" a="1"/>
  <c r="BX39" i="1" a="1"/>
  <c r="BY52" i="1" a="1"/>
  <c r="BY69" i="1" a="1"/>
  <c r="BY79" i="1" a="1"/>
  <c r="BY91" i="1" a="1"/>
  <c r="BY103" i="1" a="1"/>
  <c r="BC7" i="1" a="1"/>
  <c r="BW42" i="1" a="1"/>
  <c r="CW11" i="1" a="1"/>
  <c r="CX32" i="1" a="1"/>
  <c r="CX54" i="1" a="1"/>
  <c r="CX83" i="1" a="1"/>
  <c r="CX105" i="1" a="1"/>
  <c r="AA12" i="12" a="1"/>
  <c r="DG102" i="1" a="1"/>
  <c r="CJ90" i="1" a="1"/>
  <c r="DH85" i="1" a="1"/>
  <c r="BA25" i="1" a="1"/>
  <c r="AY68" i="1" a="1"/>
  <c r="AZ103" i="1" a="1"/>
  <c r="BX16" i="1" a="1"/>
  <c r="BX47" i="1" a="1"/>
  <c r="BW71" i="1" a="1"/>
  <c r="CA89" i="1" a="1"/>
  <c r="BX108" i="1" a="1"/>
  <c r="CU26" i="1" a="1"/>
  <c r="CU48" i="1" a="1"/>
  <c r="CU75" i="1" a="1"/>
  <c r="CU97" i="1" a="1"/>
  <c r="AF36" i="1" a="1"/>
  <c r="CA7" i="1" a="1"/>
  <c r="BX115" i="1" a="1"/>
  <c r="CX18" i="1" a="1"/>
  <c r="CX42" i="1" a="1"/>
  <c r="CX69" i="1" a="1"/>
  <c r="CX91" i="1" a="1"/>
  <c r="CX113" i="1" a="1"/>
  <c r="AY26" i="1" a="1"/>
  <c r="AZ68" i="1" a="1"/>
  <c r="BA103" i="1" a="1"/>
  <c r="BZ14" i="1" a="1"/>
  <c r="CA36" i="1" a="1"/>
  <c r="BW56" i="1" a="1"/>
  <c r="CA79" i="1" a="1"/>
  <c r="BX98" i="1" a="1"/>
  <c r="DW91" i="1" a="1"/>
  <c r="DT35" i="1" a="1"/>
  <c r="BA113" i="1" a="1"/>
  <c r="BY25" i="1" a="1"/>
  <c r="DT110" i="1" a="1"/>
  <c r="BY7" i="1" a="1"/>
  <c r="BY30" i="1" a="1"/>
  <c r="BW57" i="1" a="1"/>
  <c r="CA80" i="1" a="1"/>
  <c r="BX101" i="1" a="1"/>
  <c r="CU16" i="1" a="1"/>
  <c r="CU38" i="1" a="1"/>
  <c r="CU67" i="1" a="1"/>
  <c r="ER54" i="1" a="1"/>
  <c r="EU49" i="1" a="1"/>
  <c r="EY48" i="1" a="1"/>
  <c r="EU15" i="1" a="1"/>
  <c r="FC17" i="1" a="1"/>
  <c r="EX31" i="1" a="1"/>
  <c r="EU29" i="1" a="1"/>
  <c r="EX52" i="1" a="1"/>
  <c r="ER10" i="1" a="1"/>
  <c r="EV46" i="1" a="1"/>
  <c r="EY15" i="1" a="1"/>
  <c r="FE34" i="1" a="1"/>
  <c r="FD52" i="1" a="1"/>
  <c r="FB26" i="1" a="1"/>
  <c r="DV24" i="1" a="1"/>
  <c r="DW74" i="1" a="1"/>
  <c r="DV109" i="1" a="1"/>
  <c r="DT16" i="1" a="1"/>
  <c r="DU103" i="1" a="1"/>
  <c r="BA16" i="1" a="1"/>
  <c r="DT65" i="1" a="1"/>
  <c r="DS80" i="1" a="1"/>
  <c r="DS111" i="1" a="1"/>
  <c r="BC28" i="1" a="1"/>
  <c r="BC48" i="1" a="1"/>
  <c r="BC71" i="1" a="1"/>
  <c r="BC89" i="1" a="1"/>
  <c r="BC109" i="1" a="1"/>
  <c r="DU67" i="1" a="1"/>
  <c r="DS53" i="1" a="1"/>
  <c r="DT106" i="1" a="1"/>
  <c r="DW24" i="1" a="1"/>
  <c r="DT95" i="1" a="1"/>
  <c r="BB20" i="1" a="1"/>
  <c r="BB38" i="1" a="1"/>
  <c r="BB56" i="1" a="1"/>
  <c r="BB83" i="1" a="1"/>
  <c r="BB101" i="1" a="1"/>
  <c r="BB105" i="1" a="1"/>
  <c r="DT86" i="1" a="1"/>
  <c r="BA26" i="1" a="1"/>
  <c r="AZ45" i="1" a="1"/>
  <c r="AY69" i="1" a="1"/>
  <c r="BA87" i="1" a="1"/>
  <c r="AY106" i="1" a="1"/>
  <c r="BZ10" i="1" a="1"/>
  <c r="BX25" i="1" a="1"/>
  <c r="BZ43" i="1" a="1"/>
  <c r="BZ53" i="1" a="1"/>
  <c r="BZ70" i="1" a="1"/>
  <c r="BZ80" i="1" a="1"/>
  <c r="BZ92" i="1" a="1"/>
  <c r="BZ104" i="1" a="1"/>
  <c r="DV21" i="1" a="1"/>
  <c r="AY16" i="1" a="1"/>
  <c r="BW34" i="1" a="1"/>
  <c r="DV77" i="1" a="1"/>
  <c r="BB7" i="1" a="1"/>
  <c r="AZ35" i="1" a="1"/>
  <c r="AY54" i="1" a="1"/>
  <c r="BA77" i="1" a="1"/>
  <c r="DT38" i="1" a="1"/>
  <c r="AZ26" i="1" a="1"/>
  <c r="AY45" i="1" a="1"/>
  <c r="BA68" i="1" a="1"/>
  <c r="AZ87" i="1" a="1"/>
  <c r="BA108" i="1" a="1"/>
  <c r="BZ11" i="1" a="1"/>
  <c r="BX26" i="1" a="1"/>
  <c r="BY43" i="1" a="1"/>
  <c r="BY53" i="1" a="1"/>
  <c r="BY70" i="1" a="1"/>
  <c r="BY80" i="1" a="1"/>
  <c r="BY92" i="1" a="1"/>
  <c r="BY104" i="1" a="1"/>
  <c r="AZ105" i="1" a="1"/>
  <c r="BY109" i="1" a="1"/>
  <c r="CY12" i="1" a="1"/>
  <c r="CY34" i="1" a="1"/>
  <c r="CY56" i="1" a="1"/>
  <c r="CY85" i="1" a="1"/>
  <c r="CY107" i="1" a="1"/>
  <c r="H19" i="12" a="1"/>
  <c r="CZ96" i="1" a="1"/>
  <c r="DY108" i="1" a="1"/>
  <c r="DZ109" i="1" a="1"/>
  <c r="AY29" i="1" a="1"/>
  <c r="AZ71" i="1" a="1"/>
  <c r="AY108" i="1" a="1"/>
  <c r="BY18" i="1" a="1"/>
  <c r="BW49" i="1" a="1"/>
  <c r="EZ42" i="1" a="1"/>
  <c r="EW35" i="1" a="1"/>
  <c r="EW43" i="1" a="1"/>
  <c r="EZ9" i="1" a="1"/>
  <c r="EZ12" i="1" a="1"/>
  <c r="FB39" i="1" a="1"/>
  <c r="EV10" i="1" a="1"/>
  <c r="EU55" i="1" a="1"/>
  <c r="EX14" i="1" a="1"/>
  <c r="EV42" i="1" a="1"/>
  <c r="ET34" i="1" a="1"/>
  <c r="FE54" i="1" a="1"/>
  <c r="FE17" i="1" a="1"/>
  <c r="ER18" i="1" a="1"/>
  <c r="DT11" i="1" a="1"/>
  <c r="DU83" i="1" a="1"/>
  <c r="DV112" i="1" a="1"/>
  <c r="DV49" i="1" a="1"/>
  <c r="DU104" i="1" a="1"/>
  <c r="BA19" i="1" a="1"/>
  <c r="DW66" i="1" a="1"/>
  <c r="DS84" i="1" a="1"/>
  <c r="DS116" i="1" a="1"/>
  <c r="BC29" i="1" a="1"/>
  <c r="BC49" i="1" a="1"/>
  <c r="BC74" i="1" a="1"/>
  <c r="BC90" i="1" a="1"/>
  <c r="BC110" i="1" a="1"/>
  <c r="DS73" i="1" a="1"/>
  <c r="DS55" i="1" a="1"/>
  <c r="DS108" i="1" a="1"/>
  <c r="DV52" i="1" a="1"/>
  <c r="DS97" i="1" a="1"/>
  <c r="BB21" i="1" a="1"/>
  <c r="BB43" i="1" a="1"/>
  <c r="BB57" i="1" a="1"/>
  <c r="BB84" i="1" a="1"/>
  <c r="DW13" i="1" a="1"/>
  <c r="AZ107" i="1" a="1"/>
  <c r="DW89" i="1" a="1"/>
  <c r="AZ28" i="1" a="1"/>
  <c r="AY47" i="1" a="1"/>
  <c r="BA70" i="1" a="1"/>
  <c r="AZ89" i="1" a="1"/>
  <c r="BB108" i="1" a="1"/>
  <c r="BW12" i="1" a="1"/>
  <c r="BY26" i="1" a="1"/>
  <c r="BZ44" i="1" a="1"/>
  <c r="BZ54" i="1" a="1"/>
  <c r="BZ71" i="1" a="1"/>
  <c r="BZ83" i="1" a="1"/>
  <c r="BZ93" i="1" a="1"/>
  <c r="BZ105" i="1" a="1"/>
  <c r="DW29" i="1" a="1"/>
  <c r="BA107" i="1" a="1"/>
  <c r="BX36" i="1" a="1"/>
  <c r="DW86" i="1" a="1"/>
  <c r="AZ13" i="1" a="1"/>
  <c r="AY37" i="1" a="1"/>
  <c r="BA55" i="1" a="1"/>
  <c r="AZ79" i="1" a="1"/>
  <c r="DT45" i="1" a="1"/>
  <c r="AY28" i="1" a="1"/>
  <c r="BA46" i="1" a="1"/>
  <c r="AZ70" i="1" a="1"/>
  <c r="AY89" i="1" a="1"/>
  <c r="AY110" i="1" a="1"/>
  <c r="BW13" i="1" a="1"/>
  <c r="BY27" i="1" a="1"/>
  <c r="BY44" i="1" a="1"/>
  <c r="BY54" i="1" a="1"/>
  <c r="BY71" i="1" a="1"/>
  <c r="BY83" i="1" a="1"/>
  <c r="BY93" i="1" a="1"/>
  <c r="BY105" i="1" a="1"/>
  <c r="BB107" i="1" a="1"/>
  <c r="BW111" i="1" a="1"/>
  <c r="CU15" i="1" a="1"/>
  <c r="CU37" i="1" a="1"/>
  <c r="CU66" i="1" a="1"/>
  <c r="CU88" i="1" a="1"/>
  <c r="CU110" i="1" a="1"/>
  <c r="H25" i="12" a="1"/>
  <c r="CG112" i="1" a="1"/>
  <c r="ED71" i="1" a="1"/>
  <c r="CB93" i="1" a="1"/>
  <c r="AZ32" i="1" a="1"/>
  <c r="BA74" i="1" a="1"/>
  <c r="BA110" i="1" a="1"/>
  <c r="BX20" i="1" a="1"/>
  <c r="ER31" i="1" a="1"/>
  <c r="ER21" i="1" a="1"/>
  <c r="FB57" i="1" a="1"/>
  <c r="ET7" i="1" a="1"/>
  <c r="EY32" i="1" a="1"/>
  <c r="FD28" i="1" a="1"/>
  <c r="EV49" i="1" a="1"/>
  <c r="FD56" i="1" a="1"/>
  <c r="FC47" i="1" a="1"/>
  <c r="FA16" i="1" a="1"/>
  <c r="EW56" i="1" a="1"/>
  <c r="EV15" i="1" a="1"/>
  <c r="EW51" i="1" a="1"/>
  <c r="DS18" i="1" a="1"/>
  <c r="DU26" i="1" a="1"/>
  <c r="DS20" i="1" a="1"/>
  <c r="DU9" i="1" a="1"/>
  <c r="DV56" i="1" a="1"/>
  <c r="DU107" i="1" a="1"/>
  <c r="DU8" i="1" a="1"/>
  <c r="AY8" i="1" a="1"/>
  <c r="DW85" i="1" a="1"/>
  <c r="BC6" i="1" a="1"/>
  <c r="BC32" i="1" a="1"/>
  <c r="BC50" i="1" a="1"/>
  <c r="BC75" i="1" a="1"/>
  <c r="BC93" i="1" a="1"/>
  <c r="BC111" i="1" a="1"/>
  <c r="DV74" i="1" a="1"/>
  <c r="DV67" i="1" a="1"/>
  <c r="DW109" i="1" a="1"/>
  <c r="DT72" i="1" a="1"/>
  <c r="DS104" i="1" a="1"/>
  <c r="BB24" i="1" a="1"/>
  <c r="BB44" i="1" a="1"/>
  <c r="BB67" i="1" a="1"/>
  <c r="BB85" i="1" a="1"/>
  <c r="DS21" i="1" a="1"/>
  <c r="CA6" i="1" a="1"/>
  <c r="DS93" i="1" a="1"/>
  <c r="AY30" i="1" a="1"/>
  <c r="BA48" i="1" a="1"/>
  <c r="AZ72" i="1" a="1"/>
  <c r="AY91" i="1" a="1"/>
  <c r="AZ110" i="1" a="1"/>
  <c r="BX13" i="1" a="1"/>
  <c r="BZ27" i="1" a="1"/>
  <c r="BZ45" i="1" a="1"/>
  <c r="BZ55" i="1" a="1"/>
  <c r="BZ72" i="1" a="1"/>
  <c r="BZ84" i="1" a="1"/>
  <c r="BZ94" i="1" a="1"/>
  <c r="BZ106" i="1" a="1"/>
  <c r="DS35" i="1" a="1"/>
  <c r="AY109" i="1" a="1"/>
  <c r="BY38" i="1" a="1"/>
  <c r="DS90" i="1" a="1"/>
  <c r="AY19" i="1" a="1"/>
  <c r="BA38" i="1" a="1"/>
  <c r="AZ57" i="1" a="1"/>
  <c r="AY83" i="1" a="1"/>
  <c r="DT50" i="1" a="1"/>
  <c r="BA29" i="1" a="1"/>
  <c r="AZ48" i="1" a="1"/>
  <c r="AY72" i="1" a="1"/>
  <c r="BA90" i="1" a="1"/>
  <c r="BB112" i="1" a="1"/>
  <c r="BX14" i="1" a="1"/>
  <c r="BZ28" i="1" a="1"/>
  <c r="BY45" i="1" a="1"/>
  <c r="BY55" i="1" a="1"/>
  <c r="BY72" i="1" a="1"/>
  <c r="BY84" i="1" a="1"/>
  <c r="BY94" i="1" a="1"/>
  <c r="BY106" i="1" a="1"/>
  <c r="BB109" i="1" a="1"/>
  <c r="CA113" i="1" a="1"/>
  <c r="CV17" i="1" a="1"/>
  <c r="CV39" i="1" a="1"/>
  <c r="CV68" i="1" a="1"/>
  <c r="CV90" i="1" a="1"/>
  <c r="CV112" i="1" a="1"/>
  <c r="H23" i="9" a="1"/>
  <c r="EC106" i="1" a="1"/>
  <c r="FC35" i="1" a="1"/>
  <c r="EZ11" i="1" a="1"/>
  <c r="EX48" i="1" a="1"/>
  <c r="FC15" i="1" a="1"/>
  <c r="ER32" i="1" a="1"/>
  <c r="FC27" i="1" a="1"/>
  <c r="FC30" i="1" a="1"/>
  <c r="EU52" i="1" a="1"/>
  <c r="EZ44" i="1" a="1"/>
  <c r="EZ8" i="1" a="1"/>
  <c r="FD12" i="1" a="1"/>
  <c r="FE20" i="1" a="1"/>
  <c r="FA29" i="1" a="1"/>
  <c r="DS7" i="1" a="1"/>
  <c r="DU29" i="1" a="1"/>
  <c r="DW45" i="1" a="1"/>
  <c r="DS15" i="1" a="1"/>
  <c r="DU72" i="1" a="1"/>
  <c r="DU111" i="1" a="1"/>
  <c r="DS12" i="1" a="1"/>
  <c r="BB16" i="1" a="1"/>
  <c r="DT87" i="1" a="1"/>
  <c r="BB9" i="1" a="1"/>
  <c r="BC35" i="1" a="1"/>
  <c r="BC51" i="1" a="1"/>
  <c r="BC76" i="1" a="1"/>
  <c r="BC96" i="1" a="1"/>
  <c r="DV9" i="1" a="1"/>
  <c r="DV76" i="1" a="1"/>
  <c r="DS86" i="1" a="1"/>
  <c r="DT111" i="1" a="1"/>
  <c r="DT74" i="1" a="1"/>
  <c r="DS109" i="1" a="1"/>
  <c r="BB25" i="1" a="1"/>
  <c r="BB45" i="1" a="1"/>
  <c r="BB70" i="1" a="1"/>
  <c r="BB86" i="1" a="1"/>
  <c r="DW28" i="1" a="1"/>
  <c r="CA21" i="1" a="1"/>
  <c r="DT96" i="1" a="1"/>
  <c r="BA31" i="1" a="1"/>
  <c r="AZ50" i="1" a="1"/>
  <c r="AY74" i="1" a="1"/>
  <c r="BA92" i="1" a="1"/>
  <c r="AY113" i="1" a="1"/>
  <c r="BY14" i="1" a="1"/>
  <c r="BW29" i="1" a="1"/>
  <c r="BZ46" i="1" a="1"/>
  <c r="BZ56" i="1" a="1"/>
  <c r="BZ73" i="1" a="1"/>
  <c r="BZ85" i="1" a="1"/>
  <c r="BZ95" i="1" a="1"/>
  <c r="BZ107" i="1" a="1"/>
  <c r="DT42" i="1" a="1"/>
  <c r="BB111" i="1" a="1"/>
  <c r="BZ42" i="1" a="1"/>
  <c r="DT93" i="1" a="1"/>
  <c r="BA21" i="1" a="1"/>
  <c r="AZ42" i="1" a="1"/>
  <c r="AY66" i="1" a="1"/>
  <c r="BA84" i="1" a="1"/>
  <c r="DS54" i="1" a="1"/>
  <c r="AZ31" i="1" a="1"/>
  <c r="AY50" i="1" a="1"/>
  <c r="BA73" i="1" a="1"/>
  <c r="AZ92" i="1" a="1"/>
  <c r="AY114" i="1" a="1"/>
  <c r="BY15" i="1" a="1"/>
  <c r="BW30" i="1" a="1"/>
  <c r="BY46" i="1" a="1"/>
  <c r="BY56" i="1" a="1"/>
  <c r="BY73" i="1" a="1"/>
  <c r="BY85" i="1" a="1"/>
  <c r="BY95" i="1" a="1"/>
  <c r="BY107" i="1" a="1"/>
  <c r="CA9" i="1" a="1"/>
  <c r="BW115" i="1" a="1"/>
  <c r="CW19" i="1" a="1"/>
  <c r="CW43" i="1" a="1"/>
  <c r="CW70" i="1" a="1"/>
  <c r="CW92" i="1" a="1"/>
  <c r="CW114" i="1" a="1"/>
  <c r="H34" i="9" a="1"/>
  <c r="EX29" i="1" a="1"/>
  <c r="ET32" i="1" a="1"/>
  <c r="EY56" i="1" a="1"/>
  <c r="ER6" i="1" a="1"/>
  <c r="ET6" i="1" a="1"/>
  <c r="FA24" i="1" a="1"/>
  <c r="ET12" i="1" a="1"/>
  <c r="EU30" i="1" a="1"/>
  <c r="FE38" i="1" a="1"/>
  <c r="EY45" i="1" a="1"/>
  <c r="EY54" i="1" a="1"/>
  <c r="EV29" i="1" a="1"/>
  <c r="EW47" i="1" a="1"/>
  <c r="DU21" i="1" a="1"/>
  <c r="DU36" i="1" a="1"/>
  <c r="DU70" i="1" a="1"/>
  <c r="DS36" i="1" a="1"/>
  <c r="DS78" i="1" a="1"/>
  <c r="DU113" i="1" a="1"/>
  <c r="DS25" i="1" a="1"/>
  <c r="AY18" i="1" a="1"/>
  <c r="DT92" i="1" a="1"/>
  <c r="AY11" i="1" a="1"/>
  <c r="BC36" i="1" a="1"/>
  <c r="BC54" i="1" a="1"/>
  <c r="BC77" i="1" a="1"/>
  <c r="BC97" i="1" a="1"/>
  <c r="DT25" i="1" a="1"/>
  <c r="DV78" i="1" a="1"/>
  <c r="DW87" i="1" a="1"/>
  <c r="DT116" i="1" a="1"/>
  <c r="DT76" i="1" a="1"/>
  <c r="DW110" i="1" a="1"/>
  <c r="BB28" i="1" a="1"/>
  <c r="BB46" i="1" a="1"/>
  <c r="BB71" i="1" a="1"/>
  <c r="BB89" i="1" a="1"/>
  <c r="DW34" i="1" a="1"/>
  <c r="CA28" i="1" a="1"/>
  <c r="DT108" i="1" a="1"/>
  <c r="AZ33" i="1" a="1"/>
  <c r="AY52" i="1" a="1"/>
  <c r="BA75" i="1" a="1"/>
  <c r="AZ94" i="1" a="1"/>
  <c r="AZ114" i="1" a="1"/>
  <c r="BZ15" i="1" a="1"/>
  <c r="BX30" i="1" a="1"/>
  <c r="BZ47" i="1" a="1"/>
  <c r="BZ57" i="1" a="1"/>
  <c r="BZ74" i="1" a="1"/>
  <c r="BZ86" i="1" a="1"/>
  <c r="BZ96" i="1" a="1"/>
  <c r="BZ108" i="1" a="1"/>
  <c r="DU47" i="1" a="1"/>
  <c r="BC116" i="1" a="1"/>
  <c r="DT15" i="1" a="1"/>
  <c r="DW96" i="1" a="1"/>
  <c r="AZ25" i="1" a="1"/>
  <c r="AY44" i="1" a="1"/>
  <c r="BA67" i="1" a="1"/>
  <c r="AZ86" i="1" a="1"/>
  <c r="DV57" i="1" a="1"/>
  <c r="AY33" i="1" a="1"/>
  <c r="BA51" i="1" a="1"/>
  <c r="AZ75" i="1" a="1"/>
  <c r="AY94" i="1" a="1"/>
  <c r="AZ115" i="1" a="1"/>
  <c r="BZ16" i="1" a="1"/>
  <c r="BX31" i="1" a="1"/>
  <c r="BY47" i="1" a="1"/>
  <c r="BY57" i="1" a="1"/>
  <c r="BY74" i="1" a="1"/>
  <c r="BY86" i="1" a="1"/>
  <c r="BY96" i="1" a="1"/>
  <c r="DS30" i="1" a="1"/>
  <c r="CA13" i="1" a="1"/>
  <c r="BX116" i="1" a="1"/>
  <c r="CX20" i="1" a="1"/>
  <c r="CX44" i="1" a="1"/>
  <c r="CX71" i="1" a="1"/>
  <c r="CX93" i="1" a="1"/>
  <c r="CX115" i="1" a="1"/>
  <c r="H22" i="9" a="1"/>
  <c r="DB91" i="1" a="1"/>
  <c r="CE105" i="1" a="1"/>
  <c r="DW44" i="1" a="1"/>
  <c r="AZ44" i="1" a="1"/>
  <c r="BA86" i="1" a="1"/>
  <c r="BW6" i="1" a="1"/>
  <c r="BY28" i="1" a="1"/>
  <c r="CA55" i="1" a="1"/>
  <c r="BX79" i="1" a="1"/>
  <c r="BW98" i="1" a="1"/>
  <c r="CU14" i="1" a="1"/>
  <c r="CU36" i="1" a="1"/>
  <c r="CU65" i="1" a="1"/>
  <c r="CU87" i="1" a="1"/>
  <c r="CU109" i="1" a="1"/>
  <c r="DW106" i="1" a="1"/>
  <c r="BZ38" i="1" a="1"/>
  <c r="CW10" i="1" a="1"/>
  <c r="CX30" i="1" a="1"/>
  <c r="CX52" i="1" a="1"/>
  <c r="CX79" i="1" a="1"/>
  <c r="CX103" i="1" a="1"/>
  <c r="DS45" i="1" a="1"/>
  <c r="BA44" i="1" a="1"/>
  <c r="AY87" i="1" a="1"/>
  <c r="AY115" i="1" a="1"/>
  <c r="BW27" i="1" a="1"/>
  <c r="CA47" i="1" a="1"/>
  <c r="BX71" i="1" a="1"/>
  <c r="BW90" i="1" a="1"/>
  <c r="BY108" i="1" a="1"/>
  <c r="BC14" i="1" a="1"/>
  <c r="BA93" i="1" a="1"/>
  <c r="BZ12" i="1" a="1"/>
  <c r="DS72" i="1" a="1"/>
  <c r="AY98" i="1" a="1"/>
  <c r="BZ17" i="1" a="1"/>
  <c r="CA48" i="1" a="1"/>
  <c r="BX72" i="1" a="1"/>
  <c r="BW91" i="1" a="1"/>
  <c r="BX112" i="1" a="1"/>
  <c r="CU28" i="1" a="1"/>
  <c r="CU50" i="1" a="1"/>
  <c r="CU77" i="1" a="1"/>
  <c r="EW36" i="1" a="1"/>
  <c r="EW33" i="1" a="1"/>
  <c r="FA43" i="1" a="1"/>
  <c r="EX55" i="1" a="1"/>
  <c r="FB52" i="1" a="1"/>
  <c r="EZ15" i="1" a="1"/>
  <c r="EX53" i="1" a="1"/>
  <c r="ET31" i="1" a="1"/>
  <c r="FD30" i="1" a="1"/>
  <c r="EU53" i="1" a="1"/>
  <c r="EX26" i="1" a="1"/>
  <c r="EU35" i="1" a="1"/>
  <c r="FB25" i="1" a="1"/>
  <c r="DV27" i="1" a="1"/>
  <c r="DU39" i="1" a="1"/>
  <c r="DS76" i="1" a="1"/>
  <c r="DS43" i="1" a="1"/>
  <c r="DU85" i="1" a="1"/>
  <c r="DU114" i="1" a="1"/>
  <c r="DS28" i="1" a="1"/>
  <c r="DV19" i="1" a="1"/>
  <c r="DT97" i="1" a="1"/>
  <c r="AZ15" i="1" a="1"/>
  <c r="BC37" i="1" a="1"/>
  <c r="BC57" i="1" a="1"/>
  <c r="BC78" i="1" a="1"/>
  <c r="BC98" i="1" a="1"/>
  <c r="DW33" i="1" a="1"/>
  <c r="AZ8" i="1" a="1"/>
  <c r="DT89" i="1" a="1"/>
  <c r="BC12" i="1" a="1"/>
  <c r="DW77" i="1" a="1"/>
  <c r="DT112" i="1" a="1"/>
  <c r="BB31" i="1" a="1"/>
  <c r="BB47" i="1" a="1"/>
  <c r="BB72" i="1" a="1"/>
  <c r="BB92" i="1" a="1"/>
  <c r="DS42" i="1" a="1"/>
  <c r="CA33" i="1" a="1"/>
  <c r="AZ7" i="1" a="1"/>
  <c r="AY35" i="1" a="1"/>
  <c r="BA53" i="1" a="1"/>
  <c r="AZ77" i="1" a="1"/>
  <c r="AY96" i="1" a="1"/>
  <c r="BA115" i="1" a="1"/>
  <c r="BW17" i="1" a="1"/>
  <c r="BY31" i="1" a="1"/>
  <c r="BZ48" i="1" a="1"/>
  <c r="BZ65" i="1" a="1"/>
  <c r="BZ75" i="1" a="1"/>
  <c r="BZ87" i="1" a="1"/>
  <c r="BZ97" i="1" a="1"/>
  <c r="BZ109" i="1" a="1"/>
  <c r="DW51" i="1" a="1"/>
  <c r="CA10" i="1" a="1"/>
  <c r="DT24" i="1" a="1"/>
  <c r="DS102" i="1" a="1"/>
  <c r="AY27" i="1" a="1"/>
  <c r="BA45" i="1" a="1"/>
  <c r="AZ69" i="1" a="1"/>
  <c r="AY88" i="1" a="1"/>
  <c r="DV68" i="1" a="1"/>
  <c r="BA34" i="1" a="1"/>
  <c r="AZ53" i="1" a="1"/>
  <c r="AY77" i="1" a="1"/>
  <c r="BA95" i="1" a="1"/>
  <c r="BA116" i="1" a="1"/>
  <c r="BW18" i="1" a="1"/>
  <c r="BY32" i="1" a="1"/>
  <c r="BY48" i="1" a="1"/>
  <c r="BY65" i="1" a="1"/>
  <c r="BY75" i="1" a="1"/>
  <c r="BY87" i="1" a="1"/>
  <c r="BY97" i="1" a="1"/>
  <c r="DT43" i="1" a="1"/>
  <c r="CA17" i="1" a="1"/>
  <c r="CW6" i="1" a="1"/>
  <c r="CY24" i="1" a="1"/>
  <c r="CY46" i="1" a="1"/>
  <c r="CY73" i="1" a="1"/>
  <c r="CY95" i="1" a="1"/>
  <c r="AF30" i="1" a="1"/>
  <c r="M12" i="9" a="1"/>
  <c r="CD94" i="1" a="1"/>
  <c r="DX93" i="1" a="1"/>
  <c r="DT75" i="1" a="1"/>
  <c r="BA47" i="1" a="1"/>
  <c r="AY90" i="1" a="1"/>
  <c r="BZ7" i="1" a="1"/>
  <c r="BZ30" i="1" a="1"/>
  <c r="FA12" i="1" a="1"/>
  <c r="FB8" i="1" a="1"/>
  <c r="ER39" i="1" a="1"/>
  <c r="ES27" i="1" a="1"/>
  <c r="EW46" i="1" a="1"/>
  <c r="EX19" i="1" a="1"/>
  <c r="ES34" i="1" a="1"/>
  <c r="ET25" i="1" a="1"/>
  <c r="FA6" i="1" a="1"/>
  <c r="ER33" i="1" a="1"/>
  <c r="EX13" i="1" a="1"/>
  <c r="FC14" i="1" a="1"/>
  <c r="EU10" i="1" a="1"/>
  <c r="DV34" i="1" a="1"/>
  <c r="DS29" i="1" a="1"/>
  <c r="DV87" i="1" a="1"/>
  <c r="DW55" i="1" a="1"/>
  <c r="DU89" i="1" a="1"/>
  <c r="BA6" i="1" a="1"/>
  <c r="DT36" i="1" a="1"/>
  <c r="DW43" i="1" a="1"/>
  <c r="DS101" i="1" a="1"/>
  <c r="BC20" i="1" a="1"/>
  <c r="BC38" i="1" a="1"/>
  <c r="BC65" i="1" a="1"/>
  <c r="BC83" i="1" a="1"/>
  <c r="BC101" i="1" a="1"/>
  <c r="DW36" i="1" a="1"/>
  <c r="AY14" i="1" a="1"/>
  <c r="DS91" i="1" a="1"/>
  <c r="BB15" i="1" a="1"/>
  <c r="DT85" i="1" a="1"/>
  <c r="DS114" i="1" a="1"/>
  <c r="BB32" i="1" a="1"/>
  <c r="BB50" i="1" a="1"/>
  <c r="BB73" i="1" a="1"/>
  <c r="BB93" i="1" a="1"/>
  <c r="DT73" i="1" a="1"/>
  <c r="BW36" i="1" a="1"/>
  <c r="AY13" i="1" a="1"/>
  <c r="BA36" i="1" a="1"/>
  <c r="AZ55" i="1" a="1"/>
  <c r="AY79" i="1" a="1"/>
  <c r="BA97" i="1" a="1"/>
  <c r="BB116" i="1" a="1"/>
  <c r="BX18" i="1" a="1"/>
  <c r="BZ32" i="1" a="1"/>
  <c r="BZ49" i="1" a="1"/>
  <c r="BZ66" i="1" a="1"/>
  <c r="BZ76" i="1" a="1"/>
  <c r="BZ88" i="1" a="1"/>
  <c r="BZ98" i="1" a="1"/>
  <c r="BZ110" i="1" a="1"/>
  <c r="DU73" i="1" a="1"/>
  <c r="CA15" i="1" a="1"/>
  <c r="DW47" i="1" a="1"/>
  <c r="DT105" i="1" a="1"/>
  <c r="BA28" i="1" a="1"/>
  <c r="AZ47" i="1" a="1"/>
  <c r="AY71" i="1" a="1"/>
  <c r="BA89" i="1" a="1"/>
  <c r="AY12" i="1" a="1"/>
  <c r="AZ36" i="1" a="1"/>
  <c r="AY55" i="1" a="1"/>
  <c r="BA78" i="1" a="1"/>
  <c r="AZ97" i="1" a="1"/>
  <c r="BZ6" i="1" a="1"/>
  <c r="BX19" i="1" a="1"/>
  <c r="BZ33" i="1" a="1"/>
  <c r="BY49" i="1" a="1"/>
  <c r="BY66" i="1" a="1"/>
  <c r="BY76" i="1" a="1"/>
  <c r="BY88" i="1" a="1"/>
  <c r="BY98" i="1" a="1"/>
  <c r="DS52" i="1" a="1"/>
  <c r="BY34" i="1" a="1"/>
  <c r="CY7" i="1" a="1"/>
  <c r="CU27" i="1" a="1"/>
  <c r="CU49" i="1" a="1"/>
  <c r="CU76" i="1" a="1"/>
  <c r="CU98" i="1" a="1"/>
  <c r="BD31" i="1" a="1"/>
  <c r="M18" i="9" a="1"/>
  <c r="CI112" i="1" a="1"/>
  <c r="CZ104" i="1" a="1"/>
  <c r="BB8" i="1" a="1"/>
  <c r="AY51" i="1" a="1"/>
  <c r="AY93" i="1" a="1"/>
  <c r="BW10" i="1" a="1"/>
  <c r="BW33" i="1" a="1"/>
  <c r="EW16" i="1" a="1"/>
  <c r="ES47" i="1" a="1"/>
  <c r="FE27" i="1" a="1"/>
  <c r="EX17" i="1" a="1"/>
  <c r="ET43" i="1" a="1"/>
  <c r="EY7" i="1" a="1"/>
  <c r="EU20" i="1" a="1"/>
  <c r="EZ35" i="1" a="1"/>
  <c r="EV45" i="1" a="1"/>
  <c r="FC7" i="1" a="1"/>
  <c r="ER13" i="1" a="1"/>
  <c r="FA36" i="1" a="1"/>
  <c r="FA13" i="1" a="1"/>
  <c r="DV37" i="1" a="1"/>
  <c r="DS34" i="1" a="1"/>
  <c r="DV90" i="1" a="1"/>
  <c r="DU69" i="1" a="1"/>
  <c r="DU92" i="1" a="1"/>
  <c r="BA10" i="1" a="1"/>
  <c r="DU50" i="1" a="1"/>
  <c r="DT46" i="1" a="1"/>
  <c r="DW102" i="1" a="1"/>
  <c r="BC25" i="1" a="1"/>
  <c r="BC39" i="1" a="1"/>
  <c r="BC66" i="1" a="1"/>
  <c r="BC86" i="1" a="1"/>
  <c r="BC102" i="1" a="1"/>
  <c r="DW39" i="1" a="1"/>
  <c r="DW20" i="1" a="1"/>
  <c r="DW92" i="1" a="1"/>
  <c r="AY17" i="1" a="1"/>
  <c r="DT90" i="1" a="1"/>
  <c r="DW115" i="1" a="1"/>
  <c r="BB33" i="1" a="1"/>
  <c r="BB53" i="1" a="1"/>
  <c r="BB74" i="1" a="1"/>
  <c r="BB94" i="1" a="1"/>
  <c r="AY10" i="1" a="1"/>
  <c r="BX38" i="1" a="1"/>
  <c r="BC18" i="1" a="1"/>
  <c r="AZ38" i="1" a="1"/>
  <c r="AY57" i="1" a="1"/>
  <c r="BA80" i="1" a="1"/>
  <c r="AZ101" i="1" a="1"/>
  <c r="BW7" i="1" a="1"/>
  <c r="BY19" i="1" a="1"/>
  <c r="BW35" i="1" a="1"/>
  <c r="BZ50" i="1" a="1"/>
  <c r="BZ67" i="1" a="1"/>
  <c r="BZ77" i="1" a="1"/>
  <c r="BZ89" i="1" a="1"/>
  <c r="BZ101" i="1" a="1"/>
  <c r="BZ111" i="1" a="1"/>
  <c r="DU77" i="1" a="1"/>
  <c r="CA20" i="1" a="1"/>
  <c r="DU66" i="1" a="1"/>
  <c r="DW108" i="1" a="1"/>
  <c r="AZ30" i="1" a="1"/>
  <c r="AY49" i="1" a="1"/>
  <c r="BA72" i="1" a="1"/>
  <c r="DW18" i="1" a="1"/>
  <c r="BC17" i="1" a="1"/>
  <c r="AY38" i="1" a="1"/>
  <c r="BA56" i="1" a="1"/>
  <c r="AZ80" i="1" a="1"/>
  <c r="AY101" i="1" a="1"/>
  <c r="BW8" i="1" a="1"/>
  <c r="BY20" i="1" a="1"/>
  <c r="CA34" i="1" a="1"/>
  <c r="BY50" i="1" a="1"/>
  <c r="BY67" i="1" a="1"/>
  <c r="BY77" i="1" a="1"/>
  <c r="BY89" i="1" a="1"/>
  <c r="BY101" i="1" a="1"/>
  <c r="DV66" i="1" a="1"/>
  <c r="BY36" i="1" a="1"/>
  <c r="CU9" i="1" a="1"/>
  <c r="CV29" i="1" a="1"/>
  <c r="CV51" i="1" a="1"/>
  <c r="CV78" i="1" a="1"/>
  <c r="CV102" i="1" a="1"/>
  <c r="AA33" i="12" a="1"/>
  <c r="FA14" i="1" a="1"/>
  <c r="ET33" i="1" a="1"/>
  <c r="ER26" i="1" a="1"/>
  <c r="ES46" i="1" a="1"/>
  <c r="EX46" i="1" a="1"/>
  <c r="EZ7" i="1" a="1"/>
  <c r="EY46" i="1" a="1"/>
  <c r="ES18" i="1" a="1"/>
  <c r="FE26" i="1" a="1"/>
  <c r="FB29" i="1" a="1"/>
  <c r="FE16" i="1" a="1"/>
  <c r="FE8" i="1" a="1"/>
  <c r="EV9" i="1" a="1"/>
  <c r="DV46" i="1" a="1"/>
  <c r="DW49" i="1" a="1"/>
  <c r="DV97" i="1" a="1"/>
  <c r="DV16" i="1" a="1"/>
  <c r="DU95" i="1" a="1"/>
  <c r="BA12" i="1" a="1"/>
  <c r="DT54" i="1" a="1"/>
  <c r="DW54" i="1" a="1"/>
  <c r="DT104" i="1" a="1"/>
  <c r="BC26" i="1" a="1"/>
  <c r="BC44" i="1" a="1"/>
  <c r="BC67" i="1" a="1"/>
  <c r="BC87" i="1" a="1"/>
  <c r="BC105" i="1" a="1"/>
  <c r="DS49" i="1" a="1"/>
  <c r="DU44" i="1" a="1"/>
  <c r="DW97" i="1" a="1"/>
  <c r="AY21" i="1" a="1"/>
  <c r="DS92" i="1" a="1"/>
  <c r="BC10" i="1" a="1"/>
  <c r="BB34" i="1" a="1"/>
  <c r="BB54" i="1" a="1"/>
  <c r="BB77" i="1" a="1"/>
  <c r="BB95" i="1" a="1"/>
  <c r="BC15" i="1" a="1"/>
  <c r="DV51" i="1" a="1"/>
  <c r="AZ21" i="1" a="1"/>
  <c r="AY42" i="1" a="1"/>
  <c r="BA65" i="1" a="1"/>
  <c r="AZ84" i="1" a="1"/>
  <c r="AY103" i="1" a="1"/>
  <c r="BX8" i="1" a="1"/>
  <c r="BZ20" i="1" a="1"/>
  <c r="BX37" i="1" a="1"/>
  <c r="BZ51" i="1" a="1"/>
  <c r="BZ68" i="1" a="1"/>
  <c r="BZ78" i="1" a="1"/>
  <c r="BZ90" i="1" a="1"/>
  <c r="BZ102" i="1" a="1"/>
  <c r="BZ112" i="1" a="1"/>
  <c r="DS83" i="1" a="1"/>
  <c r="CA27" i="1" a="1"/>
  <c r="DS70" i="1" a="1"/>
  <c r="DS112" i="1" a="1"/>
  <c r="AY32" i="1" a="1"/>
  <c r="BA50" i="1" a="1"/>
  <c r="AZ74" i="1" a="1"/>
  <c r="DS27" i="1" a="1"/>
  <c r="BA20" i="1" a="1"/>
  <c r="BA39" i="1" a="1"/>
  <c r="AZ65" i="1" a="1"/>
  <c r="AY84" i="1" a="1"/>
  <c r="BA102" i="1" a="1"/>
  <c r="BX9" i="1" a="1"/>
  <c r="BZ21" i="1" a="1"/>
  <c r="BW37" i="1" a="1"/>
  <c r="BY51" i="1" a="1"/>
  <c r="BY68" i="1" a="1"/>
  <c r="BY78" i="1" a="1"/>
  <c r="BY90" i="1" a="1"/>
  <c r="BY102" i="1" a="1"/>
  <c r="DT83" i="1" a="1"/>
  <c r="BW38" i="1" a="1"/>
  <c r="CV10" i="1" a="1"/>
  <c r="CW31" i="1" a="1"/>
  <c r="CW53" i="1" a="1"/>
  <c r="CW80" i="1" a="1"/>
  <c r="CW104" i="1" a="1"/>
  <c r="AA27" i="12" a="1"/>
  <c r="DY86" i="1" a="1"/>
  <c r="DW31" i="1" a="1"/>
  <c r="AZ98" i="1" a="1"/>
  <c r="BX52" i="1" a="1"/>
  <c r="BW83" i="1" a="1"/>
  <c r="BW105" i="1" a="1"/>
  <c r="CV28" i="1" a="1"/>
  <c r="CX53" i="1" a="1"/>
  <c r="CV89" i="1" a="1"/>
  <c r="CX114" i="1" a="1"/>
  <c r="CA26" i="1" a="1"/>
  <c r="CU8" i="1" a="1"/>
  <c r="CY32" i="1" a="1"/>
  <c r="CV66" i="1" a="1"/>
  <c r="CY93" i="1" a="1"/>
  <c r="DV17" i="1" a="1"/>
  <c r="AY48" i="1" a="1"/>
  <c r="AZ96" i="1" a="1"/>
  <c r="BY16" i="1" a="1"/>
  <c r="BX44" i="1" a="1"/>
  <c r="BW73" i="1" a="1"/>
  <c r="BW95" i="1" a="1"/>
  <c r="DT98" i="1" a="1"/>
  <c r="AZ16" i="1" a="1"/>
  <c r="BW15" i="1" a="1"/>
  <c r="DS95" i="1" a="1"/>
  <c r="BZ9" i="1" a="1"/>
  <c r="BX45" i="1" a="1"/>
  <c r="BW74" i="1" a="1"/>
  <c r="BW96" i="1" a="1"/>
  <c r="CV18" i="1" a="1"/>
  <c r="CX45" i="1" a="1"/>
  <c r="CV79" i="1" a="1"/>
  <c r="CV103" i="1" a="1"/>
  <c r="BA27" i="1" a="1"/>
  <c r="CA114" i="1" a="1"/>
  <c r="CU33" i="1" a="1"/>
  <c r="CW84" i="1" a="1"/>
  <c r="CV116" i="1" a="1"/>
  <c r="M31" i="9" a="1"/>
  <c r="AE116" i="1" a="1"/>
  <c r="AL70" i="1" a="1"/>
  <c r="EC83" i="1" a="1"/>
  <c r="DD114" i="1" a="1"/>
  <c r="DZ74" i="1" a="1"/>
  <c r="DZ84" i="1" a="1"/>
  <c r="L114" i="1" a="1"/>
  <c r="K94" i="1" a="1"/>
  <c r="EF70" i="1" a="1"/>
  <c r="DH70" i="1" a="1"/>
  <c r="BF76" i="1" a="1"/>
  <c r="CC91" i="1" a="1"/>
  <c r="CC70" i="1" a="1"/>
  <c r="AD92" i="1" a="1"/>
  <c r="AM73" i="1" a="1"/>
  <c r="EE112" i="1" a="1"/>
  <c r="AA65" i="1" a="1"/>
  <c r="BW32" i="1" a="1"/>
  <c r="CA85" i="1" a="1"/>
  <c r="CU18" i="1" a="1"/>
  <c r="CY51" i="1" a="1"/>
  <c r="CX90" i="1" a="1"/>
  <c r="H34" i="12" a="1"/>
  <c r="EA68" i="1" a="1"/>
  <c r="EE67" i="1" a="1"/>
  <c r="DC103" i="1" a="1"/>
  <c r="EE87" i="1" a="1"/>
  <c r="CZ91" i="1" a="1"/>
  <c r="CE83" i="1" a="1"/>
  <c r="BD104" i="1" a="1"/>
  <c r="EC87" i="1" a="1"/>
  <c r="DH69" i="1" a="1"/>
  <c r="BE76" i="1" a="1"/>
  <c r="EC104" i="1" a="1"/>
  <c r="CA25" i="1" a="1"/>
  <c r="CV31" i="1" a="1"/>
  <c r="CU70" i="1" a="1"/>
  <c r="CY103" i="1" a="1"/>
  <c r="M25" i="9" a="1"/>
  <c r="ED103" i="1" a="1"/>
  <c r="BI42" i="1" a="1"/>
  <c r="CJ108" i="1" a="1"/>
  <c r="ED66" i="1" a="1"/>
  <c r="EF72" i="1" a="1"/>
  <c r="ED102" i="1" a="1"/>
  <c r="BL73" i="1" a="1"/>
  <c r="EA87" i="1" a="1"/>
  <c r="K116" i="1" a="1"/>
  <c r="EB66" i="1" a="1"/>
  <c r="DS79" i="1" a="1"/>
  <c r="BY33" i="1" a="1"/>
  <c r="BW87" i="1" a="1"/>
  <c r="CY27" i="1" a="1"/>
  <c r="CX66" i="1" a="1"/>
  <c r="CW111" i="1" a="1"/>
  <c r="DS110" i="1" a="1"/>
  <c r="BY113" i="1" a="1"/>
  <c r="AY24" i="1" a="1"/>
  <c r="BW65" i="1" a="1"/>
  <c r="CA111" i="1" a="1"/>
  <c r="CA8" i="1" a="1"/>
  <c r="BW75" i="1" a="1"/>
  <c r="CV14" i="1" a="1"/>
  <c r="CX47" i="1" a="1"/>
  <c r="CW97" i="1" a="1"/>
  <c r="AA32" i="12" a="1"/>
  <c r="CF112" i="1" a="1"/>
  <c r="EB110" i="1" a="1"/>
  <c r="EC90" i="1" a="1"/>
  <c r="CH93" i="1" a="1"/>
  <c r="AB113" i="1" a="1"/>
  <c r="BK115" i="1" a="1"/>
  <c r="EF71" i="1" a="1"/>
  <c r="ED101" i="1" a="1"/>
  <c r="DG114" i="1" a="1"/>
  <c r="BK76" i="1" a="1"/>
  <c r="AB91" i="1" a="1"/>
  <c r="CV36" i="1" a="1"/>
  <c r="AF38" i="1" a="1"/>
  <c r="DH96" i="1" a="1"/>
  <c r="DF71" i="1" a="1"/>
  <c r="CB89" i="1" a="1"/>
  <c r="DZ72" i="1" a="1"/>
  <c r="DA105" i="1" a="1"/>
  <c r="ED27" i="1" a="1"/>
  <c r="AB93" i="1" a="1"/>
  <c r="CE66" i="1" a="1"/>
  <c r="BJ91" i="1" a="1"/>
  <c r="AI92" i="1" a="1"/>
  <c r="DY101" i="1" a="1"/>
  <c r="AZ14" i="1" a="1"/>
  <c r="BA112" i="1" a="1"/>
  <c r="BW54" i="1" a="1"/>
  <c r="CA84" i="1" a="1"/>
  <c r="CA106" i="1" a="1"/>
  <c r="CW30" i="1" a="1"/>
  <c r="CY55" i="1" a="1"/>
  <c r="CW91" i="1" a="1"/>
  <c r="CY116" i="1" a="1"/>
  <c r="CA30" i="1" a="1"/>
  <c r="CV9" i="1" a="1"/>
  <c r="CU35" i="1" a="1"/>
  <c r="CW68" i="1" a="1"/>
  <c r="CU96" i="1" a="1"/>
  <c r="DS32" i="1" a="1"/>
  <c r="AZ51" i="1" a="1"/>
  <c r="BA98" i="1" a="1"/>
  <c r="BZ18" i="1" a="1"/>
  <c r="BW46" i="1" a="1"/>
  <c r="CA74" i="1" a="1"/>
  <c r="CA96" i="1" a="1"/>
  <c r="DS107" i="1" a="1"/>
  <c r="AZ91" i="1" a="1"/>
  <c r="BX17" i="1" a="1"/>
  <c r="DW103" i="1" a="1"/>
  <c r="BY11" i="1" a="1"/>
  <c r="BW47" i="1" a="1"/>
  <c r="CA75" i="1" a="1"/>
  <c r="CA97" i="1" a="1"/>
  <c r="CW20" i="1" a="1"/>
  <c r="CY47" i="1" a="1"/>
  <c r="CW83" i="1" a="1"/>
  <c r="CW105" i="1" a="1"/>
  <c r="BA42" i="1" a="1"/>
  <c r="CU6" i="1" a="1"/>
  <c r="CX34" i="1" a="1"/>
  <c r="CW86" i="1" a="1"/>
  <c r="AF32" i="1" a="1"/>
  <c r="M19" i="9" a="1"/>
  <c r="ED74" i="1" a="1"/>
  <c r="AF93" i="1" a="1"/>
  <c r="AF66" i="1" a="1"/>
  <c r="DX111" i="1" a="1"/>
  <c r="EC107" i="1" a="1"/>
  <c r="DC105" i="1" a="1"/>
  <c r="DC83" i="1" a="1"/>
  <c r="CJ114" i="1" a="1"/>
  <c r="D110" i="1" a="1"/>
  <c r="DX71" i="1" a="1"/>
  <c r="DG88" i="1" a="1"/>
  <c r="BF65" i="1" a="1"/>
  <c r="DY19" i="1" a="1"/>
  <c r="AM85" i="1" a="1"/>
  <c r="CE114" i="1" a="1"/>
  <c r="DF66" i="1" a="1"/>
  <c r="DS38" i="1" a="1"/>
  <c r="BY37" i="1" a="1"/>
  <c r="BX90" i="1" a="1"/>
  <c r="CU20" i="1" a="1"/>
  <c r="CY53" i="1" a="1"/>
  <c r="CV105" i="1" a="1"/>
  <c r="H32" i="12" a="1"/>
  <c r="EB104" i="1" a="1"/>
  <c r="DH109" i="1" a="1"/>
  <c r="DE87" i="1" a="1"/>
  <c r="AJ116" i="1" a="1"/>
  <c r="EA96" i="1" a="1"/>
  <c r="DC93" i="1" a="1"/>
  <c r="CG75" i="1" a="1"/>
  <c r="EF83" i="1" a="1"/>
  <c r="AC96" i="1" a="1"/>
  <c r="EF42" i="1" a="1"/>
  <c r="EF112" i="1" a="1"/>
  <c r="CA110" i="1" a="1"/>
  <c r="CV33" i="1" a="1"/>
  <c r="CU72" i="1" a="1"/>
  <c r="CW116" i="1" a="1"/>
  <c r="M13" i="9" a="1"/>
  <c r="EF92" i="1" a="1"/>
  <c r="ED106" i="1" a="1"/>
  <c r="CI68" i="1" a="1"/>
  <c r="DE109" i="1" a="1"/>
  <c r="DC74" i="1" a="1"/>
  <c r="CB112" i="1" a="1"/>
  <c r="AB85" i="1" a="1"/>
  <c r="DX52" i="1" a="1"/>
  <c r="DZ70" i="1" a="1"/>
  <c r="BK78" i="1" a="1"/>
  <c r="AZ17" i="1" a="1"/>
  <c r="BZ37" i="1" a="1"/>
  <c r="CA90" i="1" a="1"/>
  <c r="CY29" i="1" a="1"/>
  <c r="CX68" i="1" a="1"/>
  <c r="CU113" i="1" a="1"/>
  <c r="AY34" i="1" a="1"/>
  <c r="CA115" i="1" a="1"/>
  <c r="AZ46" i="1" a="1"/>
  <c r="CA68" i="1" a="1"/>
  <c r="DT26" i="1" a="1"/>
  <c r="BX15" i="1" a="1"/>
  <c r="CA78" i="1" a="1"/>
  <c r="CY15" i="1" a="1"/>
  <c r="CX49" i="1" a="1"/>
  <c r="CW101" i="1" a="1"/>
  <c r="H24" i="12" a="1"/>
  <c r="ED108" i="1" a="1"/>
  <c r="CD76" i="1" a="1"/>
  <c r="CD74" i="1" a="1"/>
  <c r="DX84" i="1" a="1"/>
  <c r="ED72" i="1" a="1"/>
  <c r="CE103" i="1" a="1"/>
  <c r="DF79" i="1" a="1"/>
  <c r="DE74" i="1" a="1"/>
  <c r="DD37" i="1" a="1"/>
  <c r="BH88" i="1" a="1"/>
  <c r="AM95" i="1" a="1"/>
  <c r="CY39" i="1" a="1"/>
  <c r="AA31" i="12" a="1"/>
  <c r="AJ92" i="1" a="1"/>
  <c r="DE104" i="1" a="1"/>
  <c r="EF104" i="1" a="1"/>
  <c r="DC108" i="1" a="1"/>
  <c r="N115" i="1" a="1"/>
  <c r="DX80" i="1" a="1"/>
  <c r="E67" i="1" a="1"/>
  <c r="CC107" i="1" a="1"/>
  <c r="EF90" i="1" a="1"/>
  <c r="AY20" i="1" a="1"/>
  <c r="BB114" i="1" a="1"/>
  <c r="BX57" i="1" a="1"/>
  <c r="BX86" i="1" a="1"/>
  <c r="CA109" i="1" a="1"/>
  <c r="CX31" i="1" a="1"/>
  <c r="CV67" i="1" a="1"/>
  <c r="CX92" i="1" a="1"/>
  <c r="DW67" i="1" a="1"/>
  <c r="BZ34" i="1" a="1"/>
  <c r="CY11" i="1" a="1"/>
  <c r="CV37" i="1" a="1"/>
  <c r="CY71" i="1" a="1"/>
  <c r="CV98" i="1" a="1"/>
  <c r="DW53" i="1" a="1"/>
  <c r="BA54" i="1" a="1"/>
  <c r="AZ106" i="1" a="1"/>
  <c r="BW21" i="1" a="1"/>
  <c r="BX49" i="1" a="1"/>
  <c r="BX76" i="1" a="1"/>
  <c r="BW102" i="1" a="1"/>
  <c r="DW113" i="1" a="1"/>
  <c r="BA96" i="1" a="1"/>
  <c r="BW19" i="1" a="1"/>
  <c r="AY6" i="1" a="1"/>
  <c r="BZ13" i="1" a="1"/>
  <c r="BX50" i="1" a="1"/>
  <c r="BX77" i="1" a="1"/>
  <c r="BW103" i="1" a="1"/>
  <c r="CX21" i="1" a="1"/>
  <c r="CV52" i="1" a="1"/>
  <c r="CX84" i="1" a="1"/>
  <c r="CX106" i="1" a="1"/>
  <c r="AY70" i="1" a="1"/>
  <c r="CV8" i="1" a="1"/>
  <c r="CX36" i="1" a="1"/>
  <c r="CW88" i="1" a="1"/>
  <c r="AB8" i="1" a="1"/>
  <c r="EB69" i="1" a="1"/>
  <c r="DH103" i="1" a="1"/>
  <c r="EE75" i="1" a="1"/>
  <c r="BK98" i="1" a="1"/>
  <c r="DB113" i="1" a="1"/>
  <c r="DY106" i="1" a="1"/>
  <c r="DA108" i="1" a="1"/>
  <c r="AF89" i="1" a="1"/>
  <c r="DZ85" i="1" a="1"/>
  <c r="DX94" i="1" a="1"/>
  <c r="DH80" i="1" a="1"/>
  <c r="AN69" i="1" a="1"/>
  <c r="CB69" i="1" a="1"/>
  <c r="J105" i="1" a="1"/>
  <c r="BJ71" i="1" a="1"/>
  <c r="DG10" i="1" a="1"/>
  <c r="EB68" i="1" a="1"/>
  <c r="DW78" i="1" a="1"/>
  <c r="BX43" i="1" a="1"/>
  <c r="BW94" i="1" a="1"/>
  <c r="CU24" i="1" a="1"/>
  <c r="CW73" i="1" a="1"/>
  <c r="CV107" i="1" a="1"/>
  <c r="H27" i="9" a="1"/>
  <c r="DE77" i="1" a="1"/>
  <c r="BH93" i="1" a="1"/>
  <c r="DG92" i="1" a="1"/>
  <c r="DC67" i="1" a="1"/>
  <c r="DD85" i="1" a="1"/>
  <c r="EB70" i="1" a="1"/>
  <c r="EF110" i="1" a="1"/>
  <c r="AK104" i="1" a="1"/>
  <c r="DX76" i="1" a="1"/>
  <c r="DA54" i="1" a="1"/>
  <c r="H66" i="1" a="1"/>
  <c r="BX113" i="1" a="1"/>
  <c r="CV35" i="1" a="1"/>
  <c r="CX73" i="1" a="1"/>
  <c r="AF33" i="1" a="1"/>
  <c r="DE80" i="1" a="1"/>
  <c r="DE115" i="1" a="1"/>
  <c r="DH71" i="1" a="1"/>
  <c r="CG113" i="1" a="1"/>
  <c r="EC68" i="1" a="1"/>
  <c r="AH74" i="1" a="1"/>
  <c r="DX103" i="1" a="1"/>
  <c r="AA79" i="1" a="1"/>
  <c r="AN72" i="1" a="1"/>
  <c r="ED86" i="1" a="1"/>
  <c r="AL87" i="1" a="1"/>
  <c r="AY31" i="1" a="1"/>
  <c r="CA44" i="1" a="1"/>
  <c r="BX95" i="1" a="1"/>
  <c r="CY31" i="1" a="1"/>
  <c r="CV83" i="1" a="1"/>
  <c r="CU115" i="1" a="1"/>
  <c r="AZ56" i="1" a="1"/>
  <c r="CU7" i="1" a="1"/>
  <c r="AZ66" i="1" a="1"/>
  <c r="BX73" i="1" a="1"/>
  <c r="DW116" i="1" a="1"/>
  <c r="BZ31" i="1" a="1"/>
  <c r="BX85" i="1" a="1"/>
  <c r="CY17" i="1" a="1"/>
  <c r="CX51" i="1" a="1"/>
  <c r="CU103" i="1" a="1"/>
  <c r="H31" i="12" a="1"/>
  <c r="DC87" i="1" a="1"/>
  <c r="DA88" i="1" a="1"/>
  <c r="EE9" i="1" a="1"/>
  <c r="CJ97" i="1" a="1"/>
  <c r="DX108" i="1" a="1"/>
  <c r="EE73" i="1" a="1"/>
  <c r="EE80" i="1" a="1"/>
  <c r="BG114" i="1" a="1"/>
  <c r="AA85" i="1" a="1"/>
  <c r="DE34" i="1" a="1"/>
  <c r="AG111" i="1" a="1"/>
  <c r="EF84" i="1" a="1"/>
  <c r="BA35" i="1" a="1"/>
  <c r="BX12" i="1" a="1"/>
  <c r="BW66" i="1" a="1"/>
  <c r="BW88" i="1" a="1"/>
  <c r="BY112" i="1" a="1"/>
  <c r="CY33" i="1" a="1"/>
  <c r="CW69" i="1" a="1"/>
  <c r="CY94" i="1" a="1"/>
  <c r="DW84" i="1" a="1"/>
  <c r="BZ36" i="1" a="1"/>
  <c r="CU13" i="1" a="1"/>
  <c r="CW39" i="1" a="1"/>
  <c r="CU74" i="1" a="1"/>
  <c r="CW102" i="1" a="1"/>
  <c r="DU75" i="1" a="1"/>
  <c r="AY65" i="1" a="1"/>
  <c r="AZ108" i="1" a="1"/>
  <c r="BZ24" i="1" a="1"/>
  <c r="BW51" i="1" a="1"/>
  <c r="BW78" i="1" a="1"/>
  <c r="CA103" i="1" a="1"/>
  <c r="AY9" i="1" a="1"/>
  <c r="BA101" i="1" a="1"/>
  <c r="BX21" i="1" a="1"/>
  <c r="BB17" i="1" a="1"/>
  <c r="BW16" i="1" a="1"/>
  <c r="BW52" i="1" a="1"/>
  <c r="BW79" i="1" a="1"/>
  <c r="CA104" i="1" a="1"/>
  <c r="CY25" i="1" a="1"/>
  <c r="CW54" i="1" a="1"/>
  <c r="CY86" i="1" a="1"/>
  <c r="CY108" i="1" a="1"/>
  <c r="AY85" i="1" a="1"/>
  <c r="CU10" i="1" a="1"/>
  <c r="CX38" i="1" a="1"/>
  <c r="CU90" i="1" a="1"/>
  <c r="AA23" i="12" a="1"/>
  <c r="DY77" i="1" a="1"/>
  <c r="DC84" i="1" a="1"/>
  <c r="DZ105" i="1" a="1"/>
  <c r="DG104" i="1" a="1"/>
  <c r="DX72" i="1" a="1"/>
  <c r="DA77" i="1" a="1"/>
  <c r="EE105" i="1" a="1"/>
  <c r="BH87" i="1" a="1"/>
  <c r="CI87" i="1" a="1"/>
  <c r="EF113" i="1" a="1"/>
  <c r="AY39" i="1" a="1"/>
  <c r="BW14" i="1" a="1"/>
  <c r="CA67" i="1" a="1"/>
  <c r="BX91" i="1" a="1"/>
  <c r="CX6" i="1" a="1"/>
  <c r="CV38" i="1" a="1"/>
  <c r="CX70" i="1" a="1"/>
  <c r="CV101" i="1" a="1"/>
  <c r="DT91" i="1" a="1"/>
  <c r="BX42" i="1" a="1"/>
  <c r="CV15" i="1" a="1"/>
  <c r="CY44" i="1" a="1"/>
  <c r="CV76" i="1" a="1"/>
  <c r="CY105" i="1" a="1"/>
  <c r="BB14" i="1" a="1"/>
  <c r="BA71" i="1" a="1"/>
  <c r="BB110" i="1" a="1"/>
  <c r="BX29" i="1" a="1"/>
  <c r="CA52" i="1" a="1"/>
  <c r="BX83" i="1" a="1"/>
  <c r="BX105" i="1" a="1"/>
  <c r="AY111" i="1" a="1"/>
  <c r="AY104" i="1" a="1"/>
  <c r="BX27" i="1" a="1"/>
  <c r="AY92" i="1" a="1"/>
  <c r="BW20" i="1" a="1"/>
  <c r="CA53" i="1" a="1"/>
  <c r="BX84" i="1" a="1"/>
  <c r="BX106" i="1" a="1"/>
  <c r="CV30" i="1" a="1"/>
  <c r="CX55" i="1" a="1"/>
  <c r="CU89" i="1" a="1"/>
  <c r="CU111" i="1" a="1"/>
  <c r="BA94" i="1" a="1"/>
  <c r="CV12" i="1" a="1"/>
  <c r="CV53" i="1" a="1"/>
  <c r="CU92" i="1" a="1"/>
  <c r="AA16" i="12" a="1"/>
  <c r="DF112" i="1" a="1"/>
  <c r="DH107" i="1" a="1"/>
  <c r="CG116" i="1" a="1"/>
  <c r="CC101" i="1" a="1"/>
  <c r="AM93" i="1" a="1"/>
  <c r="EC78" i="1" a="1"/>
  <c r="EB103" i="1" a="1"/>
  <c r="CJ72" i="1" a="1"/>
  <c r="EC113" i="1" a="1"/>
  <c r="AZ54" i="1" a="1"/>
  <c r="BY24" i="1" a="1"/>
  <c r="BX69" i="1" a="1"/>
  <c r="BW93" i="1" a="1"/>
  <c r="CX11" i="1" a="1"/>
  <c r="CW42" i="1" a="1"/>
  <c r="CY72" i="1" a="1"/>
  <c r="CW103" i="1" a="1"/>
  <c r="DS98" i="1" a="1"/>
  <c r="BX111" i="1" a="1"/>
  <c r="CW17" i="1" a="1"/>
  <c r="CU47" i="1" a="1"/>
  <c r="CW78" i="1" a="1"/>
  <c r="CU108" i="1" a="1"/>
  <c r="AZ20" i="1" a="1"/>
  <c r="AY75" i="1" a="1"/>
  <c r="AZ113" i="1" a="1"/>
  <c r="BW31" i="1" a="1"/>
  <c r="BX54" i="1" a="1"/>
  <c r="BW85" i="1" a="1"/>
  <c r="BW107" i="1" a="1"/>
  <c r="CA14" i="1" a="1"/>
  <c r="BA106" i="1" a="1"/>
  <c r="BY29" i="1" a="1"/>
  <c r="AY95" i="1" a="1"/>
  <c r="BX24" i="1" a="1"/>
  <c r="BX55" i="1" a="1"/>
  <c r="BW86" i="1" a="1"/>
  <c r="BW108" i="1" a="1"/>
  <c r="CW32" i="1" a="1"/>
  <c r="CY57" i="1" a="1"/>
  <c r="CV91" i="1" a="1"/>
  <c r="CV113" i="1" a="1"/>
  <c r="AY105" i="1" a="1"/>
  <c r="CW21" i="1" a="1"/>
  <c r="CV55" i="1" a="1"/>
  <c r="CU94" i="1" a="1"/>
  <c r="H13" i="12" a="1"/>
  <c r="CB71" i="1" a="1"/>
  <c r="CZ116" i="1" a="1"/>
  <c r="BA57" i="1" a="1"/>
  <c r="BZ26" i="1" a="1"/>
  <c r="CA72" i="1" a="1"/>
  <c r="CA94" i="1" a="1"/>
  <c r="CV16" i="1" a="1"/>
  <c r="CX43" i="1" a="1"/>
  <c r="CV77" i="1" a="1"/>
  <c r="CX104" i="1" a="1"/>
  <c r="DT113" i="1" a="1"/>
  <c r="CA112" i="1" a="1"/>
  <c r="CY20" i="1" a="1"/>
  <c r="CV49" i="1" a="1"/>
  <c r="CY83" i="1" a="1"/>
  <c r="CV110" i="1" a="1"/>
  <c r="AZ29" i="1" a="1"/>
  <c r="AZ78" i="1" a="1"/>
  <c r="BX6" i="1" a="1"/>
  <c r="BX33" i="1" a="1"/>
  <c r="CA57" i="1" a="1"/>
  <c r="CA86" i="1" a="1"/>
  <c r="BW110" i="1" a="1"/>
  <c r="CA18" i="1" a="1"/>
  <c r="BB115" i="1" a="1"/>
  <c r="DV11" i="1" a="1"/>
  <c r="AZ102" i="1" a="1"/>
  <c r="BW26" i="1" a="1"/>
  <c r="CA65" i="1" a="1"/>
  <c r="CA87" i="1" a="1"/>
  <c r="BZ113" i="1" a="1"/>
  <c r="CX33" i="1" a="1"/>
  <c r="CV69" i="1" a="1"/>
  <c r="CW93" i="1" a="1"/>
  <c r="CW115" i="1" a="1"/>
  <c r="BW9" i="1" a="1"/>
  <c r="CW25" i="1" a="1"/>
  <c r="CV57" i="1" a="1"/>
  <c r="CX95" i="1" a="1"/>
  <c r="H29" i="12" a="1"/>
  <c r="EC65" i="1" a="1"/>
  <c r="DB115" i="1" a="1"/>
  <c r="CD75" i="1" a="1"/>
  <c r="DD86" i="1" a="1"/>
  <c r="BK47" i="1" a="1"/>
  <c r="CH88" i="1" a="1"/>
  <c r="DB112" i="1" a="1"/>
  <c r="AC89" i="1" a="1"/>
  <c r="CG97" i="1" a="1"/>
  <c r="CD67" i="1" a="1"/>
  <c r="N65" i="1" a="1"/>
  <c r="BK77" i="1" a="1"/>
  <c r="CB67" i="1" a="1"/>
  <c r="AF92" i="1" a="1"/>
  <c r="CF76" i="1" a="1"/>
  <c r="AY78" i="1" a="1"/>
  <c r="BW44" i="1" a="1"/>
  <c r="BX74" i="1" a="1"/>
  <c r="BX96" i="1" a="1"/>
  <c r="CW18" i="1" a="1"/>
  <c r="CY45" i="1" a="1"/>
  <c r="CW79" i="1" a="1"/>
  <c r="CY106" i="1" a="1"/>
  <c r="BC8" i="1" a="1"/>
  <c r="BW114" i="1" a="1"/>
  <c r="CU25" i="1" a="1"/>
  <c r="CW51" i="1" a="1"/>
  <c r="CU86" i="1" a="1"/>
  <c r="CW112" i="1" a="1"/>
  <c r="BA32" i="1" a="1"/>
  <c r="BA83" i="1" a="1"/>
  <c r="BY8" i="1" a="1"/>
  <c r="BX35" i="1" a="1"/>
  <c r="BX66" i="1" a="1"/>
  <c r="BX88" i="1" a="1"/>
  <c r="DU68" i="1" a="1"/>
  <c r="CA24" i="1" a="1"/>
  <c r="BY6" i="1" a="1"/>
  <c r="DU57" i="1" a="1"/>
  <c r="AZ112" i="1" a="1"/>
  <c r="BX28" i="1" a="1"/>
  <c r="BX67" i="1" a="1"/>
  <c r="BX89" i="1" a="1"/>
  <c r="CX7" i="1" a="1"/>
  <c r="CY35" i="1" a="1"/>
  <c r="CW71" i="1" a="1"/>
  <c r="CX94" i="1" a="1"/>
  <c r="CX116" i="1" a="1"/>
  <c r="CA31" i="1" a="1"/>
  <c r="CW27" i="1" a="1"/>
  <c r="CY65" i="1" a="1"/>
  <c r="CX97" i="1" a="1"/>
  <c r="H36" i="12" a="1"/>
  <c r="EB92" i="1" a="1"/>
  <c r="DG112" i="1" a="1"/>
  <c r="DD83" i="1" a="1"/>
  <c r="ED80" i="1" a="1"/>
  <c r="BL94" i="1" a="1"/>
  <c r="CC85" i="1" a="1"/>
  <c r="ED67" i="1" a="1"/>
  <c r="EC95" i="1" a="1"/>
  <c r="CD106" i="1" a="1"/>
  <c r="AM101" i="1" a="1"/>
  <c r="K96" i="1" a="1"/>
  <c r="AK66" i="1" a="1"/>
  <c r="AG67" i="1" a="1"/>
  <c r="BG109" i="1" a="1"/>
  <c r="AN95" i="1" a="1"/>
  <c r="AZ83" i="1" a="1"/>
  <c r="CA45" i="1" a="1"/>
  <c r="BW76" i="1" a="1"/>
  <c r="CA101" i="1" a="1"/>
  <c r="CX19" i="1" a="1"/>
  <c r="CV50" i="1" a="1"/>
  <c r="CX80" i="1" a="1"/>
  <c r="CV111" i="1" a="1"/>
  <c r="BA105" i="1" a="1"/>
  <c r="BY116" i="1" a="1"/>
  <c r="CV27" i="1" a="1"/>
  <c r="CY54" i="1" a="1"/>
  <c r="CV88" i="1" a="1"/>
  <c r="CY115" i="1" a="1"/>
  <c r="AY36" i="1" a="1"/>
  <c r="AZ90" i="1" a="1"/>
  <c r="BX10" i="1" a="1"/>
  <c r="CA38" i="1" a="1"/>
  <c r="BW68" i="1" a="1"/>
  <c r="CA91" i="1" a="1"/>
  <c r="DV75" i="1" a="1"/>
  <c r="DS56" i="1" a="1"/>
  <c r="BZ8" i="1" a="1"/>
  <c r="DV79" i="1" a="1"/>
  <c r="BA114" i="1" a="1"/>
  <c r="BX32" i="1" a="1"/>
  <c r="BW69" i="1" a="1"/>
  <c r="CA92" i="1" a="1"/>
  <c r="CX12" i="1" a="1"/>
  <c r="CV42" i="1" a="1"/>
  <c r="CX72" i="1" a="1"/>
  <c r="CY96" i="1" a="1"/>
  <c r="AF35" i="1" a="1"/>
  <c r="CA35" i="1" a="1"/>
  <c r="CU29" i="1" a="1"/>
  <c r="CY67" i="1" a="1"/>
  <c r="CX101" i="1" a="1"/>
  <c r="H26" i="9" a="1"/>
  <c r="DD115" i="1" a="1"/>
  <c r="BF54" i="1" a="1"/>
  <c r="EF115" i="1" a="1"/>
  <c r="DE84" i="1" a="1"/>
  <c r="CF94" i="1" a="1"/>
  <c r="DD107" i="1" a="1"/>
  <c r="EC97" i="1" a="1"/>
  <c r="EA72" i="1" a="1"/>
  <c r="AA91" i="1" a="1"/>
  <c r="L76" i="1" a="1"/>
  <c r="H65" i="1" a="1"/>
  <c r="BD83" i="1" a="1"/>
  <c r="BI53" i="1" a="1"/>
  <c r="DB108" i="1" a="1"/>
  <c r="CH79" i="1" a="1"/>
  <c r="DF48" i="1" a="1"/>
  <c r="EC45" i="1" a="1"/>
  <c r="BB113" i="1" a="1"/>
  <c r="BX75" i="1" a="1"/>
  <c r="CW14" i="1" a="1"/>
  <c r="CV48" i="1" a="1"/>
  <c r="CX86" i="1" a="1"/>
  <c r="AA21" i="12" a="1"/>
  <c r="CH97" i="1" a="1"/>
  <c r="EE115" i="1" a="1"/>
  <c r="EA67" i="1" a="1"/>
  <c r="EE88" i="1" a="1"/>
  <c r="BF51" i="1" a="1"/>
  <c r="CD111" i="1" a="1"/>
  <c r="DC101" i="1" a="1"/>
  <c r="AN101" i="1" a="1"/>
  <c r="EF116" i="1" a="1"/>
  <c r="H113" i="1" a="1"/>
  <c r="AF69" i="1" a="1"/>
  <c r="BC113" i="1" a="1"/>
  <c r="CX14" i="1" a="1"/>
  <c r="CW66" i="1" a="1"/>
  <c r="CY97" i="1" a="1"/>
  <c r="H14" i="9" a="1"/>
  <c r="DX98" i="1" a="1"/>
  <c r="DG94" i="1" a="1"/>
  <c r="DX86" i="1" a="1"/>
  <c r="E106" i="1" a="1"/>
  <c r="DE98" i="1" a="1"/>
  <c r="DZ107" i="1" a="1"/>
  <c r="DD78" i="1" a="1"/>
  <c r="AE69" i="1" a="1"/>
  <c r="DB77" i="1" a="1"/>
  <c r="BJ46" i="1" a="1"/>
  <c r="AA78" i="1" a="1"/>
  <c r="BC115" i="1" a="1"/>
  <c r="CA76" i="1" a="1"/>
  <c r="CV24" i="1" a="1"/>
  <c r="CU56" i="1" a="1"/>
  <c r="CW107" i="1" a="1"/>
  <c r="DS10" i="1" a="1"/>
  <c r="CA105" i="1" a="1"/>
  <c r="CY18" i="1" a="1"/>
  <c r="CA49" i="1" a="1"/>
  <c r="BX102" i="1" a="1"/>
  <c r="AY80" i="1" a="1"/>
  <c r="CA66" i="1" a="1"/>
  <c r="BX110" i="1" a="1"/>
  <c r="CU44" i="1" a="1"/>
  <c r="CY80" i="1" a="1"/>
  <c r="AA18" i="12" a="1"/>
  <c r="EA80" i="1" a="1"/>
  <c r="CH83" i="1" a="1"/>
  <c r="DY88" i="1" a="1"/>
  <c r="CC80" i="1" a="1"/>
  <c r="DY78" i="1" a="1"/>
  <c r="CF105" i="1" a="1"/>
  <c r="ED112" i="1" a="1"/>
  <c r="G71" i="1" a="1"/>
  <c r="CC116" i="1" a="1"/>
  <c r="DG108" i="1" a="1"/>
  <c r="CF102" i="1" a="1"/>
  <c r="CW28" i="1" a="1"/>
  <c r="CY98" i="1" a="1"/>
  <c r="AC109" i="1" a="1"/>
  <c r="EA97" i="1" a="1"/>
  <c r="BE53" i="1" a="1"/>
  <c r="DH114" i="1" a="1"/>
  <c r="DY87" i="1" a="1"/>
  <c r="CE112" i="1" a="1"/>
  <c r="AI105" i="1" a="1"/>
  <c r="AM106" i="1" a="1"/>
  <c r="CC115" i="1" a="1"/>
  <c r="DU17" i="1" a="1"/>
  <c r="AZ95" i="1" a="1"/>
  <c r="CA50" i="1" a="1"/>
  <c r="CA77" i="1" a="1"/>
  <c r="BX103" i="1" a="1"/>
  <c r="CY21" i="1" a="1"/>
  <c r="CW52" i="1" a="1"/>
  <c r="CY84" i="1" a="1"/>
  <c r="CW113" i="1" a="1"/>
  <c r="BC114" i="1" a="1"/>
  <c r="CY6" i="1" a="1"/>
  <c r="CW29" i="1" a="1"/>
  <c r="CU57" i="1" a="1"/>
  <c r="CW90" i="1" a="1"/>
  <c r="AF31" i="1" a="1"/>
  <c r="AZ39" i="1" a="1"/>
  <c r="AZ93" i="1" a="1"/>
  <c r="BY12" i="1" a="1"/>
  <c r="CA42" i="1" a="1"/>
  <c r="CA69" i="1" a="1"/>
  <c r="BX93" i="1" a="1"/>
  <c r="DS85" i="1" a="1"/>
  <c r="BB10" i="1" a="1"/>
  <c r="BW11" i="1" a="1"/>
  <c r="DT88" i="1" a="1"/>
  <c r="AZ116" i="1" a="1"/>
  <c r="CA43" i="1" a="1"/>
  <c r="CA70" i="1" a="1"/>
  <c r="BX94" i="1" a="1"/>
  <c r="CY13" i="1" a="1"/>
  <c r="CW44" i="1" a="1"/>
  <c r="CY74" i="1" a="1"/>
  <c r="CU101" i="1" a="1"/>
  <c r="BB11" i="1" a="1"/>
  <c r="BW113" i="1" a="1"/>
  <c r="DZ101" i="1" a="1"/>
  <c r="EB86" i="1" a="1"/>
  <c r="AN116" i="1" a="1"/>
  <c r="K91" i="1" a="1"/>
  <c r="BF71" i="1" a="1"/>
  <c r="AD80" i="1" a="1"/>
  <c r="BW67" i="1" a="1"/>
  <c r="CX27" i="1" a="1"/>
  <c r="CX88" i="1" a="1"/>
  <c r="DC73" i="1" a="1"/>
  <c r="BG44" i="1" a="1"/>
  <c r="DX68" i="1" a="1"/>
  <c r="EE72" i="1" a="1"/>
  <c r="DG27" i="1" a="1"/>
  <c r="DY85" i="1" a="1"/>
  <c r="DA92" i="1" a="1"/>
  <c r="CV6" i="1" a="1"/>
  <c r="CU68" i="1" a="1"/>
  <c r="H21" i="12" a="1"/>
  <c r="DF98" i="1" a="1"/>
  <c r="DY74" i="1" a="1"/>
  <c r="DY94" i="1" a="1"/>
  <c r="DX112" i="1" a="1"/>
  <c r="DA66" i="1" a="1"/>
  <c r="EC105" i="1" a="1"/>
  <c r="AZ73" i="1" a="1"/>
  <c r="BX80" i="1" a="1"/>
  <c r="CU52" i="1" a="1"/>
  <c r="AF34" i="1" a="1"/>
  <c r="BY111" i="1" a="1"/>
  <c r="BW39" i="1" a="1"/>
  <c r="DS37" i="1" a="1"/>
  <c r="BX70" i="1" a="1"/>
  <c r="CW38" i="1" a="1"/>
  <c r="CU107" i="1" a="1"/>
  <c r="DH89" i="1" a="1"/>
  <c r="DG74" i="1" a="1"/>
  <c r="AF108" i="1" a="1"/>
  <c r="DH104" i="1" a="1"/>
  <c r="BK84" i="1" a="1"/>
  <c r="AN115" i="1" a="1"/>
  <c r="F92" i="1" a="1"/>
  <c r="CX74" i="1" a="1"/>
  <c r="CZ108" i="1" a="1"/>
  <c r="DH94" i="1" a="1"/>
  <c r="DD90" i="1" a="1"/>
  <c r="EA91" i="1" a="1"/>
  <c r="DA74" i="1" a="1"/>
  <c r="AK111" i="1" a="1"/>
  <c r="DH79" i="1" a="1"/>
  <c r="N77" i="1" a="1"/>
  <c r="CV7" i="1" a="1"/>
  <c r="CV84" i="1" a="1"/>
  <c r="BW50" i="1" a="1"/>
  <c r="CY75" i="1" a="1"/>
  <c r="BX114" i="1" a="1"/>
  <c r="CW85" i="1" a="1"/>
  <c r="M32" i="9" a="1"/>
  <c r="DF97" i="1" a="1"/>
  <c r="DH115" i="1" a="1"/>
  <c r="BW106" i="1" a="1"/>
  <c r="CX89" i="1" a="1"/>
  <c r="CZ101" i="1" a="1"/>
  <c r="G116" i="1" a="1"/>
  <c r="ED77" i="1" a="1"/>
  <c r="CI104" i="1" a="1"/>
  <c r="I109" i="1" a="1"/>
  <c r="AJ76" i="1" a="1"/>
  <c r="CZ70" i="1" a="1"/>
  <c r="AI85" i="1" a="1"/>
  <c r="EC80" i="1" a="1"/>
  <c r="CW65" i="1" a="1"/>
  <c r="H28" i="9" a="1"/>
  <c r="DC71" i="1" a="1"/>
  <c r="DX90" i="1" a="1"/>
  <c r="DF109" i="1" a="1"/>
  <c r="BE101" i="1" a="1"/>
  <c r="DY26" i="1" a="1"/>
  <c r="AF83" i="1" a="1"/>
  <c r="EF101" i="1" a="1"/>
  <c r="CV45" i="1" a="1"/>
  <c r="AA13" i="12" a="1"/>
  <c r="BF86" i="1" a="1"/>
  <c r="EB106" i="1" a="1"/>
  <c r="EC86" i="1" a="1"/>
  <c r="DF87" i="1" a="1"/>
  <c r="CG93" i="1" a="1"/>
  <c r="CI76" i="1" a="1"/>
  <c r="EA37" i="1" a="1"/>
  <c r="DA69" i="1" a="1"/>
  <c r="DG86" i="1" a="1"/>
  <c r="O103" i="1" a="1"/>
  <c r="EE45" i="1" a="1"/>
  <c r="DG106" i="1" a="1"/>
  <c r="CD107" i="1" a="1"/>
  <c r="DG103" i="1" a="1"/>
  <c r="DY21" i="1" a="1"/>
  <c r="DB46" i="1" a="1"/>
  <c r="H116" i="1" a="1"/>
  <c r="DY57" i="1" a="1"/>
  <c r="EB109" i="1" a="1"/>
  <c r="DC31" i="1" a="1"/>
  <c r="AI111" i="1" a="1"/>
  <c r="DZ47" i="1" a="1"/>
  <c r="DC92" i="1" a="1"/>
  <c r="H106" i="1" a="1"/>
  <c r="CZ86" i="1" a="1"/>
  <c r="AC103" i="1" a="1"/>
  <c r="D116" i="1" a="1"/>
  <c r="DX34" i="1" a="1"/>
  <c r="I90" i="1" a="1"/>
  <c r="AE84" i="1" a="1"/>
  <c r="AE88" i="1" a="1"/>
  <c r="L98" i="1" a="1"/>
  <c r="CE110" i="1" a="1"/>
  <c r="ED45" i="1" a="1"/>
  <c r="AL78" i="1" a="1"/>
  <c r="BF106" i="1" a="1"/>
  <c r="F73" i="1" a="1"/>
  <c r="BJ97" i="1" a="1"/>
  <c r="EA30" i="1" a="1"/>
  <c r="DB19" i="1" a="1"/>
  <c r="BY21" i="1" a="1"/>
  <c r="DE88" i="1" a="1"/>
  <c r="AM115" i="1" a="1"/>
  <c r="BK97" i="1" a="1"/>
  <c r="EE77" i="1" a="1"/>
  <c r="AD86" i="1" a="1"/>
  <c r="BG103" i="1" a="1"/>
  <c r="DC20" i="1" a="1"/>
  <c r="EA102" i="1" a="1"/>
  <c r="DF46" i="1" a="1"/>
  <c r="DB51" i="1" a="1"/>
  <c r="BL50" i="1" a="1"/>
  <c r="BF104" i="1" a="1"/>
  <c r="DF86" i="1" a="1"/>
  <c r="AE108" i="1" a="1"/>
  <c r="BH110" i="1" a="1"/>
  <c r="AI86" i="1" a="1"/>
  <c r="E91" i="1" a="1"/>
  <c r="AM88" i="1" a="1"/>
  <c r="O76" i="1" a="1"/>
  <c r="M104" i="1" a="1"/>
  <c r="ED8" i="1" a="1"/>
  <c r="AD109" i="1" a="1"/>
  <c r="G74" i="1" a="1"/>
  <c r="J70" i="1" a="1"/>
  <c r="M28" i="9" a="1"/>
  <c r="CU31" i="1" a="1"/>
  <c r="AD108" i="1" a="1"/>
  <c r="J84" i="1" a="1"/>
  <c r="N95" i="1" a="1"/>
  <c r="AN73" i="1" a="1"/>
  <c r="AJ103" i="1" a="1"/>
  <c r="DT103" i="1" a="1"/>
  <c r="CA71" i="1" a="1"/>
  <c r="CX29" i="1" a="1"/>
  <c r="CV109" i="1" a="1"/>
  <c r="DX69" i="1" a="1"/>
  <c r="DC115" i="1" a="1"/>
  <c r="CE92" i="1" a="1"/>
  <c r="CI106" i="1" a="1"/>
  <c r="H78" i="1" a="1"/>
  <c r="CB102" i="1" a="1"/>
  <c r="BL48" i="1" a="1"/>
  <c r="CW8" i="1" a="1"/>
  <c r="CX75" i="1" a="1"/>
  <c r="H12" i="12" a="1"/>
  <c r="DY114" i="1" a="1"/>
  <c r="DB72" i="1" a="1"/>
  <c r="CE115" i="1" a="1"/>
  <c r="CF88" i="1" a="1"/>
  <c r="BH56" i="1" a="1"/>
  <c r="DB87" i="1" a="1"/>
  <c r="AZ88" i="1" a="1"/>
  <c r="BW101" i="1" a="1"/>
  <c r="CU54" i="1" a="1"/>
  <c r="AA22" i="12" a="1"/>
  <c r="CY8" i="1" a="1"/>
  <c r="BW45" i="1" a="1"/>
  <c r="DW71" i="1" a="1"/>
  <c r="BW89" i="1" a="1"/>
  <c r="CU42" i="1" a="1"/>
  <c r="CX108" i="1" a="1"/>
  <c r="EC102" i="1" a="1"/>
  <c r="CZ83" i="1" a="1"/>
  <c r="DB116" i="1" a="1"/>
  <c r="EB89" i="1" a="1"/>
  <c r="DZ76" i="1" a="1"/>
  <c r="DD106" i="1" a="1"/>
  <c r="K67" i="1" a="1"/>
  <c r="CX78" i="1" a="1"/>
  <c r="DA114" i="1" a="1"/>
  <c r="DF75" i="1" a="1"/>
  <c r="DB101" i="1" a="1"/>
  <c r="AK86" i="1" a="1"/>
  <c r="G93" i="1" a="1"/>
  <c r="CJ71" i="1" a="1"/>
  <c r="AI65" i="1" a="1"/>
  <c r="DB57" i="1" a="1"/>
  <c r="CU12" i="1" a="1"/>
  <c r="CY87" i="1" a="1"/>
  <c r="CA102" i="1" a="1"/>
  <c r="CY79" i="1" a="1"/>
  <c r="CW7" i="1" a="1"/>
  <c r="CW89" i="1" a="1"/>
  <c r="EC73" i="1" a="1"/>
  <c r="DH93" i="1" a="1"/>
  <c r="DZ78" i="1" a="1"/>
  <c r="CX13" i="1" a="1"/>
  <c r="CV106" i="1" a="1"/>
  <c r="EC66" i="1" a="1"/>
  <c r="DZ93" i="1" a="1"/>
  <c r="EB85" i="1" a="1"/>
  <c r="BH70" i="1" a="1"/>
  <c r="DF15" i="1" a="1"/>
  <c r="BD85" i="1" a="1"/>
  <c r="BE67" i="1" a="1"/>
  <c r="BD108" i="1" a="1"/>
  <c r="EC88" i="1" a="1"/>
  <c r="CU69" i="1" a="1"/>
  <c r="H11" i="9" a="1"/>
  <c r="DA107" i="1" a="1"/>
  <c r="AA104" i="1" a="1"/>
  <c r="AC86" i="1" a="1"/>
  <c r="AN68" i="1" a="1"/>
  <c r="DB78" i="1" a="1"/>
  <c r="EE107" i="1" a="1"/>
  <c r="AZ34" i="1" a="1"/>
  <c r="CY48" i="1" a="1"/>
  <c r="AA17" i="12" a="1"/>
  <c r="DX65" i="1" a="1"/>
  <c r="DC112" i="1" a="1"/>
  <c r="CB98" i="1" a="1"/>
  <c r="CE94" i="1" a="1"/>
  <c r="O69" i="1" a="1"/>
  <c r="CH109" i="1" a="1"/>
  <c r="BE52" i="1" a="1"/>
  <c r="AK97" i="1" a="1"/>
  <c r="DH87" i="1" a="1"/>
  <c r="CB74" i="1" a="1"/>
  <c r="CX9" i="1" a="1"/>
  <c r="DX79" i="1" a="1"/>
  <c r="DC94" i="1" a="1"/>
  <c r="DF69" i="1" a="1"/>
  <c r="CB94" i="1" a="1"/>
  <c r="DF101" i="1" a="1"/>
  <c r="AG116" i="1" a="1"/>
  <c r="M102" i="1" a="1"/>
  <c r="P71" i="1" a="1"/>
  <c r="BD90" i="1" a="1"/>
  <c r="EA26" i="1" a="1"/>
  <c r="CG86" i="1" a="1"/>
  <c r="BL45" i="1" a="1"/>
  <c r="CI92" i="1" a="1"/>
  <c r="DE116" i="1" a="1"/>
  <c r="AE80" i="1" a="1"/>
  <c r="J109" i="1" a="1"/>
  <c r="DD68" i="1" a="1"/>
  <c r="EB49" i="1" a="1"/>
  <c r="O111" i="1" a="1"/>
  <c r="DD27" i="1" a="1"/>
  <c r="AE110" i="1" a="1"/>
  <c r="L86" i="1" a="1"/>
  <c r="CC73" i="1" a="1"/>
  <c r="DG13" i="1" a="1"/>
  <c r="CJ69" i="1" a="1"/>
  <c r="DY45" i="1" a="1"/>
  <c r="P93" i="1" a="1"/>
  <c r="AB107" i="1" a="1"/>
  <c r="EA53" i="1" a="1"/>
  <c r="BX92" i="1" a="1"/>
  <c r="DY96" i="1" a="1"/>
  <c r="DH101" i="1" a="1"/>
  <c r="BJ54" i="1" a="1"/>
  <c r="DA89" i="1" a="1"/>
  <c r="E102" i="1" a="1"/>
  <c r="P86" i="1" a="1"/>
  <c r="DG53" i="1" a="1"/>
  <c r="CF86" i="1" a="1"/>
  <c r="DZ55" i="1" a="1"/>
  <c r="EC53" i="1" a="1"/>
  <c r="DH48" i="1" a="1"/>
  <c r="DE76" i="1" a="1"/>
  <c r="EE29" i="1" a="1"/>
  <c r="AL92" i="1" a="1"/>
  <c r="DG32" i="1" a="1"/>
  <c r="AN111" i="1" a="1"/>
  <c r="AJ112" i="1" a="1"/>
  <c r="AB75" i="1" a="1"/>
  <c r="G87" i="1" a="1"/>
  <c r="K98" i="1" a="1"/>
  <c r="E114" i="1" a="1"/>
  <c r="AB83" i="1" a="1"/>
  <c r="DY46" i="1" a="1"/>
  <c r="C80" i="1" a="1"/>
  <c r="DX66" i="1" a="1"/>
  <c r="CG104" i="1" a="1"/>
  <c r="BI54" i="1" a="1"/>
  <c r="DH27" i="1" a="1"/>
  <c r="CI102" i="1" a="1"/>
  <c r="CH105" i="1" a="1"/>
  <c r="CY69" i="1" a="1"/>
  <c r="EA73" i="1" a="1"/>
  <c r="DF111" i="1" a="1"/>
  <c r="AF114" i="1" a="1"/>
  <c r="G115" i="1" a="1"/>
  <c r="DF33" i="1" a="1"/>
  <c r="BC11" i="1" a="1"/>
  <c r="BW80" i="1" a="1"/>
  <c r="CV44" i="1" a="1"/>
  <c r="CY110" i="1" a="1"/>
  <c r="DD88" i="1" a="1"/>
  <c r="DC102" i="1" a="1"/>
  <c r="EB93" i="1" a="1"/>
  <c r="DC88" i="1" a="1"/>
  <c r="DH88" i="1" a="1"/>
  <c r="EE70" i="1" a="1"/>
  <c r="AN113" i="1" a="1"/>
  <c r="CY10" i="1" a="1"/>
  <c r="CX77" i="1" a="1"/>
  <c r="H30" i="9" a="1"/>
  <c r="DY84" i="1" a="1"/>
  <c r="CG106" i="1" a="1"/>
  <c r="DB93" i="1" a="1"/>
  <c r="EA70" i="1" a="1"/>
  <c r="CC75" i="1" a="1"/>
  <c r="BI67" i="1" a="1"/>
  <c r="AY97" i="1" a="1"/>
  <c r="CA108" i="1" a="1"/>
  <c r="CX57" i="1" a="1"/>
  <c r="AA20" i="12" a="1"/>
  <c r="CU11" i="1" a="1"/>
  <c r="BX53" i="1" a="1"/>
  <c r="BA37" i="1" a="1"/>
  <c r="CA93" i="1" a="1"/>
  <c r="CU46" i="1" a="1"/>
  <c r="CX110" i="1" a="1"/>
  <c r="DE113" i="1" a="1"/>
  <c r="AD106" i="1" a="1"/>
  <c r="DF88" i="1" a="1"/>
  <c r="EC111" i="1" a="1"/>
  <c r="CC109" i="1" a="1"/>
  <c r="CC77" i="1" a="1"/>
  <c r="DT57" i="1" a="1"/>
  <c r="CV95" i="1" a="1"/>
  <c r="DF90" i="1" a="1"/>
  <c r="DE67" i="1" a="1"/>
  <c r="BJ68" i="1" a="1"/>
  <c r="CC87" i="1" a="1"/>
  <c r="BH47" i="1" a="1"/>
  <c r="DX42" i="1" a="1"/>
  <c r="AE113" i="1" a="1"/>
  <c r="CI89" i="1" a="1"/>
  <c r="CU17" i="1" a="1"/>
  <c r="CY91" i="1" a="1"/>
  <c r="CX17" i="1" a="1"/>
  <c r="CW96" i="1" a="1"/>
  <c r="CW13" i="1" a="1"/>
  <c r="CU93" i="1" a="1"/>
  <c r="ED93" i="1" a="1"/>
  <c r="ED79" i="1" a="1"/>
  <c r="EB76" i="1" a="1"/>
  <c r="CU30" i="1" a="1"/>
  <c r="CY109" i="1" a="1"/>
  <c r="CC89" i="1" a="1"/>
  <c r="DD94" i="1" a="1"/>
  <c r="DZ80" i="1" a="1"/>
  <c r="CE88" i="1" a="1"/>
  <c r="CG88" i="1" a="1"/>
  <c r="EA95" i="1" a="1"/>
  <c r="D96" i="1" a="1"/>
  <c r="BG56" i="1" a="1"/>
  <c r="CA54" i="1" a="1"/>
  <c r="CU73" i="1" a="1"/>
  <c r="M23" i="9" a="1"/>
  <c r="DZ110" i="1" a="1"/>
  <c r="DF72" i="1" a="1"/>
  <c r="DY109" i="1" a="1"/>
  <c r="DF85" i="1" a="1"/>
  <c r="CH110" i="1" a="1"/>
  <c r="DD101" i="1" a="1"/>
  <c r="BA79" i="1" a="1"/>
  <c r="CY52" i="1" a="1"/>
  <c r="H20" i="12" a="1"/>
  <c r="DG105" i="1" a="1"/>
  <c r="CV114" i="1" a="1"/>
  <c r="EC112" i="1" a="1"/>
  <c r="BK45" i="1" a="1"/>
  <c r="BK93" i="1" a="1"/>
  <c r="CI72" i="1" a="1"/>
  <c r="AK65" i="1" a="1"/>
  <c r="BA30" i="1" a="1"/>
  <c r="CA98" i="1" a="1"/>
  <c r="CV46" i="1" a="1"/>
  <c r="CY112" i="1" a="1"/>
  <c r="F105" i="1" a="1"/>
  <c r="CD78" i="1" a="1"/>
  <c r="DZ102" i="1" a="1"/>
  <c r="DX87" i="1" a="1"/>
  <c r="F95" i="1" a="1"/>
  <c r="H20" i="9" a="1"/>
  <c r="CZ89" i="1" a="1"/>
  <c r="BL53" i="1" a="1"/>
  <c r="CF95" i="1" a="1"/>
  <c r="CE102" i="1" a="1"/>
  <c r="DH37" i="1" a="1"/>
  <c r="AY53" i="1" a="1"/>
  <c r="BX104" i="1" a="1"/>
  <c r="CY49" i="1" a="1"/>
  <c r="CY114" i="1" a="1"/>
  <c r="DZ116" i="1" a="1"/>
  <c r="EC94" i="1" a="1"/>
  <c r="EF107" i="1" a="1"/>
  <c r="BI80" i="1" a="1"/>
  <c r="DH74" i="1" a="1"/>
  <c r="K114" i="1" a="1"/>
  <c r="DH77" i="1" a="1"/>
  <c r="AM98" i="1" a="1"/>
  <c r="CE85" i="1" a="1"/>
  <c r="DX24" i="1" a="1"/>
  <c r="AH71" i="1" a="1"/>
  <c r="AY73" i="1" a="1"/>
  <c r="CA107" i="1" a="1"/>
  <c r="CW75" i="1" a="1"/>
  <c r="AA28" i="12" a="1"/>
  <c r="EF77" i="1" a="1"/>
  <c r="EA74" i="1" a="1"/>
  <c r="BK74" i="1" a="1"/>
  <c r="CZ112" i="1" a="1"/>
  <c r="BJ42" i="1" a="1"/>
  <c r="EC110" i="1" a="1"/>
  <c r="EE113" i="1" a="1"/>
  <c r="DZ31" i="1" a="1"/>
  <c r="DX88" i="1" a="1"/>
  <c r="BH89" i="1" a="1"/>
  <c r="DE111" i="1" a="1"/>
  <c r="BZ25" i="1" a="1"/>
  <c r="BY110" i="1" a="1"/>
  <c r="CW77" i="1" a="1"/>
  <c r="H18" i="12" a="1"/>
  <c r="AH76" i="1" a="1"/>
  <c r="AK112" i="1" a="1"/>
  <c r="DZ17" i="1" a="1"/>
  <c r="DA43" i="1" a="1"/>
  <c r="CF111" i="1" a="1"/>
  <c r="AF71" i="1" a="1"/>
  <c r="D79" i="1" a="1"/>
  <c r="BW48" i="1" a="1"/>
  <c r="CX10" i="1" a="1"/>
  <c r="CU79" i="1" a="1"/>
  <c r="H25" i="9" a="1"/>
  <c r="AE66" i="1" a="1"/>
  <c r="DE69" i="1" a="1"/>
  <c r="DG113" i="1" a="1"/>
  <c r="CE111" i="1" a="1"/>
  <c r="AI96" i="1" a="1"/>
  <c r="BI88" i="1" a="1"/>
  <c r="AB111" i="1" a="1"/>
  <c r="AA114" i="1" a="1"/>
  <c r="CA51" i="1" a="1"/>
  <c r="CW16" i="1" a="1"/>
  <c r="CU83" i="1" a="1"/>
  <c r="M34" i="9" a="1"/>
  <c r="DD97" i="1" a="1"/>
  <c r="DB71" i="1" a="1"/>
  <c r="DB68" i="1" a="1"/>
  <c r="BK71" i="1" a="1"/>
  <c r="EE86" i="1" a="1"/>
  <c r="D85" i="1" a="1"/>
  <c r="BY17" i="1" a="1"/>
  <c r="CW55" i="1" a="1"/>
  <c r="AA15" i="12" a="1"/>
  <c r="CJ110" i="1" a="1"/>
  <c r="CI91" i="1" a="1"/>
  <c r="ED104" i="1" a="1"/>
  <c r="CH84" i="1" a="1"/>
  <c r="EB94" i="1" a="1"/>
  <c r="AB88" i="1" a="1"/>
  <c r="DW9" i="1" a="1"/>
  <c r="BX68" i="1" a="1"/>
  <c r="CW48" i="1" a="1"/>
  <c r="CW109" i="1" a="1"/>
  <c r="BW28" i="1" a="1"/>
  <c r="CA12" i="1" a="1"/>
  <c r="BW109" i="1" a="1"/>
  <c r="BX51" i="1" a="1"/>
  <c r="CW34" i="1" a="1"/>
  <c r="CW95" i="1" a="1"/>
  <c r="M30" i="9" a="1"/>
  <c r="BI49" i="1" a="1"/>
  <c r="CC66" i="1" a="1"/>
  <c r="DZ88" i="1" a="1"/>
  <c r="CG73" i="1" a="1"/>
  <c r="EE46" i="1" a="1"/>
  <c r="DD79" i="1" a="1"/>
  <c r="CW67" i="1" a="1"/>
  <c r="M15" i="9" a="1"/>
  <c r="EA103" i="1" a="1"/>
  <c r="DX113" i="1" a="1"/>
  <c r="DC116" i="1" a="1"/>
  <c r="BF107" i="1" a="1"/>
  <c r="BE66" i="1" a="1"/>
  <c r="DZ69" i="1" a="1"/>
  <c r="AI70" i="1" a="1"/>
  <c r="BW70" i="1" a="1"/>
  <c r="CX56" i="1" a="1"/>
  <c r="BA91" i="1" a="1"/>
  <c r="CX50" i="1" a="1"/>
  <c r="BY35" i="1" a="1"/>
  <c r="CV65" i="1" a="1"/>
  <c r="H13" i="9" a="1"/>
  <c r="EA116" i="1" a="1"/>
  <c r="DG89" i="1" a="1"/>
  <c r="AY102" i="1" a="1"/>
  <c r="CU80" i="1" a="1"/>
  <c r="M29" i="9" a="1"/>
  <c r="DZ108" i="1" a="1"/>
  <c r="CB111" i="1" a="1"/>
  <c r="EC115" i="1" a="1"/>
  <c r="DB89" i="1" a="1"/>
  <c r="DX92" i="1" a="1"/>
  <c r="CC114" i="1" a="1"/>
  <c r="I92" i="1" a="1"/>
  <c r="AG88" i="1" a="1"/>
  <c r="CY37" i="1" a="1"/>
  <c r="AA25" i="12" a="1"/>
  <c r="EC101" i="1" a="1"/>
  <c r="BE109" i="1" a="1"/>
  <c r="BD43" i="1" a="1"/>
  <c r="CH114" i="1" a="1"/>
  <c r="BE85" i="1" a="1"/>
  <c r="BE115" i="1" a="1"/>
  <c r="DZ87" i="1" a="1"/>
  <c r="CU21" i="1" a="1"/>
  <c r="CV108" i="1" a="1"/>
  <c r="CZ114" i="1" a="1"/>
  <c r="DY110" i="1" a="1"/>
  <c r="DZ113" i="1" a="1"/>
  <c r="ED69" i="1" a="1"/>
  <c r="EB112" i="1" a="1"/>
  <c r="BJ79" i="1" a="1"/>
  <c r="I86" i="1" a="1"/>
  <c r="AN77" i="1" a="1"/>
  <c r="AF112" i="1" a="1"/>
  <c r="L115" i="1" a="1"/>
  <c r="CC71" i="1" a="1"/>
  <c r="M22" i="9" a="1"/>
  <c r="DE86" i="1" a="1"/>
  <c r="DY75" i="1" a="1"/>
  <c r="AM97" i="1" a="1"/>
  <c r="ED24" i="1" a="1"/>
  <c r="EB78" i="1" a="1"/>
  <c r="C108" i="1" a="1"/>
  <c r="O91" i="1" a="1"/>
  <c r="N116" i="1" a="1"/>
  <c r="DY107" i="1" a="1"/>
  <c r="AD88" i="1" a="1"/>
  <c r="EA106" i="1" a="1"/>
  <c r="AI80" i="1" a="1"/>
  <c r="CZ69" i="1" a="1"/>
  <c r="BK68" i="1" a="1"/>
  <c r="EE38" i="1" a="1"/>
  <c r="EC28" i="1" a="1"/>
  <c r="CB72" i="1" a="1"/>
  <c r="DA42" i="1" a="1"/>
  <c r="AL67" i="1" a="1"/>
  <c r="H91" i="1" a="1"/>
  <c r="AB72" i="1" a="1"/>
  <c r="BE111" i="1" a="1"/>
  <c r="DC95" i="1" a="1"/>
  <c r="CH75" i="1" a="1"/>
  <c r="BJ89" i="1" a="1"/>
  <c r="BL66" i="1" a="1"/>
  <c r="EB11" i="1" a="1"/>
  <c r="DD56" i="1" a="1"/>
  <c r="EE42" i="1" a="1"/>
  <c r="M27" i="9" a="1"/>
  <c r="DC91" i="1" a="1"/>
  <c r="BG104" i="1" a="1"/>
  <c r="DF73" i="1" a="1"/>
  <c r="P95" i="1" a="1"/>
  <c r="K85" i="1" a="1"/>
  <c r="BJ55" i="1" a="1"/>
  <c r="P96" i="1" a="1"/>
  <c r="D108" i="1" a="1"/>
  <c r="CH112" i="1" a="1"/>
  <c r="EB37" i="1" a="1"/>
  <c r="CE74" i="1" a="1"/>
  <c r="AK83" i="1" a="1"/>
  <c r="BH80" i="1" a="1"/>
  <c r="EE26" i="1" a="1"/>
  <c r="K79" i="1" a="1"/>
  <c r="ED9" i="1" a="1"/>
  <c r="DF51" i="1" a="1"/>
  <c r="EF43" i="1" a="1"/>
  <c r="EA36" i="1" a="1"/>
  <c r="DF26" i="1" a="1"/>
  <c r="DE57" i="1" a="1"/>
  <c r="AA112" i="1" a="1"/>
  <c r="BL97" i="1" a="1"/>
  <c r="AA30" i="12" a="1"/>
  <c r="CD113" i="1" a="1"/>
  <c r="CE98" i="1" a="1"/>
  <c r="EB17" i="1" a="1"/>
  <c r="BE79" i="1" a="1"/>
  <c r="AK109" i="1" a="1"/>
  <c r="DG45" i="1" a="1"/>
  <c r="BX56" i="1" a="1"/>
  <c r="CX25" i="1" a="1"/>
  <c r="CU85" i="1" a="1"/>
  <c r="M35" i="9" a="1"/>
  <c r="EA69" i="1" a="1"/>
  <c r="CC104" i="1" a="1"/>
  <c r="EB87" i="1" a="1"/>
  <c r="E89" i="1" a="1"/>
  <c r="G77" i="1" a="1"/>
  <c r="BH76" i="1" a="1"/>
  <c r="BY115" i="1" a="1"/>
  <c r="CW57" i="1" a="1"/>
  <c r="H23" i="12" a="1"/>
  <c r="AE71" i="1" a="1"/>
  <c r="EE98" i="1" a="1"/>
  <c r="CD73" i="1" a="1"/>
  <c r="EA98" i="1" a="1"/>
  <c r="DE83" i="1" a="1"/>
  <c r="DB90" i="1" a="1"/>
  <c r="AY46" i="1" a="1"/>
  <c r="BW72" i="1" a="1"/>
  <c r="CW50" i="1" a="1"/>
  <c r="AF26" i="1" a="1"/>
  <c r="CA37" i="1" a="1"/>
  <c r="BZ19" i="1" a="1"/>
  <c r="DW26" i="1" a="1"/>
  <c r="BW55" i="1" a="1"/>
  <c r="CW36" i="1" a="1"/>
  <c r="CU105" i="1" a="1"/>
  <c r="DD66" i="1" a="1"/>
  <c r="AE111" i="1" a="1"/>
  <c r="EA109" i="1" a="1"/>
  <c r="DY93" i="1" a="1"/>
  <c r="CC92" i="1" a="1"/>
  <c r="CJ115" i="1" a="1"/>
  <c r="CG65" i="1" a="1"/>
  <c r="CU71" i="1" a="1"/>
  <c r="DA98" i="1" a="1"/>
  <c r="CE104" i="1" a="1"/>
  <c r="EB96" i="1" a="1"/>
  <c r="AA73" i="1" a="1"/>
  <c r="DG78" i="1" a="1"/>
  <c r="DC76" i="1" a="1"/>
  <c r="BD68" i="1" a="1"/>
  <c r="BG96" i="1" a="1"/>
  <c r="BW112" i="1" a="1"/>
  <c r="CX67" i="1" a="1"/>
  <c r="BX34" i="1" a="1"/>
  <c r="CV72" i="1" a="1"/>
  <c r="CA88" i="1" a="1"/>
  <c r="CY68" i="1" a="1"/>
  <c r="H35" i="9" a="1"/>
  <c r="DH111" i="1" a="1"/>
  <c r="CF68" i="1" a="1"/>
  <c r="CA73" i="1" a="1"/>
  <c r="CX85" i="1" a="1"/>
  <c r="DE97" i="1" a="1"/>
  <c r="DY92" i="1" a="1"/>
  <c r="DD67" i="1" a="1"/>
  <c r="DA101" i="1" a="1"/>
  <c r="AJ115" i="1" a="1"/>
  <c r="BI79" i="1" a="1"/>
  <c r="EB88" i="1" a="1"/>
  <c r="AH96" i="1" a="1"/>
  <c r="ED52" i="1" a="1"/>
  <c r="CY43" i="1" a="1"/>
  <c r="H22" i="12" a="1"/>
  <c r="EA112" i="1" a="1"/>
  <c r="DY65" i="1" a="1"/>
  <c r="EA113" i="1" a="1"/>
  <c r="BG112" i="1" a="1"/>
  <c r="CH98" i="1" a="1"/>
  <c r="CB84" i="1" a="1"/>
  <c r="DA84" i="1" a="1"/>
  <c r="CY26" i="1" a="1"/>
  <c r="CY111" i="1" a="1"/>
  <c r="EA75" i="1" a="1"/>
  <c r="AK92" i="1" a="1"/>
  <c r="EA90" i="1" a="1"/>
  <c r="CZ72" i="1" a="1"/>
  <c r="CD92" i="1" a="1"/>
  <c r="DH95" i="1" a="1"/>
  <c r="EE39" i="1" a="1"/>
  <c r="DG68" i="1" a="1"/>
  <c r="DG95" i="1" a="1"/>
  <c r="BE75" i="1" a="1"/>
  <c r="DX11" i="1" a="1"/>
  <c r="EF67" i="1" a="1"/>
  <c r="DF96" i="1" a="1"/>
  <c r="ED110" i="1" a="1"/>
  <c r="BF85" i="1" a="1"/>
  <c r="BL83" i="1" a="1"/>
  <c r="EB98" i="1" a="1"/>
  <c r="BI87" i="1" a="1"/>
  <c r="BG67" i="1" a="1"/>
  <c r="DA25" i="1" a="1"/>
  <c r="AC106" i="1" a="1"/>
  <c r="EF66" i="1" a="1"/>
  <c r="DY13" i="1" a="1"/>
  <c r="AA76" i="1" a="1"/>
  <c r="BI89" i="1" a="1"/>
  <c r="BD49" i="1" a="1"/>
  <c r="DD11" i="1" a="1"/>
  <c r="P66" i="1" a="1"/>
  <c r="BH71" i="1" a="1"/>
  <c r="DD44" i="1" a="1"/>
  <c r="AB69" i="1" a="1"/>
  <c r="DB13" i="1" a="1"/>
  <c r="BL74" i="1" a="1"/>
  <c r="DB67" i="1" a="1"/>
  <c r="EF36" i="1" a="1"/>
  <c r="DH52" i="1" a="1"/>
  <c r="AG72" i="1" a="1"/>
  <c r="DY37" i="1" a="1"/>
  <c r="BF93" i="1" a="1"/>
  <c r="AH105" i="1" a="1"/>
  <c r="AZ24" i="1" a="1"/>
  <c r="EC75" i="1" a="1"/>
  <c r="EA84" i="1" a="1"/>
  <c r="DH90" i="1" a="1"/>
  <c r="P89" i="1" a="1"/>
  <c r="DZ71" i="1" a="1"/>
  <c r="AD68" i="1" a="1"/>
  <c r="CY38" i="1" a="1"/>
  <c r="AK68" i="1" a="1"/>
  <c r="EF68" i="1" a="1"/>
  <c r="DG80" i="1" a="1"/>
  <c r="DB80" i="1" a="1"/>
  <c r="CV26" i="1" a="1"/>
  <c r="AZ109" i="1" a="1"/>
  <c r="BW92" i="1" a="1"/>
  <c r="BZ114" i="1" a="1"/>
  <c r="H15" i="9" a="1"/>
  <c r="CJ92" i="1" a="1"/>
  <c r="DA57" i="1" a="1"/>
  <c r="M115" i="1" a="1"/>
  <c r="H31" i="9" a="1"/>
  <c r="EC84" i="1" a="1"/>
  <c r="O112" i="1" a="1"/>
  <c r="CJ77" i="1" a="1"/>
  <c r="BX7" i="1" a="1"/>
  <c r="AF39" i="1" a="1"/>
  <c r="DW94" i="1" a="1"/>
  <c r="AA24" i="12" a="1"/>
  <c r="CZ76" i="1" a="1"/>
  <c r="CW72" i="1" a="1"/>
  <c r="ED111" i="1" a="1"/>
  <c r="EC77" i="1" a="1"/>
  <c r="I83" i="1" a="1"/>
  <c r="CI80" i="1" a="1"/>
  <c r="CV25" i="1" a="1"/>
  <c r="DG72" i="1" a="1"/>
  <c r="DH97" i="1" a="1"/>
  <c r="AC92" i="1" a="1"/>
  <c r="H115" i="1" a="1"/>
  <c r="CX87" i="1" a="1"/>
  <c r="AH86" i="1" a="1"/>
  <c r="AC105" i="1" a="1"/>
  <c r="C106" i="1" a="1"/>
  <c r="DC104" i="1" a="1"/>
  <c r="BK88" i="1" a="1"/>
  <c r="CE75" i="1" a="1"/>
  <c r="CW87" i="1" a="1"/>
  <c r="CD102" i="1" a="1"/>
  <c r="EF27" i="1" a="1"/>
  <c r="M65" i="1" a="1"/>
  <c r="BF90" i="1" a="1"/>
  <c r="G92" i="1" a="1"/>
  <c r="DZ7" i="1" a="1"/>
  <c r="E77" i="1" a="1"/>
  <c r="BL52" i="1" a="1"/>
  <c r="BD70" i="1" a="1"/>
  <c r="AI77" i="1" a="1"/>
  <c r="AF107" i="1" a="1"/>
  <c r="M77" i="1" a="1"/>
  <c r="DG42" i="1" a="1"/>
  <c r="O79" i="1" a="1"/>
  <c r="AD102" i="1" a="1"/>
  <c r="CG80" i="1" a="1"/>
  <c r="BD95" i="1" a="1"/>
  <c r="AA19" i="12" a="1"/>
  <c r="CJ85" i="1" a="1"/>
  <c r="DZ57" i="1" a="1"/>
  <c r="AK89" i="1" a="1"/>
  <c r="EA76" i="1" a="1"/>
  <c r="EF7" i="1" a="1"/>
  <c r="AI113" i="1" a="1"/>
  <c r="DA67" i="1" a="1"/>
  <c r="K109" i="1" a="1"/>
  <c r="CB95" i="1" a="1"/>
  <c r="DA76" i="1" a="1"/>
  <c r="DA32" i="1" a="1"/>
  <c r="H73" i="1" a="1"/>
  <c r="J110" i="1" a="1"/>
  <c r="BJ84" i="1" a="1"/>
  <c r="EF102" i="1" a="1"/>
  <c r="J113" i="1" a="1"/>
  <c r="AJ65" i="1" a="1"/>
  <c r="EA107" i="1" a="1"/>
  <c r="DX97" i="1" a="1"/>
  <c r="BH97" i="1" a="1"/>
  <c r="AL96" i="1" a="1"/>
  <c r="CU91" i="1" a="1"/>
  <c r="EE83" i="1" a="1"/>
  <c r="CZ79" i="1" a="1"/>
  <c r="G69" i="1" a="1"/>
  <c r="O77" i="1" a="1"/>
  <c r="DE102" i="1" a="1"/>
  <c r="CZ26" i="1" a="1"/>
  <c r="CZ28" i="1" a="1"/>
  <c r="DZ37" i="1" a="1"/>
  <c r="H74" i="1" a="1"/>
  <c r="BI43" i="1" a="1"/>
  <c r="BD77" i="1" a="1"/>
  <c r="CX107" i="1" a="1"/>
  <c r="DE108" i="1" a="1"/>
  <c r="EF105" i="1" a="1"/>
  <c r="BH91" i="1" a="1"/>
  <c r="DE18" i="1" a="1"/>
  <c r="EE101" i="1" a="1"/>
  <c r="CW94" i="1" a="1"/>
  <c r="EF96" i="1" a="1"/>
  <c r="DD95" i="1" a="1"/>
  <c r="EA108" i="1" a="1"/>
  <c r="CE68" i="1" a="1"/>
  <c r="ED54" i="1" a="1"/>
  <c r="DC66" i="1" a="1"/>
  <c r="BK113" i="1" a="1"/>
  <c r="AN107" i="1" a="1"/>
  <c r="DG29" i="1" a="1"/>
  <c r="EA35" i="1" a="1"/>
  <c r="EC108" i="1" a="1"/>
  <c r="BK50" i="1" a="1"/>
  <c r="AJ108" i="1" a="1"/>
  <c r="BF75" i="1" a="1"/>
  <c r="DB37" i="1" a="1"/>
  <c r="BG108" i="1" a="1"/>
  <c r="D109" i="1" a="1"/>
  <c r="AL86" i="1" a="1"/>
  <c r="G111" i="1" a="1"/>
  <c r="O85" i="1" a="1"/>
  <c r="EC29" i="1" a="1"/>
  <c r="EA21" i="1" a="1"/>
  <c r="DG73" i="1" a="1"/>
  <c r="CW35" i="1" a="1"/>
  <c r="DD105" i="1" a="1"/>
  <c r="DC89" i="1" a="1"/>
  <c r="AB106" i="1" a="1"/>
  <c r="BJ106" i="1" a="1"/>
  <c r="DG76" i="1" a="1"/>
  <c r="BF105" i="1" a="1"/>
  <c r="CY42" i="1" a="1"/>
  <c r="CB104" i="1" a="1"/>
  <c r="CI111" i="1" a="1"/>
  <c r="ED109" i="1" a="1"/>
  <c r="BJ98" i="1" a="1"/>
  <c r="CW46" i="1" a="1"/>
  <c r="AY116" i="1" a="1"/>
  <c r="CA95" i="1" a="1"/>
  <c r="CY19" i="1" a="1"/>
  <c r="M26" i="9" a="1"/>
  <c r="BL78" i="1" a="1"/>
  <c r="BH106" i="1" a="1"/>
  <c r="CZ107" i="1" a="1"/>
  <c r="M17" i="9" a="1"/>
  <c r="DF105" i="1" a="1"/>
  <c r="ED18" i="1" a="1"/>
  <c r="DB84" i="1" a="1"/>
  <c r="CA29" i="1" a="1"/>
  <c r="AZ49" i="1" a="1"/>
  <c r="BY13" i="1" a="1"/>
  <c r="H16" i="12" a="1"/>
  <c r="DF102" i="1" a="1"/>
  <c r="DT49" i="1" a="1"/>
  <c r="CV92" i="1" a="1"/>
  <c r="CZ94" i="1" a="1"/>
  <c r="ED98" i="1" a="1"/>
  <c r="DE106" i="1" a="1"/>
  <c r="AY107" i="1" a="1"/>
  <c r="CV85" i="1" a="1"/>
  <c r="CV13" i="1" a="1"/>
  <c r="BA52" i="1" a="1"/>
  <c r="CV71" i="1" a="1"/>
  <c r="AL107" i="1" a="1"/>
  <c r="CD104" i="1" a="1"/>
  <c r="EA43" i="1" a="1"/>
  <c r="AZ37" i="1" a="1"/>
  <c r="DE72" i="1" a="1"/>
  <c r="BH111" i="1" a="1"/>
  <c r="DZ103" i="1" a="1"/>
  <c r="EA55" i="1" a="1"/>
  <c r="CV21" i="1" a="1"/>
  <c r="CW24" i="1" a="1"/>
  <c r="CX24" i="1" a="1"/>
  <c r="EC72" i="1" a="1"/>
  <c r="DA96" i="1" a="1"/>
  <c r="CY113" i="1" a="1"/>
  <c r="L74" i="1" a="1"/>
  <c r="CZ115" i="1" a="1"/>
  <c r="ED113" i="1" a="1"/>
  <c r="BK56" i="1" a="1"/>
  <c r="CX76" i="1" a="1"/>
  <c r="BE98" i="1" a="1"/>
  <c r="CG67" i="1" a="1"/>
  <c r="M66" i="1" a="1"/>
  <c r="AY112" i="1" a="1"/>
  <c r="H29" i="9" a="1"/>
  <c r="EC92" i="1" a="1"/>
  <c r="DC80" i="1" a="1"/>
  <c r="CF114" i="1" a="1"/>
  <c r="AA68" i="1" a="1"/>
  <c r="DX28" i="1" a="1"/>
  <c r="AH104" i="1" a="1"/>
  <c r="AN114" i="1" a="1"/>
  <c r="DB109" i="1" a="1"/>
  <c r="AJ90" i="1" a="1"/>
  <c r="F108" i="1" a="1"/>
  <c r="AD69" i="1" a="1"/>
  <c r="AN80" i="1" a="1"/>
  <c r="I85" i="1" a="1"/>
  <c r="DB73" i="1" a="1"/>
  <c r="ED44" i="1" a="1"/>
  <c r="AG73" i="1" a="1"/>
  <c r="BF110" i="1" a="1"/>
  <c r="AK69" i="1" a="1"/>
  <c r="C83" i="1" a="1"/>
  <c r="BF89" i="1" a="1"/>
  <c r="F116" i="1" a="1"/>
  <c r="DE38" i="1" a="1"/>
  <c r="AF72" i="1" a="1"/>
  <c r="AH87" i="1" a="1"/>
  <c r="EE68" i="1" a="1"/>
  <c r="DZ65" i="1" a="1"/>
  <c r="EE19" i="1" a="1"/>
  <c r="F90" i="1" a="1"/>
  <c r="C69" i="1" a="1"/>
  <c r="BK70" i="1" a="1"/>
  <c r="CE95" i="1" a="1"/>
  <c r="DC13" i="1" a="1"/>
  <c r="BH52" i="1" a="1"/>
  <c r="O83" i="1" a="1"/>
  <c r="CZ49" i="1" a="1"/>
  <c r="AD93" i="1" a="1"/>
  <c r="DE8" i="1" a="1"/>
  <c r="AG71" i="1" a="1"/>
  <c r="G91" i="1" a="1"/>
  <c r="C87" i="1" a="1"/>
  <c r="BZ39" i="1" a="1"/>
  <c r="CG68" i="1" a="1"/>
  <c r="DF115" i="1" a="1"/>
  <c r="AL109" i="1" a="1"/>
  <c r="BJ102" i="1" a="1"/>
  <c r="AK71" i="1" a="1"/>
  <c r="AA35" i="12" a="1"/>
  <c r="CJ104" i="1" a="1"/>
  <c r="ED85" i="1" a="1"/>
  <c r="CZ31" i="1" a="1"/>
  <c r="BD112" i="1" a="1"/>
  <c r="CB115" i="1" a="1"/>
  <c r="AL85" i="1" a="1"/>
  <c r="CZ32" i="1" a="1"/>
  <c r="AM110" i="1" a="1"/>
  <c r="EB13" i="1" a="1"/>
  <c r="AL71" i="1" a="1"/>
  <c r="DD111" i="1" a="1"/>
  <c r="AA26" i="12" a="1"/>
  <c r="EE111" i="1" a="1"/>
  <c r="EB114" i="1" a="1"/>
  <c r="F97" i="1" a="1"/>
  <c r="CZ105" i="1" a="1"/>
  <c r="EE91" i="1" a="1"/>
  <c r="H16" i="9" a="1"/>
  <c r="EB84" i="1" a="1"/>
  <c r="EA66" i="1" a="1"/>
  <c r="BD114" i="1" a="1"/>
  <c r="AL69" i="1" a="1"/>
  <c r="EE25" i="1" a="1"/>
  <c r="K112" i="1" a="1"/>
  <c r="ED39" i="1" a="1"/>
  <c r="DX29" i="1" a="1"/>
  <c r="DE55" i="1" a="1"/>
  <c r="CD101" i="1" a="1"/>
  <c r="BF47" i="1" a="1"/>
  <c r="BJ43" i="1" a="1"/>
  <c r="DC53" i="1" a="1"/>
  <c r="AC108" i="1" a="1"/>
  <c r="DG54" i="1" a="1"/>
  <c r="AG97" i="1" a="1"/>
  <c r="P77" i="1" a="1"/>
  <c r="DF20" i="1" a="1"/>
  <c r="DA35" i="1" a="1"/>
  <c r="EF33" i="1" a="1"/>
  <c r="DH67" i="1" a="1"/>
  <c r="DA20" i="1" a="1"/>
  <c r="BL67" i="1" a="1"/>
  <c r="CW110" i="1" a="1"/>
  <c r="DX89" i="1" a="1"/>
  <c r="DE66" i="1" a="1"/>
  <c r="G65" i="1" a="1"/>
  <c r="EA71" i="1" a="1"/>
  <c r="AY43" i="1" a="1"/>
  <c r="CV94" i="1" a="1"/>
  <c r="DY98" i="1" a="1"/>
  <c r="CJ93" i="1" a="1"/>
  <c r="DY102" i="1" a="1"/>
  <c r="BX11" i="1" a="1"/>
  <c r="CV87" i="1" a="1"/>
  <c r="CY14" i="1" a="1"/>
  <c r="BB104" i="1" a="1"/>
  <c r="CV73" i="1" a="1"/>
  <c r="EB75" i="1" a="1"/>
  <c r="DY66" i="1" a="1"/>
  <c r="CE87" i="1" a="1"/>
  <c r="BZ29" i="1" a="1"/>
  <c r="DB85" i="1" a="1"/>
  <c r="CZ98" i="1" a="1"/>
  <c r="DY95" i="1" a="1"/>
  <c r="DE26" i="1" a="1"/>
  <c r="CX28" i="1" a="1"/>
  <c r="CW33" i="1" a="1"/>
  <c r="CY28" i="1" a="1"/>
  <c r="CZ85" i="1" a="1"/>
  <c r="DA73" i="1" a="1"/>
  <c r="AA29" i="12" a="1"/>
  <c r="CG71" i="1" a="1"/>
  <c r="AM80" i="1" a="1"/>
  <c r="BK49" i="1" a="1"/>
  <c r="DD89" i="1" a="1"/>
  <c r="CV93" i="1" a="1"/>
  <c r="ED94" i="1" a="1"/>
  <c r="DC68" i="1" a="1"/>
  <c r="AC69" i="1" a="1"/>
  <c r="BX46" i="1" a="1"/>
  <c r="M20" i="9" a="1"/>
  <c r="EE85" i="1" a="1"/>
  <c r="AY56" i="1" a="1"/>
  <c r="CV96" i="1" a="1"/>
  <c r="EE109" i="1" a="1"/>
  <c r="EC109" i="1" a="1"/>
  <c r="DB111" i="1" a="1"/>
  <c r="BX48" i="1" a="1"/>
  <c r="CY88" i="1" a="1"/>
  <c r="CY16" i="1" a="1"/>
  <c r="BZ35" i="1" a="1"/>
  <c r="CV75" i="1" a="1"/>
  <c r="AC107" i="1" a="1"/>
  <c r="DY113" i="1" a="1"/>
  <c r="EC76" i="1" a="1"/>
  <c r="BW84" i="1" a="1"/>
  <c r="EF79" i="1" a="1"/>
  <c r="AA105" i="1" a="1"/>
  <c r="DZ75" i="1" a="1"/>
  <c r="CI84" i="1" a="1"/>
  <c r="CW45" i="1" a="1"/>
  <c r="CW37" i="1" a="1"/>
  <c r="CU34" i="1" a="1"/>
  <c r="CJ74" i="1" a="1"/>
  <c r="CH108" i="1" a="1"/>
  <c r="H14" i="12" a="1"/>
  <c r="ED68" i="1" a="1"/>
  <c r="AZ85" i="1" a="1"/>
  <c r="CY101" i="1" a="1"/>
  <c r="BG70" i="1" a="1"/>
  <c r="DA97" i="1" a="1"/>
  <c r="CH78" i="1" a="1"/>
  <c r="BW53" i="1" a="1"/>
  <c r="CY90" i="1" a="1"/>
  <c r="DS88" i="1" a="1"/>
  <c r="BW43" i="1" a="1"/>
  <c r="CY76" i="1" a="1"/>
  <c r="DF113" i="1" a="1"/>
  <c r="CB114" i="1" a="1"/>
  <c r="CD96" i="1" a="1"/>
  <c r="CV32" i="1" a="1"/>
  <c r="BI75" i="1" a="1"/>
  <c r="BD48" i="1" a="1"/>
  <c r="DE30" i="1" a="1"/>
  <c r="BG110" i="1" a="1"/>
  <c r="CW49" i="1" a="1"/>
  <c r="CU43" i="1" a="1"/>
  <c r="CX37" i="1" a="1"/>
  <c r="DB86" i="1" a="1"/>
  <c r="EE94" i="1" a="1"/>
  <c r="H18" i="9" a="1"/>
  <c r="BK44" i="1" a="1"/>
  <c r="BB106" i="1" a="1"/>
  <c r="AA36" i="12" a="1"/>
  <c r="DY69" i="1" a="1"/>
  <c r="DH108" i="1" a="1"/>
  <c r="EE103" i="1" a="1"/>
  <c r="CA56" i="1" a="1"/>
  <c r="CY92" i="1" a="1"/>
  <c r="BA88" i="1" a="1"/>
  <c r="CA46" i="1" a="1"/>
  <c r="CY78" i="1" a="1"/>
  <c r="ED90" i="1" a="1"/>
  <c r="DE110" i="1" a="1"/>
  <c r="I80" i="1" a="1"/>
  <c r="CW56" i="1" a="1"/>
  <c r="EC69" i="1" a="1"/>
  <c r="BD105" i="1" a="1"/>
  <c r="CB109" i="1" a="1"/>
  <c r="AB74" i="1" a="1"/>
  <c r="CU53" i="1" a="1"/>
  <c r="CX46" i="1" a="1"/>
  <c r="CV54" i="1" a="1"/>
  <c r="AD77" i="1" a="1"/>
  <c r="BA49" i="1" a="1"/>
  <c r="H21" i="9" a="1"/>
  <c r="DD75" i="1" a="1"/>
  <c r="DA71" i="1" a="1"/>
  <c r="CZ39" i="1" a="1"/>
  <c r="BE90" i="1" a="1"/>
  <c r="AF28" i="1" a="1"/>
  <c r="DD112" i="1" a="1"/>
  <c r="DZ98" i="1" a="1"/>
  <c r="DY111" i="1" a="1"/>
  <c r="CV11" i="1" a="1"/>
  <c r="DH113" i="1" a="1"/>
  <c r="DD116" i="1" a="1"/>
  <c r="CH96" i="1" a="1"/>
  <c r="BG73" i="1" a="1"/>
  <c r="DC15" i="1" a="1"/>
  <c r="BL116" i="1" a="1"/>
  <c r="CX26" i="1" a="1"/>
  <c r="DX77" i="1" a="1"/>
  <c r="AA101" i="1" a="1"/>
  <c r="BE51" i="1" a="1"/>
  <c r="K76" i="1" a="1"/>
  <c r="BK73" i="1" a="1"/>
  <c r="DZ96" i="1" a="1"/>
  <c r="BK69" i="1" a="1"/>
  <c r="DZ77" i="1" a="1"/>
  <c r="DB9" i="1" a="1"/>
  <c r="K80" i="1" a="1"/>
  <c r="BI57" i="1" a="1"/>
  <c r="DC50" i="1" a="1"/>
  <c r="D68" i="1" a="1"/>
  <c r="I88" i="1" a="1"/>
  <c r="E105" i="1" a="1"/>
  <c r="DX36" i="1" a="1"/>
  <c r="AD101" i="1" a="1"/>
  <c r="CY9" i="1" a="1"/>
  <c r="AC111" i="1" a="1"/>
  <c r="AG101" i="1" a="1"/>
  <c r="BF92" i="1" a="1"/>
  <c r="H104" i="1" a="1"/>
  <c r="AA66" i="1" a="1"/>
  <c r="DD17" i="1" a="1"/>
  <c r="DG7" i="1" a="1"/>
  <c r="CI114" i="1" a="1"/>
  <c r="J94" i="1" a="1"/>
  <c r="F65" i="1" a="1"/>
  <c r="DX13" i="1" a="1"/>
  <c r="EB27" i="1" a="1"/>
  <c r="DA19" i="1" a="1"/>
  <c r="H88" i="1" a="1"/>
  <c r="BI50" i="1" a="1"/>
  <c r="DF21" i="1" a="1"/>
  <c r="H33" i="9" a="1"/>
  <c r="EE84" i="1" a="1"/>
  <c r="CC67" i="1" a="1"/>
  <c r="AC74" i="1" a="1"/>
  <c r="AH79" i="1" a="1"/>
  <c r="CA39" i="1" a="1"/>
  <c r="BH113" i="1" a="1"/>
  <c r="CG103" i="1" a="1"/>
  <c r="M101" i="1" a="1"/>
  <c r="DA115" i="1" a="1"/>
  <c r="CG109" i="1" a="1"/>
  <c r="AM113" i="1" a="1"/>
  <c r="BJ116" i="1" a="1"/>
  <c r="DX53" i="1" a="1"/>
  <c r="AJ102" i="1" a="1"/>
  <c r="BJ48" i="1" a="1"/>
  <c r="DG101" i="1" a="1"/>
  <c r="BA69" i="1" a="1"/>
  <c r="ED114" i="1" a="1"/>
  <c r="CZ109" i="1" a="1"/>
  <c r="CJ105" i="1" a="1"/>
  <c r="DX56" i="1" a="1"/>
  <c r="CH80" i="1" a="1"/>
  <c r="CX15" i="1" a="1"/>
  <c r="CC97" i="1" a="1"/>
  <c r="EB113" i="1" a="1"/>
  <c r="EA78" i="1" a="1"/>
  <c r="DX78" i="1" a="1"/>
  <c r="BH94" i="1" a="1"/>
  <c r="EE57" i="1" a="1"/>
  <c r="DB55" i="1" a="1"/>
  <c r="DD53" i="1" a="1"/>
  <c r="AC65" i="1" a="1"/>
  <c r="L84" i="1" a="1"/>
  <c r="P75" i="1" a="1"/>
  <c r="BG57" i="1" a="1"/>
  <c r="CF98" i="1" a="1"/>
  <c r="DZ48" i="1" a="1"/>
  <c r="CC103" i="1" a="1"/>
  <c r="M70" i="1" a="1"/>
  <c r="H98" i="1" a="1"/>
  <c r="DD15" i="1" a="1"/>
  <c r="EF13" i="1" a="1"/>
  <c r="EE33" i="1" a="1"/>
  <c r="DE44" i="1" a="1"/>
  <c r="DE20" i="1" a="1"/>
  <c r="CG96" i="1" a="1"/>
  <c r="EA27" i="1" a="1"/>
  <c r="CD68" i="1" a="1"/>
  <c r="CG72" i="1" a="1"/>
  <c r="EE74" i="1" a="1"/>
  <c r="AI90" i="1" a="1"/>
  <c r="EE95" i="1" a="1"/>
  <c r="CW12" i="1" a="1"/>
  <c r="DY79" i="1" a="1"/>
  <c r="CJ101" i="1" a="1"/>
  <c r="EB105" i="1" a="1"/>
  <c r="BL43" i="1" a="1"/>
  <c r="BZ115" i="1" a="1"/>
  <c r="H28" i="12" a="1"/>
  <c r="BW77" i="1" a="1"/>
  <c r="BX97" i="1" a="1"/>
  <c r="CX112" i="1" a="1"/>
  <c r="CH92" i="1" a="1"/>
  <c r="C104" i="1" a="1"/>
  <c r="DG93" i="1" a="1"/>
  <c r="CY104" i="1" a="1"/>
  <c r="DA113" i="1" a="1"/>
  <c r="EE78" i="1" a="1"/>
  <c r="N68" i="1" a="1"/>
  <c r="P92" i="1" a="1"/>
  <c r="CW108" i="1" a="1"/>
  <c r="CU102" i="1" a="1"/>
  <c r="CX96" i="1" a="1"/>
  <c r="EB79" i="1" a="1"/>
  <c r="CV43" i="1" a="1"/>
  <c r="BL46" i="1" a="1"/>
  <c r="DA109" i="1" a="1"/>
  <c r="BF70" i="1" a="1"/>
  <c r="EF49" i="1" a="1"/>
  <c r="BY114" i="1" a="1"/>
  <c r="CC108" i="1" a="1"/>
  <c r="EF86" i="1" a="1"/>
  <c r="CE76" i="1" a="1"/>
  <c r="EA114" i="1" a="1"/>
  <c r="CW74" i="1" a="1"/>
  <c r="BG46" i="1" a="1"/>
  <c r="CH67" i="1" a="1"/>
  <c r="DZ79" i="1" a="1"/>
  <c r="DC97" i="1" a="1"/>
  <c r="H79" i="1" a="1"/>
  <c r="DA94" i="1" a="1"/>
  <c r="CX39" i="1" a="1"/>
  <c r="EF89" i="1" a="1"/>
  <c r="CD116" i="1" a="1"/>
  <c r="CF77" i="1" a="1"/>
  <c r="J102" i="1" a="1"/>
  <c r="DC78" i="1" a="1"/>
  <c r="D114" i="1" a="1"/>
  <c r="BH49" i="1" a="1"/>
  <c r="DD87" i="1" a="1"/>
  <c r="DC47" i="1" a="1"/>
  <c r="C101" i="1" a="1"/>
  <c r="CZ24" i="1" a="1"/>
  <c r="CI96" i="1" a="1"/>
  <c r="P88" i="1" a="1"/>
  <c r="DA116" i="1" a="1"/>
  <c r="BJ78" i="1" a="1"/>
  <c r="CB107" i="1" a="1"/>
  <c r="DA21" i="1" a="1"/>
  <c r="CY89" i="1" a="1"/>
  <c r="DZ73" i="1" a="1"/>
  <c r="BG43" i="1" a="1"/>
  <c r="EA18" i="1" a="1"/>
  <c r="DZ30" i="1" a="1"/>
  <c r="DD48" i="1" a="1"/>
  <c r="CJ91" i="1" a="1"/>
  <c r="AF70" i="1" a="1"/>
  <c r="AI84" i="1" a="1"/>
  <c r="BE69" i="1" a="1"/>
  <c r="DY56" i="1" a="1"/>
  <c r="AI91" i="1" a="1"/>
  <c r="BJ93" i="1" a="1"/>
  <c r="DZ86" i="1" a="1"/>
  <c r="BH104" i="1" a="1"/>
  <c r="DF25" i="1" a="1"/>
  <c r="BG53" i="1" a="1"/>
  <c r="DG87" i="1" a="1"/>
  <c r="CZ110" i="1" a="1"/>
  <c r="H71" i="1" a="1"/>
  <c r="ED83" i="1" a="1"/>
  <c r="BH112" i="1" a="1"/>
  <c r="CY30" i="1" a="1"/>
  <c r="CB83" i="1" a="1"/>
  <c r="DG115" i="1" a="1"/>
  <c r="L87" i="1" a="1"/>
  <c r="AD75" i="1" a="1"/>
  <c r="AM94" i="1" a="1"/>
  <c r="CG66" i="1" a="1"/>
  <c r="BK83" i="1" a="1"/>
  <c r="DH105" i="1" a="1"/>
  <c r="BG105" i="1" a="1"/>
  <c r="BD72" i="1" a="1"/>
  <c r="EE76" i="1" a="1"/>
  <c r="CW15" i="1" a="1"/>
  <c r="DD98" i="1" a="1"/>
  <c r="EB107" i="1" a="1"/>
  <c r="AJ104" i="1" a="1"/>
  <c r="CD89" i="1" a="1"/>
  <c r="AM104" i="1" a="1"/>
  <c r="CX48" i="1" a="1"/>
  <c r="EA65" i="1" a="1"/>
  <c r="CG69" i="1" a="1"/>
  <c r="K73" i="1" a="1"/>
  <c r="AE105" i="1" a="1"/>
  <c r="DD93" i="1" a="1"/>
  <c r="EB30" i="1" a="1"/>
  <c r="J87" i="1" a="1"/>
  <c r="DH72" i="1" a="1"/>
  <c r="DB47" i="1" a="1"/>
  <c r="AN65" i="1" a="1"/>
  <c r="DA93" i="1" a="1"/>
  <c r="CF71" i="1" a="1"/>
  <c r="DY52" i="1" a="1"/>
  <c r="DG51" i="1" a="1"/>
  <c r="AF87" i="1" a="1"/>
  <c r="ED32" i="1" a="1"/>
  <c r="G86" i="1" a="1"/>
  <c r="CG108" i="1" a="1"/>
  <c r="EC74" i="1" a="1"/>
  <c r="D106" i="1" a="1"/>
  <c r="BL75" i="1" a="1"/>
  <c r="BJ87" i="1" a="1"/>
  <c r="AE97" i="1" a="1"/>
  <c r="DF95" i="1" a="1"/>
  <c r="ED116" i="1" a="1"/>
  <c r="EC79" i="1" a="1"/>
  <c r="DB105" i="1" a="1"/>
  <c r="CZ77" i="1" a="1"/>
  <c r="DZ94" i="1" a="1"/>
  <c r="I113" i="1" a="1"/>
  <c r="AA34" i="12" a="1"/>
  <c r="EC85" i="1" a="1"/>
  <c r="CU106" i="1" a="1"/>
  <c r="EF108" i="1" a="1"/>
  <c r="EA45" i="1" a="1"/>
  <c r="CW9" i="1" a="1"/>
  <c r="DH86" i="1" a="1"/>
  <c r="O106" i="1" a="1"/>
  <c r="AI97" i="1" a="1"/>
  <c r="BG47" i="1" a="1"/>
  <c r="L103" i="1" a="1"/>
  <c r="ED47" i="1" a="1"/>
  <c r="DG91" i="1" a="1"/>
  <c r="CG101" i="1" a="1"/>
  <c r="AK114" i="1" a="1"/>
  <c r="DD28" i="1" a="1"/>
  <c r="CZ67" i="1" a="1"/>
  <c r="CZ13" i="1" a="1"/>
  <c r="AD91" i="1" a="1"/>
  <c r="BD66" i="1" a="1"/>
  <c r="BE48" i="1" a="1"/>
  <c r="EF16" i="1" a="1"/>
  <c r="G95" i="1" a="1"/>
  <c r="CH76" i="1" a="1"/>
  <c r="DH68" i="1" a="1"/>
  <c r="L101" i="1" a="1"/>
  <c r="DA87" i="1" a="1"/>
  <c r="G90" i="1" a="1"/>
  <c r="C93" i="1" a="1"/>
  <c r="ED25" i="1" a="1"/>
  <c r="AN74" i="1" a="1"/>
  <c r="DF91" i="1" a="1"/>
  <c r="CI86" i="1" a="1"/>
  <c r="CZ88" i="1" a="1"/>
  <c r="BK94" i="1" a="1"/>
  <c r="CJ73" i="1" a="1"/>
  <c r="M33" i="9" a="1"/>
  <c r="BH77" i="1" a="1"/>
  <c r="EC93" i="1" a="1"/>
  <c r="DB74" i="1" a="1"/>
  <c r="CZ44" i="1" a="1"/>
  <c r="J116" i="1" a="1"/>
  <c r="ED34" i="1" a="1"/>
  <c r="AF37" i="1" a="1"/>
  <c r="EF69" i="1" a="1"/>
  <c r="I98" i="1" a="1"/>
  <c r="E93" i="1" a="1"/>
  <c r="DA68" i="1" a="1"/>
  <c r="DY76" i="1" a="1"/>
  <c r="BE114" i="1" a="1"/>
  <c r="CG115" i="1" a="1"/>
  <c r="C77" i="1" a="1"/>
  <c r="DY68" i="1" a="1"/>
  <c r="EB77" i="1" a="1"/>
  <c r="DX38" i="1" a="1"/>
  <c r="AA103" i="1" a="1"/>
  <c r="DE24" i="1" a="1"/>
  <c r="J85" i="1" a="1"/>
  <c r="BI103" i="1" a="1"/>
  <c r="BE57" i="1" a="1"/>
  <c r="BJ66" i="1" a="1"/>
  <c r="CU95" i="1" a="1"/>
  <c r="EF106" i="1" a="1"/>
  <c r="F83" i="1" a="1"/>
  <c r="DA110" i="1" a="1"/>
  <c r="DH116" i="1" a="1"/>
  <c r="CV70" i="1" a="1"/>
  <c r="DH102" i="1" a="1"/>
  <c r="DY80" i="1" a="1"/>
  <c r="H102" i="1" a="1"/>
  <c r="AH112" i="1" a="1"/>
  <c r="F109" i="1" a="1"/>
  <c r="AZ111" i="1" a="1"/>
  <c r="CB78" i="1" a="1"/>
  <c r="CZ73" i="1" a="1"/>
  <c r="DY115" i="1" a="1"/>
  <c r="L94" i="1" a="1"/>
  <c r="I114" i="1" a="1"/>
  <c r="CA19" i="1" a="1"/>
  <c r="EA93" i="1" a="1"/>
  <c r="DC79" i="1" a="1"/>
  <c r="DZ95" i="1" a="1"/>
  <c r="D90" i="1" a="1"/>
  <c r="H94" i="1" a="1"/>
  <c r="DY72" i="1" a="1"/>
  <c r="CI73" i="1" a="1"/>
  <c r="AN92" i="1" a="1"/>
  <c r="DZ42" i="1" a="1"/>
  <c r="EB10" i="1" a="1"/>
  <c r="DE19" i="1" a="1"/>
  <c r="DC109" i="1" a="1"/>
  <c r="DZ13" i="1" a="1"/>
  <c r="AC91" i="1" a="1"/>
  <c r="AK77" i="1" a="1"/>
  <c r="CG74" i="1" a="1"/>
  <c r="H93" i="1" a="1"/>
  <c r="DA90" i="1" a="1"/>
  <c r="BE47" i="1" a="1"/>
  <c r="DC56" i="1" a="1"/>
  <c r="CZ8" i="1" a="1"/>
  <c r="BF48" i="1" a="1"/>
  <c r="AM84" i="1" a="1"/>
  <c r="AN87" i="1" a="1"/>
  <c r="DG33" i="1" a="1"/>
  <c r="AD97" i="1" a="1"/>
  <c r="BG87" i="1" a="1"/>
  <c r="DC21" i="1" a="1"/>
  <c r="L80" i="1" a="1"/>
  <c r="E110" i="1" a="1"/>
  <c r="DZ43" i="1" a="1"/>
  <c r="AA88" i="1" a="1"/>
  <c r="DE36" i="1" a="1"/>
  <c r="AC116" i="1" a="1"/>
  <c r="CZ111" i="1" a="1"/>
  <c r="DX19" i="1" a="1"/>
  <c r="AB98" i="1" a="1"/>
  <c r="AA72" i="1" a="1"/>
  <c r="CJ107" i="1" a="1"/>
  <c r="BG83" i="1" a="1"/>
  <c r="CD93" i="1" a="1"/>
  <c r="N74" i="1" a="1"/>
  <c r="AA83" i="1" a="1"/>
  <c r="DX6" i="1" a="1"/>
  <c r="P113" i="1" a="1"/>
  <c r="AK88" i="1" a="1"/>
  <c r="M74" i="1" a="1"/>
  <c r="DA45" i="1" a="1"/>
  <c r="AK84" i="1" a="1"/>
  <c r="CZ38" i="1" a="1"/>
  <c r="DZ27" i="1" a="1"/>
  <c r="BE65" i="1" a="1"/>
  <c r="F71" i="1" a="1"/>
  <c r="BL110" i="1" a="1"/>
  <c r="AD114" i="1" a="1"/>
  <c r="DB29" i="1" a="1"/>
  <c r="BG97" i="1" a="1"/>
  <c r="AC78" i="1" a="1"/>
  <c r="EA79" i="1" a="1"/>
  <c r="D102" i="1" a="1"/>
  <c r="L73" i="1" a="1"/>
  <c r="J78" i="1" a="1"/>
  <c r="DZ45" i="1" a="1"/>
  <c r="E87" i="1" a="1"/>
  <c r="DY25" i="1" a="1"/>
  <c r="BI85" i="1" a="1"/>
  <c r="DB27" i="1" a="1"/>
  <c r="DG48" i="1" a="1"/>
  <c r="D101" i="1" a="1"/>
  <c r="N101" i="1" a="1"/>
  <c r="AH98" i="1" a="1"/>
  <c r="DZ38" i="1" a="1"/>
  <c r="BE103" i="1" a="1"/>
  <c r="EA13" i="1" a="1"/>
  <c r="AM91" i="1" a="1"/>
  <c r="C90" i="1" a="1"/>
  <c r="AJ78" i="1" a="1"/>
  <c r="AH85" i="1" a="1"/>
  <c r="BD51" i="1" a="1"/>
  <c r="BE116" i="1" a="1"/>
  <c r="DC38" i="1" a="1"/>
  <c r="BE89" i="1" a="1"/>
  <c r="BG69" i="1" a="1"/>
  <c r="H83" i="1" a="1"/>
  <c r="DG85" i="1" a="1"/>
  <c r="DZ8" i="1" a="1"/>
  <c r="DB38" i="1" a="1"/>
  <c r="AF113" i="1" a="1"/>
  <c r="BH44" i="1" a="1"/>
  <c r="P68" i="1" a="1"/>
  <c r="DB11" i="1" a="1"/>
  <c r="CC84" i="1" a="1"/>
  <c r="DA75" i="1" a="1"/>
  <c r="DB20" i="1" a="1"/>
  <c r="DE56" i="1" a="1"/>
  <c r="I101" i="1" a="1"/>
  <c r="BL92" i="1" a="1"/>
  <c r="AA98" i="1" a="1"/>
  <c r="DF42" i="1" a="1"/>
  <c r="AF79" i="1" a="1"/>
  <c r="G110" i="1" a="1"/>
  <c r="EA28" i="1" a="1"/>
  <c r="EE37" i="1" a="1"/>
  <c r="EC24" i="1" a="1"/>
  <c r="DD29" i="1" a="1"/>
  <c r="AA74" i="1" a="1"/>
  <c r="BH109" i="1" a="1"/>
  <c r="AN89" i="1" a="1"/>
  <c r="DF35" i="1" a="1"/>
  <c r="EE24" i="1" a="1"/>
  <c r="AJ88" i="1" a="1"/>
  <c r="L113" i="1" a="1"/>
  <c r="AK72" i="1" a="1"/>
  <c r="EB46" i="1" a="1"/>
  <c r="DB50" i="1" a="1"/>
  <c r="H90" i="1" a="1"/>
  <c r="M68" i="1" a="1"/>
  <c r="DZ52" i="1" a="1"/>
  <c r="DD36" i="1" a="1"/>
  <c r="H84" i="1" a="1"/>
  <c r="G78" i="1" a="1"/>
  <c r="L109" i="1" a="1"/>
  <c r="DD35" i="1" a="1"/>
  <c r="BK54" i="1" a="1"/>
  <c r="DF50" i="1" a="1"/>
  <c r="BI65" i="1" a="1"/>
  <c r="EF53" i="1" a="1"/>
  <c r="AC70" i="1" a="1"/>
  <c r="EA12" i="1" a="1"/>
  <c r="P84" i="1" a="1"/>
  <c r="G75" i="1" a="1"/>
  <c r="C102" i="1" a="1"/>
  <c r="CI110" i="1" a="1"/>
  <c r="AJ113" i="1" a="1"/>
  <c r="K97" i="1" a="1"/>
  <c r="AI87" i="1" a="1"/>
  <c r="H114" i="1" a="1"/>
  <c r="ED53" i="1" a="1"/>
  <c r="BE112" i="1" a="1"/>
  <c r="E92" i="1" a="1"/>
  <c r="BE44" i="1" a="1"/>
  <c r="ED11" i="1" a="1"/>
  <c r="CI94" i="1" a="1"/>
  <c r="DZ53" i="1" a="1"/>
  <c r="J90" i="1" a="1"/>
  <c r="EF20" i="1" a="1"/>
  <c r="DD52" i="1" a="1"/>
  <c r="CB65" i="1" a="1"/>
  <c r="DX27" i="1" a="1"/>
  <c r="CH94" i="1" a="1"/>
  <c r="EC48" i="1" a="1"/>
  <c r="BF56" i="1" a="1"/>
  <c r="DE27" i="1" a="1"/>
  <c r="DZ50" i="1" a="1"/>
  <c r="BH105" i="1" a="1"/>
  <c r="DC32" i="1" a="1"/>
  <c r="BL56" i="1" a="1"/>
  <c r="DA34" i="1" a="1"/>
  <c r="I91" i="1" a="1"/>
  <c r="DB30" i="1" a="1"/>
  <c r="DH24" i="1" a="1"/>
  <c r="BD109" i="1" a="1"/>
  <c r="L107" i="1" a="1"/>
  <c r="BG88" i="1" a="1"/>
  <c r="C98" i="1" a="1"/>
  <c r="DC48" i="1" a="1"/>
  <c r="P115" i="1" a="1"/>
  <c r="AE65" i="1" a="1"/>
  <c r="H32" i="9" a="1"/>
  <c r="CC112" i="1" a="1"/>
  <c r="CX109" i="1" a="1"/>
  <c r="AA77" i="1" a="1"/>
  <c r="AK110" i="1" a="1"/>
  <c r="CU19" i="1" a="1"/>
  <c r="EB73" i="1" a="1"/>
  <c r="BJ108" i="1" a="1"/>
  <c r="DX83" i="1" a="1"/>
  <c r="EF85" i="1" a="1"/>
  <c r="G94" i="1" a="1"/>
  <c r="BH43" i="1" a="1"/>
  <c r="DD102" i="1" a="1"/>
  <c r="ED95" i="1" a="1"/>
  <c r="DA7" i="1" a="1"/>
  <c r="DG49" i="1" a="1"/>
  <c r="CE80" i="1" a="1"/>
  <c r="F85" i="1" a="1"/>
  <c r="AD70" i="1" a="1"/>
  <c r="DB106" i="1" a="1"/>
  <c r="BH45" i="1" a="1"/>
  <c r="CJ67" i="1" a="1"/>
  <c r="AM103" i="1" a="1"/>
  <c r="DZ114" i="1" a="1"/>
  <c r="H67" i="1" a="1"/>
  <c r="DZ104" i="1" a="1"/>
  <c r="AI104" i="1" a="1"/>
  <c r="AJ83" i="1" a="1"/>
  <c r="CZ56" i="1" a="1"/>
  <c r="EB6" i="1" a="1"/>
  <c r="DE10" i="1" a="1"/>
  <c r="DE32" i="1" a="1"/>
  <c r="E90" i="1" a="1"/>
  <c r="CG89" i="1" a="1"/>
  <c r="DC96" i="1" a="1"/>
  <c r="CI75" i="1" a="1"/>
  <c r="EE65" i="1" a="1"/>
  <c r="DC75" i="1" a="1"/>
  <c r="AJ66" i="1" a="1"/>
  <c r="L96" i="1" a="1"/>
  <c r="CD91" i="1" a="1"/>
  <c r="EE28" i="1" a="1"/>
  <c r="AJ105" i="1" a="1"/>
  <c r="H24" i="9" a="1"/>
  <c r="CZ66" i="1" a="1"/>
  <c r="C91" i="1" a="1"/>
  <c r="AN88" i="1" a="1"/>
  <c r="CZ102" i="1" a="1"/>
  <c r="BH55" i="1" a="1"/>
  <c r="BE113" i="1" a="1"/>
  <c r="DC11" i="1" a="1"/>
  <c r="BI102" i="1" a="1"/>
  <c r="AL108" i="1" a="1"/>
  <c r="DY83" i="1" a="1"/>
  <c r="CF101" i="1" a="1"/>
  <c r="CG87" i="1" a="1"/>
  <c r="J74" i="1" a="1"/>
  <c r="H72" i="1" a="1"/>
  <c r="DF24" i="1" a="1"/>
  <c r="I93" i="1" a="1"/>
  <c r="BK90" i="1" a="1"/>
  <c r="H27" i="12" a="1"/>
  <c r="DY105" i="1" a="1"/>
  <c r="DG66" i="1" a="1"/>
  <c r="CC88" i="1" a="1"/>
  <c r="ED89" i="1" a="1"/>
  <c r="CX111" i="1" a="1"/>
  <c r="DZ111" i="1" a="1"/>
  <c r="DF108" i="1" a="1"/>
  <c r="CE89" i="1" a="1"/>
  <c r="CF87" i="1" a="1"/>
  <c r="CZ36" i="1" a="1"/>
  <c r="BW116" i="1" a="1"/>
  <c r="EA88" i="1" a="1"/>
  <c r="BH72" i="1" a="1"/>
  <c r="DE68" i="1" a="1"/>
  <c r="BD79" i="1" a="1"/>
  <c r="BG115" i="1" a="1"/>
  <c r="BX78" i="1" a="1"/>
  <c r="CE71" i="1" a="1"/>
  <c r="CF97" i="1" a="1"/>
  <c r="BF53" i="1" a="1"/>
  <c r="AI72" i="1" a="1"/>
  <c r="DF94" i="1" a="1"/>
  <c r="DD72" i="1" a="1"/>
  <c r="EA52" i="1" a="1"/>
  <c r="DG50" i="1" a="1"/>
  <c r="CH103" i="1" a="1"/>
  <c r="D94" i="1" a="1"/>
  <c r="DE94" i="1" a="1"/>
  <c r="EB65" i="1" a="1"/>
  <c r="DH75" i="1" a="1"/>
  <c r="AD105" i="1" a="1"/>
  <c r="DY11" i="1" a="1"/>
  <c r="AG95" i="1" a="1"/>
  <c r="AG114" i="1" a="1"/>
  <c r="AI114" i="1" a="1"/>
  <c r="CF108" i="1" a="1"/>
  <c r="BE49" i="1" a="1"/>
  <c r="G112" i="1" a="1"/>
  <c r="I67" i="1" a="1"/>
  <c r="DC25" i="1" a="1"/>
  <c r="EF15" i="1" a="1"/>
  <c r="AJ69" i="1" a="1"/>
  <c r="BK103" i="1" a="1"/>
  <c r="DG110" i="1" a="1"/>
  <c r="DC65" i="1" a="1"/>
  <c r="AC101" i="1" a="1"/>
  <c r="AJ101" i="1" a="1"/>
  <c r="D97" i="1" a="1"/>
  <c r="BE74" i="1" a="1"/>
  <c r="EA38" i="1" a="1"/>
  <c r="AF101" i="1" a="1"/>
  <c r="DY31" i="1" a="1"/>
  <c r="BJ77" i="1" a="1"/>
  <c r="CZ19" i="1" a="1"/>
  <c r="F96" i="1" a="1"/>
  <c r="CI98" i="1" a="1"/>
  <c r="BK101" i="1" a="1"/>
  <c r="AC73" i="1" a="1"/>
  <c r="F91" i="1" a="1"/>
  <c r="EC30" i="1" a="1"/>
  <c r="DF57" i="1" a="1"/>
  <c r="DG20" i="1" a="1"/>
  <c r="DC14" i="1" a="1"/>
  <c r="DF7" i="1" a="1"/>
  <c r="AA107" i="1" a="1"/>
  <c r="D87" i="1" a="1"/>
  <c r="G80" i="1" a="1"/>
  <c r="CB91" i="1" a="1"/>
  <c r="CB87" i="1" a="1"/>
  <c r="AK108" i="1" a="1"/>
  <c r="EE32" i="1" a="1"/>
  <c r="EB44" i="1" a="1"/>
  <c r="AG89" i="1" a="1"/>
  <c r="DH39" i="1" a="1"/>
  <c r="AF68" i="1" a="1"/>
  <c r="AK74" i="1" a="1"/>
  <c r="CB105" i="1" a="1"/>
  <c r="BI115" i="1" a="1"/>
  <c r="DB7" i="1" a="1"/>
  <c r="DD16" i="1" a="1"/>
  <c r="DF106" i="1" a="1"/>
  <c r="K70" i="1" a="1"/>
  <c r="AL75" i="1" a="1"/>
  <c r="BF42" i="1" a="1"/>
  <c r="AG106" i="1" a="1"/>
  <c r="EC31" i="1" a="1"/>
  <c r="BI71" i="1" a="1"/>
  <c r="L116" i="1" a="1"/>
  <c r="EB56" i="1" a="1"/>
  <c r="AL111" i="1" a="1"/>
  <c r="AJ96" i="1" a="1"/>
  <c r="AN93" i="1" a="1"/>
  <c r="CH111" i="1" a="1"/>
  <c r="DH112" i="1" a="1"/>
  <c r="M67" i="1" a="1"/>
  <c r="DZ11" i="1" a="1"/>
  <c r="AE96" i="1" a="1"/>
  <c r="P78" i="1" a="1"/>
  <c r="AI66" i="1" a="1"/>
  <c r="BD75" i="1" a="1"/>
  <c r="D75" i="1" a="1"/>
  <c r="BG54" i="1" a="1"/>
  <c r="BJ65" i="1" a="1"/>
  <c r="I68" i="1" a="1"/>
  <c r="BG50" i="1" a="1"/>
  <c r="AJ67" i="1" a="1"/>
  <c r="BL95" i="1" a="1"/>
  <c r="EF6" i="1" a="1"/>
  <c r="AH80" i="1" a="1"/>
  <c r="CF116" i="1" a="1"/>
  <c r="H103" i="1" a="1"/>
  <c r="M103" i="1" a="1"/>
  <c r="EC18" i="1" a="1"/>
  <c r="AM68" i="1" a="1"/>
  <c r="DG8" i="1" a="1"/>
  <c r="AH89" i="1" a="1"/>
  <c r="CD108" i="1" a="1"/>
  <c r="I76" i="1" a="1"/>
  <c r="CI95" i="1" a="1"/>
  <c r="CZ50" i="1" a="1"/>
  <c r="BD101" i="1" a="1"/>
  <c r="BG94" i="1" a="1"/>
  <c r="CC65" i="1" a="1"/>
  <c r="DH91" i="1" a="1"/>
  <c r="CZ10" i="1" a="1"/>
  <c r="AH110" i="1" a="1"/>
  <c r="DY54" i="1" a="1"/>
  <c r="BI104" i="1" a="1"/>
  <c r="O114" i="1" a="1"/>
  <c r="P114" i="1" a="1"/>
  <c r="AA111" i="1" a="1"/>
  <c r="BI91" i="1" a="1"/>
  <c r="AJ109" i="1" a="1"/>
  <c r="F70" i="1" a="1"/>
  <c r="AC115" i="1" a="1"/>
  <c r="AJ79" i="1" a="1"/>
  <c r="AJ85" i="1" a="1"/>
  <c r="AE98" i="1" a="1"/>
  <c r="BE106" i="1" a="1"/>
  <c r="EA56" i="1" a="1"/>
  <c r="CE78" i="1" a="1"/>
  <c r="BH98" i="1" a="1"/>
  <c r="AC93" i="1" a="1"/>
  <c r="AJ71" i="1" a="1"/>
  <c r="BG106" i="1" a="1"/>
  <c r="BD113" i="1" a="1"/>
  <c r="AI102" i="1" a="1"/>
  <c r="AC102" i="1" a="1"/>
  <c r="BH67" i="1" a="1"/>
  <c r="BJ94" i="1" a="1"/>
  <c r="BD71" i="1" a="1"/>
  <c r="F115" i="1" a="1"/>
  <c r="C6" i="1" a="1"/>
  <c r="AL93" i="1" a="1"/>
  <c r="DB48" i="1" a="1"/>
  <c r="I103" i="1" a="1"/>
  <c r="AK103" i="1" a="1"/>
  <c r="AI79" i="1" a="1"/>
  <c r="DY20" i="1" a="1"/>
  <c r="DX25" i="1" a="1"/>
  <c r="DG57" i="1" a="1"/>
  <c r="AJ93" i="1" a="1"/>
  <c r="AK87" i="1" a="1"/>
  <c r="EA14" i="1" a="1"/>
  <c r="CJ89" i="1" a="1"/>
  <c r="E80" i="1" a="1"/>
  <c r="D80" i="1" a="1"/>
  <c r="BJ105" i="1" a="1"/>
  <c r="D92" i="1" a="1"/>
  <c r="H108" i="1" a="1"/>
  <c r="DG44" i="1" a="1"/>
  <c r="BI78" i="1" a="1"/>
  <c r="CH73" i="1" a="1"/>
  <c r="CI85" i="1" a="1"/>
  <c r="M91" i="1" a="1"/>
  <c r="CI69" i="1" a="1"/>
  <c r="AN78" i="1" a="1"/>
  <c r="DH34" i="1" a="1"/>
  <c r="BG111" i="1" a="1"/>
  <c r="EB47" i="1" a="1"/>
  <c r="DF16" i="1" a="1"/>
  <c r="O88" i="1" a="1"/>
  <c r="CX16" i="1" a="1"/>
  <c r="CX8" i="1" a="1"/>
  <c r="DC113" i="1" a="1"/>
  <c r="AD116" i="1" a="1"/>
  <c r="CX102" i="1" a="1"/>
  <c r="BE42" i="1" a="1"/>
  <c r="CG111" i="1" a="1"/>
  <c r="CV34" i="1" a="1"/>
  <c r="EE114" i="1" a="1"/>
  <c r="DY29" i="1" a="1"/>
  <c r="EE106" i="1" a="1"/>
  <c r="L102" i="1" a="1"/>
  <c r="AD104" i="1" a="1"/>
  <c r="BH86" i="1" a="1"/>
  <c r="DF110" i="1" a="1"/>
  <c r="AE76" i="1" a="1"/>
  <c r="DY49" i="1" a="1"/>
  <c r="AF109" i="1" a="1"/>
  <c r="ED14" i="1" a="1"/>
  <c r="H105" i="1" a="1"/>
  <c r="BJ52" i="1" a="1"/>
  <c r="ED19" i="1" a="1"/>
  <c r="H89" i="1" a="1"/>
  <c r="D71" i="1" a="1"/>
  <c r="AM78" i="1" a="1"/>
  <c r="DD70" i="1" a="1"/>
  <c r="P98" i="1" a="1"/>
  <c r="EE10" i="1" a="1"/>
  <c r="AM83" i="1" a="1"/>
  <c r="CG85" i="1" a="1"/>
  <c r="BJ75" i="1" a="1"/>
  <c r="G89" i="1" a="1"/>
  <c r="CD115" i="1" a="1"/>
  <c r="EF37" i="1" a="1"/>
  <c r="AZ27" i="1" a="1"/>
  <c r="EF91" i="1" a="1"/>
  <c r="DH83" i="1" a="1"/>
  <c r="EB97" i="1" a="1"/>
  <c r="DC85" i="1" a="1"/>
  <c r="DY70" i="1" a="1"/>
  <c r="BE77" i="1" a="1"/>
  <c r="EE104" i="1" a="1"/>
  <c r="C113" i="1" a="1"/>
  <c r="BL44" i="1" a="1"/>
  <c r="BJ101" i="1" a="1"/>
  <c r="M24" i="9" a="1"/>
  <c r="BF50" i="1" a="1"/>
  <c r="CZ71" i="1" a="1"/>
  <c r="ED92" i="1" a="1"/>
  <c r="DG70" i="1" a="1"/>
  <c r="BK87" i="1" a="1"/>
  <c r="BK108" i="1" a="1"/>
  <c r="AC114" i="1" a="1"/>
  <c r="CH90" i="1" a="1"/>
  <c r="AM71" i="1" a="1"/>
  <c r="DB10" i="1" a="1"/>
  <c r="DX116" i="1" a="1"/>
  <c r="I110" i="1" a="1"/>
  <c r="EB35" i="1" a="1"/>
  <c r="DY28" i="1" a="1"/>
  <c r="AD111" i="1" a="1"/>
  <c r="CE113" i="1" a="1"/>
  <c r="DF30" i="1" a="1"/>
  <c r="H17" i="9" a="1"/>
  <c r="BG68" i="1" a="1"/>
  <c r="AC83" i="1" a="1"/>
  <c r="K68" i="1" a="1"/>
  <c r="DC44" i="1" a="1"/>
  <c r="H35" i="12" a="1"/>
  <c r="EF75" i="1" a="1"/>
  <c r="EC89" i="1" a="1"/>
  <c r="BD107" i="1" a="1"/>
  <c r="DD108" i="1" a="1"/>
  <c r="CF79" i="1" a="1"/>
  <c r="CY70" i="1" a="1"/>
  <c r="ED97" i="1" a="1"/>
  <c r="EF111" i="1" a="1"/>
  <c r="DG77" i="1" a="1"/>
  <c r="AM96" i="1" a="1"/>
  <c r="L66" i="1" a="1"/>
  <c r="BZ116" i="1" a="1"/>
  <c r="ED75" i="1" a="1"/>
  <c r="DH98" i="1" a="1"/>
  <c r="DF67" i="1" a="1"/>
  <c r="DZ14" i="1" a="1"/>
  <c r="I84" i="1" a="1"/>
  <c r="F104" i="1" a="1"/>
  <c r="K83" i="1" a="1"/>
  <c r="AK76" i="1" a="1"/>
  <c r="AG91" i="1" a="1"/>
  <c r="ED57" i="1" a="1"/>
  <c r="EF87" i="1" a="1"/>
  <c r="CH86" i="1" a="1"/>
  <c r="DA95" i="1" a="1"/>
  <c r="BJ69" i="1" a="1"/>
  <c r="C95" i="1" a="1"/>
  <c r="CG94" i="1" a="1"/>
  <c r="P69" i="1" a="1"/>
  <c r="CE108" i="1" a="1"/>
  <c r="F74" i="1" a="1"/>
  <c r="BF67" i="1" a="1"/>
  <c r="BH107" i="1" a="1"/>
  <c r="EF46" i="1" a="1"/>
  <c r="DX33" i="1" a="1"/>
  <c r="DD42" i="1" a="1"/>
  <c r="DH19" i="1" a="1"/>
  <c r="K108" i="1" a="1"/>
  <c r="CZ75" i="1" a="1"/>
  <c r="EF94" i="1" a="1"/>
  <c r="AB110" i="1" a="1"/>
  <c r="EC39" i="1" a="1"/>
  <c r="AG103" i="1" a="1"/>
  <c r="E94" i="1" a="1"/>
  <c r="P107" i="1" a="1"/>
  <c r="DA53" i="1" a="1"/>
  <c r="J103" i="1" a="1"/>
  <c r="N105" i="1" a="1"/>
  <c r="EC44" i="1" a="1"/>
  <c r="EE18" i="1" a="1"/>
  <c r="DA103" i="1" a="1"/>
  <c r="CC83" i="1" a="1"/>
  <c r="AI75" i="1" a="1"/>
  <c r="K105" i="1" a="1"/>
  <c r="BD76" i="1" a="1"/>
  <c r="AN90" i="1" a="1"/>
  <c r="DH18" i="1" a="1"/>
  <c r="N84" i="1" a="1"/>
  <c r="J67" i="1" a="1"/>
  <c r="EF73" i="1" a="1"/>
  <c r="CZ29" i="1" a="1"/>
  <c r="EB57" i="1" a="1"/>
  <c r="BK106" i="1" a="1"/>
  <c r="BJ88" i="1" a="1"/>
  <c r="BG92" i="1" a="1"/>
  <c r="AJ95" i="1" a="1"/>
  <c r="DG14" i="1" a="1"/>
  <c r="AH101" i="1" a="1"/>
  <c r="AC75" i="1" a="1"/>
  <c r="CF104" i="1" a="1"/>
  <c r="F114" i="1" a="1"/>
  <c r="DZ91" i="1" a="1"/>
  <c r="DH31" i="1" a="1"/>
  <c r="DX26" i="1" a="1"/>
  <c r="M94" i="1" a="1"/>
  <c r="F78" i="1" a="1"/>
  <c r="EB16" i="1" a="1"/>
  <c r="BF55" i="1" a="1"/>
  <c r="DE11" i="1" a="1"/>
  <c r="CC86" i="1" a="1"/>
  <c r="DC52" i="1" a="1"/>
  <c r="BD116" i="1" a="1"/>
  <c r="DX37" i="1" a="1"/>
  <c r="CZ18" i="1" a="1"/>
  <c r="C89" i="1" a="1"/>
  <c r="BE91" i="1" a="1"/>
  <c r="J88" i="1" a="1"/>
  <c r="AH90" i="1" a="1"/>
  <c r="ED76" i="1" a="1"/>
  <c r="BG80" i="1" a="1"/>
  <c r="AF94" i="1" a="1"/>
  <c r="BF103" i="1" a="1"/>
  <c r="CB88" i="1" a="1"/>
  <c r="D65" i="1" a="1"/>
  <c r="DB34" i="1" a="1"/>
  <c r="I97" i="1" a="1"/>
  <c r="DY14" i="1" a="1"/>
  <c r="G104" i="1" a="1"/>
  <c r="D113" i="1" a="1"/>
  <c r="ED91" i="1" a="1"/>
  <c r="AB112" i="1" a="1"/>
  <c r="EA32" i="1" a="1"/>
  <c r="BE43" i="1" a="1"/>
  <c r="AL116" i="1" a="1"/>
  <c r="BH92" i="1" a="1"/>
  <c r="N114" i="1" a="1"/>
  <c r="BF52" i="1" a="1"/>
  <c r="EC43" i="1" a="1"/>
  <c r="BL68" i="1" a="1"/>
  <c r="AD90" i="1" a="1"/>
  <c r="ED20" i="1" a="1"/>
  <c r="E107" i="1" a="1"/>
  <c r="AL104" i="1" a="1"/>
  <c r="AL91" i="1" a="1"/>
  <c r="DB16" i="1" a="1"/>
  <c r="AB97" i="1" a="1"/>
  <c r="EB8" i="1" a="1"/>
  <c r="J106" i="1" a="1"/>
  <c r="AD79" i="1" a="1"/>
  <c r="AK116" i="1" a="1"/>
  <c r="BF72" i="1" a="1"/>
  <c r="M105" i="1" a="1"/>
  <c r="N98" i="1" a="1"/>
  <c r="AE103" i="1" a="1"/>
  <c r="K110" i="1" a="1"/>
  <c r="J83" i="1" a="1"/>
  <c r="M89" i="1" a="1"/>
  <c r="BE110" i="1" a="1"/>
  <c r="BG98" i="1" a="1"/>
  <c r="DA36" i="1" a="1"/>
  <c r="BH69" i="1" a="1"/>
  <c r="BL86" i="1" a="1"/>
  <c r="DZ51" i="1" a="1"/>
  <c r="AF115" i="1" a="1"/>
  <c r="BK75" i="1" a="1"/>
  <c r="E66" i="1" a="1"/>
  <c r="EC37" i="1" a="1"/>
  <c r="F72" i="1" a="1"/>
  <c r="DH53" i="1" a="1"/>
  <c r="BF108" i="1" a="1"/>
  <c r="DX10" i="1" a="1"/>
  <c r="AD95" i="1" a="1"/>
  <c r="BH66" i="1" a="1"/>
  <c r="H95" i="1" a="1"/>
  <c r="AB105" i="1" a="1"/>
  <c r="CZ53" i="1" a="1"/>
  <c r="AB86" i="1" a="1"/>
  <c r="K84" i="1" a="1"/>
  <c r="CI113" i="1" a="1"/>
  <c r="BJ92" i="1" a="1"/>
  <c r="DC10" i="1" a="1"/>
  <c r="G109" i="1" a="1"/>
  <c r="G70" i="1" a="1"/>
  <c r="EE16" i="1" a="1"/>
  <c r="M98" i="1" a="1"/>
  <c r="EC32" i="1" a="1"/>
  <c r="BG77" i="1" a="1"/>
  <c r="EC6" i="1" a="1"/>
  <c r="AF105" i="1" a="1"/>
  <c r="DB26" i="1" a="1"/>
  <c r="O89" i="1" a="1"/>
  <c r="E83" i="1" a="1"/>
  <c r="AA93" i="1" a="1"/>
  <c r="DD77" i="1" a="1"/>
  <c r="D112" i="1" a="1"/>
  <c r="M88" i="1" a="1"/>
  <c r="DG31" i="1" a="1"/>
  <c r="EE31" i="1" a="1"/>
  <c r="O75" i="1" a="1"/>
  <c r="CC111" i="1" a="1"/>
  <c r="AL89" i="1" a="1"/>
  <c r="AD85" i="1" a="1"/>
  <c r="AA92" i="1" a="1"/>
  <c r="CZ51" i="1" a="1"/>
  <c r="CI66" i="1" a="1"/>
  <c r="EA48" i="1" a="1"/>
  <c r="DE12" i="1" a="1"/>
  <c r="CY36" i="1" a="1"/>
  <c r="CV20" i="1" a="1"/>
  <c r="CE109" i="1" a="1"/>
  <c r="BL98" i="1" a="1"/>
  <c r="AF27" i="1" a="1"/>
  <c r="EB116" i="1" a="1"/>
  <c r="AK90" i="1" a="1"/>
  <c r="CV97" i="1" a="1"/>
  <c r="DA86" i="1" a="1"/>
  <c r="BW97" i="1" a="1"/>
  <c r="ED65" i="1" a="1"/>
  <c r="DX114" i="1" a="1"/>
  <c r="AA70" i="1" a="1"/>
  <c r="CI107" i="1" a="1"/>
  <c r="DA80" i="1" a="1"/>
  <c r="CF65" i="1" a="1"/>
  <c r="DF14" i="1" a="1"/>
  <c r="DF38" i="1" a="1"/>
  <c r="BJ53" i="1" a="1"/>
  <c r="E84" i="1" a="1"/>
  <c r="AC87" i="1" a="1"/>
  <c r="BI47" i="1" a="1"/>
  <c r="CF92" i="1" a="1"/>
  <c r="DH14" i="1" a="1"/>
  <c r="E79" i="1" a="1"/>
  <c r="AN108" i="1" a="1"/>
  <c r="AG80" i="1" a="1"/>
  <c r="BK52" i="1" a="1"/>
  <c r="BK111" i="1" a="1"/>
  <c r="BK72" i="1" a="1"/>
  <c r="K77" i="1" a="1"/>
  <c r="DD45" i="1" a="1"/>
  <c r="ED30" i="1" a="1"/>
  <c r="AM79" i="1" a="1"/>
  <c r="CU45" i="1" a="1"/>
  <c r="DB110" i="1" a="1"/>
  <c r="CF109" i="1" a="1"/>
  <c r="BL107" i="1" a="1"/>
  <c r="DX91" i="1" a="1"/>
  <c r="DZ67" i="1" a="1"/>
  <c r="BL77" i="1" a="1"/>
  <c r="DE93" i="1" a="1"/>
  <c r="ED115" i="1" a="1"/>
  <c r="DU49" i="1" a="1"/>
  <c r="DF104" i="1" a="1"/>
  <c r="CE96" i="1" a="1"/>
  <c r="DD71" i="1" a="1"/>
  <c r="BE108" i="1" a="1"/>
  <c r="O71" i="1" a="1"/>
  <c r="CY102" i="1" a="1"/>
  <c r="DX74" i="1" a="1"/>
  <c r="CA116" i="1" a="1"/>
  <c r="ED73" i="1" a="1"/>
  <c r="BI94" i="1" a="1"/>
  <c r="BF111" i="1" a="1"/>
  <c r="EE92" i="1" a="1"/>
  <c r="CJ66" i="1" a="1"/>
  <c r="BD86" i="1" a="1"/>
  <c r="DA83" i="1" a="1"/>
  <c r="AA115" i="1" a="1"/>
  <c r="C94" i="1" a="1"/>
  <c r="C84" i="1" a="1"/>
  <c r="EF24" i="1" a="1"/>
  <c r="AI74" i="1" a="1"/>
  <c r="J92" i="1" a="1"/>
  <c r="DX46" i="1" a="1"/>
  <c r="CU104" i="1" a="1"/>
  <c r="EE93" i="1" a="1"/>
  <c r="DE107" i="1" a="1"/>
  <c r="P91" i="1" a="1"/>
  <c r="CD90" i="1" a="1"/>
  <c r="CF93" i="1" a="1"/>
  <c r="DF78" i="1" a="1"/>
  <c r="K87" i="1" a="1"/>
  <c r="BG102" i="1" a="1"/>
  <c r="EF34" i="1" a="1"/>
  <c r="CV56" i="1" a="1"/>
  <c r="DG71" i="1" a="1"/>
  <c r="DE52" i="1" a="1"/>
  <c r="DB95" i="1" a="1"/>
  <c r="AB90" i="1" a="1"/>
  <c r="DF76" i="1" a="1"/>
  <c r="G108" i="1" a="1"/>
  <c r="DG79" i="1" a="1"/>
  <c r="AE86" i="1" a="1"/>
  <c r="DY24" i="1" a="1"/>
  <c r="BE97" i="1" a="1"/>
  <c r="ED87" i="1" a="1"/>
  <c r="DX85" i="1" a="1"/>
  <c r="EA85" i="1" a="1"/>
  <c r="DY91" i="1" a="1"/>
  <c r="AZ76" i="1" a="1"/>
  <c r="CB80" i="1" a="1"/>
  <c r="DY32" i="1" a="1"/>
  <c r="G76" i="1" a="1"/>
  <c r="DD109" i="1" a="1"/>
  <c r="CA83" i="1" a="1"/>
  <c r="AE104" i="1" a="1"/>
  <c r="C73" i="1" a="1"/>
  <c r="EB90" i="1" a="1"/>
  <c r="DF93" i="1" a="1"/>
  <c r="CJ65" i="1" a="1"/>
  <c r="BK46" i="1" a="1"/>
  <c r="DZ36" i="1" a="1"/>
  <c r="CU84" i="1" a="1"/>
  <c r="DG83" i="1" a="1"/>
  <c r="E69" i="1" a="1"/>
  <c r="AH66" i="1" a="1"/>
  <c r="CU55" i="1" a="1"/>
  <c r="CJ68" i="1" a="1"/>
  <c r="EE79" i="1" a="1"/>
  <c r="CD88" i="1" a="1"/>
  <c r="J68" i="1" a="1"/>
  <c r="H70" i="1" a="1"/>
  <c r="AF65" i="1" a="1"/>
  <c r="H87" i="1" a="1"/>
  <c r="CH104" i="1" a="1"/>
  <c r="DG21" i="1" a="1"/>
  <c r="AH73" i="1" a="1"/>
  <c r="BX87" i="1" a="1"/>
  <c r="BH116" i="1" a="1"/>
  <c r="DT71" i="1" a="1"/>
  <c r="CV47" i="1" a="1"/>
  <c r="BI116" i="1" a="1"/>
  <c r="BF109" i="1" a="1"/>
  <c r="EF76" i="1" a="1"/>
  <c r="BG84" i="1" a="1"/>
  <c r="CV104" i="1" a="1"/>
  <c r="CH85" i="1" a="1"/>
  <c r="BF49" i="1" a="1"/>
  <c r="DH76" i="1" a="1"/>
  <c r="CV74" i="1" a="1"/>
  <c r="CD109" i="1" a="1"/>
  <c r="BL70" i="1" a="1"/>
  <c r="D105" i="1" a="1"/>
  <c r="AC88" i="1" a="1"/>
  <c r="EC8" i="1" a="1"/>
  <c r="F111" i="1" a="1"/>
  <c r="ED31" i="1" a="1"/>
  <c r="EF32" i="1" a="1"/>
  <c r="K107" i="1" a="1"/>
  <c r="CZ93" i="1" a="1"/>
  <c r="CC106" i="1" a="1"/>
  <c r="J114" i="1" a="1"/>
  <c r="BE93" i="1" a="1"/>
  <c r="CB68" i="1" a="1"/>
  <c r="AJ77" i="1" a="1"/>
  <c r="EE108" i="1" a="1"/>
  <c r="DG56" i="1" a="1"/>
  <c r="AG115" i="1" a="1"/>
  <c r="DX51" i="1" a="1"/>
  <c r="O105" i="1" a="1"/>
  <c r="ED70" i="1" a="1"/>
  <c r="BH53" i="1" a="1"/>
  <c r="AA108" i="1" a="1"/>
  <c r="CY77" i="1" a="1"/>
  <c r="CH101" i="1" a="1"/>
  <c r="BK95" i="1" a="1"/>
  <c r="AB101" i="1" a="1"/>
  <c r="BJ103" i="1" a="1"/>
  <c r="EA34" i="1" a="1"/>
  <c r="BD98" i="1" a="1"/>
  <c r="DG75" i="1" a="1"/>
  <c r="EB71" i="1" a="1"/>
  <c r="CH70" i="1" a="1"/>
  <c r="P109" i="1" a="1"/>
  <c r="J79" i="1" a="1"/>
  <c r="BW104" i="1" a="1"/>
  <c r="H33" i="12" a="1"/>
  <c r="CU112" i="1" a="1"/>
  <c r="CY50" i="1" a="1"/>
  <c r="BD88" i="1" a="1"/>
  <c r="M114" i="1" a="1"/>
  <c r="DE85" i="1" a="1"/>
  <c r="L75" i="1" a="1"/>
  <c r="M14" i="9" a="1"/>
  <c r="DY67" i="1" a="1"/>
  <c r="EC114" i="1" a="1"/>
  <c r="DC86" i="1" a="1"/>
  <c r="AA14" i="12" a="1"/>
  <c r="BI56" i="1" a="1"/>
  <c r="AN102" i="1" a="1"/>
  <c r="AB66" i="1" a="1"/>
  <c r="AF86" i="1" a="1"/>
  <c r="DG52" i="1" a="1"/>
  <c r="AL115" i="1" a="1"/>
  <c r="N113" i="1" a="1"/>
  <c r="DD84" i="1" a="1"/>
  <c r="EA57" i="1" a="1"/>
  <c r="N71" i="1" a="1"/>
  <c r="CD103" i="1" a="1"/>
  <c r="DA52" i="1" a="1"/>
  <c r="EE97" i="1" a="1"/>
  <c r="BH73" i="1" a="1"/>
  <c r="AG76" i="1" a="1"/>
  <c r="AC76" i="1" a="1"/>
  <c r="AL80" i="1" a="1"/>
  <c r="AJ84" i="1" a="1"/>
  <c r="DA37" i="1" a="1"/>
  <c r="G73" i="1" a="1"/>
  <c r="CF107" i="1" a="1"/>
  <c r="K66" i="1" a="1"/>
  <c r="EE30" i="1" a="1"/>
  <c r="CW106" i="1" a="1"/>
  <c r="DH78" i="1" a="1"/>
  <c r="DD113" i="1" a="1"/>
  <c r="I111" i="1" a="1"/>
  <c r="BD42" i="1" a="1"/>
  <c r="DZ83" i="1" a="1"/>
  <c r="AM114" i="1" a="1"/>
  <c r="CU32" i="1" a="1"/>
  <c r="BF45" i="1" a="1"/>
  <c r="AD94" i="1" a="1"/>
  <c r="AH94" i="1" a="1"/>
  <c r="CB96" i="1" a="1"/>
  <c r="EA104" i="1" a="1"/>
  <c r="CZ103" i="1" a="1"/>
  <c r="CJ87" i="1" a="1"/>
  <c r="AE85" i="1" a="1"/>
  <c r="EB55" i="1" a="1"/>
  <c r="G67" i="1" a="1"/>
  <c r="CJ106" i="1" a="1"/>
  <c r="K74" i="1" a="1"/>
  <c r="AM90" i="1" a="1"/>
  <c r="BK102" i="1" a="1"/>
  <c r="M69" i="1" a="1"/>
  <c r="CC113" i="1" a="1"/>
  <c r="EE53" i="1" a="1"/>
  <c r="DF13" i="1" a="1"/>
  <c r="DG111" i="1" a="1"/>
  <c r="E116" i="1" a="1"/>
  <c r="EB102" i="1" a="1"/>
  <c r="DE73" i="1" a="1"/>
  <c r="CX35" i="1" a="1"/>
  <c r="DC114" i="1" a="1"/>
  <c r="BI73" i="1" a="1"/>
  <c r="DC70" i="1" a="1"/>
  <c r="EC15" i="1" a="1"/>
  <c r="DA111" i="1" a="1"/>
  <c r="BL54" i="1" a="1"/>
  <c r="EE71" i="1" a="1"/>
  <c r="AH108" i="1" a="1"/>
  <c r="ED36" i="1" a="1"/>
  <c r="CG83" i="1" a="1"/>
  <c r="EF29" i="1" a="1"/>
  <c r="DX107" i="1" a="1"/>
  <c r="M21" i="9" a="1"/>
  <c r="EC103" i="1" a="1"/>
  <c r="DY112" i="1" a="1"/>
  <c r="DE105" i="1" a="1"/>
  <c r="DZ25" i="1" a="1"/>
  <c r="DB66" i="1" a="1"/>
  <c r="BI72" i="1" a="1"/>
  <c r="EF28" i="1" a="1"/>
  <c r="DG18" i="1" a="1"/>
  <c r="AG78" i="1" a="1"/>
  <c r="BI69" i="1" a="1"/>
  <c r="BF94" i="1" a="1"/>
  <c r="EE8" i="1" a="1"/>
  <c r="DX102" i="1" a="1"/>
  <c r="CZ33" i="1" a="1"/>
  <c r="E72" i="1" a="1"/>
  <c r="CD86" i="1" a="1"/>
  <c r="EF11" i="1" a="1"/>
  <c r="O67" i="1" a="1"/>
  <c r="AB95" i="1" a="1"/>
  <c r="DH56" i="1" a="1"/>
  <c r="EC7" i="1" a="1"/>
  <c r="DG116" i="1" a="1"/>
  <c r="BH65" i="1" a="1"/>
  <c r="AF98" i="1" a="1"/>
  <c r="DC18" i="1" a="1"/>
  <c r="AG102" i="1" a="1"/>
  <c r="CH74" i="1" a="1"/>
  <c r="CE84" i="1" a="1"/>
  <c r="DZ34" i="1" a="1"/>
  <c r="EF39" i="1" a="1"/>
  <c r="BG71" i="1" a="1"/>
  <c r="CJ109" i="1" a="1"/>
  <c r="I75" i="1" a="1"/>
  <c r="CD112" i="1" a="1"/>
  <c r="BI83" i="1" a="1"/>
  <c r="BI111" i="1" a="1"/>
  <c r="BF79" i="1" a="1"/>
  <c r="DZ44" i="1" a="1"/>
  <c r="M96" i="1" a="1"/>
  <c r="O109" i="1" a="1"/>
  <c r="BI68" i="1" a="1"/>
  <c r="DB17" i="1" a="1"/>
  <c r="F98" i="1" a="1"/>
  <c r="DD33" i="1" a="1"/>
  <c r="DZ33" i="1" a="1"/>
  <c r="AN96" i="1" a="1"/>
  <c r="BL85" i="1" a="1"/>
  <c r="AH95" i="1" a="1"/>
  <c r="DF43" i="1" a="1"/>
  <c r="DA46" i="1" a="1"/>
  <c r="EC38" i="1" a="1"/>
  <c r="C116" i="1" a="1"/>
  <c r="N80" i="1" a="1"/>
  <c r="I107" i="1" a="1"/>
  <c r="CH68" i="1" a="1"/>
  <c r="DX35" i="1" a="1"/>
  <c r="N69" i="1" a="1"/>
  <c r="AN98" i="1" a="1"/>
  <c r="N96" i="1" a="1"/>
  <c r="AB102" i="1" a="1"/>
  <c r="EA47" i="1" a="1"/>
  <c r="C109" i="1" a="1"/>
  <c r="AH65" i="1" a="1"/>
  <c r="BD45" i="1" a="1"/>
  <c r="ED12" i="1" a="1"/>
  <c r="L69" i="1" a="1"/>
  <c r="D84" i="1" a="1"/>
  <c r="K113" i="1" a="1"/>
  <c r="DZ26" i="1" a="1"/>
  <c r="EC46" i="1" a="1"/>
  <c r="DD25" i="1" a="1"/>
  <c r="AF73" i="1" a="1"/>
  <c r="CZ84" i="1" a="1"/>
  <c r="BE50" i="1" a="1"/>
  <c r="BI46" i="1" a="1"/>
  <c r="O95" i="1" a="1"/>
  <c r="AK75" i="1" a="1"/>
  <c r="AA84" i="1" a="1"/>
  <c r="AL72" i="1" a="1"/>
  <c r="BD97" i="1" a="1"/>
  <c r="AA95" i="1" a="1"/>
  <c r="AG85" i="1" a="1"/>
  <c r="BF77" i="1" a="1"/>
  <c r="AK105" i="1" a="1"/>
  <c r="AH91" i="1" a="1"/>
  <c r="CI88" i="1" a="1"/>
  <c r="CG91" i="1" a="1"/>
  <c r="CF90" i="1" a="1"/>
  <c r="CJ80" i="1" a="1"/>
  <c r="EC50" i="1" a="1"/>
  <c r="AI69" i="1" a="1"/>
  <c r="DB97" i="1" a="1"/>
  <c r="DD55" i="1" a="1"/>
  <c r="CJ76" i="1" a="1"/>
  <c r="AH83" i="1" a="1"/>
  <c r="EB18" i="1" a="1"/>
  <c r="D107" i="1" a="1"/>
  <c r="K106" i="1" a="1"/>
  <c r="AG75" i="1" a="1"/>
  <c r="AC110" i="1" a="1"/>
  <c r="O115" i="1" a="1"/>
  <c r="DA24" i="1" a="1"/>
  <c r="DA15" i="1" a="1"/>
  <c r="BF112" i="1" a="1"/>
  <c r="AL103" i="1" a="1"/>
  <c r="BD74" i="1" a="1"/>
  <c r="CG98" i="1" a="1"/>
  <c r="CZ74" i="1" a="1"/>
  <c r="L95" i="1" a="1"/>
  <c r="DH29" i="1" a="1"/>
  <c r="EF52" i="1" a="1"/>
  <c r="EC54" i="1" a="1"/>
  <c r="DE7" i="1" a="1"/>
  <c r="AF103" i="1" a="1"/>
  <c r="DH110" i="1" a="1"/>
  <c r="L92" i="1" a="1"/>
  <c r="J91" i="1" a="1"/>
  <c r="BI74" i="1" a="1"/>
  <c r="BG72" i="1" a="1"/>
  <c r="CG107" i="1" a="1"/>
  <c r="AM76" i="1" a="1"/>
  <c r="BH83" i="1" a="1"/>
  <c r="N79" i="1" a="1"/>
  <c r="AF111" i="1" a="1"/>
  <c r="AH77" i="1" a="1"/>
  <c r="AG112" i="1" a="1"/>
  <c r="EC11" i="1" a="1"/>
  <c r="BG76" i="1" a="1"/>
  <c r="I105" i="1" a="1"/>
  <c r="BI52" i="1" a="1"/>
  <c r="AM89" i="1" a="1"/>
  <c r="P108" i="1" a="1"/>
  <c r="DF9" i="1" a="1"/>
  <c r="D72" i="1" a="1"/>
  <c r="N67" i="1" a="1"/>
  <c r="CJ86" i="1" a="1"/>
  <c r="DB114" i="1" a="1"/>
  <c r="M113" i="1" a="1"/>
  <c r="BG93" i="1" a="1"/>
  <c r="BE102" i="1" a="1"/>
  <c r="AF95" i="1" a="1"/>
  <c r="CI108" i="1" a="1"/>
  <c r="AG104" i="1" a="1"/>
  <c r="DG36" i="1" a="1"/>
  <c r="J77" i="1" a="1"/>
  <c r="L90" i="1" a="1"/>
  <c r="BK114" i="1" a="1"/>
  <c r="AL113" i="1" a="1"/>
  <c r="M111" i="1" a="1"/>
  <c r="BI106" i="1" a="1"/>
  <c r="EC49" i="1" a="1"/>
  <c r="AB92" i="1" a="1"/>
  <c r="C72" i="1" a="1"/>
  <c r="DC54" i="1" a="1"/>
  <c r="AB109" i="1" a="1"/>
  <c r="O70" i="1" a="1"/>
  <c r="P79" i="1" a="1"/>
  <c r="L70" i="1" a="1"/>
  <c r="DE103" i="1" a="1"/>
  <c r="J76" i="1" a="1"/>
  <c r="AN84" i="1" a="1"/>
  <c r="CC72" i="1" a="1"/>
  <c r="CG78" i="1" a="1"/>
  <c r="DA18" i="1" a="1"/>
  <c r="AC94" i="1" a="1"/>
  <c r="J75" i="1" a="1"/>
  <c r="DE46" i="1" a="1"/>
  <c r="EA10" i="1" a="1"/>
  <c r="AL95" i="1" a="1"/>
  <c r="L77" i="1" a="1"/>
  <c r="DF29" i="1" a="1"/>
  <c r="EA20" i="1" a="1"/>
  <c r="AG90" i="1" a="1"/>
  <c r="P103" i="1" a="1"/>
  <c r="BG45" i="1" a="1"/>
  <c r="EC91" i="1" a="1"/>
  <c r="DD104" i="1" a="1"/>
  <c r="CF72" i="1" a="1"/>
  <c r="AM116" i="1" a="1"/>
  <c r="DA112" i="1" a="1"/>
  <c r="BE96" i="1" a="1"/>
  <c r="AH109" i="1" a="1"/>
  <c r="BK65" i="1" a="1"/>
  <c r="CI103" i="1" a="1"/>
  <c r="EE11" i="1" a="1"/>
  <c r="EF88" i="1" a="1"/>
  <c r="BG66" i="1" a="1"/>
  <c r="EC116" i="1" a="1"/>
  <c r="BH48" i="1" a="1"/>
  <c r="DY47" i="1" a="1"/>
  <c r="N108" i="1" a="1"/>
  <c r="DA91" i="1" a="1"/>
  <c r="M87" i="1" a="1"/>
  <c r="AL94" i="1" a="1"/>
  <c r="DH46" i="1" a="1"/>
  <c r="DF28" i="1" a="1"/>
  <c r="AL101" i="1" a="1"/>
  <c r="BL88" i="1" a="1"/>
  <c r="CV19" i="1" a="1"/>
  <c r="CZ78" i="1" a="1"/>
  <c r="DE89" i="1" a="1"/>
  <c r="EB28" i="1" a="1"/>
  <c r="H17" i="12" a="1"/>
  <c r="CJ88" i="1" a="1"/>
  <c r="DF70" i="1" a="1"/>
  <c r="DF116" i="1" a="1"/>
  <c r="EF98" i="1" a="1"/>
  <c r="DX101" i="1" a="1"/>
  <c r="EF38" i="1" a="1"/>
  <c r="L71" i="1" a="1"/>
  <c r="E97" i="1" a="1"/>
  <c r="BD55" i="1" a="1"/>
  <c r="AJ80" i="1" a="1"/>
  <c r="I70" i="1" a="1"/>
  <c r="O73" i="1" a="1"/>
  <c r="L104" i="1" a="1"/>
  <c r="DY33" i="1" a="1"/>
  <c r="BH46" i="1" a="1"/>
  <c r="J65" i="1" a="1"/>
  <c r="D91" i="1" a="1"/>
  <c r="CJ112" i="1" a="1"/>
  <c r="DB14" i="1" a="1"/>
  <c r="BG91" i="1" a="1"/>
  <c r="K71" i="1" a="1"/>
  <c r="F86" i="1" a="1"/>
  <c r="AB78" i="1" a="1"/>
  <c r="DD26" i="1" a="1"/>
  <c r="AA97" i="1" a="1"/>
  <c r="C65" i="1" a="1"/>
  <c r="AD89" i="1" a="1"/>
  <c r="CZ37" i="1" a="1"/>
  <c r="AB116" i="1" a="1"/>
  <c r="N102" i="1" a="1"/>
  <c r="DA11" i="1" a="1"/>
  <c r="CI65" i="1" a="1"/>
  <c r="CB77" i="1" a="1"/>
  <c r="EF21" i="1" a="1"/>
  <c r="EB21" i="1" a="1"/>
  <c r="DC39" i="1" a="1"/>
  <c r="EA33" i="1" a="1"/>
  <c r="AB79" i="1" a="1"/>
  <c r="CF78" i="1" a="1"/>
  <c r="D115" i="1" a="1"/>
  <c r="AA69" i="1" a="1"/>
  <c r="DZ15" i="1" a="1"/>
  <c r="M108" i="1" a="1"/>
  <c r="DC57" i="1" a="1"/>
  <c r="DY42" i="1" a="1"/>
  <c r="K88" i="1" a="1"/>
  <c r="DE21" i="1" a="1"/>
  <c r="K102" i="1" a="1"/>
  <c r="AC77" i="1" a="1"/>
  <c r="DC90" i="1" a="1"/>
  <c r="AJ68" i="1" a="1"/>
  <c r="BJ90" i="1" a="1"/>
  <c r="CE107" i="1" a="1"/>
  <c r="CC105" i="1" a="1"/>
  <c r="CD79" i="1" a="1"/>
  <c r="CJ83" i="1" a="1"/>
  <c r="CE73" i="1" a="1"/>
  <c r="BL79" i="1" a="1"/>
  <c r="CJ116" i="1" a="1"/>
  <c r="BD47" i="1" a="1"/>
  <c r="DY39" i="1" a="1"/>
  <c r="BJ111" i="1" a="1"/>
  <c r="DH38" i="1" a="1"/>
  <c r="DY116" i="1" a="1"/>
  <c r="D111" i="1" a="1"/>
  <c r="DF12" i="1" a="1"/>
  <c r="G66" i="1" a="1"/>
  <c r="DX55" i="1" a="1"/>
  <c r="CZ52" i="1" a="1"/>
  <c r="F89" i="1" a="1"/>
  <c r="AN109" i="1" a="1"/>
  <c r="DB56" i="1" a="1"/>
  <c r="EE110" i="1" a="1"/>
  <c r="ED46" i="1" a="1"/>
  <c r="CF73" i="1" a="1"/>
  <c r="DD12" i="1" a="1"/>
  <c r="P111" i="1" a="1"/>
  <c r="EE54" i="1" a="1"/>
  <c r="DX109" i="1" a="1"/>
  <c r="O94" i="1" a="1"/>
  <c r="DB24" i="1" a="1"/>
  <c r="E88" i="1" a="1"/>
  <c r="AF80" i="1" a="1"/>
  <c r="EC57" i="1" a="1"/>
  <c r="AG77" i="1" a="1"/>
  <c r="C115" i="1" a="1"/>
  <c r="BG75" i="1" a="1"/>
  <c r="AE93" i="1" a="1"/>
  <c r="DY8" i="1" a="1"/>
  <c r="AH93" i="1" a="1"/>
  <c r="AG87" i="1" a="1"/>
  <c r="DY71" i="1" a="1"/>
  <c r="BL108" i="1" a="1"/>
  <c r="N94" i="1" a="1"/>
  <c r="AC98" i="1" a="1"/>
  <c r="DD76" i="1" a="1"/>
  <c r="EF54" i="1" a="1"/>
  <c r="F79" i="1" a="1"/>
  <c r="AD78" i="1" a="1"/>
  <c r="CH102" i="1" a="1"/>
  <c r="DX18" i="1" a="1"/>
  <c r="ED15" i="1" a="1"/>
  <c r="O74" i="1" a="1"/>
  <c r="BG79" i="1" a="1"/>
  <c r="DE49" i="1" a="1"/>
  <c r="EC16" i="1" a="1"/>
  <c r="DY35" i="1" a="1"/>
  <c r="BI84" i="1" a="1"/>
  <c r="AA113" i="1" a="1"/>
  <c r="J69" i="1" a="1"/>
  <c r="G101" i="1" a="1"/>
  <c r="DZ20" i="1" a="1"/>
  <c r="EE96" i="1" a="1"/>
  <c r="DF8" i="1" a="1"/>
  <c r="BG85" i="1" a="1"/>
  <c r="J95" i="1" a="1"/>
  <c r="EB7" i="1" a="1"/>
  <c r="E74" i="1" a="1"/>
  <c r="J104" i="1" a="1"/>
  <c r="H69" i="1" a="1"/>
  <c r="AM111" i="1" a="1"/>
  <c r="EA49" i="1" a="1"/>
  <c r="CB116" i="1" a="1"/>
  <c r="DG11" i="1" a="1"/>
  <c r="F68" i="1" a="1"/>
  <c r="AH88" i="1" a="1"/>
  <c r="CZ16" i="1" a="1"/>
  <c r="DG19" i="1" a="1"/>
  <c r="BI113" i="1" a="1"/>
  <c r="ED13" i="1" a="1"/>
  <c r="E71" i="1" a="1"/>
  <c r="C68" i="1" a="1"/>
  <c r="BL57" i="1" a="1"/>
  <c r="DH44" i="1" a="1"/>
  <c r="DC27" i="1" a="1"/>
  <c r="DE17" i="1" a="1"/>
  <c r="DH35" i="1" a="1"/>
  <c r="EB34" i="1" a="1"/>
  <c r="L88" i="1" a="1"/>
  <c r="BE18" i="1" a="1"/>
  <c r="E45" i="1" a="1"/>
  <c r="D30" i="1" a="1"/>
  <c r="AB30" i="1" a="1"/>
  <c r="BF37" i="1" a="1"/>
  <c r="G54" i="1" a="1"/>
  <c r="I29" i="1" a="1"/>
  <c r="E11" i="1" a="1"/>
  <c r="BE15" i="1" a="1"/>
  <c r="CD15" i="1" a="1"/>
  <c r="AF45" i="1" a="1"/>
  <c r="L13" i="1" a="1"/>
  <c r="AI21" i="1" a="1"/>
  <c r="J46" i="1" a="1"/>
  <c r="C8" i="1" a="1"/>
  <c r="M50" i="1" a="1"/>
  <c r="C13" i="1" a="1"/>
  <c r="AJ9" i="1" a="1"/>
  <c r="BH39" i="1" a="1"/>
  <c r="CE26" i="1" a="1"/>
  <c r="AD24" i="1" a="1"/>
  <c r="AE54" i="1" a="1"/>
  <c r="L12" i="1" a="1"/>
  <c r="BK26" i="1" a="1"/>
  <c r="CC18" i="1" a="1"/>
  <c r="J52" i="1" a="1"/>
  <c r="BJ37" i="1" a="1"/>
  <c r="CH39" i="1" a="1"/>
  <c r="CB54" i="1" a="1"/>
  <c r="N43" i="1" a="1"/>
  <c r="AC20" i="1" a="1"/>
  <c r="AI7" i="1" a="1"/>
  <c r="AF57" i="1" a="1"/>
  <c r="AA17" i="1" a="1"/>
  <c r="I53" i="1" a="1"/>
  <c r="BH12" i="1" a="1"/>
  <c r="AG43" i="1" a="1"/>
  <c r="CD52" i="1" a="1"/>
  <c r="C43" i="1" a="1"/>
  <c r="AA38" i="1" a="1"/>
  <c r="AE56" i="1" a="1"/>
  <c r="AD15" i="1" a="1"/>
  <c r="M27" i="1" a="1"/>
  <c r="G28" i="1" a="1"/>
  <c r="AH50" i="1" a="1"/>
  <c r="AK14" i="1" a="1"/>
  <c r="BJ13" i="1" a="1"/>
  <c r="O12" i="1" a="1"/>
  <c r="BG17" i="1" a="1"/>
  <c r="BH32" i="1" a="1"/>
  <c r="G27" i="1" a="1"/>
  <c r="K10" i="1" a="1"/>
  <c r="AL39" i="1" a="1"/>
  <c r="AD28" i="1" a="1"/>
  <c r="AJ45" i="1" a="1"/>
  <c r="AD44" i="1" a="1"/>
  <c r="BK10" i="1" a="1"/>
  <c r="CJ46" i="1" a="1"/>
  <c r="BI11" i="1" a="1"/>
  <c r="CJ42" i="1" a="1"/>
  <c r="AH30" i="1" a="1"/>
  <c r="AE24" i="1" a="1"/>
  <c r="AN56" i="1" a="1"/>
  <c r="CC39" i="1" a="1"/>
  <c r="CG6" i="1" a="1"/>
  <c r="L9" i="1" a="1"/>
  <c r="CE36" i="1" a="1"/>
  <c r="AH35" i="1" a="1"/>
  <c r="AB17" i="1" a="1"/>
  <c r="D38" i="1" a="1"/>
  <c r="AM55" i="1" a="1"/>
  <c r="AE37" i="1" a="1"/>
  <c r="CH45" i="1" a="1"/>
  <c r="M12" i="1" a="1"/>
  <c r="AJ13" i="1" a="1"/>
  <c r="G21" i="1" a="1"/>
  <c r="C19" i="1" a="1"/>
  <c r="CB47" i="1" a="1"/>
  <c r="AL20" i="1" a="1"/>
  <c r="I49" i="1" a="1"/>
  <c r="D19" i="1" a="1"/>
  <c r="P31" i="1" a="1"/>
  <c r="BL31" i="1" a="1"/>
  <c r="I14" i="1" a="1"/>
  <c r="BG25" i="1" a="1"/>
  <c r="AA35" i="1" a="1"/>
  <c r="CF34" i="1" a="1"/>
  <c r="BX107" i="1" a="1"/>
  <c r="DE54" i="1" a="1"/>
  <c r="D93" i="1" a="1"/>
  <c r="DG84" i="1" a="1"/>
  <c r="BD67" i="1" a="1"/>
  <c r="DH32" i="1" a="1"/>
  <c r="BL115" i="1" a="1"/>
  <c r="EE21" i="1" a="1"/>
  <c r="M112" i="1" a="1"/>
  <c r="G107" i="1" a="1"/>
  <c r="BI55" i="1" a="1"/>
  <c r="BG116" i="1" a="1"/>
  <c r="AK98" i="1" a="1"/>
  <c r="DH92" i="1" a="1"/>
  <c r="L89" i="1" a="1"/>
  <c r="L106" i="1" a="1"/>
  <c r="DD54" i="1" a="1"/>
  <c r="DX47" i="1" a="1"/>
  <c r="AI110" i="1" a="1"/>
  <c r="DB32" i="1" a="1"/>
  <c r="N111" i="1" a="1"/>
  <c r="BX109" i="1" a="1"/>
  <c r="EF26" i="1" a="1"/>
  <c r="AE109" i="1" a="1"/>
  <c r="CU51" i="1" a="1"/>
  <c r="EC70" i="1" a="1"/>
  <c r="DZ112" i="1" a="1"/>
  <c r="G105" i="1" a="1"/>
  <c r="M16" i="9" a="1"/>
  <c r="H30" i="12" a="1"/>
  <c r="DG96" i="1" a="1"/>
  <c r="CE86" i="1" a="1"/>
  <c r="BK43" i="1" a="1"/>
  <c r="EE17" i="1" a="1"/>
  <c r="BH90" i="1" a="1"/>
  <c r="N72" i="1" a="1"/>
  <c r="CF66" i="1" a="1"/>
  <c r="DE45" i="1" a="1"/>
  <c r="DC51" i="1" a="1"/>
  <c r="DA85" i="1" a="1"/>
  <c r="C112" i="1" a="1"/>
  <c r="BA76" i="1" a="1"/>
  <c r="DF68" i="1" a="1"/>
  <c r="BD54" i="1" a="1"/>
  <c r="BH51" i="1" a="1"/>
  <c r="AD96" i="1" a="1"/>
  <c r="EF74" i="1" a="1"/>
  <c r="BF78" i="1" a="1"/>
  <c r="C78" i="1" a="1"/>
  <c r="O90" i="1" a="1"/>
  <c r="DX105" i="1" a="1"/>
  <c r="DE101" i="1" a="1"/>
  <c r="AF96" i="1" a="1"/>
  <c r="M11" i="9" a="1"/>
  <c r="CJ111" i="1" a="1"/>
  <c r="DX12" i="1" a="1"/>
  <c r="I74" i="1" a="1"/>
  <c r="DE95" i="1" a="1"/>
  <c r="CD65" i="1" a="1"/>
  <c r="AK96" i="1" a="1"/>
  <c r="DE71" i="1" a="1"/>
  <c r="DB102" i="1" a="1"/>
  <c r="CG114" i="1" a="1"/>
  <c r="DE92" i="1" a="1"/>
  <c r="AE73" i="1" a="1"/>
  <c r="AK95" i="1" a="1"/>
  <c r="AC90" i="1" a="1"/>
  <c r="I79" i="1" a="1"/>
  <c r="CE72" i="1" a="1"/>
  <c r="CD77" i="1" a="1"/>
  <c r="EF45" i="1" a="1"/>
  <c r="DH13" i="1" a="1"/>
  <c r="ED6" i="1" a="1"/>
  <c r="BF66" i="1" a="1"/>
  <c r="DD38" i="1" a="1"/>
  <c r="CF83" i="1" a="1"/>
  <c r="CJ84" i="1" a="1"/>
  <c r="CC94" i="1" a="1"/>
  <c r="EF51" i="1" a="1"/>
  <c r="CD95" i="1" a="1"/>
  <c r="N91" i="1" a="1"/>
  <c r="BD91" i="1" a="1"/>
  <c r="O97" i="1" a="1"/>
  <c r="DE28" i="1" a="1"/>
  <c r="DG46" i="1" a="1"/>
  <c r="L78" i="1" a="1"/>
  <c r="CC79" i="1" a="1"/>
  <c r="BK92" i="1" a="1"/>
  <c r="AN76" i="1" a="1"/>
  <c r="DG38" i="1" a="1"/>
  <c r="AI98" i="1" a="1"/>
  <c r="BK116" i="1" a="1"/>
  <c r="EB33" i="1" a="1"/>
  <c r="DB31" i="1" a="1"/>
  <c r="EF30" i="1" a="1"/>
  <c r="BL93" i="1" a="1"/>
  <c r="AJ91" i="1" a="1"/>
  <c r="EE6" i="1" a="1"/>
  <c r="EB15" i="1" a="1"/>
  <c r="DD31" i="1" a="1"/>
  <c r="EA11" i="1" a="1"/>
  <c r="CB108" i="1" a="1"/>
  <c r="AG105" i="1" a="1"/>
  <c r="EA92" i="1" a="1"/>
  <c r="EC34" i="1" a="1"/>
  <c r="BK89" i="1" a="1"/>
  <c r="BK53" i="1" a="1"/>
  <c r="AI115" i="1" a="1"/>
  <c r="I87" i="1" a="1"/>
  <c r="AI68" i="1" a="1"/>
  <c r="AK70" i="1" a="1"/>
  <c r="K93" i="1" a="1"/>
  <c r="EA83" i="1" a="1"/>
  <c r="DH106" i="1" a="1"/>
  <c r="BD111" i="1" a="1"/>
  <c r="AB71" i="1" a="1"/>
  <c r="CG84" i="1" a="1"/>
  <c r="AG66" i="1" a="1"/>
  <c r="D86" i="1" a="1"/>
  <c r="DC35" i="1" a="1"/>
  <c r="AB94" i="1" a="1"/>
  <c r="DF84" i="1" a="1"/>
  <c r="AA71" i="1" a="1"/>
  <c r="L111" i="1" a="1"/>
  <c r="AE92" i="1" a="1"/>
  <c r="N86" i="1" a="1"/>
  <c r="CE106" i="1" a="1"/>
  <c r="AE78" i="1" a="1"/>
  <c r="DY6" i="1" a="1"/>
  <c r="BE84" i="1" a="1"/>
  <c r="BG90" i="1" a="1"/>
  <c r="F102" i="1" a="1"/>
  <c r="AC71" i="1" a="1"/>
  <c r="EB45" i="1" a="1"/>
  <c r="CZ46" i="1" a="1"/>
  <c r="AM109" i="1" a="1"/>
  <c r="BF83" i="1" a="1"/>
  <c r="BD106" i="1" a="1"/>
  <c r="ED21" i="1" a="1"/>
  <c r="AK113" i="1" a="1"/>
  <c r="EF93" i="1" a="1"/>
  <c r="DX48" i="1" a="1"/>
  <c r="BH54" i="1" a="1"/>
  <c r="DG39" i="1" a="1"/>
  <c r="CG105" i="1" a="1"/>
  <c r="DD47" i="1" a="1"/>
  <c r="F110" i="1" a="1"/>
  <c r="BG74" i="1" a="1"/>
  <c r="DZ18" i="1" a="1"/>
  <c r="AN83" i="1" a="1"/>
  <c r="C107" i="1" a="1"/>
  <c r="AB68" i="1" a="1"/>
  <c r="AD76" i="1" a="1"/>
  <c r="L110" i="1" a="1"/>
  <c r="AG113" i="1" a="1"/>
  <c r="H107" i="1" a="1"/>
  <c r="P76" i="1" a="1"/>
  <c r="EA51" i="1" a="1"/>
  <c r="BD89" i="1" a="1"/>
  <c r="DG9" i="1" a="1"/>
  <c r="H85" i="1" a="1"/>
  <c r="AA116" i="1" a="1"/>
  <c r="AJ87" i="1" a="1"/>
  <c r="EC13" i="1" a="1"/>
  <c r="BE95" i="1" a="1"/>
  <c r="AC97" i="1" a="1"/>
  <c r="AD71" i="1" a="1"/>
  <c r="EE49" i="1" a="1"/>
  <c r="AE89" i="1" a="1"/>
  <c r="P97" i="1" a="1"/>
  <c r="BJ114" i="1" a="1"/>
  <c r="DH8" i="1" a="1"/>
  <c r="AF116" i="1" a="1"/>
  <c r="K101" i="1" a="1"/>
  <c r="DA26" i="1" a="1"/>
  <c r="AM92" i="1" a="1"/>
  <c r="DD21" i="1" a="1"/>
  <c r="AI116" i="1" a="1"/>
  <c r="G72" i="1" a="1"/>
  <c r="AA90" i="1" a="1"/>
  <c r="ED43" i="1" a="1"/>
  <c r="AA87" i="1" a="1"/>
  <c r="DF36" i="1" a="1"/>
  <c r="ED38" i="1" a="1"/>
  <c r="DB45" i="1" a="1"/>
  <c r="EB67" i="1" a="1"/>
  <c r="DE16" i="1" a="1"/>
  <c r="CB76" i="1" a="1"/>
  <c r="EA77" i="1" a="1"/>
  <c r="DC43" i="1" a="1"/>
  <c r="CF115" i="1" a="1"/>
  <c r="DY27" i="1" a="1"/>
  <c r="EC17" i="1" a="1"/>
  <c r="BG48" i="1" a="1"/>
  <c r="AB104" i="1" a="1"/>
  <c r="H109" i="1" a="1"/>
  <c r="EB32" i="1" a="1"/>
  <c r="D31" i="1" a="1"/>
  <c r="AJ16" i="1" a="1"/>
  <c r="K11" i="1" a="1"/>
  <c r="CG20" i="1" a="1"/>
  <c r="CI45" i="1" a="1"/>
  <c r="AC18" i="1" a="1"/>
  <c r="J20" i="1" a="1"/>
  <c r="BF12" i="1" a="1"/>
  <c r="BE29" i="1" a="1"/>
  <c r="AI9" i="1" a="1"/>
  <c r="CB44" i="1" a="1"/>
  <c r="CH7" i="1" a="1"/>
  <c r="L43" i="1" a="1"/>
  <c r="C15" i="1" a="1"/>
  <c r="AE30" i="1" a="1"/>
  <c r="C30" i="1" a="1"/>
  <c r="AL48" i="1" a="1"/>
  <c r="J53" i="1" a="1"/>
  <c r="N34" i="1" a="1"/>
  <c r="BG16" i="1" a="1"/>
  <c r="AD26" i="1" a="1"/>
  <c r="CE54" i="1" a="1"/>
  <c r="F16" i="1" a="1"/>
  <c r="BL33" i="1" a="1"/>
  <c r="CE45" i="1" a="1"/>
  <c r="F45" i="1" a="1"/>
  <c r="CC47" i="1" a="1"/>
  <c r="AB51" i="1" a="1"/>
  <c r="D39" i="1" a="1"/>
  <c r="CD45" i="1" a="1"/>
  <c r="I36" i="1" a="1"/>
  <c r="AB50" i="1" a="1"/>
  <c r="AN20" i="1" a="1"/>
  <c r="AE47" i="1" a="1"/>
  <c r="CB43" i="1" a="1"/>
  <c r="P50" i="1" a="1"/>
  <c r="AC30" i="1" a="1"/>
  <c r="K33" i="1" a="1"/>
  <c r="AD37" i="1" a="1"/>
  <c r="BK38" i="1" a="1"/>
  <c r="CJ55" i="1" a="1"/>
  <c r="AF44" i="1" a="1"/>
  <c r="BI31" i="1" a="1"/>
  <c r="CC25" i="1" a="1"/>
  <c r="AC37" i="1" a="1"/>
  <c r="AK51" i="1" a="1"/>
  <c r="AN11" i="1" a="1"/>
  <c r="AH34" i="1" a="1"/>
  <c r="F13" i="1" a="1"/>
  <c r="D37" i="1" a="1"/>
  <c r="AM36" i="1" a="1"/>
  <c r="O39" i="1" a="1"/>
  <c r="BH11" i="1" a="1"/>
  <c r="AC15" i="1" a="1"/>
  <c r="BL25" i="1" a="1"/>
  <c r="AA10" i="1" a="1"/>
  <c r="L11" i="1" a="1"/>
  <c r="AA16" i="1" a="1"/>
  <c r="AA49" i="1" a="1"/>
  <c r="O57" i="1" a="1"/>
  <c r="AK12" i="1" a="1"/>
  <c r="BE38" i="1" a="1"/>
  <c r="CH33" i="1" a="1"/>
  <c r="BE20" i="1" a="1"/>
  <c r="L6" i="1" a="1"/>
  <c r="AI29" i="1" a="1"/>
  <c r="BG13" i="1" a="1"/>
  <c r="N18" i="1" a="1"/>
  <c r="L21" i="1" a="1"/>
  <c r="AK45" i="1" a="1"/>
  <c r="H20" i="1" a="1"/>
  <c r="AM15" i="1" a="1"/>
  <c r="AH25" i="1" a="1"/>
  <c r="BE36" i="1" a="1"/>
  <c r="AL19" i="1" a="1"/>
  <c r="AK25" i="1" a="1"/>
  <c r="CF20" i="1" a="1"/>
  <c r="BH6" i="1" a="1"/>
  <c r="K55" i="1" a="1"/>
  <c r="C53" i="1" a="1"/>
  <c r="AB49" i="1" a="1"/>
  <c r="CD35" i="1" a="1"/>
  <c r="CH49" i="1" a="1"/>
  <c r="BJ24" i="1" a="1"/>
  <c r="BD35" i="1" a="1"/>
  <c r="AK32" i="1" a="1"/>
  <c r="G7" i="1" a="1"/>
  <c r="CU116" i="1" a="1"/>
  <c r="CU78" i="1" a="1"/>
  <c r="CD87" i="1" a="1"/>
  <c r="EC33" i="1" a="1"/>
  <c r="AG96" i="1" a="1"/>
  <c r="AM74" i="1" a="1"/>
  <c r="EB38" i="1" a="1"/>
  <c r="CI71" i="1" a="1"/>
  <c r="BA66" i="1" a="1"/>
  <c r="CI90" i="1" a="1"/>
  <c r="DG25" i="1" a="1"/>
  <c r="BK67" i="1" a="1"/>
  <c r="CY66" i="1" a="1"/>
  <c r="AM108" i="1" a="1"/>
  <c r="AK67" i="1" a="1"/>
  <c r="J73" i="1" a="1"/>
  <c r="CE93" i="1" a="1"/>
  <c r="DG69" i="1" a="1"/>
  <c r="BL69" i="1" a="1"/>
  <c r="BE46" i="1" a="1"/>
  <c r="DE39" i="1" a="1"/>
  <c r="AK80" i="1" a="1"/>
  <c r="H80" i="1" a="1"/>
  <c r="AD84" i="1" a="1"/>
  <c r="DX67" i="1" a="1"/>
  <c r="DE96" i="1" a="1"/>
  <c r="CF80" i="1" a="1"/>
  <c r="DY103" i="1" a="1"/>
  <c r="CE91" i="1" a="1"/>
  <c r="K103" i="1" a="1"/>
  <c r="BL114" i="1" a="1"/>
  <c r="DZ115" i="1" a="1"/>
  <c r="EF65" i="1" a="1"/>
  <c r="EC51" i="1" a="1"/>
  <c r="AJ111" i="1" a="1"/>
  <c r="DE79" i="1" a="1"/>
  <c r="M116" i="1" a="1"/>
  <c r="CC93" i="1" a="1"/>
  <c r="BD110" i="1" a="1"/>
  <c r="EA89" i="1" a="1"/>
  <c r="DD43" i="1" a="1"/>
  <c r="O93" i="1" a="1"/>
  <c r="AI76" i="1" a="1"/>
  <c r="DA16" i="1" a="1"/>
  <c r="EE7" i="1" a="1"/>
  <c r="BH103" i="1" a="1"/>
  <c r="F94" i="1" a="1"/>
  <c r="BF87" i="1" a="1"/>
  <c r="AH92" i="1" a="1"/>
  <c r="AE79" i="1" a="1"/>
  <c r="BG113" i="1" a="1"/>
  <c r="EE14" i="1" a="1"/>
  <c r="BE45" i="1" a="1"/>
  <c r="AI112" i="1" a="1"/>
  <c r="H97" i="1" a="1"/>
  <c r="DD50" i="1" a="1"/>
  <c r="E70" i="1" a="1"/>
  <c r="DD10" i="1" a="1"/>
  <c r="CZ113" i="1" a="1"/>
  <c r="CE77" i="1" a="1"/>
  <c r="AA67" i="1" a="1"/>
  <c r="DY44" i="1" a="1"/>
  <c r="AB89" i="1" a="1"/>
  <c r="AF91" i="1" a="1"/>
  <c r="BD78" i="1" a="1"/>
  <c r="I115" i="1" a="1"/>
  <c r="D74" i="1" a="1"/>
  <c r="EB101" i="1" a="1"/>
  <c r="DB8" i="1" a="1"/>
  <c r="EA24" i="1" a="1"/>
  <c r="EB9" i="1" a="1"/>
  <c r="DA9" i="1" a="1"/>
  <c r="DD39" i="1" a="1"/>
  <c r="AE91" i="1" a="1"/>
  <c r="AD65" i="1" a="1"/>
  <c r="BG65" i="1" a="1"/>
  <c r="P110" i="1" a="1"/>
  <c r="AF88" i="1" a="1"/>
  <c r="AB114" i="1" a="1"/>
  <c r="DB12" i="1" a="1"/>
  <c r="DA31" i="1" a="1"/>
  <c r="E112" i="1" a="1"/>
  <c r="AF84" i="1" a="1"/>
  <c r="O92" i="1" a="1"/>
  <c r="D78" i="1" a="1"/>
  <c r="O65" i="1" a="1"/>
  <c r="BJ56" i="1" a="1"/>
  <c r="CB113" i="1" a="1"/>
  <c r="M83" i="1" a="1"/>
  <c r="DD20" i="1" a="1"/>
  <c r="H111" i="1" a="1"/>
  <c r="O66" i="1" a="1"/>
  <c r="AM65" i="1" a="1"/>
  <c r="AL66" i="1" a="1"/>
  <c r="DH45" i="1" a="1"/>
  <c r="DA10" i="1" a="1"/>
  <c r="AH103" i="1" a="1"/>
  <c r="DY17" i="1" a="1"/>
  <c r="AB80" i="1" a="1"/>
  <c r="DD8" i="1" a="1"/>
  <c r="C114" i="1" a="1"/>
  <c r="CF70" i="1" a="1"/>
  <c r="CD69" i="1" a="1"/>
  <c r="DY53" i="1" a="1"/>
  <c r="DC33" i="1" a="1"/>
  <c r="DG37" i="1" a="1"/>
  <c r="AE95" i="1" a="1"/>
  <c r="EB48" i="1" a="1"/>
  <c r="DC29" i="1" a="1"/>
  <c r="D70" i="1" a="1"/>
  <c r="BL42" i="1" a="1"/>
  <c r="AN94" i="1" a="1"/>
  <c r="CW76" i="1" a="1"/>
  <c r="DG109" i="1" a="1"/>
  <c r="O104" i="1" a="1"/>
  <c r="DH51" i="1" a="1"/>
  <c r="CV115" i="1" a="1"/>
  <c r="DZ68" i="1" a="1"/>
  <c r="AE112" i="1" a="1"/>
  <c r="AF29" i="1" a="1"/>
  <c r="CX65" i="1" a="1"/>
  <c r="DB104" i="1" a="1"/>
  <c r="BL90" i="1" a="1"/>
  <c r="P112" i="1" a="1"/>
  <c r="CV80" i="1" a="1"/>
  <c r="AC95" i="1" a="1"/>
  <c r="AL97" i="1" a="1"/>
  <c r="AK106" i="1" a="1"/>
  <c r="AH72" i="1" a="1"/>
  <c r="AE115" i="1" a="1"/>
  <c r="CF74" i="1" a="1"/>
  <c r="DH11" i="1" a="1"/>
  <c r="EA19" i="1" a="1"/>
  <c r="DY89" i="1" a="1"/>
  <c r="EB52" i="1" a="1"/>
  <c r="EB43" i="1" a="1"/>
  <c r="DC107" i="1" a="1"/>
  <c r="BF113" i="1" a="1"/>
  <c r="DC69" i="1" a="1"/>
  <c r="DZ29" i="1" a="1"/>
  <c r="DB107" i="1" a="1"/>
  <c r="CZ106" i="1" a="1"/>
  <c r="DC98" i="1" a="1"/>
  <c r="CW26" i="1" a="1"/>
  <c r="DX73" i="1" a="1"/>
  <c r="EB115" i="1" a="1"/>
  <c r="EC25" i="1" a="1"/>
  <c r="AJ110" i="1" a="1"/>
  <c r="EF78" i="1" a="1"/>
  <c r="AA80" i="1" a="1"/>
  <c r="BK104" i="1" a="1"/>
  <c r="BI90" i="1" a="1"/>
  <c r="BL89" i="1" a="1"/>
  <c r="DH55" i="1" a="1"/>
  <c r="BK51" i="1" a="1"/>
  <c r="DE15" i="1" a="1"/>
  <c r="H110" i="1" a="1"/>
  <c r="BG51" i="1" a="1"/>
  <c r="AE68" i="1" a="1"/>
  <c r="CH71" i="1" a="1"/>
  <c r="DC12" i="1" a="1"/>
  <c r="EF47" i="1" a="1"/>
  <c r="C111" i="1" a="1"/>
  <c r="DC111" i="1" a="1"/>
  <c r="AC66" i="1" a="1"/>
  <c r="DH65" i="1" a="1"/>
  <c r="CB75" i="1" a="1"/>
  <c r="AD113" i="1" a="1"/>
  <c r="BG101" i="1" a="1"/>
  <c r="O68" i="1" a="1"/>
  <c r="F112" i="1" a="1"/>
  <c r="BE105" i="1" a="1"/>
  <c r="DX16" i="1" a="1"/>
  <c r="AN71" i="1" a="1"/>
  <c r="DY34" i="1" a="1"/>
  <c r="AA86" i="1" a="1"/>
  <c r="EF103" i="1" a="1"/>
  <c r="DD57" i="1" a="1"/>
  <c r="CH107" i="1" a="1"/>
  <c r="CI74" i="1" a="1"/>
  <c r="DZ16" i="1" a="1"/>
  <c r="DF49" i="1" a="1"/>
  <c r="DC26" i="1" a="1"/>
  <c r="DY43" i="1" a="1"/>
  <c r="M84" i="1" a="1"/>
  <c r="DC45" i="1" a="1"/>
  <c r="D77" i="1" a="1"/>
  <c r="BD87" i="1" a="1"/>
  <c r="CC68" i="1" a="1"/>
  <c r="DX39" i="1" a="1"/>
  <c r="EA17" i="1" a="1"/>
  <c r="AL76" i="1" a="1"/>
  <c r="N83" i="1" a="1"/>
  <c r="C74" i="1" a="1"/>
  <c r="CF106" i="1" a="1"/>
  <c r="DX95" i="1" a="1"/>
  <c r="DD13" i="1" a="1"/>
  <c r="CZ27" i="1" a="1"/>
  <c r="AB77" i="1" a="1"/>
  <c r="ED107" i="1" a="1"/>
  <c r="G114" i="1" a="1"/>
  <c r="F80" i="1" a="1"/>
  <c r="BE71" i="1" a="1"/>
  <c r="DA65" i="1" a="1"/>
  <c r="DD7" i="1" a="1"/>
  <c r="BJ83" i="1" a="1"/>
  <c r="CZ14" i="1" a="1"/>
  <c r="EB19" i="1" a="1"/>
  <c r="CB70" i="1" a="1"/>
  <c r="DZ46" i="1" a="1"/>
  <c r="M73" i="1" a="1"/>
  <c r="DH36" i="1" a="1"/>
  <c r="EB26" i="1" a="1"/>
  <c r="I71" i="1" a="1"/>
  <c r="AJ114" i="1" a="1"/>
  <c r="M71" i="1" a="1"/>
  <c r="CZ17" i="1" a="1"/>
  <c r="AL114" i="1" a="1"/>
  <c r="BJ80" i="1" a="1"/>
  <c r="AF97" i="1" a="1"/>
  <c r="DA27" i="1" a="1"/>
  <c r="BF80" i="1" a="1"/>
  <c r="AF90" i="1" a="1"/>
  <c r="AG108" i="1" a="1"/>
  <c r="EE90" i="1" a="1"/>
  <c r="EF97" i="1" a="1"/>
  <c r="AF102" i="1" a="1"/>
  <c r="DC72" i="1" a="1"/>
  <c r="H12" i="9" a="1"/>
  <c r="AF74" i="1" a="1"/>
  <c r="AH114" i="1" a="1"/>
  <c r="AF106" i="1" a="1"/>
  <c r="H19" i="9" a="1"/>
  <c r="BJ49" i="1" a="1"/>
  <c r="L91" i="1" a="1"/>
  <c r="DD103" i="1" a="1"/>
  <c r="H26" i="12" a="1"/>
  <c r="BE70" i="1" a="1"/>
  <c r="DA104" i="1" a="1"/>
  <c r="EC35" i="1" a="1"/>
  <c r="CE101" i="1" a="1"/>
  <c r="DY48" i="1" a="1"/>
  <c r="AE67" i="1" a="1"/>
  <c r="F76" i="1" a="1"/>
  <c r="BK109" i="1" a="1"/>
  <c r="EA86" i="1" a="1"/>
  <c r="BE83" i="1" a="1"/>
  <c r="CB66" i="1" a="1"/>
  <c r="DH73" i="1" a="1"/>
  <c r="AL105" i="1" a="1"/>
  <c r="C79" i="1" a="1"/>
  <c r="DE70" i="1" a="1"/>
  <c r="EB95" i="1" a="1"/>
  <c r="DZ92" i="1" a="1"/>
  <c r="AM87" i="1" a="1"/>
  <c r="CU39" i="1" a="1"/>
  <c r="DF114" i="1" a="1"/>
  <c r="AH75" i="1" a="1"/>
  <c r="O116" i="1" a="1"/>
  <c r="AG107" i="1" a="1"/>
  <c r="EA54" i="1" a="1"/>
  <c r="CE79" i="1" a="1"/>
  <c r="CI115" i="1" a="1"/>
  <c r="F106" i="1" a="1"/>
  <c r="DZ54" i="1" a="1"/>
  <c r="DF53" i="1" a="1"/>
  <c r="I94" i="1" a="1"/>
  <c r="AL68" i="1" a="1"/>
  <c r="EE34" i="1" a="1"/>
  <c r="BK91" i="1" a="1"/>
  <c r="EE56" i="1" a="1"/>
  <c r="BL101" i="1" a="1"/>
  <c r="L105" i="1" a="1"/>
  <c r="DX54" i="1" a="1"/>
  <c r="AH84" i="1" a="1"/>
  <c r="J80" i="1" a="1"/>
  <c r="DA28" i="1" a="1"/>
  <c r="DZ24" i="1" a="1"/>
  <c r="DG97" i="1" a="1"/>
  <c r="DA48" i="1" a="1"/>
  <c r="K69" i="1" a="1"/>
  <c r="F69" i="1" a="1"/>
  <c r="AH78" i="1" a="1"/>
  <c r="EB50" i="1" a="1"/>
  <c r="CC90" i="1" a="1"/>
  <c r="DD32" i="1" a="1"/>
  <c r="CB92" i="1" a="1"/>
  <c r="AA109" i="1" a="1"/>
  <c r="CZ97" i="1" a="1"/>
  <c r="DF92" i="1" a="1"/>
  <c r="CJ98" i="1" a="1"/>
  <c r="H112" i="1" a="1"/>
  <c r="BJ86" i="1" a="1"/>
  <c r="EB12" i="1" a="1"/>
  <c r="DF83" i="1" a="1"/>
  <c r="DZ12" i="1" a="1"/>
  <c r="AK102" i="1" a="1"/>
  <c r="AI73" i="1" a="1"/>
  <c r="G102" i="1" a="1"/>
  <c r="N110" i="1" a="1"/>
  <c r="BE72" i="1" a="1"/>
  <c r="ED84" i="1" a="1"/>
  <c r="AC79" i="1" a="1"/>
  <c r="C92" i="1" a="1"/>
  <c r="J97" i="1" a="1"/>
  <c r="CH65" i="1" a="1"/>
  <c r="ED17" i="1" a="1"/>
  <c r="DE90" i="1" a="1"/>
  <c r="AM75" i="1" a="1"/>
  <c r="DH43" i="1" a="1"/>
  <c r="BI97" i="1" a="1"/>
  <c r="AC113" i="1" a="1"/>
  <c r="BK85" i="1" a="1"/>
  <c r="BE73" i="1" a="1"/>
  <c r="C97" i="1" a="1"/>
  <c r="L72" i="1" a="1"/>
  <c r="DH25" i="1" a="1"/>
  <c r="CI70" i="1" a="1"/>
  <c r="DE48" i="1" a="1"/>
  <c r="BF114" i="1" a="1"/>
  <c r="DY10" i="1" a="1"/>
  <c r="DB33" i="1" a="1"/>
  <c r="CI83" i="1" a="1"/>
  <c r="AG68" i="1" a="1"/>
  <c r="K86" i="1" a="1"/>
  <c r="BJ107" i="1" a="1"/>
  <c r="O80" i="1" a="1"/>
  <c r="AM105" i="1" a="1"/>
  <c r="D67" i="1" a="1"/>
  <c r="DZ21" i="1" a="1"/>
  <c r="ED37" i="1" a="1"/>
  <c r="BD102" i="1" a="1"/>
  <c r="BJ112" i="1" a="1"/>
  <c r="J66" i="1" a="1"/>
  <c r="M107" i="1" a="1"/>
  <c r="BE55" i="1" a="1"/>
  <c r="DF54" i="1" a="1"/>
  <c r="AB84" i="1" a="1"/>
  <c r="DZ97" i="1" a="1"/>
  <c r="BI45" i="1" a="1"/>
  <c r="DZ89" i="1" a="1"/>
  <c r="L83" i="1" a="1"/>
  <c r="EF95" i="1" a="1"/>
  <c r="CZ95" i="1" a="1"/>
  <c r="CB86" i="1" a="1"/>
  <c r="M110" i="1" a="1"/>
  <c r="BG55" i="1" a="1"/>
  <c r="EE52" i="1" a="1"/>
  <c r="DZ19" i="1" a="1"/>
  <c r="K75" i="1" a="1"/>
  <c r="AK115" i="1" a="1"/>
  <c r="AC67" i="1" a="1"/>
  <c r="DD73" i="1" a="1"/>
  <c r="DF77" i="1" a="1"/>
  <c r="DD24" i="1" a="1"/>
  <c r="AN105" i="1" a="1"/>
  <c r="CB110" i="1" a="1"/>
  <c r="BI93" i="1" a="1"/>
  <c r="DE65" i="1" a="1"/>
  <c r="DB98" i="1" a="1"/>
  <c r="BL55" i="1" a="1"/>
  <c r="DE114" i="1" a="1"/>
  <c r="CX98" i="1" a="1"/>
  <c r="DF65" i="1" a="1"/>
  <c r="EB83" i="1" a="1"/>
  <c r="CC74" i="1" a="1"/>
  <c r="DC36" i="1" a="1"/>
  <c r="CH77" i="1" a="1"/>
  <c r="ED42" i="1" a="1"/>
  <c r="CC69" i="1" a="1"/>
  <c r="CC96" i="1" a="1"/>
  <c r="AI89" i="1" a="1"/>
  <c r="E113" i="1" a="1"/>
  <c r="BI76" i="1" a="1"/>
  <c r="CZ68" i="1" a="1"/>
  <c r="DA14" i="1" a="1"/>
  <c r="N92" i="1" a="1"/>
  <c r="AE90" i="1" a="1"/>
  <c r="EA101" i="1" a="1"/>
  <c r="N90" i="1" a="1"/>
  <c r="P104" i="1" a="1"/>
  <c r="DX21" i="1" a="1"/>
  <c r="M109" i="1" a="1"/>
  <c r="AN70" i="1" a="1"/>
  <c r="BI51" i="1" a="1"/>
  <c r="AA96" i="1" a="1"/>
  <c r="CB97" i="1" a="1"/>
  <c r="EB39" i="1" a="1"/>
  <c r="I96" i="1" a="1"/>
  <c r="J107" i="1" a="1"/>
  <c r="CI93" i="1" a="1"/>
  <c r="BL112" i="1" a="1"/>
  <c r="DG15" i="1" a="1"/>
  <c r="ED28" i="1" a="1"/>
  <c r="M76" i="1" a="1"/>
  <c r="BI70" i="1" a="1"/>
  <c r="BE92" i="1" a="1"/>
  <c r="CI109" i="1" a="1"/>
  <c r="BJ104" i="1" a="1"/>
  <c r="DX30" i="1" a="1"/>
  <c r="AE114" i="1" a="1"/>
  <c r="J71" i="1" a="1"/>
  <c r="O108" i="1" a="1"/>
  <c r="DC46" i="1" a="1"/>
  <c r="EA44" i="1" a="1"/>
  <c r="DZ28" i="1" a="1"/>
  <c r="DY50" i="1" a="1"/>
  <c r="CH116" i="1" a="1"/>
  <c r="AG74" i="1" a="1"/>
  <c r="L79" i="1" a="1"/>
  <c r="EF19" i="1" a="1"/>
  <c r="DF34" i="1" a="1"/>
  <c r="DD34" i="1" a="1"/>
  <c r="CD80" i="1" a="1"/>
  <c r="AN67" i="1" a="1"/>
  <c r="J72" i="1" a="1"/>
  <c r="AG109" i="1" a="1"/>
  <c r="G103" i="1" a="1"/>
  <c r="BI109" i="1" a="1"/>
  <c r="D104" i="1" a="1"/>
  <c r="I66" i="1" a="1"/>
  <c r="BD50" i="1" a="1"/>
  <c r="P87" i="1" a="1"/>
  <c r="CZ30" i="1" a="1"/>
  <c r="AI88" i="1" a="1"/>
  <c r="AG92" i="1" a="1"/>
  <c r="F113" i="1" a="1"/>
  <c r="CF113" i="1" a="1"/>
  <c r="AH70" i="1" a="1"/>
  <c r="CG76" i="1" a="1"/>
  <c r="P72" i="1" a="1"/>
  <c r="DY90" i="1" a="1"/>
  <c r="DG67" i="1" a="1"/>
  <c r="DC19" i="1" a="1"/>
  <c r="AM112" i="1" a="1"/>
  <c r="AK85" i="1" a="1"/>
  <c r="DX110" i="1" a="1"/>
  <c r="DX104" i="1" a="1"/>
  <c r="DY51" i="1" a="1"/>
  <c r="DE25" i="1" a="1"/>
  <c r="K115" i="1" a="1"/>
  <c r="DC37" i="1" a="1"/>
  <c r="EF55" i="1" a="1"/>
  <c r="BL104" i="1" a="1"/>
  <c r="DF17" i="1" a="1"/>
  <c r="DB69" i="1" a="1"/>
  <c r="BH102" i="1" a="1"/>
  <c r="CZ65" i="1" a="1"/>
  <c r="DE91" i="1" a="1"/>
  <c r="C88" i="1" a="1"/>
  <c r="CB73" i="1" a="1"/>
  <c r="BE104" i="1" a="1"/>
  <c r="DX115" i="1" a="1"/>
  <c r="CF89" i="1" a="1"/>
  <c r="DA78" i="1" a="1"/>
  <c r="CU114" i="1" a="1"/>
  <c r="CI78" i="1" a="1"/>
  <c r="BE86" i="1" a="1"/>
  <c r="CI105" i="1" a="1"/>
  <c r="C85" i="1" a="1"/>
  <c r="BD92" i="1" a="1"/>
  <c r="BJ74" i="1" a="1"/>
  <c r="CE65" i="1" a="1"/>
  <c r="ED96" i="1" a="1"/>
  <c r="BF73" i="1" a="1"/>
  <c r="AN106" i="1" a="1"/>
  <c r="O113" i="1" a="1"/>
  <c r="DB36" i="1" a="1"/>
  <c r="O78" i="1" a="1"/>
  <c r="AG83" i="1" a="1"/>
  <c r="M86" i="1" a="1"/>
  <c r="H68" i="1" a="1"/>
  <c r="DF19" i="1" a="1"/>
  <c r="EC21" i="1" a="1"/>
  <c r="DZ6" i="1" a="1"/>
  <c r="AL110" i="1" a="1"/>
  <c r="AL90" i="1" a="1"/>
  <c r="DE9" i="1" a="1"/>
  <c r="CF103" i="1" a="1"/>
  <c r="AN75" i="1" a="1"/>
  <c r="AJ89" i="1" a="1"/>
  <c r="EB36" i="1" a="1"/>
  <c r="BE68" i="1" a="1"/>
  <c r="DG55" i="1" a="1"/>
  <c r="CF91" i="1" a="1"/>
  <c r="DG12" i="1" a="1"/>
  <c r="AN112" i="1" a="1"/>
  <c r="BD80" i="1" a="1"/>
  <c r="AH113" i="1" a="1"/>
  <c r="DB25" i="1" a="1"/>
  <c r="BJ115" i="1" a="1"/>
  <c r="M106" i="1" a="1"/>
  <c r="AB73" i="1" a="1"/>
  <c r="O107" i="1" a="1"/>
  <c r="M80" i="1" a="1"/>
  <c r="BL84" i="1" a="1"/>
  <c r="DA51" i="1" a="1"/>
  <c r="G106" i="1" a="1"/>
  <c r="CG90" i="1" a="1"/>
  <c r="BK80" i="1" a="1"/>
  <c r="BI66" i="1" a="1"/>
  <c r="DB75" i="1" a="1"/>
  <c r="AJ97" i="1" a="1"/>
  <c r="BH85" i="1" a="1"/>
  <c r="DB94" i="1" a="1"/>
  <c r="EA9" i="1" a="1"/>
  <c r="EF57" i="1" a="1"/>
  <c r="CZ57" i="1" a="1"/>
  <c r="CC102" i="1" a="1"/>
  <c r="BH50" i="1" a="1"/>
  <c r="CD83" i="1" a="1"/>
  <c r="CF67" i="1" a="1"/>
  <c r="P80" i="1" a="1"/>
  <c r="AK78" i="1" a="1"/>
  <c r="DG24" i="1" a="1"/>
  <c r="E98" i="1" a="1"/>
  <c r="DB18" i="1" a="1"/>
  <c r="P67" i="1" a="1"/>
  <c r="EE35" i="1" a="1"/>
  <c r="AN97" i="1" a="1"/>
  <c r="ED33" i="1" a="1"/>
  <c r="DY9" i="1" a="1"/>
  <c r="BL106" i="1" a="1"/>
  <c r="DA13" i="1" a="1"/>
  <c r="BD69" i="1" a="1"/>
  <c r="CZ45" i="1" a="1"/>
  <c r="BI101" i="1" a="1"/>
  <c r="CB85" i="1" a="1"/>
  <c r="AJ94" i="1" a="1"/>
  <c r="AL84" i="1" a="1"/>
  <c r="DG16" i="1" a="1"/>
  <c r="AK93" i="1" a="1"/>
  <c r="AD112" i="1" a="1"/>
  <c r="D66" i="1" a="1"/>
  <c r="EA8" i="1" a="1"/>
  <c r="K104" i="1" a="1"/>
  <c r="CI116" i="1" a="1"/>
  <c r="CH106" i="1" a="1"/>
  <c r="AN110" i="1" a="1"/>
  <c r="AJ73" i="1" a="1"/>
  <c r="L65" i="1" a="1"/>
  <c r="P73" i="1" a="1"/>
  <c r="CH113" i="1" a="1"/>
  <c r="DE53" i="1" a="1"/>
  <c r="BL111" i="1" a="1"/>
  <c r="AI94" i="1" a="1"/>
  <c r="DG98" i="1" a="1"/>
  <c r="ED48" i="1" a="1"/>
  <c r="EE43" i="1" a="1"/>
  <c r="AG69" i="1" a="1"/>
  <c r="DB76" i="1" a="1"/>
  <c r="DA102" i="1" a="1"/>
  <c r="D89" i="1" a="1"/>
  <c r="EF56" i="1" a="1"/>
  <c r="BJ109" i="1" a="1"/>
  <c r="I102" i="1" a="1"/>
  <c r="CH95" i="1" a="1"/>
  <c r="DE35" i="1" a="1"/>
  <c r="EC67" i="1" a="1"/>
  <c r="DG28" i="1" a="1"/>
  <c r="C67" i="1" a="1"/>
  <c r="L93" i="1" a="1"/>
  <c r="O84" i="1" a="1"/>
  <c r="EF9" i="1" a="1"/>
  <c r="DX96" i="1" a="1"/>
  <c r="AD72" i="1" a="1"/>
  <c r="DX7" i="1" a="1"/>
  <c r="BE56" i="1" a="1"/>
  <c r="CD71" i="1" a="1"/>
  <c r="CE97" i="1" a="1"/>
  <c r="K90" i="1" a="1"/>
  <c r="BI77" i="1" a="1"/>
  <c r="DC7" i="1" a="1"/>
  <c r="EF109" i="1" a="1"/>
  <c r="BJ70" i="1" a="1"/>
  <c r="EC56" i="1" a="1"/>
  <c r="EA25" i="1" a="1"/>
  <c r="AI93" i="1" a="1"/>
  <c r="BD53" i="1" a="1"/>
  <c r="CZ42" i="1" a="1"/>
  <c r="BG89" i="1" a="1"/>
  <c r="DF80" i="1" a="1"/>
  <c r="CE69" i="1" a="1"/>
  <c r="BF84" i="1" a="1"/>
  <c r="O98" i="1" a="1"/>
  <c r="I108" i="1" a="1"/>
  <c r="BL51" i="1" a="1"/>
  <c r="ED55" i="1" a="1"/>
  <c r="DZ66" i="1" a="1"/>
  <c r="BL109" i="1" a="1"/>
  <c r="DE78" i="1" a="1"/>
  <c r="DD14" i="1" a="1"/>
  <c r="CI44" i="1" a="1"/>
  <c r="AM33" i="1" a="1"/>
  <c r="AA44" i="1" a="1"/>
  <c r="AF9" i="1" a="1"/>
  <c r="AJ15" i="1" a="1"/>
  <c r="AG21" i="1" a="1"/>
  <c r="BK15" i="1" a="1"/>
  <c r="AG42" i="1" a="1"/>
  <c r="AB57" i="1" a="1"/>
  <c r="CG16" i="1" a="1"/>
  <c r="CH17" i="1" a="1"/>
  <c r="AC39" i="1" a="1"/>
  <c r="BG32" i="1" a="1"/>
  <c r="M55" i="1" a="1"/>
  <c r="CF48" i="1" a="1"/>
  <c r="AJ32" i="1" a="1"/>
  <c r="P54" i="1" a="1"/>
  <c r="AM30" i="1" a="1"/>
  <c r="BF38" i="1" a="1"/>
  <c r="BL26" i="1" a="1"/>
  <c r="AK36" i="1" a="1"/>
  <c r="H34" i="1" a="1"/>
  <c r="AM9" i="1" a="1"/>
  <c r="CD56" i="1" a="1"/>
  <c r="BJ26" i="1" a="1"/>
  <c r="AC10" i="1" a="1"/>
  <c r="AL46" i="1" a="1"/>
  <c r="BF20" i="1" a="1"/>
  <c r="CF25" i="1" a="1"/>
  <c r="O45" i="1" a="1"/>
  <c r="AJ27" i="1" a="1"/>
  <c r="AJ55" i="1" a="1"/>
  <c r="AA24" i="1" a="1"/>
  <c r="AG18" i="1" a="1"/>
  <c r="H42" i="1" a="1"/>
  <c r="M7" i="1" a="1"/>
  <c r="AK16" i="1" a="1"/>
  <c r="AB39" i="1" a="1"/>
  <c r="AA6" i="1" a="1"/>
  <c r="AC43" i="1" a="1"/>
  <c r="CE52" i="1" a="1"/>
  <c r="BL35" i="1" a="1"/>
  <c r="AF21" i="1" a="1"/>
  <c r="CG30" i="1" a="1"/>
  <c r="AJ38" i="1" a="1"/>
  <c r="BE27" i="1" a="1"/>
  <c r="AJ43" i="1" a="1"/>
  <c r="N19" i="1" a="1"/>
  <c r="AJ10" i="1" a="1"/>
  <c r="AM12" i="1" a="1"/>
  <c r="M17" i="1" a="1"/>
  <c r="O55" i="1" a="1"/>
  <c r="L35" i="1" a="1"/>
  <c r="AA21" i="1" a="1"/>
  <c r="BI30" i="1" a="1"/>
  <c r="L57" i="1" a="1"/>
  <c r="AG32" i="1" a="1"/>
  <c r="AG54" i="1" a="1"/>
  <c r="L33" i="1" a="1"/>
  <c r="AI18" i="1" a="1"/>
  <c r="BG9" i="1" a="1"/>
  <c r="CG13" i="1" a="1"/>
  <c r="AD13" i="1" a="1"/>
  <c r="CC45" i="1" a="1"/>
  <c r="BI20" i="1" a="1"/>
  <c r="AB54" i="1" a="1"/>
  <c r="J18" i="1" a="1"/>
  <c r="BG34" i="1" a="1"/>
  <c r="AJ21" i="1" a="1"/>
  <c r="C21" i="1" a="1"/>
  <c r="AE25" i="1" a="1"/>
  <c r="AN24" i="1" a="1"/>
  <c r="CD25" i="1" a="1"/>
  <c r="AH24" i="1" a="1"/>
  <c r="CC6" i="1" a="1"/>
  <c r="AL14" i="1" a="1"/>
  <c r="N13" i="1" a="1"/>
  <c r="K29" i="1" a="1"/>
  <c r="N11" i="1" a="1"/>
  <c r="AM16" i="1" a="1"/>
  <c r="AG19" i="1" a="1"/>
  <c r="H16" i="1" a="1"/>
  <c r="E7" i="1" a="1"/>
  <c r="AK52" i="1" a="1"/>
  <c r="I45" i="1" a="1"/>
  <c r="O15" i="1" a="1"/>
  <c r="AF53" i="1" a="1"/>
  <c r="BK96" i="1" a="1"/>
  <c r="CG92" i="1" a="1"/>
  <c r="F67" i="1" a="1"/>
  <c r="AA89" i="1" a="1"/>
  <c r="C96" i="1" a="1"/>
  <c r="DF10" i="1" a="1"/>
  <c r="EA94" i="1" a="1"/>
  <c r="BD94" i="1" a="1"/>
  <c r="DB70" i="1" a="1"/>
  <c r="AD115" i="1" a="1"/>
  <c r="EF17" i="1" a="1"/>
  <c r="CZ90" i="1" a="1"/>
  <c r="DC77" i="1" a="1"/>
  <c r="N73" i="1" a="1"/>
  <c r="EF114" i="1" a="1"/>
  <c r="BL96" i="1" a="1"/>
  <c r="AB65" i="1" a="1"/>
  <c r="BL103" i="1" a="1"/>
  <c r="EC26" i="1" a="1"/>
  <c r="P74" i="1" a="1"/>
  <c r="DE50" i="1" a="1"/>
  <c r="EC98" i="1" a="1"/>
  <c r="O102" i="1" a="1"/>
  <c r="BA109" i="1" a="1"/>
  <c r="CH69" i="1" a="1"/>
  <c r="N70" i="1" a="1"/>
  <c r="DB79" i="1" a="1"/>
  <c r="CV86" i="1" a="1"/>
  <c r="DB88" i="1" a="1"/>
  <c r="BD46" i="1" a="1"/>
  <c r="CZ43" i="1" a="1"/>
  <c r="H15" i="12" a="1"/>
  <c r="AG70" i="1" a="1"/>
  <c r="AN79" i="1" a="1"/>
  <c r="EC96" i="1" a="1"/>
  <c r="M97" i="1" a="1"/>
  <c r="DB44" i="1" a="1"/>
  <c r="DC28" i="1" a="1"/>
  <c r="EA111" i="1" a="1"/>
  <c r="DA70" i="1" a="1"/>
  <c r="CZ12" i="1" a="1"/>
  <c r="DH50" i="1" a="1"/>
  <c r="AJ106" i="1" a="1"/>
  <c r="EB72" i="1" a="1"/>
  <c r="I116" i="1" a="1"/>
  <c r="DD18" i="1" a="1"/>
  <c r="AE74" i="1" a="1"/>
  <c r="EB91" i="1" a="1"/>
  <c r="BG42" i="1" a="1"/>
  <c r="BE78" i="1" a="1"/>
  <c r="DX32" i="1" a="1"/>
  <c r="AG86" i="1" a="1"/>
  <c r="G85" i="1" a="1"/>
  <c r="E103" i="1" a="1"/>
  <c r="CE116" i="1" a="1"/>
  <c r="EA7" i="1" a="1"/>
  <c r="EE69" i="1" a="1"/>
  <c r="DB52" i="1" a="1"/>
  <c r="BF102" i="1" a="1"/>
  <c r="EB53" i="1" a="1"/>
  <c r="DX75" i="1" a="1"/>
  <c r="N78" i="1" a="1"/>
  <c r="I89" i="1" a="1"/>
  <c r="J86" i="1" a="1"/>
  <c r="CJ70" i="1" a="1"/>
  <c r="J108" i="1" a="1"/>
  <c r="L67" i="1" a="1"/>
  <c r="DZ32" i="1" a="1"/>
  <c r="AF85" i="1" a="1"/>
  <c r="EC10" i="1" a="1"/>
  <c r="BJ95" i="1" a="1"/>
  <c r="DC24" i="1" a="1"/>
  <c r="P102" i="1" a="1"/>
  <c r="BK79" i="1" a="1"/>
  <c r="G96" i="1" a="1"/>
  <c r="H77" i="1" a="1"/>
  <c r="BL102" i="1" a="1"/>
  <c r="E76" i="1" a="1"/>
  <c r="AG94" i="1" a="1"/>
  <c r="DD51" i="1" a="1"/>
  <c r="DD91" i="1" a="1"/>
  <c r="CZ80" i="1" a="1"/>
  <c r="DB28" i="1" a="1"/>
  <c r="N87" i="1" a="1"/>
  <c r="N112" i="1" a="1"/>
  <c r="CI101" i="1" a="1"/>
  <c r="DD80" i="1" a="1"/>
  <c r="F75" i="1" a="1"/>
  <c r="EB74" i="1" a="1"/>
  <c r="DA8" i="1" a="1"/>
  <c r="DC9" i="1" a="1"/>
  <c r="AB76" i="1" a="1"/>
  <c r="EC42" i="1" a="1"/>
  <c r="AK73" i="1" a="1"/>
  <c r="AC104" i="1" a="1"/>
  <c r="DE47" i="1" a="1"/>
  <c r="EC20" i="1" a="1"/>
  <c r="AL112" i="1" a="1"/>
  <c r="DA44" i="1" a="1"/>
  <c r="EE48" i="1" a="1"/>
  <c r="AE83" i="1" a="1"/>
  <c r="DG17" i="1" a="1"/>
  <c r="CB90" i="1" a="1"/>
  <c r="DA56" i="1" a="1"/>
  <c r="EF8" i="1" a="1"/>
  <c r="D83" i="1" a="1"/>
  <c r="EE15" i="1" a="1"/>
  <c r="I69" i="1" a="1"/>
  <c r="DX50" i="1" a="1"/>
  <c r="P94" i="1" a="1"/>
  <c r="CZ7" i="1" a="1"/>
  <c r="BK112" i="1" a="1"/>
  <c r="K111" i="1" a="1"/>
  <c r="BI96" i="1" a="1"/>
  <c r="D73" i="1" a="1"/>
  <c r="CZ55" i="1" a="1"/>
  <c r="DX49" i="1" a="1"/>
  <c r="BH95" i="1" a="1"/>
  <c r="J115" i="1" a="1"/>
  <c r="BI98" i="1" a="1"/>
  <c r="DA72" i="1" a="1"/>
  <c r="BL105" i="1" a="1"/>
  <c r="AA75" i="1" a="1"/>
  <c r="C70" i="1" a="1"/>
  <c r="DH49" i="1" a="1"/>
  <c r="AF67" i="1" a="1"/>
  <c r="P83" i="1" a="1"/>
  <c r="CI79" i="1" a="1"/>
  <c r="CG102" i="1" a="1"/>
  <c r="F107" i="1" a="1"/>
  <c r="DE43" i="1" a="1"/>
  <c r="BG95" i="1" a="1"/>
  <c r="G113" i="1" a="1"/>
  <c r="CJ103" i="1" a="1"/>
  <c r="BF91" i="1" a="1"/>
  <c r="BF101" i="1" a="1"/>
  <c r="AN86" i="1" a="1"/>
  <c r="BH74" i="1" a="1"/>
  <c r="DA38" i="1" a="1"/>
  <c r="BH108" i="1" a="1"/>
  <c r="EA15" i="1" a="1"/>
  <c r="BE94" i="1" a="1"/>
  <c r="M75" i="1" a="1"/>
  <c r="DB43" i="1" a="1"/>
  <c r="BF74" i="1" a="1"/>
  <c r="BF57" i="1" a="1"/>
  <c r="CD66" i="1" a="1"/>
  <c r="I106" i="1" a="1"/>
  <c r="G97" i="1" a="1"/>
  <c r="AB115" i="1" a="1"/>
  <c r="DX8" i="1" a="1"/>
  <c r="DD49" i="1" a="1"/>
  <c r="AA106" i="1" a="1"/>
  <c r="BG52" i="1" a="1"/>
  <c r="M93" i="1" a="1"/>
  <c r="K89" i="1" a="1"/>
  <c r="AI95" i="1" a="1"/>
  <c r="I72" i="1" a="1"/>
  <c r="DY38" i="1" a="1"/>
  <c r="DX45" i="1" a="1"/>
  <c r="BG49" i="1" a="1"/>
  <c r="DZ49" i="1" a="1"/>
  <c r="K95" i="1" a="1"/>
  <c r="O96" i="1" a="1"/>
  <c r="CG79" i="1" a="1"/>
  <c r="F93" i="1" a="1"/>
  <c r="DH28" i="1" a="1"/>
  <c r="I73" i="1" a="1"/>
  <c r="K20" i="1" a="1"/>
  <c r="F10" i="1" a="1"/>
  <c r="CI32" i="1" a="1"/>
  <c r="CH25" i="1" a="1"/>
  <c r="D27" i="1" a="1"/>
  <c r="AI8" i="1" a="1"/>
  <c r="BE24" i="1" a="1"/>
  <c r="N7" i="1" a="1"/>
  <c r="C54" i="1" a="1"/>
  <c r="AB48" i="1" a="1"/>
  <c r="C42" i="1" a="1"/>
  <c r="CI33" i="1" a="1"/>
  <c r="AN9" i="1" a="1"/>
  <c r="CJ34" i="1" a="1"/>
  <c r="O19" i="1" a="1"/>
  <c r="BH25" i="1" a="1"/>
  <c r="CC51" i="1" a="1"/>
  <c r="M31" i="1" a="1"/>
  <c r="BK32" i="1" a="1"/>
  <c r="K8" i="1" a="1"/>
  <c r="G35" i="1" a="1"/>
  <c r="AJ42" i="1" a="1"/>
  <c r="AG14" i="1" a="1"/>
  <c r="CF42" i="1" a="1"/>
  <c r="D12" i="1" a="1"/>
  <c r="P13" i="1" a="1"/>
  <c r="C12" i="1" a="1"/>
  <c r="AA7" i="1" a="1"/>
  <c r="G30" i="1" a="1"/>
  <c r="AD55" i="1" a="1"/>
  <c r="J15" i="1" a="1"/>
  <c r="AF49" i="1" a="1"/>
  <c r="AC9" i="1" a="1"/>
  <c r="D9" i="1" a="1"/>
  <c r="DH6" i="1" a="1"/>
  <c r="CD36" i="1" a="1"/>
  <c r="CD55" i="1" a="1"/>
  <c r="AH38" i="1" a="1"/>
  <c r="AM49" i="1" a="1"/>
  <c r="F44" i="1" a="1"/>
  <c r="BD39" i="1" a="1"/>
  <c r="CE7" i="1" a="1"/>
  <c r="BF16" i="1" a="1"/>
  <c r="BI17" i="1" a="1"/>
  <c r="F55" i="1" a="1"/>
  <c r="L20" i="1" a="1"/>
  <c r="CB56" i="1" a="1"/>
  <c r="AA43" i="1" a="1"/>
  <c r="CI26" i="1" a="1"/>
  <c r="K37" i="1" a="1"/>
  <c r="AI50" i="1" a="1"/>
  <c r="AN57" i="1" a="1"/>
  <c r="E48" i="1" a="1"/>
  <c r="J35" i="1" a="1"/>
  <c r="BG14" i="1" a="1"/>
  <c r="AK8" i="1" a="1"/>
  <c r="BH28" i="1" a="1"/>
  <c r="CG32" i="1" a="1"/>
  <c r="P25" i="1" a="1"/>
  <c r="CB7" i="1" a="1"/>
  <c r="N47" i="1" a="1"/>
  <c r="CG36" i="1" a="1"/>
  <c r="CI53" i="1" a="1"/>
  <c r="CE57" i="1" a="1"/>
  <c r="J12" i="1" a="1"/>
  <c r="AH26" i="1" a="1"/>
  <c r="BF8" i="1" a="1"/>
  <c r="E18" i="1" a="1"/>
  <c r="AB47" i="1" a="1"/>
  <c r="BH30" i="1" a="1"/>
  <c r="J38" i="1" a="1"/>
  <c r="J55" i="1" a="1"/>
  <c r="J45" i="1" a="1"/>
  <c r="J19" i="1" a="1"/>
  <c r="O28" i="1" a="1"/>
  <c r="BH26" i="1" a="1"/>
  <c r="CJ44" i="1" a="1"/>
  <c r="AK55" i="1" a="1"/>
  <c r="AC48" i="1" a="1"/>
  <c r="AF14" i="1" a="1"/>
  <c r="AH6" i="1" a="1"/>
  <c r="AD33" i="1" a="1"/>
  <c r="G38" i="1" a="1"/>
  <c r="CD21" i="1" a="1"/>
  <c r="CB20" i="1" a="1"/>
  <c r="L28" i="1" a="1"/>
  <c r="BK25" i="1" a="1"/>
  <c r="ED105" i="1" a="1"/>
  <c r="BK105" i="1" a="1"/>
  <c r="AM107" i="1" a="1"/>
  <c r="AE75" i="1" a="1"/>
  <c r="EE89" i="1" a="1"/>
  <c r="DX31" i="1" a="1"/>
  <c r="BL47" i="1" a="1"/>
  <c r="EA6" i="1" a="1"/>
  <c r="DC110" i="1" a="1"/>
  <c r="CB101" i="1" a="1"/>
  <c r="CW47" i="1" a="1"/>
  <c r="AE94" i="1" a="1"/>
  <c r="DC106" i="1" a="1"/>
  <c r="DA79" i="1" a="1"/>
  <c r="ED10" i="1" a="1"/>
  <c r="CZ54" i="1" a="1"/>
  <c r="DD65" i="1" a="1"/>
  <c r="BJ76" i="1" a="1"/>
  <c r="BF44" i="1" a="1"/>
  <c r="CZ34" i="1" a="1"/>
  <c r="DB42" i="1" a="1"/>
  <c r="DZ106" i="1" a="1"/>
  <c r="P116" i="1" a="1"/>
  <c r="BX65" i="1" a="1"/>
  <c r="CZ92" i="1" a="1"/>
  <c r="AJ74" i="1" a="1"/>
  <c r="EA110" i="1" a="1"/>
  <c r="CW98" i="1" a="1"/>
  <c r="CD84" i="1" a="1"/>
  <c r="BJ110" i="1" a="1"/>
  <c r="AI108" i="1" a="1"/>
  <c r="DY73" i="1" a="1"/>
  <c r="DF107" i="1" a="1"/>
  <c r="CJ95" i="1" a="1"/>
  <c r="EA39" i="1" a="1"/>
  <c r="C105" i="1" a="1"/>
  <c r="AB108" i="1" a="1"/>
  <c r="EC47" i="1" a="1"/>
  <c r="EC71" i="1" a="1"/>
  <c r="E85" i="1" a="1"/>
  <c r="CB79" i="1" a="1"/>
  <c r="BH115" i="1" a="1"/>
  <c r="E96" i="1" a="1"/>
  <c r="DY55" i="1" a="1"/>
  <c r="BF46" i="1" a="1"/>
  <c r="L108" i="1" a="1"/>
  <c r="EA31" i="1" a="1"/>
  <c r="AJ72" i="1" a="1"/>
  <c r="BD103" i="1" a="1"/>
  <c r="DF18" i="1" a="1"/>
  <c r="BG107" i="1" a="1"/>
  <c r="G84" i="1" a="1"/>
  <c r="E115" i="1" a="1"/>
  <c r="CZ21" i="1" a="1"/>
  <c r="AI71" i="1" a="1"/>
  <c r="DB83" i="1" a="1"/>
  <c r="AF75" i="1" a="1"/>
  <c r="K65" i="1" a="1"/>
  <c r="BE88" i="1" a="1"/>
  <c r="DX44" i="1" a="1"/>
  <c r="CH91" i="1" a="1"/>
  <c r="CJ102" i="1" a="1"/>
  <c r="AE107" i="1" a="1"/>
  <c r="DY18" i="1" a="1"/>
  <c r="N66" i="1" a="1"/>
  <c r="AM70" i="1" a="1"/>
  <c r="CD72" i="1" a="1"/>
  <c r="CD70" i="1" a="1"/>
  <c r="EB42" i="1" a="1"/>
  <c r="BH78" i="1" a="1"/>
  <c r="BI107" i="1" a="1"/>
  <c r="AN66" i="1" a="1"/>
  <c r="BI44" i="1" a="1"/>
  <c r="BL49" i="1" a="1"/>
  <c r="DH9" i="1" a="1"/>
  <c r="F88" i="1" a="1"/>
  <c r="CZ9" i="1" a="1"/>
  <c r="CG70" i="1" a="1"/>
  <c r="G88" i="1" a="1"/>
  <c r="CC95" i="1" a="1"/>
  <c r="CD97" i="1" a="1"/>
  <c r="BL76" i="1" a="1"/>
  <c r="DA50" i="1" a="1"/>
  <c r="I77" i="1" a="1"/>
  <c r="DG65" i="1" a="1"/>
  <c r="DH7" i="1" a="1"/>
  <c r="DE29" i="1" a="1"/>
  <c r="O72" i="1" a="1"/>
  <c r="N88" i="1" a="1"/>
  <c r="G68" i="1" a="1"/>
  <c r="DE112" i="1" a="1"/>
  <c r="N93" i="1" a="1"/>
  <c r="BG86" i="1" a="1"/>
  <c r="EB80" i="1" a="1"/>
  <c r="M78" i="1" a="1"/>
  <c r="AC85" i="1" a="1"/>
  <c r="E86" i="1" a="1"/>
  <c r="ED50" i="1" a="1"/>
  <c r="P101" i="1" a="1"/>
  <c r="AE70" i="1" a="1"/>
  <c r="DY7" i="1" a="1"/>
  <c r="EB29" i="1" a="1"/>
  <c r="AM102" i="1" a="1"/>
  <c r="AL79" i="1" a="1"/>
  <c r="DG43" i="1" a="1"/>
  <c r="BI112" i="1" a="1"/>
  <c r="BF116" i="1" a="1"/>
  <c r="AH107" i="1" a="1"/>
  <c r="BE54" i="1" a="1"/>
  <c r="P105" i="1" a="1"/>
  <c r="CI97" i="1" a="1"/>
  <c r="DH10" i="1" a="1"/>
  <c r="DA106" i="1" a="1"/>
  <c r="EC52" i="1" a="1"/>
  <c r="DB65" i="1" a="1"/>
  <c r="EE102" i="1" a="1"/>
  <c r="BI48" i="1" a="1"/>
  <c r="BJ72" i="1" a="1"/>
  <c r="AA94" i="1" a="1"/>
  <c r="J96" i="1" a="1"/>
  <c r="CJ96" i="1" a="1"/>
  <c r="I104" i="1" a="1"/>
  <c r="CC98" i="1" a="1"/>
  <c r="BE80" i="1" a="1"/>
  <c r="BI86" i="1" a="1"/>
  <c r="EC19" i="1" a="1"/>
  <c r="EE20" i="1" a="1"/>
  <c r="DE13" i="1" a="1"/>
  <c r="AH51" i="1" a="1"/>
  <c r="AK19" i="1" a="1"/>
  <c r="C18" i="1" a="1"/>
  <c r="AK18" i="1" a="1"/>
  <c r="E56" i="1" a="1"/>
  <c r="AH16" i="1" a="1"/>
  <c r="AM19" i="1" a="1"/>
  <c r="C47" i="1" a="1"/>
  <c r="CI17" i="1" a="1"/>
  <c r="K27" i="1" a="1"/>
  <c r="H45" i="1" a="1"/>
  <c r="N31" i="1" a="1"/>
  <c r="AH19" i="1" a="1"/>
  <c r="L27" i="1" a="1"/>
  <c r="AL38" i="1" a="1"/>
  <c r="CD46" i="1" a="1"/>
  <c r="E36" i="1" a="1"/>
  <c r="CG54" i="1" a="1"/>
  <c r="BI19" i="1" a="1"/>
  <c r="C39" i="1" a="1"/>
  <c r="BI9" i="1" a="1"/>
  <c r="BE10" i="1" a="1"/>
  <c r="O38" i="1" a="1"/>
  <c r="AF48" i="1" a="1"/>
  <c r="BH20" i="1" a="1"/>
  <c r="AD16" i="1" a="1"/>
  <c r="AN18" i="1" a="1"/>
  <c r="AN44" i="1" a="1"/>
  <c r="O52" i="1" a="1"/>
  <c r="AC8" i="1" a="1"/>
  <c r="AE45" i="1" a="1"/>
  <c r="D11" i="1" a="1"/>
  <c r="AM18" i="1" a="1"/>
  <c r="AM11" i="1" a="1"/>
  <c r="D45" i="1" a="1"/>
  <c r="D13" i="1" a="1"/>
  <c r="BD11" i="1" a="1"/>
  <c r="CE53" i="1" a="1"/>
  <c r="J54" i="1" a="1"/>
  <c r="CH31" i="1" a="1"/>
  <c r="D14" i="1" a="1"/>
  <c r="C52" i="1" a="1"/>
  <c r="CD30" i="1" a="1"/>
  <c r="AF56" i="1" a="1"/>
  <c r="BJ28" i="1" a="1"/>
  <c r="AN27" i="1" a="1"/>
  <c r="D54" i="1" a="1"/>
  <c r="CB49" i="1" a="1"/>
  <c r="F7" i="1" a="1"/>
  <c r="AN29" i="1" a="1"/>
  <c r="C24" i="1" a="1"/>
  <c r="E49" i="1" a="1"/>
  <c r="BF39" i="1" a="1"/>
  <c r="BG19" i="1" a="1"/>
  <c r="CE55" i="1" a="1"/>
  <c r="AK26" i="1" a="1"/>
  <c r="D28" i="1" a="1"/>
  <c r="AB34" i="1" a="1"/>
  <c r="I21" i="1" a="1"/>
  <c r="AE10" i="1" a="1"/>
  <c r="AA55" i="1" a="1"/>
  <c r="CF38" i="1" a="1"/>
  <c r="BH36" i="1" a="1"/>
  <c r="CD9" i="1" a="1"/>
  <c r="AE26" i="1" a="1"/>
  <c r="P28" i="1" a="1"/>
  <c r="AN36" i="1" a="1"/>
  <c r="CG42" i="1" a="1"/>
  <c r="BD12" i="1" a="1"/>
  <c r="CG28" i="1" a="1"/>
  <c r="CE15" i="1" a="1"/>
  <c r="M28" i="1" a="1"/>
  <c r="CI28" i="1" a="1"/>
  <c r="L37" i="1" a="1"/>
  <c r="G33" i="1" a="1"/>
  <c r="L50" i="1" a="1"/>
  <c r="K24" i="1" a="1"/>
  <c r="AN54" i="1" a="1"/>
  <c r="BJ17" i="1" a="1"/>
  <c r="AE51" i="1" a="1"/>
  <c r="BF28" i="1" a="1"/>
  <c r="CG11" i="1" a="1"/>
  <c r="CB29" i="1" a="1"/>
  <c r="P32" i="1" a="1"/>
  <c r="AL57" i="1" a="1"/>
  <c r="F33" i="1" a="1"/>
  <c r="CG47" i="1" a="1"/>
  <c r="M33" i="1" a="1"/>
  <c r="AH53" i="1" a="1"/>
  <c r="J49" i="1" a="1"/>
  <c r="BI18" i="1" a="1"/>
  <c r="M20" i="1" a="1"/>
  <c r="J56" i="1" a="1"/>
  <c r="BF35" i="1" a="1"/>
  <c r="BK39" i="1" a="1"/>
  <c r="C16" i="1" a="1"/>
  <c r="E37" i="1" a="1"/>
  <c r="AK48" i="1" a="1"/>
  <c r="O42" i="1" a="1"/>
  <c r="AB7" i="1" a="1"/>
  <c r="AL32" i="1" a="1"/>
  <c r="BE19" i="1" a="1"/>
  <c r="AM46" i="1" a="1"/>
  <c r="BL21" i="1" a="1"/>
  <c r="AL18" i="1" a="1"/>
  <c r="AL37" i="1" a="1"/>
  <c r="BJ19" i="1" a="1"/>
  <c r="L7" i="1" a="1"/>
  <c r="AI38" i="1" a="1"/>
  <c r="M57" i="1" a="1"/>
  <c r="AG29" i="1" a="1"/>
  <c r="BH24" i="1" a="1"/>
  <c r="M19" i="1" a="1"/>
  <c r="AA54" i="1" a="1"/>
  <c r="CE24" i="1" a="1"/>
  <c r="CJ35" i="1" a="1"/>
  <c r="BE39" i="1" a="1"/>
  <c r="I6" i="1" a="1"/>
  <c r="H47" i="1" a="1"/>
  <c r="D17" i="1" a="1"/>
  <c r="BD14" i="1" a="1"/>
  <c r="H33" i="1" a="1"/>
  <c r="G32" i="1" a="1"/>
  <c r="AJ46" i="1" a="1"/>
  <c r="AM50" i="1" a="1"/>
  <c r="M43" i="1" a="1"/>
  <c r="BL7" i="1" a="1"/>
  <c r="CE9" i="1" a="1"/>
  <c r="AH18" i="1" a="1"/>
  <c r="C32" i="1" a="1"/>
  <c r="BG8" i="1" a="1"/>
  <c r="M9" i="1" a="1"/>
  <c r="F43" i="1" a="1"/>
  <c r="BG27" i="1" a="1"/>
  <c r="AC33" i="1" a="1"/>
  <c r="N46" i="1" a="1"/>
  <c r="H6" i="1" a="1"/>
  <c r="CE30" i="1" a="1"/>
  <c r="AG53" i="1" a="1"/>
  <c r="M52" i="1" a="1"/>
  <c r="N27" i="1" a="1"/>
  <c r="CF9" i="1" a="1"/>
  <c r="CF54" i="1" a="1"/>
  <c r="CI49" i="1" a="1"/>
  <c r="AA33" i="1" a="1"/>
  <c r="M44" i="1" a="1"/>
  <c r="BD36" i="1" a="1"/>
  <c r="AD43" i="1" a="1"/>
  <c r="AG56" i="1" a="1"/>
  <c r="N8" i="1" a="1"/>
  <c r="AC47" i="1" a="1"/>
  <c r="AN26" i="1" a="1"/>
  <c r="G42" i="1" a="1"/>
  <c r="AD47" i="1" a="1"/>
  <c r="AI48" i="1" a="1"/>
  <c r="I27" i="1" a="1"/>
  <c r="L25" i="1" a="1"/>
  <c r="AM39" i="1" a="1"/>
  <c r="O16" i="1" a="1"/>
  <c r="CI48" i="1" a="1"/>
  <c r="CF15" i="1" a="1"/>
  <c r="BJ10" i="1" a="1"/>
  <c r="P17" i="1" a="1"/>
  <c r="AF50" i="1" a="1"/>
  <c r="AA14" i="1" a="1"/>
  <c r="AD29" i="1" a="1"/>
  <c r="CG37" i="1" a="1"/>
  <c r="BI39" i="1" a="1"/>
  <c r="AM20" i="1" a="1"/>
  <c r="BG39" i="1" a="1"/>
  <c r="AC35" i="1" a="1"/>
  <c r="DX20" i="1" a="1"/>
  <c r="DH57" i="1" a="1"/>
  <c r="BD65" i="1" a="1"/>
  <c r="CC34" i="1" a="1"/>
  <c r="BD24" i="1" a="1"/>
  <c r="C55" i="1" a="1"/>
  <c r="H49" i="1" a="1"/>
  <c r="AF19" i="1" a="1"/>
  <c r="P26" i="1" a="1"/>
  <c r="CE49" i="1" a="1"/>
  <c r="AJ7" i="1" a="1"/>
  <c r="CH29" i="1" a="1"/>
  <c r="C26" i="1" a="1"/>
  <c r="AJ25" i="1" a="1"/>
  <c r="E25" i="1" a="1"/>
  <c r="AI32" i="1" a="1"/>
  <c r="P38" i="1" a="1"/>
  <c r="BL8" i="1" a="1"/>
  <c r="AJ33" i="1" a="1"/>
  <c r="AB35" i="1" a="1"/>
  <c r="AE12" i="1" a="1"/>
  <c r="AL25" i="1" a="1"/>
  <c r="AD7" i="1" a="1"/>
  <c r="E32" i="1" a="1"/>
  <c r="AI17" i="1" a="1"/>
  <c r="CI30" i="1" a="1"/>
  <c r="BD33" i="1" a="1"/>
  <c r="BL27" i="1" a="1"/>
  <c r="CC42" i="1" a="1"/>
  <c r="J43" i="1" a="1"/>
  <c r="J26" i="1" a="1"/>
  <c r="F25" i="1" a="1"/>
  <c r="CG19" i="1" a="1"/>
  <c r="H26" i="1" a="1"/>
  <c r="CF12" i="1" a="1"/>
  <c r="CD32" i="1" a="1"/>
  <c r="E111" i="1" a="1"/>
  <c r="DB53" i="1" a="1"/>
  <c r="BJ45" i="1" a="1"/>
  <c r="AM69" i="1" a="1"/>
  <c r="L85" i="1" a="1"/>
  <c r="DH47" i="1" a="1"/>
  <c r="AG65" i="1" a="1"/>
  <c r="BJ73" i="1" a="1"/>
  <c r="CH66" i="1" a="1"/>
  <c r="C75" i="1" a="1"/>
  <c r="CD110" i="1" a="1"/>
  <c r="DF44" i="1" a="1"/>
  <c r="BI105" i="1" a="1"/>
  <c r="BK55" i="1" a="1"/>
  <c r="AH116" i="1" a="1"/>
  <c r="K72" i="1" a="1"/>
  <c r="CC76" i="1" a="1"/>
  <c r="DA55" i="1" a="1"/>
  <c r="EE51" i="1" a="1"/>
  <c r="EF25" i="1" a="1"/>
  <c r="AH68" i="1" a="1"/>
  <c r="CJ78" i="1" a="1"/>
  <c r="CZ15" i="1" a="1"/>
  <c r="EC12" i="1" a="1"/>
  <c r="DB39" i="1" a="1"/>
  <c r="G83" i="1" a="1"/>
  <c r="C71" i="1" a="1"/>
  <c r="BH68" i="1" a="1"/>
  <c r="DY104" i="1" a="1"/>
  <c r="AD74" i="1" a="1"/>
  <c r="O86" i="1" a="1"/>
  <c r="CZ48" i="1" a="1"/>
  <c r="I65" i="1" a="1"/>
  <c r="CH115" i="1" a="1"/>
  <c r="N106" i="1" a="1"/>
  <c r="CF85" i="1" a="1"/>
  <c r="E73" i="1" a="1"/>
  <c r="AF76" i="1" a="1"/>
  <c r="DY12" i="1" a="1"/>
  <c r="BF97" i="1" a="1"/>
  <c r="AJ75" i="1" a="1"/>
  <c r="AH106" i="1" a="1"/>
  <c r="DG47" i="1" a="1"/>
  <c r="BJ51" i="1" a="1"/>
  <c r="CJ75" i="1" a="1"/>
  <c r="DF56" i="1" a="1"/>
  <c r="AH111" i="1" a="1"/>
  <c r="DH54" i="1" a="1"/>
  <c r="AH47" i="1" a="1"/>
  <c r="BF25" i="1" a="1"/>
  <c r="AD27" i="1" a="1"/>
  <c r="CB55" i="1" a="1"/>
  <c r="I56" i="1" a="1"/>
  <c r="AL51" i="1" a="1"/>
  <c r="F51" i="1" a="1"/>
  <c r="AM53" i="1" a="1"/>
  <c r="M14" i="1" a="1"/>
  <c r="L8" i="1" a="1"/>
  <c r="D49" i="1" a="1"/>
  <c r="AK21" i="1" a="1"/>
  <c r="L45" i="1" a="1"/>
  <c r="P6" i="1" a="1"/>
  <c r="BK27" i="1" a="1"/>
  <c r="AB24" i="1" a="1"/>
  <c r="C45" i="1" a="1"/>
  <c r="G24" i="1" a="1"/>
  <c r="CE39" i="1" a="1"/>
  <c r="AL26" i="1" a="1"/>
  <c r="AN28" i="1" a="1"/>
  <c r="K57" i="1" a="1"/>
  <c r="AI36" i="1" a="1"/>
  <c r="E19" i="1" a="1"/>
  <c r="AG17" i="1" a="1"/>
  <c r="C37" i="1" a="1"/>
  <c r="CB32" i="1" a="1"/>
  <c r="H13" i="1" a="1"/>
  <c r="AN14" i="1" a="1"/>
  <c r="E15" i="1" a="1"/>
  <c r="AJ12" i="1" a="1"/>
  <c r="CF31" i="1" a="1"/>
  <c r="CD34" i="1" a="1"/>
  <c r="H57" i="1" a="1"/>
  <c r="CB16" i="1" a="1"/>
  <c r="AB26" i="1" a="1"/>
  <c r="K28" i="1" a="1"/>
  <c r="BG29" i="1" a="1"/>
  <c r="AJ48" i="1" a="1"/>
  <c r="P45" i="1" a="1"/>
  <c r="CC50" i="1" a="1"/>
  <c r="K30" i="1" a="1"/>
  <c r="P48" i="1" a="1"/>
  <c r="AA34" i="1" a="1"/>
  <c r="AG57" i="1" a="1"/>
  <c r="AE42" i="1" a="1"/>
  <c r="CI34" i="1" a="1"/>
  <c r="AG36" i="1" a="1"/>
  <c r="AK35" i="1" a="1"/>
  <c r="CH38" i="1" a="1"/>
  <c r="O27" i="1" a="1"/>
  <c r="CI43" i="1" a="1"/>
  <c r="E26" i="1" a="1"/>
  <c r="CG44" i="1" a="1"/>
  <c r="I32" i="1" a="1"/>
  <c r="BG26" i="1" a="1"/>
  <c r="BJ15" i="1" a="1"/>
  <c r="AK10" i="1" a="1"/>
  <c r="AM51" i="1" a="1"/>
  <c r="E47" i="1" a="1"/>
  <c r="CE51" i="1" a="1"/>
  <c r="BE25" i="1" a="1"/>
  <c r="H12" i="1" a="1"/>
  <c r="G31" i="1" a="1"/>
  <c r="AG51" i="1" a="1"/>
  <c r="F19" i="1" a="1"/>
  <c r="F21" i="1" a="1"/>
  <c r="CH19" i="1" a="1"/>
  <c r="K19" i="1" a="1"/>
  <c r="I50" i="1" a="1"/>
  <c r="CC44" i="1" a="1"/>
  <c r="AJ53" i="1" a="1"/>
  <c r="F20" i="1" a="1"/>
  <c r="CC15" i="1" a="1"/>
  <c r="AN25" i="1" a="1"/>
  <c r="AF24" i="1" a="1"/>
  <c r="CG48" i="1" a="1"/>
  <c r="AE53" i="1" a="1"/>
  <c r="CC56" i="1" a="1"/>
  <c r="O46" i="1" a="1"/>
  <c r="I18" i="1" a="1"/>
  <c r="N53" i="1" a="1"/>
  <c r="BL14" i="1" a="1"/>
  <c r="BF9" i="1" a="1"/>
  <c r="F50" i="1" a="1"/>
  <c r="CH21" i="1" a="1"/>
  <c r="CB24" i="1" a="1"/>
  <c r="AJ36" i="1" a="1"/>
  <c r="D15" i="1" a="1"/>
  <c r="AH42" i="1" a="1"/>
  <c r="CJ17" i="1" a="1"/>
  <c r="H29" i="1" a="1"/>
  <c r="AL34" i="1" a="1"/>
  <c r="AI13" i="1" a="1"/>
  <c r="CJ56" i="1" a="1"/>
  <c r="F17" i="1" a="1"/>
  <c r="AE32" i="1" a="1"/>
  <c r="E38" i="1" a="1"/>
  <c r="CJ45" i="1" a="1"/>
  <c r="BG15" i="1" a="1"/>
  <c r="CE48" i="1" a="1"/>
  <c r="F32" i="1" a="1"/>
  <c r="C7" i="1" a="1"/>
  <c r="I52" i="1" a="1"/>
  <c r="AF46" i="1" a="1"/>
  <c r="AB38" i="1" a="1"/>
  <c r="AC25" i="1" a="1"/>
  <c r="AK38" i="1" a="1"/>
  <c r="AF17" i="1" a="1"/>
  <c r="AI31" i="1" a="1"/>
  <c r="CF6" i="1" a="1"/>
  <c r="CI47" i="1" a="1"/>
  <c r="BG33" i="1" a="1"/>
  <c r="CH52" i="1" a="1"/>
  <c r="C49" i="1" a="1"/>
  <c r="CB52" i="1" a="1"/>
  <c r="AL9" i="1" a="1"/>
  <c r="N20" i="1" a="1"/>
  <c r="CJ38" i="1" a="1"/>
  <c r="CJ57" i="1" a="1"/>
  <c r="F53" i="1" a="1"/>
  <c r="K44" i="1" a="1"/>
  <c r="CE28" i="1" a="1"/>
  <c r="AM56" i="1" a="1"/>
  <c r="BI21" i="1" a="1"/>
  <c r="CB9" i="1" a="1"/>
  <c r="N28" i="1" a="1"/>
  <c r="G55" i="1" a="1"/>
  <c r="CC11" i="1" a="1"/>
  <c r="CE46" i="1" a="1"/>
  <c r="AF15" i="1" a="1"/>
  <c r="AL44" i="1" a="1"/>
  <c r="AN43" i="1" a="1"/>
  <c r="AN48" i="1" a="1"/>
  <c r="N9" i="1" a="1"/>
  <c r="P44" i="1" a="1"/>
  <c r="BG18" i="1" a="1"/>
  <c r="D24" i="1" a="1"/>
  <c r="AB6" i="1" a="1"/>
  <c r="BH35" i="1" a="1"/>
  <c r="M32" i="1" a="1"/>
  <c r="AF16" i="1" a="1"/>
  <c r="D35" i="1" a="1"/>
  <c r="AE38" i="1" a="1"/>
  <c r="K21" i="1" a="1"/>
  <c r="BD29" i="1" a="1"/>
  <c r="AC44" i="1" a="1"/>
  <c r="P33" i="1" a="1"/>
  <c r="CG21" i="1" a="1"/>
  <c r="BG31" i="1" a="1"/>
  <c r="BF29" i="1" a="1"/>
  <c r="J31" i="1" a="1"/>
  <c r="AN12" i="1" a="1"/>
  <c r="AM34" i="1" a="1"/>
  <c r="AL7" i="1" a="1"/>
  <c r="I20" i="1" a="1"/>
  <c r="AB42" i="1" a="1"/>
  <c r="C46" i="1" a="1"/>
  <c r="AK49" i="1" a="1"/>
  <c r="BH17" i="1" a="1"/>
  <c r="AH54" i="1" a="1"/>
  <c r="AH56" i="1" a="1"/>
  <c r="AJ31" i="1" a="1"/>
  <c r="BD16" i="1" a="1"/>
  <c r="AC56" i="1" a="1"/>
  <c r="AD9" i="1" a="1"/>
  <c r="M37" i="1" a="1"/>
  <c r="AL33" i="1" a="1"/>
  <c r="AN38" i="1" a="1"/>
  <c r="BD10" i="1" a="1"/>
  <c r="G8" i="1" a="1"/>
  <c r="EA50" i="1" a="1"/>
  <c r="AG93" i="1" a="1"/>
  <c r="AF110" i="1" a="1"/>
  <c r="CZ25" i="1" a="1"/>
  <c r="AN34" i="1" a="1"/>
  <c r="AE18" i="1" a="1"/>
  <c r="CJ13" i="1" a="1"/>
  <c r="CH44" i="1" a="1"/>
  <c r="CG50" i="1" a="1"/>
  <c r="H53" i="1" a="1"/>
  <c r="C9" i="1" a="1"/>
  <c r="AE33" i="1" a="1"/>
  <c r="AD10" i="1" a="1"/>
  <c r="BH31" i="1" a="1"/>
  <c r="AE28" i="1" a="1"/>
  <c r="CC32" i="1" a="1"/>
  <c r="CH20" i="1" a="1"/>
  <c r="E53" i="1" a="1"/>
  <c r="I57" i="1" a="1"/>
  <c r="O8" i="1" a="1"/>
  <c r="BL13" i="1" a="1"/>
  <c r="AG9" i="1" a="1"/>
  <c r="AL24" i="1" a="1"/>
  <c r="AK53" i="1" a="1"/>
  <c r="AL16" i="1" a="1"/>
  <c r="AM28" i="1" a="1"/>
  <c r="AM45" i="1" a="1"/>
  <c r="BG21" i="1" a="1"/>
  <c r="O35" i="1" a="1"/>
  <c r="L47" i="1" a="1"/>
  <c r="AK54" i="1" a="1"/>
  <c r="D20" i="1" a="1"/>
  <c r="CH53" i="1" a="1"/>
  <c r="CB53" i="1" a="1"/>
  <c r="AE46" i="1" a="1"/>
  <c r="AE8" i="1" a="1"/>
  <c r="BF43" i="1" a="1"/>
  <c r="N85" i="1" a="1"/>
  <c r="C66" i="1" a="1"/>
  <c r="EE44" i="1" a="1"/>
  <c r="DH66" i="1" a="1"/>
  <c r="DF45" i="1" a="1"/>
  <c r="DH21" i="1" a="1"/>
  <c r="AF77" i="1" a="1"/>
  <c r="BD84" i="1" a="1"/>
  <c r="BD56" i="1" a="1"/>
  <c r="BK48" i="1" a="1"/>
  <c r="AE77" i="1" a="1"/>
  <c r="K92" i="1" a="1"/>
  <c r="N107" i="1" a="1"/>
  <c r="E78" i="1" a="1"/>
  <c r="BL91" i="1" a="1"/>
  <c r="AL88" i="1" a="1"/>
  <c r="DB35" i="1" a="1"/>
  <c r="DH15" i="1" a="1"/>
  <c r="DY15" i="1" a="1"/>
  <c r="CZ47" i="1" a="1"/>
  <c r="DF32" i="1" a="1"/>
  <c r="CJ94" i="1" a="1"/>
  <c r="EA29" i="1" a="1"/>
  <c r="E109" i="1" a="1"/>
  <c r="BJ47" i="1" a="1"/>
  <c r="E75" i="1" a="1"/>
  <c r="BD93" i="1" a="1"/>
  <c r="E68" i="1" a="1"/>
  <c r="BH79" i="1" a="1"/>
  <c r="BF69" i="1" a="1"/>
  <c r="DF89" i="1" a="1"/>
  <c r="EE36" i="1" a="1"/>
  <c r="BD73" i="1" a="1"/>
  <c r="DH26" i="1" a="1"/>
  <c r="AL83" i="1" a="1"/>
  <c r="AM66" i="1" a="1"/>
  <c r="H92" i="1" a="1"/>
  <c r="AK94" i="1" a="1"/>
  <c r="ED51" i="1" a="1"/>
  <c r="ED16" i="1" a="1"/>
  <c r="E95" i="1" a="1"/>
  <c r="AN91" i="1" a="1"/>
  <c r="AA110" i="1" a="1"/>
  <c r="CH89" i="1" a="1"/>
  <c r="BJ85" i="1" a="1"/>
  <c r="DA17" i="1" a="1"/>
  <c r="O101" i="1" a="1"/>
  <c r="O25" i="1" a="1"/>
  <c r="CJ10" i="1" a="1"/>
  <c r="DE6" i="1" a="1"/>
  <c r="CB51" i="1" a="1"/>
  <c r="CG10" i="1" a="1"/>
  <c r="O34" i="1" a="1"/>
  <c r="CI56" i="1" a="1"/>
  <c r="AJ44" i="1" a="1"/>
  <c r="BK37" i="1" a="1"/>
  <c r="CB50" i="1" a="1"/>
  <c r="AA18" i="1" a="1"/>
  <c r="CH37" i="1" a="1"/>
  <c r="CG56" i="1" a="1"/>
  <c r="BD26" i="1" a="1"/>
  <c r="CC43" i="1" a="1"/>
  <c r="BI26" i="1" a="1"/>
  <c r="CC33" i="1" a="1"/>
  <c r="E31" i="1" a="1"/>
  <c r="C25" i="1" a="1"/>
  <c r="CC28" i="1" a="1"/>
  <c r="K49" i="1" a="1"/>
  <c r="J8" i="1" a="1"/>
  <c r="CH43" i="1" a="1"/>
  <c r="N10" i="1" a="1"/>
  <c r="AK11" i="1" a="1"/>
  <c r="J27" i="1" a="1"/>
  <c r="CB10" i="1" a="1"/>
  <c r="N45" i="1" a="1"/>
  <c r="BL15" i="1" a="1"/>
  <c r="F36" i="1" a="1"/>
  <c r="CB11" i="1" a="1"/>
  <c r="AA42" i="1" a="1"/>
  <c r="CD44" i="1" a="1"/>
  <c r="AH20" i="1" a="1"/>
  <c r="AH32" i="1" a="1"/>
  <c r="J33" i="1" a="1"/>
  <c r="AH52" i="1" a="1"/>
  <c r="I26" i="1" a="1"/>
  <c r="CD20" i="1" a="1"/>
  <c r="AN15" i="1" a="1"/>
  <c r="CE29" i="1" a="1"/>
  <c r="DD6" i="1" a="1"/>
  <c r="BJ6" i="1" a="1"/>
  <c r="M16" i="1" a="1"/>
  <c r="AB13" i="1" a="1"/>
  <c r="I28" i="1" a="1"/>
  <c r="AH14" i="1" a="1"/>
  <c r="CG27" i="1" a="1"/>
  <c r="AK39" i="1" a="1"/>
  <c r="C35" i="1" a="1"/>
  <c r="L24" i="1" a="1"/>
  <c r="H15" i="1" a="1"/>
  <c r="I12" i="1" a="1"/>
  <c r="CJ19" i="1" a="1"/>
  <c r="AC27" i="1" a="1"/>
  <c r="BH37" i="1" a="1"/>
  <c r="F9" i="1" a="1"/>
  <c r="AC7" i="1" a="1"/>
  <c r="CB38" i="1" a="1"/>
  <c r="CD31" i="1" a="1"/>
  <c r="AN35" i="1" a="1"/>
  <c r="M21" i="1" a="1"/>
  <c r="AN46" i="1" a="1"/>
  <c r="AL49" i="1" a="1"/>
  <c r="E30" i="1" a="1"/>
  <c r="AL13" i="1" a="1"/>
  <c r="H52" i="1" a="1"/>
  <c r="BF11" i="1" a="1"/>
  <c r="M51" i="1" a="1"/>
  <c r="J34" i="1" a="1"/>
  <c r="AF43" i="1" a="1"/>
  <c r="CF11" i="1" a="1"/>
  <c r="BI38" i="1" a="1"/>
  <c r="AK47" i="1" a="1"/>
  <c r="AG49" i="1" a="1"/>
  <c r="CC30" i="1" a="1"/>
  <c r="K25" i="1" a="1"/>
  <c r="CJ43" i="1" a="1"/>
  <c r="G45" i="1" a="1"/>
  <c r="CB45" i="1" a="1"/>
  <c r="G9" i="1" a="1"/>
  <c r="AM29" i="1" a="1"/>
  <c r="BF21" i="1" a="1"/>
  <c r="AA20" i="1" a="1"/>
  <c r="AN49" i="1" a="1"/>
  <c r="CI27" i="1" a="1"/>
  <c r="AA56" i="1" a="1"/>
  <c r="AH31" i="1" a="1"/>
  <c r="AM7" i="1" a="1"/>
  <c r="AN52" i="1" a="1"/>
  <c r="AM13" i="1" a="1"/>
  <c r="O43" i="1" a="1"/>
  <c r="L52" i="1" a="1"/>
  <c r="J32" i="1" a="1"/>
  <c r="D36" i="1" a="1"/>
  <c r="AG30" i="1" a="1"/>
  <c r="G51" i="1" a="1"/>
  <c r="AA53" i="1" a="1"/>
  <c r="P36" i="1" a="1"/>
  <c r="AG6" i="1" a="1"/>
  <c r="BL37" i="1" a="1"/>
  <c r="M13" i="1" a="1"/>
  <c r="AF55" i="1" a="1"/>
  <c r="CI54" i="1" a="1"/>
  <c r="J25" i="1" a="1"/>
  <c r="CH32" i="1" a="1"/>
  <c r="AI37" i="1" a="1"/>
  <c r="BG20" i="1" a="1"/>
  <c r="AM48" i="1" a="1"/>
  <c r="G10" i="1" a="1"/>
  <c r="H9" i="1" a="1"/>
  <c r="AI30" i="1" a="1"/>
  <c r="AN13" i="1" a="1"/>
  <c r="CD48" i="1" a="1"/>
  <c r="CD53" i="1" a="1"/>
  <c r="H21" i="1" a="1"/>
  <c r="AH9" i="1" a="1"/>
  <c r="P16" i="1" a="1"/>
  <c r="BK24" i="1" a="1"/>
  <c r="AI52" i="1" a="1"/>
  <c r="BD17" i="1" a="1"/>
  <c r="AB25" i="1" a="1"/>
  <c r="BD34" i="1" a="1"/>
  <c r="AE14" i="1" a="1"/>
  <c r="AE48" i="1" a="1"/>
  <c r="BH8" i="1" a="1"/>
  <c r="I35" i="1" a="1"/>
  <c r="AD6" i="1" a="1"/>
  <c r="H56" i="1" a="1"/>
  <c r="L31" i="1" a="1"/>
  <c r="K36" i="1" a="1"/>
  <c r="AD17" i="1" a="1"/>
  <c r="M10" i="1" a="1"/>
  <c r="CJ52" i="1" a="1"/>
  <c r="CE27" i="1" a="1"/>
  <c r="J24" i="1" a="1"/>
  <c r="G11" i="1" a="1"/>
  <c r="AJ56" i="1" a="1"/>
  <c r="BJ7" i="1" a="1"/>
  <c r="BF32" i="1" a="1"/>
  <c r="BK33" i="1" a="1"/>
  <c r="E9" i="1" a="1"/>
  <c r="AG8" i="1" a="1"/>
  <c r="AD48" i="1" a="1"/>
  <c r="CH28" i="1" a="1"/>
  <c r="CH10" i="1" a="1"/>
  <c r="CG45" i="1" a="1"/>
  <c r="BK9" i="1" a="1"/>
  <c r="F31" i="1" a="1"/>
  <c r="CE6" i="1" a="1"/>
  <c r="AB16" i="1" a="1"/>
  <c r="AA13" i="1" a="1"/>
  <c r="K6" i="1" a="1"/>
  <c r="P7" i="1" a="1"/>
  <c r="BK20" i="1" a="1"/>
  <c r="D50" i="1" a="1"/>
  <c r="AD8" i="1" a="1"/>
  <c r="N16" i="1" a="1"/>
  <c r="CI9" i="1" a="1"/>
  <c r="AG55" i="1" a="1"/>
  <c r="BF19" i="1" a="1"/>
  <c r="BH38" i="1" a="1"/>
  <c r="CH8" i="1" a="1"/>
  <c r="J44" i="1" a="1"/>
  <c r="BF31" i="1" a="1"/>
  <c r="BL36" i="1" a="1"/>
  <c r="H39" i="1" a="1"/>
  <c r="CB15" i="1" a="1"/>
  <c r="G13" i="1" a="1"/>
  <c r="CE37" i="1" a="1"/>
  <c r="AJ28" i="1" a="1"/>
  <c r="I78" i="1" a="1"/>
  <c r="BF88" i="1" a="1"/>
  <c r="CD37" i="1" a="1"/>
  <c r="CE25" i="1" a="1"/>
  <c r="AE6" i="1" a="1"/>
  <c r="AA9" i="1" a="1"/>
  <c r="AA51" i="1" a="1"/>
  <c r="BD7" i="1" a="1"/>
  <c r="AI53" i="1" a="1"/>
  <c r="BF7" i="1" a="1"/>
  <c r="AD56" i="1" a="1"/>
  <c r="AD39" i="1" a="1"/>
  <c r="G53" i="1" a="1"/>
  <c r="AD19" i="1" a="1"/>
  <c r="AC29" i="1" a="1"/>
  <c r="AB14" i="1" a="1"/>
  <c r="CH11" i="1" a="1"/>
  <c r="AD35" i="1" a="1"/>
  <c r="AE17" i="1" a="1"/>
  <c r="F38" i="1" a="1"/>
  <c r="F29" i="1" a="1"/>
  <c r="AB11" i="1" a="1"/>
  <c r="CE18" i="1" a="1"/>
  <c r="AA50" i="1" a="1"/>
  <c r="CB33" i="1" a="1"/>
  <c r="CH9" i="1" a="1"/>
  <c r="P51" i="1" a="1"/>
  <c r="AA102" i="1" a="1"/>
  <c r="ED88" i="1" a="1"/>
  <c r="DB54" i="1" a="1"/>
  <c r="BL72" i="1" a="1"/>
  <c r="EC27" i="1" a="1"/>
  <c r="H76" i="1" a="1"/>
  <c r="EE55" i="1" a="1"/>
  <c r="DA33" i="1" a="1"/>
  <c r="ED7" i="1" a="1"/>
  <c r="DB15" i="1" a="1"/>
  <c r="CC78" i="1" a="1"/>
  <c r="AH115" i="1" a="1"/>
  <c r="EC55" i="1" a="1"/>
  <c r="EB51" i="1" a="1"/>
  <c r="AB87" i="1" a="1"/>
  <c r="EB25" i="1" a="1"/>
  <c r="BL87" i="1" a="1"/>
  <c r="AI83" i="1" a="1"/>
  <c r="AH69" i="1" a="1"/>
  <c r="D69" i="1" a="1"/>
  <c r="C86" i="1" a="1"/>
  <c r="BI108" i="1" a="1"/>
  <c r="EB111" i="1" a="1"/>
  <c r="CZ11" i="1" a="1"/>
  <c r="DA12" i="1" a="1"/>
  <c r="AD66" i="1" a="1"/>
  <c r="CH72" i="1" a="1"/>
  <c r="BF68" i="1" a="1"/>
  <c r="C76" i="1" a="1"/>
  <c r="EE47" i="1" a="1"/>
  <c r="AB96" i="1" a="1"/>
  <c r="DX70" i="1" a="1"/>
  <c r="AD73" i="1" a="1"/>
  <c r="AL98" i="1" a="1"/>
  <c r="EA42" i="1" a="1"/>
  <c r="AD103" i="1" a="1"/>
  <c r="DA30" i="1" a="1"/>
  <c r="AE72" i="1" a="1"/>
  <c r="AJ107" i="1" a="1"/>
  <c r="N30" i="1" a="1"/>
  <c r="DE75" i="1" a="1"/>
  <c r="DC8" i="1" a="1"/>
  <c r="CC110" i="1" a="1"/>
  <c r="AM72" i="1" a="1"/>
  <c r="J111" i="1" a="1"/>
  <c r="ED49" i="1" a="1"/>
  <c r="DB96" i="1" a="1"/>
  <c r="M72" i="1" a="1"/>
  <c r="AI103" i="1" a="1"/>
  <c r="H96" i="1" a="1"/>
  <c r="BK42" i="1" a="1"/>
  <c r="AI67" i="1" a="1"/>
  <c r="DY97" i="1" a="1"/>
  <c r="DB49" i="1" a="1"/>
  <c r="DX57" i="1" a="1"/>
  <c r="EA16" i="1" a="1"/>
  <c r="DB21" i="1" a="1"/>
  <c r="ED26" i="1" a="1"/>
  <c r="DC49" i="1" a="1"/>
  <c r="DY30" i="1" a="1"/>
  <c r="AC80" i="1" a="1"/>
  <c r="DC42" i="1" a="1"/>
  <c r="AB70" i="1" a="1"/>
  <c r="EE13" i="1" a="1"/>
  <c r="DA49" i="1" a="1"/>
  <c r="AK79" i="1" a="1"/>
  <c r="BD44" i="1" a="1"/>
  <c r="CG95" i="1" a="1"/>
  <c r="N76" i="1" a="1"/>
  <c r="DZ39" i="1" a="1"/>
  <c r="DD74" i="1" a="1"/>
  <c r="EB54" i="1" a="1"/>
  <c r="BJ96" i="1" a="1"/>
  <c r="AM86" i="1" a="1"/>
  <c r="F101" i="1" a="1"/>
  <c r="CI67" i="1" a="1"/>
  <c r="H75" i="1" a="1"/>
  <c r="DF74" i="1" a="1"/>
  <c r="N97" i="1" a="1"/>
  <c r="L68" i="1" a="1"/>
  <c r="EC9" i="1" a="1"/>
  <c r="EB20" i="1" a="1"/>
  <c r="DX14" i="1" a="1"/>
  <c r="AF78" i="1" a="1"/>
  <c r="CF75" i="1" a="1"/>
  <c r="M79" i="1" a="1"/>
  <c r="DF27" i="1" a="1"/>
  <c r="AI109" i="1" a="1"/>
  <c r="CI39" i="1" a="1"/>
  <c r="AK24" i="1" a="1"/>
  <c r="AE35" i="1" a="1"/>
  <c r="AB20" i="1" a="1"/>
  <c r="N35" i="1" a="1"/>
  <c r="M46" i="1" a="1"/>
  <c r="O17" i="1" a="1"/>
  <c r="CE44" i="1" a="1"/>
  <c r="J47" i="1" a="1"/>
  <c r="AA47" i="1" a="1"/>
  <c r="CB103" i="1" a="1"/>
  <c r="DE14" i="1" a="1"/>
  <c r="E101" i="1" a="1"/>
  <c r="DX17" i="1" a="1"/>
  <c r="H86" i="1" a="1"/>
  <c r="I112" i="1" a="1"/>
  <c r="N109" i="1" a="1"/>
  <c r="EB31" i="1" a="1"/>
  <c r="AL77" i="1" a="1"/>
  <c r="J89" i="1" a="1"/>
  <c r="AH102" i="1" a="1"/>
  <c r="BK66" i="1" a="1"/>
  <c r="DF52" i="1" a="1"/>
  <c r="BL113" i="1" a="1"/>
  <c r="DD96" i="1" a="1"/>
  <c r="EF10" i="1" a="1"/>
  <c r="AL65" i="1" a="1"/>
  <c r="DY16" i="1" a="1"/>
  <c r="BD57" i="1" a="1"/>
  <c r="CF84" i="1" a="1"/>
  <c r="DE31" i="1" a="1"/>
  <c r="AK107" i="1" a="1"/>
  <c r="DB103" i="1" a="1"/>
  <c r="F103" i="1" a="1"/>
  <c r="DX43" i="1" a="1"/>
  <c r="AG79" i="1" a="1"/>
  <c r="DA39" i="1" a="1"/>
  <c r="AL74" i="1" a="1"/>
  <c r="D98" i="1" a="1"/>
  <c r="G98" i="1" a="1"/>
  <c r="O110" i="1" a="1"/>
  <c r="DB92" i="1" a="1"/>
  <c r="BH114" i="1" a="1"/>
  <c r="BH96" i="1" a="1"/>
  <c r="AC84" i="1" a="1"/>
  <c r="C110" i="1" a="1"/>
  <c r="AD67" i="1" a="1"/>
  <c r="DA47" i="1" a="1"/>
  <c r="DH30" i="1" a="1"/>
  <c r="N89" i="1" a="1"/>
  <c r="BJ57" i="1" a="1"/>
  <c r="DC30" i="1" a="1"/>
  <c r="P90" i="1" a="1"/>
  <c r="M92" i="1" a="1"/>
  <c r="DE42" i="1" a="1"/>
  <c r="DD46" i="1" a="1"/>
  <c r="BJ113" i="1" a="1"/>
  <c r="AL50" i="1" a="1"/>
  <c r="J17" i="1" a="1"/>
  <c r="CD54" i="1" a="1"/>
  <c r="CF10" i="1" a="1"/>
  <c r="AJ35" i="1" a="1"/>
  <c r="AI20" i="1" a="1"/>
  <c r="AG31" i="1" a="1"/>
  <c r="CD24" i="1" a="1"/>
  <c r="AE43" i="1" a="1"/>
  <c r="P10" i="1" a="1"/>
  <c r="G49" i="1" a="1"/>
  <c r="BI114" i="1" a="1"/>
  <c r="N103" i="1" a="1"/>
  <c r="AD83" i="1" a="1"/>
  <c r="ED78" i="1" a="1"/>
  <c r="BJ44" i="1" a="1"/>
  <c r="BF98" i="1" a="1"/>
  <c r="CH87" i="1" a="1"/>
  <c r="AI78" i="1" a="1"/>
  <c r="BJ50" i="1" a="1"/>
  <c r="AN104" i="1" a="1"/>
  <c r="AJ86" i="1" a="1"/>
  <c r="K78" i="1" a="1"/>
  <c r="EF48" i="1" a="1"/>
  <c r="DD19" i="1" a="1"/>
  <c r="DX9" i="1" a="1"/>
  <c r="AL102" i="1" a="1"/>
  <c r="EC36" i="1" a="1"/>
  <c r="DF31" i="1" a="1"/>
  <c r="AE87" i="1" a="1"/>
  <c r="BH84" i="1" a="1"/>
  <c r="E104" i="1" a="1"/>
  <c r="DG34" i="1" a="1"/>
  <c r="CZ87" i="1" a="1"/>
  <c r="DD30" i="1" a="1"/>
  <c r="DE33" i="1" a="1"/>
  <c r="CD98" i="1" a="1"/>
  <c r="CE90" i="1" a="1"/>
  <c r="BD115" i="1" a="1"/>
  <c r="BG78" i="1" a="1"/>
  <c r="AF104" i="1" a="1"/>
  <c r="AN103" i="1" a="1"/>
  <c r="L97" i="1" a="1"/>
  <c r="AL106" i="1" a="1"/>
  <c r="EE12" i="1" a="1"/>
  <c r="DG35" i="1" a="1"/>
  <c r="DE51" i="1" a="1"/>
  <c r="EE66" i="1" a="1"/>
  <c r="DF55" i="1" a="1"/>
  <c r="M95" i="1" a="1"/>
  <c r="DZ56" i="1" a="1"/>
  <c r="DE37" i="1" a="1"/>
  <c r="DD9" i="1" a="1"/>
  <c r="EF35" i="1" a="1"/>
  <c r="EA46" i="1" a="1"/>
  <c r="EF80" i="1" a="1"/>
  <c r="DD69" i="1" a="1"/>
  <c r="BL80" i="1" a="1"/>
  <c r="CJ30" i="1" a="1"/>
  <c r="CH12" i="1" a="1"/>
  <c r="CJ49" i="1" a="1"/>
  <c r="CI36" i="1" a="1"/>
  <c r="O51" i="1" a="1"/>
  <c r="CJ11" i="1" a="1"/>
  <c r="I13" i="1" a="1"/>
  <c r="AM57" i="1" a="1"/>
  <c r="BL18" i="1" a="1"/>
  <c r="BE11" i="1" a="1"/>
  <c r="O50" i="1" a="1"/>
  <c r="BD52" i="1" a="1"/>
  <c r="AC112" i="1" a="1"/>
  <c r="EA115" i="1" a="1"/>
  <c r="DG107" i="1" a="1"/>
  <c r="BK57" i="1" a="1"/>
  <c r="P106" i="1" a="1"/>
  <c r="CF96" i="1" a="1"/>
  <c r="DX15" i="1" a="1"/>
  <c r="DF39" i="1" a="1"/>
  <c r="I95" i="1" a="1"/>
  <c r="AM77" i="1" a="1"/>
  <c r="BK107" i="1" a="1"/>
  <c r="DH20" i="1" a="1"/>
  <c r="AG110" i="1" a="1"/>
  <c r="DZ90" i="1" a="1"/>
  <c r="CD114" i="1" a="1"/>
  <c r="BI92" i="1" a="1"/>
  <c r="E108" i="1" a="1"/>
  <c r="AH67" i="1" a="1"/>
  <c r="D88" i="1" a="1"/>
  <c r="BF95" i="1" a="1"/>
  <c r="CG77" i="1" a="1"/>
  <c r="AK101" i="1" a="1"/>
  <c r="AL73" i="1" a="1"/>
  <c r="BF115" i="1" a="1"/>
  <c r="G79" i="1" a="1"/>
  <c r="BK110" i="1" a="1"/>
  <c r="P65" i="1" a="1"/>
  <c r="N75" i="1" a="1"/>
  <c r="DH17" i="1" a="1"/>
  <c r="DH42" i="1" a="1"/>
  <c r="D76" i="1" a="1"/>
  <c r="DF11" i="1" a="1"/>
  <c r="AD107" i="1" a="1"/>
  <c r="CJ113" i="1" a="1"/>
  <c r="DD110" i="1" a="1"/>
  <c r="BK86" i="1" a="1"/>
  <c r="AE102" i="1" a="1"/>
  <c r="CI77" i="1" a="1"/>
  <c r="AG84" i="1" a="1"/>
  <c r="AD87" i="1" a="1"/>
  <c r="BL65" i="1" a="1"/>
  <c r="BD96" i="1" a="1"/>
  <c r="BH75" i="1" a="1"/>
  <c r="H101" i="1" a="1"/>
  <c r="CZ20" i="1" a="1"/>
  <c r="AG98" i="1" a="1"/>
  <c r="AI49" i="1" a="1"/>
  <c r="M39" i="1" a="1"/>
  <c r="CI24" i="1" a="1"/>
  <c r="O44" i="1" a="1"/>
  <c r="AN6" i="1" a="1"/>
  <c r="AM43" i="1" a="1"/>
  <c r="AL28" i="1" a="1"/>
  <c r="BK8" i="1" a="1"/>
  <c r="E50" i="1" a="1"/>
  <c r="H7" i="1" a="1"/>
  <c r="CF30" i="1" a="1"/>
  <c r="CE70" i="1" a="1"/>
  <c r="L112" i="1" a="1"/>
  <c r="J93" i="1" a="1"/>
  <c r="EA105" i="1" a="1"/>
  <c r="BH57" i="1" a="1"/>
  <c r="AM67" i="1" a="1"/>
  <c r="CJ79" i="1" a="1"/>
  <c r="CE67" i="1" a="1"/>
  <c r="BH101" i="1" a="1"/>
  <c r="BH42" i="1" a="1"/>
  <c r="D103" i="1" a="1"/>
  <c r="E65" i="1" a="1"/>
  <c r="D95" i="1" a="1"/>
  <c r="DF37" i="1" a="1"/>
  <c r="DG26" i="1" a="1"/>
  <c r="CD105" i="1" a="1"/>
  <c r="DF103" i="1" a="1"/>
  <c r="AE101" i="1" a="1"/>
  <c r="EC14" i="1" a="1"/>
  <c r="DZ35" i="1" a="1"/>
  <c r="ED56" i="1" a="1"/>
  <c r="AK91" i="1" a="1"/>
  <c r="AE106" i="1" a="1"/>
  <c r="BJ67" i="1" a="1"/>
  <c r="F87" i="1" a="1"/>
  <c r="AJ70" i="1" a="1"/>
  <c r="ED35" i="1" a="1"/>
  <c r="DZ10" i="1" a="1"/>
  <c r="AI106" i="1" a="1"/>
  <c r="EF12" i="1" a="1"/>
  <c r="BE107" i="1" a="1"/>
  <c r="ED29" i="1" a="1"/>
  <c r="DA29" i="1" a="1"/>
  <c r="DF47" i="1" a="1"/>
  <c r="BE87" i="1" a="1"/>
  <c r="AN85" i="1" a="1"/>
  <c r="DG90" i="1" a="1"/>
  <c r="F84" i="1" a="1"/>
  <c r="AJ98" i="1" a="1"/>
  <c r="O87" i="1" a="1"/>
  <c r="AC72" i="1" a="1"/>
  <c r="EF44" i="1" a="1"/>
  <c r="M85" i="1" a="1"/>
  <c r="EE27" i="1" a="1"/>
  <c r="DC55" i="1" a="1"/>
  <c r="M90" i="1" a="1"/>
  <c r="N104" i="1" a="1"/>
  <c r="CC20" i="1" a="1"/>
  <c r="BJ14" i="1" a="1"/>
  <c r="AD51" i="1" a="1"/>
  <c r="BG12" i="1" a="1"/>
  <c r="AD30" i="1" a="1"/>
  <c r="K35" i="1" a="1"/>
  <c r="CG55" i="1" a="1"/>
  <c r="AA57" i="1" a="1"/>
  <c r="CF51" i="1" a="1"/>
  <c r="AH45" i="1" a="1"/>
  <c r="K47" i="1" a="1"/>
  <c r="J16" i="1" a="1"/>
  <c r="D42" i="1" a="1"/>
  <c r="CF32" i="1" a="1"/>
  <c r="I7" i="1" a="1"/>
  <c r="BI28" i="1" a="1"/>
  <c r="AJ34" i="1" a="1"/>
  <c r="BJ8" i="1" a="1"/>
  <c r="CI51" i="1" a="1"/>
  <c r="CH47" i="1" a="1"/>
  <c r="L30" i="1" a="1"/>
  <c r="N50" i="1" a="1"/>
  <c r="BI15" i="1" a="1"/>
  <c r="CJ21" i="1" a="1"/>
  <c r="J13" i="1" a="1"/>
  <c r="J42" i="1" a="1"/>
  <c r="C31" i="1" a="1"/>
  <c r="BD28" i="1" a="1"/>
  <c r="AJ37" i="1" a="1"/>
  <c r="BL29" i="1" a="1"/>
  <c r="H44" i="1" a="1"/>
  <c r="D55" i="1" a="1"/>
  <c r="AN31" i="1" a="1"/>
  <c r="AM31" i="1" a="1"/>
  <c r="I8" i="1" a="1"/>
  <c r="CJ12" i="1" a="1"/>
  <c r="AE7" i="1" a="1"/>
  <c r="L44" i="1" a="1"/>
  <c r="BK16" i="1" a="1"/>
  <c r="AG24" i="1" a="1"/>
  <c r="BK11" i="1" a="1"/>
  <c r="CB21" i="1" a="1"/>
  <c r="P12" i="1" a="1"/>
  <c r="AK7" i="1" a="1"/>
  <c r="AN19" i="1" a="1"/>
  <c r="O21" i="1" a="1"/>
  <c r="E13" i="1" a="1"/>
  <c r="AC54" i="1" a="1"/>
  <c r="G48" i="1" a="1"/>
  <c r="G34" i="1" a="1"/>
  <c r="P9" i="1" a="1"/>
  <c r="CJ26" i="1" a="1"/>
  <c r="H51" i="1" a="1"/>
  <c r="CH14" i="1" a="1"/>
  <c r="AB12" i="1" a="1"/>
  <c r="AE15" i="1" a="1"/>
  <c r="H55" i="1" a="1"/>
  <c r="CG29" i="1" a="1"/>
  <c r="CJ47" i="1" a="1"/>
  <c r="BF26" i="1" a="1"/>
  <c r="AM32" i="1" a="1"/>
  <c r="CI46" i="1" a="1"/>
  <c r="BJ25" i="1" a="1"/>
  <c r="AL54" i="1" a="1"/>
  <c r="AL27" i="1" a="1"/>
  <c r="BK14" i="1" a="1"/>
  <c r="BI14" i="1" a="1"/>
  <c r="AK29" i="1" a="1"/>
  <c r="AD50" i="1" a="1"/>
  <c r="AK15" i="1" a="1"/>
  <c r="K38" i="1" a="1"/>
  <c r="AF11" i="1" a="1"/>
  <c r="CJ7" i="1" a="1"/>
  <c r="P20" i="1" a="1"/>
  <c r="AN16" i="1" a="1"/>
  <c r="L26" i="1" a="1"/>
  <c r="CJ20" i="1" a="1"/>
  <c r="CC31" i="1" a="1"/>
  <c r="P57" i="1" a="1"/>
  <c r="N21" i="1" a="1"/>
  <c r="I51" i="1" a="1"/>
  <c r="AK37" i="1" a="1"/>
  <c r="CI42" i="1" a="1"/>
  <c r="AB31" i="1" a="1"/>
  <c r="AJ49" i="1" a="1"/>
  <c r="K7" i="1" a="1"/>
  <c r="CI20" i="1" a="1"/>
  <c r="AN7" i="1" a="1"/>
  <c r="O53" i="1" a="1"/>
  <c r="CF33" i="1" a="1"/>
  <c r="CC19" i="1" a="1"/>
  <c r="P29" i="1" a="1"/>
  <c r="CD6" i="1" a="1"/>
  <c r="AM10" i="1" a="1"/>
  <c r="AK56" i="1" a="1"/>
  <c r="I30" i="1" a="1"/>
  <c r="CE13" i="1" a="1"/>
  <c r="CJ50" i="1" a="1"/>
  <c r="AG38" i="1" a="1"/>
  <c r="H36" i="1" a="1"/>
  <c r="AE52" i="1" a="1"/>
  <c r="CI31" i="1" a="1"/>
  <c r="L54" i="1" a="1"/>
  <c r="CF47" i="1" a="1"/>
  <c r="P34" i="1" a="1"/>
  <c r="P21" i="1" a="1"/>
  <c r="E27" i="1" a="1"/>
  <c r="P37" i="1" a="1"/>
  <c r="N44" i="1" a="1"/>
  <c r="CJ37" i="1" a="1"/>
  <c r="BD15" i="1" a="1"/>
  <c r="E52" i="1" a="1"/>
  <c r="CB31" i="1" a="1"/>
  <c r="I25" i="1" a="1"/>
  <c r="AB53" i="1" a="1"/>
  <c r="CF17" i="1" a="1"/>
  <c r="AB32" i="1" a="1"/>
  <c r="AL21" i="1" a="1"/>
  <c r="BH14" i="1" a="1"/>
  <c r="AD12" i="1" a="1"/>
  <c r="CD7" i="1" a="1"/>
  <c r="C33" i="1" a="1"/>
  <c r="AN37" i="1" a="1"/>
  <c r="CI16" i="1" a="1"/>
  <c r="AL47" i="1" a="1"/>
  <c r="M25" i="1" a="1"/>
  <c r="M36" i="1" a="1"/>
  <c r="AD34" i="1" a="1"/>
  <c r="AG48" i="1" a="1"/>
  <c r="K9" i="1" a="1"/>
  <c r="AM35" i="1" a="1"/>
  <c r="AH55" i="1" a="1"/>
  <c r="AH13" i="1" a="1"/>
  <c r="E17" i="1" a="1"/>
  <c r="G18" i="1" a="1"/>
  <c r="AB37" i="1" a="1"/>
  <c r="G25" i="1" a="1"/>
  <c r="CF49" i="1" a="1"/>
  <c r="AC55" i="1" a="1"/>
  <c r="N33" i="1" a="1"/>
  <c r="CD14" i="1" a="1"/>
  <c r="BL16" i="1" a="1"/>
  <c r="AF10" i="1" a="1"/>
  <c r="AH10" i="1" a="1"/>
  <c r="BL32" i="1" a="1"/>
  <c r="I55" i="1" a="1"/>
  <c r="CD39" i="1" a="1"/>
  <c r="N32" i="1" a="1"/>
  <c r="O29" i="1" a="1"/>
  <c r="G15" i="1" a="1"/>
  <c r="CB27" i="1" a="1"/>
  <c r="CD8" i="1" a="1"/>
  <c r="BJ35" i="1" a="1"/>
  <c r="K15" i="1" a="1"/>
  <c r="N57" i="1" a="1"/>
  <c r="H37" i="1" a="1"/>
  <c r="AM17" i="1" a="1"/>
  <c r="K51" i="1" a="1"/>
  <c r="CC37" i="1" a="1"/>
  <c r="K52" i="1" a="1"/>
  <c r="BK17" i="1" a="1"/>
  <c r="F37" i="1" a="1"/>
  <c r="BK35" i="1" a="1"/>
  <c r="F35" i="1" a="1"/>
  <c r="AA15" i="1" a="1"/>
  <c r="BE14" i="1" a="1"/>
  <c r="CG24" i="1" a="1"/>
  <c r="AA30" i="1" a="1"/>
  <c r="CC35" i="1" a="1"/>
  <c r="L39" i="1" a="1"/>
  <c r="CI14" i="1" a="1"/>
  <c r="DD92" i="1" a="1"/>
  <c r="EE116" i="1" a="1"/>
  <c r="CB106" i="1" a="1"/>
  <c r="AD110" i="1" a="1"/>
  <c r="EF18" i="1" a="1"/>
  <c r="C103" i="1" a="1"/>
  <c r="F66" i="1" a="1"/>
  <c r="EF50" i="1" a="1"/>
  <c r="AD98" i="1" a="1"/>
  <c r="G17" i="1" a="1"/>
  <c r="CJ48" i="1" a="1"/>
  <c r="BH18" i="1" a="1"/>
  <c r="AC57" i="1" a="1"/>
  <c r="AC42" i="1" a="1"/>
  <c r="M29" i="1" a="1"/>
  <c r="BG7" i="1" a="1"/>
  <c r="H38" i="1" a="1"/>
  <c r="AL29" i="1" a="1"/>
  <c r="D8" i="1" a="1"/>
  <c r="N42" i="1" a="1"/>
  <c r="F6" i="1" a="1"/>
  <c r="AI24" i="1" a="1"/>
  <c r="C57" i="1" a="1"/>
  <c r="M26" i="1" a="1"/>
  <c r="AI43" i="1" a="1"/>
  <c r="CF28" i="1" a="1"/>
  <c r="CH30" i="1" a="1"/>
  <c r="CJ51" i="1" a="1"/>
  <c r="BJ11" i="1" a="1"/>
  <c r="G20" i="1" a="1"/>
  <c r="AL55" i="1" a="1"/>
  <c r="G39" i="1" a="1"/>
  <c r="CJ16" i="1" a="1"/>
  <c r="BI12" i="1" a="1"/>
  <c r="L38" i="1" a="1"/>
  <c r="CC53" i="1" a="1"/>
  <c r="AD14" i="1" a="1"/>
  <c r="AI54" i="1" a="1"/>
  <c r="D29" i="1" a="1"/>
  <c r="CF52" i="1" a="1"/>
  <c r="BL17" i="1" a="1"/>
  <c r="AM8" i="1" a="1"/>
  <c r="BF18" i="1" a="1"/>
  <c r="AH44" i="1" a="1"/>
  <c r="BJ9" i="1" a="1"/>
  <c r="CC27" i="1" a="1"/>
  <c r="I16" i="1" a="1"/>
  <c r="AI15" i="1" a="1"/>
  <c r="N51" i="1" a="1"/>
  <c r="AI28" i="1" a="1"/>
  <c r="F54" i="1" a="1"/>
  <c r="C20" i="1" a="1"/>
  <c r="CD50" i="1" a="1"/>
  <c r="CG52" i="1" a="1"/>
  <c r="N25" i="1" a="1"/>
  <c r="BI36" i="1" a="1"/>
  <c r="AH8" i="1" a="1"/>
  <c r="AI55" i="1" a="1"/>
  <c r="I19" i="1" a="1"/>
  <c r="CE35" i="1" a="1"/>
  <c r="C38" i="1" a="1"/>
  <c r="N15" i="1" a="1"/>
  <c r="BH29" i="1" a="1"/>
  <c r="BL39" i="1" a="1"/>
  <c r="BE26" i="1" a="1"/>
  <c r="C48" i="1" a="1"/>
  <c r="P46" i="1" a="1"/>
  <c r="AK27" i="1" a="1"/>
  <c r="E55" i="1" a="1"/>
  <c r="C50" i="1" a="1"/>
  <c r="CF29" i="1" a="1"/>
  <c r="BD21" i="1" a="1"/>
  <c r="K50" i="1" a="1"/>
  <c r="N14" i="1" a="1"/>
  <c r="BE31" i="1" a="1"/>
  <c r="CE50" i="1" a="1"/>
  <c r="G19" i="1" a="1"/>
  <c r="AI26" i="1" a="1"/>
  <c r="AJ50" i="1" a="1"/>
  <c r="P49" i="1" a="1"/>
  <c r="BG30" i="1" a="1"/>
  <c r="AF12" i="1" a="1"/>
  <c r="D57" i="1" a="1"/>
  <c r="CI25" i="1" a="1"/>
  <c r="CF57" i="1" a="1"/>
  <c r="CB46" i="1" a="1"/>
  <c r="AL56" i="1" a="1"/>
  <c r="CJ9" i="1" a="1"/>
  <c r="F30" i="1" a="1"/>
  <c r="CH26" i="1" a="1"/>
  <c r="I24" i="1" a="1"/>
  <c r="AN33" i="1" a="1"/>
  <c r="BJ39" i="1" a="1"/>
  <c r="D10" i="1" a="1"/>
  <c r="M30" i="1" a="1"/>
  <c r="G37" i="1" a="1"/>
  <c r="AG11" i="1" a="1"/>
  <c r="CH51" i="1" a="1"/>
  <c r="M6" i="1" a="1"/>
  <c r="BL71" i="1" a="1"/>
  <c r="O48" i="1" a="1"/>
  <c r="G36" i="1" a="1"/>
  <c r="AG34" i="1" a="1"/>
  <c r="AN51" i="1" a="1"/>
  <c r="AJ26" i="1" a="1"/>
  <c r="K26" i="1" a="1"/>
  <c r="J7" i="1" a="1"/>
  <c r="CF43" i="1" a="1"/>
  <c r="CG43" i="1" a="1"/>
  <c r="E33" i="1" a="1"/>
  <c r="L36" i="1" a="1"/>
  <c r="CI29" i="1" a="1"/>
  <c r="D32" i="1" a="1"/>
  <c r="CD18" i="1" a="1"/>
  <c r="N24" i="1" a="1"/>
  <c r="CF26" i="1" a="1"/>
  <c r="CI38" i="1" a="1"/>
  <c r="N48" i="1" a="1"/>
  <c r="CC54" i="1" a="1"/>
  <c r="BI27" i="1" a="1"/>
  <c r="CH35" i="1" a="1"/>
  <c r="O18" i="1" a="1"/>
  <c r="CB35" i="1" a="1"/>
  <c r="CH42" i="1" a="1"/>
  <c r="AH33" i="1" a="1"/>
  <c r="BI10" i="1" a="1"/>
  <c r="BD18" i="1" a="1"/>
  <c r="CF55" i="1" a="1"/>
  <c r="AK31" i="1" a="1"/>
  <c r="CG57" i="1" a="1"/>
  <c r="AI101" i="1" a="1"/>
  <c r="DC17" i="1" a="1"/>
  <c r="BG36" i="1" a="1"/>
  <c r="D7" i="1" a="1"/>
  <c r="CC52" i="1" a="1"/>
  <c r="P14" i="1" a="1"/>
  <c r="AC45" i="1" a="1"/>
  <c r="AJ17" i="1" a="1"/>
  <c r="AB21" i="1" a="1"/>
  <c r="AC21" i="1" a="1"/>
  <c r="E21" i="1" a="1"/>
  <c r="CG53" i="1" a="1"/>
  <c r="P52" i="1" a="1"/>
  <c r="E20" i="1" a="1"/>
  <c r="BL12" i="1" a="1"/>
  <c r="CB34" i="1" a="1"/>
  <c r="H31" i="1" a="1"/>
  <c r="J28" i="1" a="1"/>
  <c r="CC46" i="1" a="1"/>
  <c r="AF13" i="1" a="1"/>
  <c r="E42" i="1" a="1"/>
  <c r="CG12" i="1" a="1"/>
  <c r="AG12" i="1" a="1"/>
  <c r="D16" i="1" a="1"/>
  <c r="M48" i="1" a="1"/>
  <c r="CC10" i="1" a="1"/>
  <c r="BK31" i="1" a="1"/>
  <c r="AI39" i="1" a="1"/>
  <c r="AC16" i="1" a="1"/>
  <c r="G44" i="1" a="1"/>
  <c r="AA46" i="1" a="1"/>
  <c r="EF14" i="1" a="1"/>
  <c r="O37" i="1" a="1"/>
  <c r="AD20" i="1" a="1"/>
  <c r="AN10" i="1" a="1"/>
  <c r="AA8" i="1" a="1"/>
  <c r="AB45" i="1" a="1"/>
  <c r="E10" i="1" a="1"/>
  <c r="O7" i="1" a="1"/>
  <c r="CC36" i="1" a="1"/>
  <c r="I42" i="1" a="1"/>
  <c r="BK12" i="1" a="1"/>
  <c r="AB52" i="1" a="1"/>
  <c r="AN17" i="1" a="1"/>
  <c r="CB19" i="1" a="1"/>
  <c r="I38" i="1" a="1"/>
  <c r="P27" i="1" a="1"/>
  <c r="AJ47" i="1" a="1"/>
  <c r="CJ6" i="1" a="1"/>
  <c r="I37" i="1" a="1"/>
  <c r="CC48" i="1" a="1"/>
  <c r="M53" i="1" a="1"/>
  <c r="BK18" i="1" a="1"/>
  <c r="J6" i="1" a="1"/>
  <c r="CH24" i="1" a="1"/>
  <c r="DH33" i="1" a="1"/>
  <c r="L46" i="1" a="1"/>
  <c r="AJ30" i="1" a="1"/>
  <c r="CH54" i="1" a="1"/>
  <c r="AJ39" i="1" a="1"/>
  <c r="AC36" i="1" a="1"/>
  <c r="AG50" i="1" a="1"/>
  <c r="AK17" i="1" a="1"/>
  <c r="BE34" i="1" a="1"/>
  <c r="BE7" i="1" a="1"/>
  <c r="CF13" i="1" a="1"/>
  <c r="BI34" i="1" a="1"/>
  <c r="CF45" i="1" a="1"/>
  <c r="G47" i="1" a="1"/>
  <c r="AJ8" i="1" a="1"/>
  <c r="CJ8" i="1" a="1"/>
  <c r="F42" i="1" a="1"/>
  <c r="AK50" i="1" a="1"/>
  <c r="AI56" i="1" a="1"/>
  <c r="AL31" i="1" a="1"/>
  <c r="AG26" i="1" a="1"/>
  <c r="AN39" i="1" a="1"/>
  <c r="F49" i="1" a="1"/>
  <c r="J36" i="1" a="1"/>
  <c r="AJ54" i="1" a="1"/>
  <c r="CG15" i="1" a="1"/>
  <c r="BG24" i="1" a="1"/>
  <c r="E16" i="1" a="1"/>
  <c r="BE28" i="1" a="1"/>
  <c r="BI29" i="1" a="1"/>
  <c r="K48" i="1" a="1"/>
  <c r="M47" i="1" a="1"/>
  <c r="L19" i="1" a="1"/>
  <c r="P18" i="1" a="1"/>
  <c r="CI10" i="1" a="1"/>
  <c r="AK30" i="1" a="1"/>
  <c r="H30" i="1" a="1"/>
  <c r="H35" i="1" a="1"/>
  <c r="CJ53" i="1" a="1"/>
  <c r="CC21" i="1" a="1"/>
  <c r="I47" i="1" a="1"/>
  <c r="AA37" i="1" a="1"/>
  <c r="CB36" i="1" a="1"/>
  <c r="J112" i="1" a="1"/>
  <c r="J98" i="1" a="1"/>
  <c r="EF31" i="1" a="1"/>
  <c r="AB67" i="1" a="1"/>
  <c r="CZ35" i="1" a="1"/>
  <c r="D51" i="1" a="1"/>
  <c r="AK33" i="1" a="1"/>
  <c r="CJ33" i="1" a="1"/>
  <c r="AM24" i="1" a="1"/>
  <c r="CH36" i="1" a="1"/>
  <c r="E24" i="1" a="1"/>
  <c r="O56" i="1" a="1"/>
  <c r="CF27" i="1" a="1"/>
  <c r="CF35" i="1" a="1"/>
  <c r="BF17" i="1" a="1"/>
  <c r="AD36" i="1" a="1"/>
  <c r="AC46" i="1" a="1"/>
  <c r="I48" i="1" a="1"/>
  <c r="DC6" i="1" a="1"/>
  <c r="E28" i="1" a="1"/>
  <c r="BL9" i="1" a="1"/>
  <c r="CC16" i="1" a="1"/>
  <c r="CF24" i="1" a="1"/>
  <c r="CD28" i="1" a="1"/>
  <c r="BI16" i="1" a="1"/>
  <c r="O54" i="1" a="1"/>
  <c r="D33" i="1" a="1"/>
  <c r="M35" i="1" a="1"/>
  <c r="F15" i="1" a="1"/>
  <c r="AK9" i="1" a="1"/>
  <c r="CI15" i="1" a="1"/>
  <c r="I34" i="1" a="1"/>
  <c r="L29" i="1" a="1"/>
  <c r="AC28" i="1" a="1"/>
  <c r="AC14" i="1" a="1"/>
  <c r="AB43" i="1" a="1"/>
  <c r="CJ31" i="1" a="1"/>
  <c r="BD6" i="1" a="1"/>
  <c r="G50" i="1" a="1"/>
  <c r="CE16" i="1" a="1"/>
  <c r="AN21" i="1" a="1"/>
  <c r="BL19" i="1" a="1"/>
  <c r="AG27" i="1" a="1"/>
  <c r="CB17" i="1" a="1"/>
  <c r="AL43" i="1" a="1"/>
  <c r="BF10" i="1" a="1"/>
  <c r="I33" i="1" a="1"/>
  <c r="CI19" i="1" a="1"/>
  <c r="H32" i="1" a="1"/>
  <c r="D43" i="1" a="1"/>
  <c r="CB14" i="1" a="1"/>
  <c r="BK7" i="1" a="1"/>
  <c r="F24" i="1" a="1"/>
  <c r="CG51" i="1" a="1"/>
  <c r="C17" i="1" a="1"/>
  <c r="AN47" i="1" a="1"/>
  <c r="BE35" i="1" a="1"/>
  <c r="BI33" i="1" a="1"/>
  <c r="AI33" i="1" a="1"/>
  <c r="L16" i="1" a="1"/>
  <c r="BJ38" i="1" a="1"/>
  <c r="AF8" i="1" a="1"/>
  <c r="AH21" i="1" a="1"/>
  <c r="CH46" i="1" a="1"/>
  <c r="BG35" i="1" a="1"/>
  <c r="DB6" i="1" a="1"/>
  <c r="CB57" i="1" a="1"/>
  <c r="BL20" i="1" a="1"/>
  <c r="I54" i="1" a="1"/>
  <c r="AK42" i="1" a="1"/>
  <c r="BE33" i="1" a="1"/>
  <c r="AH49" i="1" a="1"/>
  <c r="H11" i="1" a="1"/>
  <c r="J39" i="1" a="1"/>
  <c r="BD38" i="1" a="1"/>
  <c r="BI24" i="1" a="1"/>
  <c r="J10" i="1" a="1"/>
  <c r="AH28" i="1" a="1"/>
  <c r="P19" i="1" a="1"/>
  <c r="BJ36" i="1" a="1"/>
  <c r="CG25" i="1" a="1"/>
  <c r="N55" i="1" a="1"/>
  <c r="D52" i="1" a="1"/>
  <c r="BL10" i="1" a="1"/>
  <c r="CI57" i="1" a="1"/>
  <c r="P15" i="1" a="1"/>
  <c r="AB46" i="1" a="1"/>
  <c r="CC24" i="1" a="1"/>
  <c r="AF52" i="1" a="1"/>
  <c r="CG18" i="1" a="1"/>
  <c r="AM37" i="1" a="1"/>
  <c r="CJ15" i="1" a="1"/>
  <c r="AJ18" i="1" a="1"/>
  <c r="AB55" i="1" a="1"/>
  <c r="CF14" i="1" a="1"/>
  <c r="EB14" i="1" a="1"/>
  <c r="BJ31" i="1" a="1"/>
  <c r="BJ30" i="1" a="1"/>
  <c r="AK57" i="1" a="1"/>
  <c r="BE8" i="1" a="1"/>
  <c r="E57" i="1" a="1"/>
  <c r="H14" i="1" a="1"/>
  <c r="AC38" i="1" a="1"/>
  <c r="P30" i="1" a="1"/>
  <c r="CG8" i="1" a="1"/>
  <c r="AL53" i="1" a="1"/>
  <c r="K32" i="1" a="1"/>
  <c r="E35" i="1" a="1"/>
  <c r="AH7" i="1" a="1"/>
  <c r="AG20" i="1" a="1"/>
  <c r="C29" i="1" a="1"/>
  <c r="E39" i="1" a="1"/>
  <c r="D48" i="1" a="1"/>
  <c r="AH48" i="1" a="1"/>
  <c r="I46" i="1" a="1"/>
  <c r="N36" i="1" a="1"/>
  <c r="AL10" i="1" a="1"/>
  <c r="L53" i="1" a="1"/>
  <c r="CI35" i="1" a="1"/>
  <c r="CD33" i="1" a="1"/>
  <c r="N39" i="1" a="1"/>
  <c r="BH19" i="1" a="1"/>
  <c r="AL15" i="1" a="1"/>
  <c r="BK21" i="1" a="1"/>
  <c r="BH10" i="1" a="1"/>
  <c r="F27" i="1" a="1"/>
  <c r="AC12" i="1" a="1"/>
  <c r="AE34" i="1" a="1"/>
  <c r="CD12" i="1" a="1"/>
  <c r="DZ9" i="1" a="1"/>
  <c r="AN45" i="1" a="1"/>
  <c r="CJ27" i="1" a="1"/>
  <c r="AI35" i="1" a="1"/>
  <c r="AE36" i="1" a="1"/>
  <c r="CF56" i="1" a="1"/>
  <c r="J50" i="1" a="1"/>
  <c r="AN8" i="1" a="1"/>
  <c r="BE12" i="1" a="1"/>
  <c r="AB56" i="1" a="1"/>
  <c r="AF18" i="1" a="1"/>
  <c r="J51" i="1" a="1"/>
  <c r="CE19" i="1" a="1"/>
  <c r="C36" i="1" a="1"/>
  <c r="H18" i="1" a="1"/>
  <c r="AJ57" i="1" a="1"/>
  <c r="O26" i="1" a="1"/>
  <c r="AH36" i="1" a="1"/>
  <c r="AD11" i="1" a="1"/>
  <c r="BH15" i="1" a="1"/>
  <c r="AD38" i="1" a="1"/>
  <c r="CH34" i="1" a="1"/>
  <c r="I17" i="1" a="1"/>
  <c r="I31" i="1" a="1"/>
  <c r="CI18" i="1" a="1"/>
  <c r="AM26" i="1" a="1"/>
  <c r="EB24" i="1" a="1"/>
  <c r="CC55" i="1" a="1"/>
  <c r="L48" i="1" a="1"/>
  <c r="AJ14" i="1" a="1"/>
  <c r="CI6" i="1" a="1"/>
  <c r="AG52" i="1" a="1"/>
  <c r="BJ21" i="1" a="1"/>
  <c r="CI50" i="1" a="1"/>
  <c r="BI35" i="1" a="1"/>
  <c r="BD19" i="1" a="1"/>
  <c r="AA28" i="1" a="1"/>
  <c r="BL30" i="1" a="1"/>
  <c r="BE6" i="1" a="1"/>
  <c r="BL11" i="1" a="1"/>
  <c r="AH11" i="1" a="1"/>
  <c r="O47" i="1" a="1"/>
  <c r="M45" i="1" a="1"/>
  <c r="N17" i="1" a="1"/>
  <c r="BE9" i="1" a="1"/>
  <c r="BG10" i="1" a="1"/>
  <c r="AF25" i="1" a="1"/>
  <c r="BJ29" i="1" a="1"/>
  <c r="BJ12" i="1" a="1"/>
  <c r="CJ29" i="1" a="1"/>
  <c r="K17" i="1" a="1"/>
  <c r="DX106" i="1" a="1"/>
  <c r="AG15" i="1" a="1"/>
  <c r="CC49" i="1" a="1"/>
  <c r="AD52" i="1" a="1"/>
  <c r="CE21" i="1" a="1"/>
  <c r="M42" i="1" a="1"/>
  <c r="K42" i="1" a="1"/>
  <c r="F39" i="1" a="1"/>
  <c r="H10" i="1" a="1"/>
  <c r="O24" i="1" a="1"/>
  <c r="AK46" i="1" a="1"/>
  <c r="AF42" i="1" a="1"/>
  <c r="J48" i="1" a="1"/>
  <c r="BG37" i="1" a="1"/>
  <c r="D44" i="1" a="1"/>
  <c r="AF6" i="1" a="1"/>
  <c r="K43" i="1" a="1"/>
  <c r="I43" i="1" a="1"/>
  <c r="CB42" i="1" a="1"/>
  <c r="CE33" i="1" a="1"/>
  <c r="AM54" i="1" a="1"/>
  <c r="BI8" i="1" a="1"/>
  <c r="AC13" i="1" a="1"/>
  <c r="AJ52" i="1" a="1"/>
  <c r="AL8" i="1" a="1"/>
  <c r="K46" i="1" a="1"/>
  <c r="F52" i="1" a="1"/>
  <c r="CJ39" i="1" a="1"/>
  <c r="P35" i="1" a="1"/>
  <c r="J29" i="1" a="1"/>
  <c r="AI12" i="1" a="1"/>
  <c r="AN32" i="1" a="1"/>
  <c r="BL38" i="1" a="1"/>
  <c r="BD8" i="1" a="1"/>
  <c r="CG7" i="1" a="1"/>
  <c r="BD30" i="1" a="1"/>
  <c r="CJ18" i="1" a="1"/>
  <c r="AG13" i="1" a="1"/>
  <c r="K34" i="1" a="1"/>
  <c r="CF53" i="1" a="1"/>
  <c r="CF36" i="1" a="1"/>
  <c r="AH37" i="1" a="1"/>
  <c r="AB9" i="1" a="1"/>
  <c r="CF69" i="1" a="1"/>
  <c r="AC68" i="1" a="1"/>
  <c r="CD85" i="1" a="1"/>
  <c r="EB108" i="1" a="1"/>
  <c r="DH84" i="1" a="1"/>
  <c r="AA26" i="1" a="1"/>
  <c r="BK36" i="1" a="1"/>
  <c r="AM38" i="1" a="1"/>
  <c r="CD10" i="1" a="1"/>
  <c r="AH12" i="1" a="1"/>
  <c r="M49" i="1" a="1"/>
  <c r="E54" i="1" a="1"/>
  <c r="AK34" i="1" a="1"/>
  <c r="CD16" i="1" a="1"/>
  <c r="CC29" i="1" a="1"/>
  <c r="C34" i="1" a="1"/>
  <c r="CD47" i="1" a="1"/>
  <c r="D46" i="1" a="1"/>
  <c r="AC53" i="1" a="1"/>
  <c r="AL30" i="1" a="1"/>
  <c r="AG33" i="1" a="1"/>
  <c r="AH15" i="1" a="1"/>
  <c r="AC19" i="1" a="1"/>
  <c r="AA25" i="1" a="1"/>
  <c r="BF36" i="1" a="1"/>
  <c r="H54" i="1" a="1"/>
  <c r="CB26" i="1" a="1"/>
  <c r="CB12" i="1" a="1"/>
  <c r="CB25" i="1" a="1"/>
  <c r="BK34" i="1" a="1"/>
  <c r="CF44" i="1" a="1"/>
  <c r="AA48" i="1" a="1"/>
  <c r="AL42" i="1" a="1"/>
  <c r="O9" i="1" a="1"/>
  <c r="CF16" i="1" a="1"/>
  <c r="BD27" i="1" a="1"/>
  <c r="CE31" i="1" a="1"/>
  <c r="H28" i="1" a="1"/>
  <c r="O49" i="1" a="1"/>
  <c r="AD25" i="1" a="1"/>
  <c r="CB48" i="1" a="1"/>
  <c r="AA36" i="1" a="1"/>
  <c r="AH46" i="1" a="1"/>
  <c r="CD42" i="1" a="1"/>
  <c r="BK19" i="1" a="1"/>
  <c r="CH15" i="1" a="1"/>
  <c r="AB33" i="1" a="1"/>
  <c r="CI21" i="1" a="1"/>
  <c r="AK20" i="1" a="1"/>
  <c r="AC24" i="1" a="1"/>
  <c r="M8" i="1" a="1"/>
  <c r="AI47" i="1" a="1"/>
  <c r="BJ18" i="1" a="1"/>
  <c r="AB29" i="1" a="1"/>
  <c r="CF39" i="1" a="1"/>
  <c r="AC49" i="1" a="1"/>
  <c r="CF37" i="1" a="1"/>
  <c r="L49" i="1" a="1"/>
  <c r="BF6" i="1" a="1"/>
  <c r="AE50" i="1" a="1"/>
  <c r="BE30" i="1" a="1"/>
  <c r="AB27" i="1" a="1"/>
  <c r="D6" i="1" a="1"/>
  <c r="AL6" i="1" a="1"/>
  <c r="BH33" i="1" a="1"/>
  <c r="CH55" i="1" a="1"/>
  <c r="AM6" i="1" a="1"/>
  <c r="O32" i="1" a="1"/>
  <c r="L15" i="1" a="1"/>
  <c r="CH48" i="1" a="1"/>
  <c r="D34" i="1" a="1"/>
  <c r="BK28" i="1" a="1"/>
  <c r="AD31" i="1" a="1"/>
  <c r="CD26" i="1" a="1"/>
  <c r="CC7" i="1" a="1"/>
  <c r="G57" i="1" a="1"/>
  <c r="CB39" i="1" a="1"/>
  <c r="CC8" i="1" a="1"/>
  <c r="C10" i="1" a="1"/>
  <c r="N29" i="1" a="1"/>
  <c r="P24" i="1" a="1"/>
  <c r="C11" i="1" a="1"/>
  <c r="E51" i="1" a="1"/>
  <c r="AI44" i="1" a="1"/>
  <c r="BF24" i="1" a="1"/>
  <c r="M18" i="1" a="1"/>
  <c r="AC32" i="1" a="1"/>
  <c r="BL34" i="1" a="1"/>
  <c r="G46" i="1" a="1"/>
  <c r="K31" i="1" a="1"/>
  <c r="BE21" i="1" a="1"/>
  <c r="AD46" i="1" a="1"/>
  <c r="F77" i="1" a="1"/>
  <c r="CG110" i="1" a="1"/>
  <c r="F12" i="1" a="1"/>
  <c r="CD27" i="1" a="1"/>
  <c r="AD21" i="1" a="1"/>
  <c r="CC17" i="1" a="1"/>
  <c r="M24" i="1" a="1"/>
  <c r="AC50" i="1" a="1"/>
  <c r="I39" i="1" a="1"/>
  <c r="BH13" i="1" a="1"/>
  <c r="H27" i="1" a="1"/>
  <c r="M15" i="1" a="1"/>
  <c r="L10" i="1" a="1"/>
  <c r="AL17" i="1" a="1"/>
  <c r="L34" i="1" a="1"/>
  <c r="AM52" i="1" a="1"/>
  <c r="CG17" i="1" a="1"/>
  <c r="CD57" i="1" a="1"/>
  <c r="CC38" i="1" a="1"/>
  <c r="L51" i="1" a="1"/>
  <c r="AJ24" i="1" a="1"/>
  <c r="E14" i="1" a="1"/>
  <c r="C51" i="1" a="1"/>
  <c r="CB18" i="1" a="1"/>
  <c r="CG14" i="1" a="1"/>
  <c r="AN30" i="1" a="1"/>
  <c r="AN53" i="1" a="1"/>
  <c r="BE17" i="1" a="1"/>
  <c r="BF96" i="1" a="1"/>
  <c r="AH43" i="1" a="1"/>
  <c r="BI7" i="1" a="1"/>
  <c r="BE13" i="1" a="1"/>
  <c r="K39" i="1" a="1"/>
  <c r="AL45" i="1" a="1"/>
  <c r="BI25" i="1" a="1"/>
  <c r="CC26" i="1" a="1"/>
  <c r="AC31" i="1" a="1"/>
  <c r="BH9" i="1" a="1"/>
  <c r="AH27" i="1" a="1"/>
  <c r="AN42" i="1" a="1"/>
  <c r="O31" i="1" a="1"/>
  <c r="K54" i="1" a="1"/>
  <c r="K56" i="1" a="1"/>
  <c r="CI12" i="1" a="1"/>
  <c r="CC9" i="1" a="1"/>
  <c r="AF20" i="1" a="1"/>
  <c r="P56" i="1" a="1"/>
  <c r="AE29" i="1" a="1"/>
  <c r="CE8" i="1" a="1"/>
  <c r="CJ36" i="1" a="1"/>
  <c r="AC6" i="1" a="1"/>
  <c r="CH13" i="1" a="1"/>
  <c r="CG35" i="1" a="1"/>
  <c r="CG38" i="1" a="1"/>
  <c r="BI110" i="1" a="1"/>
  <c r="H43" i="1" a="1"/>
  <c r="AG46" i="1" a="1"/>
  <c r="BD13" i="1" a="1"/>
  <c r="AE55" i="1" a="1"/>
  <c r="BH7" i="1" a="1"/>
  <c r="BD32" i="1" a="1"/>
  <c r="K53" i="1" a="1"/>
  <c r="AF7" i="1" a="1"/>
  <c r="BL28" i="1" a="1"/>
  <c r="K14" i="1" a="1"/>
  <c r="BF34" i="1" a="1"/>
  <c r="CF8" i="1" a="1"/>
  <c r="F26" i="1" a="1"/>
  <c r="G16" i="1" a="1"/>
  <c r="CC12" i="1" a="1"/>
  <c r="CJ25" i="1" a="1"/>
  <c r="O6" i="1" a="1"/>
  <c r="D18" i="1" a="1"/>
  <c r="L55" i="1" a="1"/>
  <c r="CC57" i="1" a="1"/>
  <c r="AE9" i="1" a="1"/>
  <c r="AH97" i="1" a="1"/>
  <c r="N56" i="1" a="1"/>
  <c r="CB28" i="1" a="1"/>
  <c r="AI45" i="1" a="1"/>
  <c r="CH18" i="1" a="1"/>
  <c r="CD11" i="1" a="1"/>
  <c r="AJ29" i="1" a="1"/>
  <c r="AG7" i="1" a="1"/>
  <c r="CC14" i="1" a="1"/>
  <c r="AG16" i="1" a="1"/>
  <c r="CB13" i="1" a="1"/>
  <c r="I44" i="1" a="1"/>
  <c r="AI11" i="1" a="1"/>
  <c r="DA6" i="1" a="1"/>
  <c r="CF19" i="1" a="1"/>
  <c r="J57" i="1" a="1"/>
  <c r="AB44" i="1" a="1"/>
  <c r="P39" i="1" a="1"/>
  <c r="BD37" i="1" a="1"/>
  <c r="BH34" i="1" a="1"/>
  <c r="CB30" i="1" a="1"/>
  <c r="CE14" i="1" a="1"/>
  <c r="BD25" i="1" a="1"/>
  <c r="AM25" i="1" a="1"/>
  <c r="J9" i="1" a="1"/>
  <c r="AB36" i="1" a="1"/>
  <c r="F56" i="1" a="1"/>
  <c r="P11" i="1" a="1"/>
  <c r="AL36" i="1" a="1"/>
  <c r="CF18" i="1" a="1"/>
  <c r="CI37" i="1" a="1"/>
  <c r="I15" i="1" a="1"/>
  <c r="CG49" i="1" a="1"/>
  <c r="BE37" i="1" a="1"/>
  <c r="E29" i="1" a="1"/>
  <c r="CF21" i="1" a="1"/>
  <c r="D26" i="1" a="1"/>
  <c r="CI13" i="1" a="1"/>
  <c r="CJ24" i="1" a="1"/>
  <c r="AE44" i="1" a="1"/>
  <c r="DG6" i="1" a="1"/>
  <c r="CD38" i="1" a="1"/>
  <c r="BI95" i="1" a="1"/>
  <c r="DH12" i="1" a="1"/>
  <c r="DC34" i="1" a="1"/>
  <c r="DY36" i="1" a="1"/>
  <c r="J30" i="1" a="1"/>
  <c r="CE17" i="1" a="1"/>
  <c r="BF27" i="1" a="1"/>
  <c r="J37" i="1" a="1"/>
  <c r="BF30" i="1" a="1"/>
  <c r="J14" i="1" a="1"/>
  <c r="H48" i="1" a="1"/>
  <c r="AM47" i="1" a="1"/>
  <c r="BJ34" i="1" a="1"/>
  <c r="M38" i="1" a="1"/>
  <c r="O13" i="1" a="1"/>
  <c r="P70" i="1" a="1"/>
  <c r="DG30" i="1" a="1"/>
  <c r="DC16" i="1" a="1"/>
  <c r="EE50" i="1" a="1"/>
  <c r="P8" i="1" a="1"/>
  <c r="O30" i="1" a="1"/>
  <c r="M11" i="1" a="1"/>
  <c r="D56" i="1" a="1"/>
  <c r="CG34" i="1" a="1"/>
  <c r="G56" i="1" a="1"/>
  <c r="N52" i="1" a="1"/>
  <c r="O20" i="1" a="1"/>
  <c r="BD9" i="1" a="1"/>
  <c r="N49" i="1" a="1"/>
  <c r="CD51" i="1" a="1"/>
  <c r="AA52" i="1" a="1"/>
  <c r="AG39" i="1" a="1"/>
  <c r="O10" i="1" a="1"/>
  <c r="O33" i="1" a="1"/>
  <c r="CJ28" i="1" a="1"/>
  <c r="CI52" i="1" a="1"/>
  <c r="AI16" i="1" a="1"/>
  <c r="BI13" i="1" a="1"/>
  <c r="H46" i="1" a="1"/>
  <c r="E34" i="1" a="1"/>
  <c r="AD18" i="1" a="1"/>
  <c r="CG31" i="1" a="1"/>
  <c r="AI27" i="1" a="1"/>
  <c r="K12" i="1" a="1"/>
  <c r="AD45" i="1" a="1"/>
  <c r="CG39" i="1" a="1"/>
  <c r="F48" i="1" a="1"/>
  <c r="AG28" i="1" a="1"/>
  <c r="D25" i="1" a="1"/>
  <c r="AD49" i="1" a="1"/>
  <c r="CH16" i="1" a="1"/>
  <c r="AC52" i="1" a="1"/>
  <c r="BG28" i="1" a="1"/>
  <c r="BG11" i="1" a="1"/>
  <c r="D53" i="1" a="1"/>
  <c r="P43" i="1" a="1"/>
  <c r="F11" i="1" a="1"/>
  <c r="AC51" i="1" a="1"/>
  <c r="AC17" i="1" a="1"/>
  <c r="AE49" i="1" a="1"/>
  <c r="AH57" i="1" a="1"/>
  <c r="F34" i="1" a="1"/>
  <c r="L17" i="1" a="1"/>
  <c r="CD29" i="1" a="1"/>
  <c r="AK6" i="1" a="1"/>
  <c r="AE20" i="1" a="1"/>
  <c r="F18" i="1" a="1"/>
  <c r="BI6" i="1" a="1"/>
  <c r="G52" i="1" a="1"/>
  <c r="AC26" i="1" a="1"/>
  <c r="BG6" i="1" a="1"/>
  <c r="I9" i="1" a="1"/>
  <c r="CI55" i="1" a="1"/>
  <c r="H17" i="1" a="1"/>
  <c r="AI19" i="1" a="1"/>
  <c r="AB19" i="1" a="1"/>
  <c r="N54" i="1" a="1"/>
  <c r="CE42" i="1" a="1"/>
  <c r="CE11" i="1" a="1"/>
  <c r="CB6" i="1" a="1"/>
  <c r="AI25" i="1" a="1"/>
  <c r="AB18" i="1" a="1"/>
  <c r="CH27" i="1" a="1"/>
  <c r="BJ16" i="1" a="1"/>
  <c r="AG44" i="1" a="1"/>
  <c r="AE57" i="1" a="1"/>
  <c r="G26" i="1" a="1"/>
  <c r="AG35" i="1" a="1"/>
  <c r="BK13" i="1" a="1"/>
  <c r="G6" i="1" a="1"/>
  <c r="CD17" i="1" a="1"/>
  <c r="AL11" i="1" a="1"/>
  <c r="BD20" i="1" a="1"/>
  <c r="AG10" i="1" a="1"/>
  <c r="AL12" i="1" a="1"/>
  <c r="AA11" i="1" a="1"/>
  <c r="AM42" i="1" a="1"/>
  <c r="C28" i="1" a="1"/>
  <c r="L56" i="1" a="1"/>
  <c r="F8" i="1" a="1"/>
  <c r="G29" i="1" a="1"/>
  <c r="CZ6" i="1" a="1"/>
  <c r="AJ51" i="1" a="1"/>
  <c r="AE27" i="1" a="1"/>
  <c r="E6" i="1" a="1"/>
  <c r="AN50" i="1" a="1"/>
  <c r="CB37" i="1" a="1"/>
  <c r="N6" i="1" a="1"/>
  <c r="CF110" i="1" a="1"/>
  <c r="AI107" i="1" a="1"/>
  <c r="DH16" i="1" a="1"/>
  <c r="P85" i="1" a="1"/>
  <c r="AH39" i="1" a="1"/>
  <c r="AM27" i="1" a="1"/>
  <c r="F47" i="1" a="1"/>
  <c r="AE19" i="1" a="1"/>
  <c r="AB15" i="1" a="1"/>
  <c r="F57" i="1" a="1"/>
  <c r="AN55" i="1" a="1"/>
  <c r="CB8" i="1" a="1"/>
  <c r="AI10" i="1" a="1"/>
  <c r="N38" i="1" a="1"/>
  <c r="AF54" i="1" a="1"/>
  <c r="CF46" i="1" a="1"/>
  <c r="AH29" i="1" a="1"/>
  <c r="BI32" i="1" a="1"/>
  <c r="CD49" i="1" a="1"/>
  <c r="AG47" i="1" a="1"/>
  <c r="AD57" i="1" a="1"/>
  <c r="E46" i="1" a="1"/>
  <c r="CG33" i="1" a="1"/>
  <c r="F28" i="1" a="1"/>
  <c r="AF47" i="1" a="1"/>
  <c r="CE47" i="1" a="1"/>
  <c r="M56" i="1" a="1"/>
  <c r="CJ54" i="1" a="1"/>
  <c r="BH16" i="1" a="1"/>
  <c r="H24" i="1" a="1"/>
  <c r="N12" i="1" a="1"/>
  <c r="AA27" i="1" a="1"/>
  <c r="AG45" i="1" a="1"/>
  <c r="F46" i="1" a="1"/>
  <c r="K45" i="1" a="1"/>
  <c r="AM14" i="1" a="1"/>
  <c r="CE32" i="1" a="1"/>
  <c r="BL24" i="1" a="1"/>
  <c r="BK30" i="1" a="1"/>
  <c r="AH17" i="1" a="1"/>
  <c r="AA12" i="1" a="1"/>
  <c r="F14" i="1" a="1"/>
  <c r="C44" i="1" a="1"/>
  <c r="BL6" i="1" a="1"/>
  <c r="P47" i="1" a="1"/>
  <c r="H25" i="1" a="1"/>
  <c r="AM44" i="1" a="1"/>
  <c r="AL52" i="1" a="1"/>
  <c r="BK29" i="1" a="1"/>
  <c r="AD53" i="1" a="1"/>
  <c r="AA32" i="1" a="1"/>
  <c r="M34" i="1" a="1"/>
  <c r="BK6" i="1" a="1"/>
  <c r="K13" i="1" a="1"/>
  <c r="CE10" i="1" a="1"/>
  <c r="BE16" i="1" a="1"/>
  <c r="AJ11" i="1" a="1"/>
  <c r="AB28" i="1" a="1"/>
  <c r="AK28" i="1" a="1"/>
  <c r="K16" i="1" a="1"/>
  <c r="AE31" i="1" a="1"/>
  <c r="D21" i="1" a="1"/>
  <c r="BJ27" i="1" a="1"/>
  <c r="CG46" i="1" a="1"/>
  <c r="CH57" i="1" a="1"/>
  <c r="AC34" i="1" a="1"/>
  <c r="CF7" i="1" a="1"/>
  <c r="CI8" i="1" a="1"/>
  <c r="M54" i="1" a="1"/>
  <c r="CH6" i="1" a="1"/>
  <c r="O36" i="1" a="1"/>
  <c r="AK44" i="1" a="1"/>
  <c r="AI6" i="1" a="1"/>
  <c r="CE20" i="1" a="1"/>
  <c r="CD13" i="1" a="1"/>
  <c r="C14" i="1" a="1"/>
  <c r="AI51" i="1" a="1"/>
  <c r="AI34" i="1" a="1"/>
  <c r="CJ14" i="1" a="1"/>
  <c r="AF51" i="1" a="1"/>
  <c r="J11" i="1" a="1"/>
  <c r="CG26" i="1" a="1"/>
  <c r="AK13" i="1" a="1"/>
  <c r="BF14" i="1" a="1"/>
  <c r="AI14" i="1" a="1"/>
  <c r="BI37" i="1" a="1"/>
  <c r="H8" i="1" a="1"/>
  <c r="CH56" i="1" a="1"/>
  <c r="AK43" i="1" a="1"/>
  <c r="CC13" i="1" a="1"/>
  <c r="BF33" i="1" a="1"/>
  <c r="AE13" i="1" a="1"/>
  <c r="AB10" i="1" a="1"/>
  <c r="E12" i="1" a="1"/>
  <c r="L18" i="1" a="1"/>
  <c r="P53" i="1" a="1"/>
  <c r="E43" i="1" a="1"/>
  <c r="H19" i="1" a="1"/>
  <c r="CE56" i="1" a="1"/>
  <c r="CG9" i="1" a="1"/>
  <c r="AE16" i="1" a="1"/>
  <c r="AI46" i="1" a="1"/>
  <c r="AI57" i="1" a="1"/>
  <c r="AB103" i="1" a="1"/>
  <c r="O11" i="1" a="1"/>
  <c r="AA45" i="1" a="1"/>
  <c r="AG25" i="1" a="1"/>
  <c r="BH27" i="1" a="1"/>
  <c r="L32" i="1" a="1"/>
  <c r="AE21" i="1" a="1"/>
  <c r="CE12" i="1" a="1"/>
  <c r="AC11" i="1" a="1"/>
  <c r="AE39" i="1" a="1"/>
  <c r="BF13" i="1" a="1"/>
  <c r="H50" i="1" a="1"/>
  <c r="P55" i="1" a="1"/>
  <c r="AA39" i="1" a="1"/>
  <c r="CE34" i="1" a="1"/>
  <c r="I10" i="1" a="1"/>
  <c r="AJ20" i="1" a="1"/>
  <c r="E44" i="1" a="1"/>
  <c r="AI42" i="1" a="1"/>
  <c r="BE32" i="1" a="1"/>
  <c r="E8" i="1" a="1"/>
  <c r="AJ19" i="1" a="1"/>
  <c r="J101" i="1" a="1"/>
  <c r="L42" i="1" a="1"/>
  <c r="O14" i="1" a="1"/>
  <c r="I11" i="1" a="1"/>
  <c r="AD54" i="1" a="1"/>
  <c r="CF50" i="1" a="1"/>
  <c r="G12" i="1" a="1"/>
  <c r="BG38" i="1" a="1"/>
  <c r="AG37" i="1" a="1"/>
  <c r="AA19" i="1" a="1"/>
  <c r="BJ33" i="1" a="1"/>
  <c r="CJ32" i="1" a="1"/>
  <c r="K18" i="1" a="1"/>
  <c r="D47" i="1" a="1"/>
  <c r="CE43" i="1" a="1"/>
  <c r="CH50" i="1" a="1"/>
  <c r="J21" i="1" a="1"/>
  <c r="L14" i="1" a="1"/>
  <c r="DF6" i="1" a="1"/>
  <c r="CI7" i="1" a="1"/>
  <c r="P42" i="1" a="1"/>
  <c r="CI11" i="1" a="1"/>
  <c r="AD32" i="1" a="1"/>
  <c r="AM21" i="1" a="1"/>
  <c r="G14" i="1" a="1"/>
  <c r="BH21" i="1" a="1"/>
  <c r="C56" i="1" a="1"/>
  <c r="N26" i="1" a="1"/>
  <c r="C27" i="1" a="1"/>
  <c r="N37" i="1" a="1"/>
  <c r="AA31" i="1" a="1"/>
  <c r="G43" i="1" a="1"/>
  <c r="AL35" i="1" a="1"/>
  <c r="BF15" i="1" a="1"/>
  <c r="BJ20" i="1" a="1"/>
  <c r="CD43" i="1" a="1"/>
  <c r="AA29" i="1" a="1"/>
  <c r="CE38" i="1" a="1"/>
  <c r="AJ6" i="1" a="1"/>
  <c r="CD19" i="1" a="1"/>
  <c r="AE11" i="1" a="1"/>
  <c r="AD42" i="1" a="1"/>
  <c r="BJ32" i="1" a="1"/>
  <c r="BJ32" i="1" l="1"/>
  <c r="AD42" i="1"/>
  <c r="AE11" i="1"/>
  <c r="CD19" i="1"/>
  <c r="AJ6" i="1"/>
  <c r="CE38" i="1"/>
  <c r="AA29" i="1"/>
  <c r="CD43" i="1"/>
  <c r="BJ20" i="1"/>
  <c r="BF15" i="1"/>
  <c r="AL35" i="1"/>
  <c r="G43" i="1"/>
  <c r="AA31" i="1"/>
  <c r="N37" i="1"/>
  <c r="C27" i="1"/>
  <c r="N26" i="1"/>
  <c r="C56" i="1"/>
  <c r="BH21" i="1"/>
  <c r="G14" i="1"/>
  <c r="AM21" i="1"/>
  <c r="AD32" i="1"/>
  <c r="CI11" i="1"/>
  <c r="P42" i="1"/>
  <c r="CI7" i="1"/>
  <c r="DF6" i="1"/>
  <c r="L14" i="1"/>
  <c r="J21" i="1"/>
  <c r="CH50" i="1"/>
  <c r="CE43" i="1"/>
  <c r="D47" i="1"/>
  <c r="K18" i="1"/>
  <c r="CJ32" i="1"/>
  <c r="BJ33" i="1"/>
  <c r="AA19" i="1"/>
  <c r="AG37" i="1"/>
  <c r="BG38" i="1"/>
  <c r="G12" i="1"/>
  <c r="CF50" i="1"/>
  <c r="AD54" i="1"/>
  <c r="I11" i="1"/>
  <c r="O14" i="1"/>
  <c r="L42" i="1"/>
  <c r="J101" i="1"/>
  <c r="AJ19" i="1"/>
  <c r="E8" i="1"/>
  <c r="BE32" i="1"/>
  <c r="AI42" i="1"/>
  <c r="E44" i="1"/>
  <c r="AJ20" i="1"/>
  <c r="I10" i="1"/>
  <c r="CE34" i="1"/>
  <c r="AA39" i="1"/>
  <c r="P55" i="1"/>
  <c r="H50" i="1"/>
  <c r="BF13" i="1"/>
  <c r="AE39" i="1"/>
  <c r="AC11" i="1"/>
  <c r="CE12" i="1"/>
  <c r="AE21" i="1"/>
  <c r="L32" i="1"/>
  <c r="BH27" i="1"/>
  <c r="AG25" i="1"/>
  <c r="AA45" i="1"/>
  <c r="O11" i="1"/>
  <c r="AB103" i="1"/>
  <c r="AI57" i="1"/>
  <c r="AI46" i="1"/>
  <c r="AE16" i="1"/>
  <c r="CG9" i="1"/>
  <c r="CE56" i="1"/>
  <c r="H19" i="1"/>
  <c r="E43" i="1"/>
  <c r="P53" i="1"/>
  <c r="L18" i="1"/>
  <c r="E12" i="1"/>
  <c r="AB10" i="1"/>
  <c r="AE13" i="1"/>
  <c r="BF33" i="1"/>
  <c r="CC13" i="1"/>
  <c r="AK43" i="1"/>
  <c r="CH56" i="1"/>
  <c r="H8" i="1"/>
  <c r="BI37" i="1"/>
  <c r="AI14" i="1"/>
  <c r="BF14" i="1"/>
  <c r="AK13" i="1"/>
  <c r="CG26" i="1"/>
  <c r="J11" i="1"/>
  <c r="AF51" i="1"/>
  <c r="CJ14" i="1"/>
  <c r="AI34" i="1"/>
  <c r="AI51" i="1"/>
  <c r="C14" i="1"/>
  <c r="CD13" i="1"/>
  <c r="CE20" i="1"/>
  <c r="AI6" i="1"/>
  <c r="AK44" i="1"/>
  <c r="O36" i="1"/>
  <c r="CH6" i="1"/>
  <c r="M54" i="1"/>
  <c r="CI8" i="1"/>
  <c r="CF7" i="1"/>
  <c r="AC34" i="1"/>
  <c r="CH57" i="1"/>
  <c r="CG46" i="1"/>
  <c r="BJ27" i="1"/>
  <c r="D21" i="1"/>
  <c r="AE31" i="1"/>
  <c r="K16" i="1"/>
  <c r="AK28" i="1"/>
  <c r="AB28" i="1"/>
  <c r="AJ11" i="1"/>
  <c r="BE16" i="1"/>
  <c r="CE10" i="1"/>
  <c r="K13" i="1"/>
  <c r="BK6" i="1"/>
  <c r="M34" i="1"/>
  <c r="AA32" i="1"/>
  <c r="AD53" i="1"/>
  <c r="BK29" i="1"/>
  <c r="AL52" i="1"/>
  <c r="AM44" i="1"/>
  <c r="H25" i="1"/>
  <c r="P47" i="1"/>
  <c r="BL6" i="1"/>
  <c r="C44" i="1"/>
  <c r="F14" i="1"/>
  <c r="AA12" i="1"/>
  <c r="AH17" i="1"/>
  <c r="BK30" i="1"/>
  <c r="BL24" i="1"/>
  <c r="CE32" i="1"/>
  <c r="AM14" i="1"/>
  <c r="K45" i="1"/>
  <c r="F46" i="1"/>
  <c r="AG45" i="1"/>
  <c r="AA27" i="1"/>
  <c r="N12" i="1"/>
  <c r="H24" i="1"/>
  <c r="BH16" i="1"/>
  <c r="CJ54" i="1"/>
  <c r="M56" i="1"/>
  <c r="CE47" i="1"/>
  <c r="AF47" i="1"/>
  <c r="F28" i="1"/>
  <c r="CG33" i="1"/>
  <c r="E46" i="1"/>
  <c r="AD57" i="1"/>
  <c r="AG47" i="1"/>
  <c r="CD49" i="1"/>
  <c r="BI32" i="1"/>
  <c r="AH29" i="1"/>
  <c r="CF46" i="1"/>
  <c r="AF54" i="1"/>
  <c r="N38" i="1"/>
  <c r="AI10" i="1"/>
  <c r="CB8" i="1"/>
  <c r="AN55" i="1"/>
  <c r="F57" i="1"/>
  <c r="AB15" i="1"/>
  <c r="AE19" i="1"/>
  <c r="F47" i="1"/>
  <c r="AM27" i="1"/>
  <c r="AH39" i="1"/>
  <c r="P85" i="1"/>
  <c r="DH16" i="1"/>
  <c r="AI107" i="1"/>
  <c r="CF110" i="1"/>
  <c r="N6" i="1"/>
  <c r="CB37" i="1"/>
  <c r="AN50" i="1"/>
  <c r="E6" i="1"/>
  <c r="AE27" i="1"/>
  <c r="AJ51" i="1"/>
  <c r="CZ6" i="1"/>
  <c r="G29" i="1"/>
  <c r="F8" i="1"/>
  <c r="L56" i="1"/>
  <c r="C28" i="1"/>
  <c r="AM42" i="1"/>
  <c r="AA11" i="1"/>
  <c r="AL12" i="1"/>
  <c r="AG10" i="1"/>
  <c r="BD20" i="1"/>
  <c r="AL11" i="1"/>
  <c r="CD17" i="1"/>
  <c r="G6" i="1"/>
  <c r="BK13" i="1"/>
  <c r="AG35" i="1"/>
  <c r="G26" i="1"/>
  <c r="AE57" i="1"/>
  <c r="AG44" i="1"/>
  <c r="BJ16" i="1"/>
  <c r="CH27" i="1"/>
  <c r="AB18" i="1"/>
  <c r="AI25" i="1"/>
  <c r="CB6" i="1"/>
  <c r="CE11" i="1"/>
  <c r="CE42" i="1"/>
  <c r="N54" i="1"/>
  <c r="AB19" i="1"/>
  <c r="AI19" i="1"/>
  <c r="H17" i="1"/>
  <c r="CI55" i="1"/>
  <c r="I9" i="1"/>
  <c r="BG6" i="1"/>
  <c r="AC26" i="1"/>
  <c r="G52" i="1"/>
  <c r="BI6" i="1"/>
  <c r="F18" i="1"/>
  <c r="AE20" i="1"/>
  <c r="AK6" i="1"/>
  <c r="CD29" i="1"/>
  <c r="L17" i="1"/>
  <c r="F34" i="1"/>
  <c r="AH57" i="1"/>
  <c r="AE49" i="1"/>
  <c r="AC17" i="1"/>
  <c r="AC51" i="1"/>
  <c r="F11" i="1"/>
  <c r="P43" i="1"/>
  <c r="D53" i="1"/>
  <c r="BG11" i="1"/>
  <c r="BG28" i="1"/>
  <c r="AC52" i="1"/>
  <c r="CH16" i="1"/>
  <c r="AD49" i="1"/>
  <c r="D25" i="1"/>
  <c r="AG28" i="1"/>
  <c r="F48" i="1"/>
  <c r="CG39" i="1"/>
  <c r="AD45" i="1"/>
  <c r="K12" i="1"/>
  <c r="AI27" i="1"/>
  <c r="CG31" i="1"/>
  <c r="AD18" i="1"/>
  <c r="E34" i="1"/>
  <c r="H46" i="1"/>
  <c r="BI13" i="1"/>
  <c r="AI16" i="1"/>
  <c r="CI52" i="1"/>
  <c r="CJ28" i="1"/>
  <c r="O33" i="1"/>
  <c r="O10" i="1"/>
  <c r="AG39" i="1"/>
  <c r="AA52" i="1"/>
  <c r="CD51" i="1"/>
  <c r="N49" i="1"/>
  <c r="BD9" i="1"/>
  <c r="O20" i="1"/>
  <c r="N52" i="1"/>
  <c r="G56" i="1"/>
  <c r="CG34" i="1"/>
  <c r="D56" i="1"/>
  <c r="M11" i="1"/>
  <c r="O30" i="1"/>
  <c r="P8" i="1"/>
  <c r="EE50" i="1"/>
  <c r="DC16" i="1"/>
  <c r="DG30" i="1"/>
  <c r="P70" i="1"/>
  <c r="O13" i="1"/>
  <c r="M38" i="1"/>
  <c r="BJ34" i="1"/>
  <c r="AM47" i="1"/>
  <c r="H48" i="1"/>
  <c r="J14" i="1"/>
  <c r="BF30" i="1"/>
  <c r="J37" i="1"/>
  <c r="BF27" i="1"/>
  <c r="CE17" i="1"/>
  <c r="J30" i="1"/>
  <c r="DY36" i="1"/>
  <c r="DC34" i="1"/>
  <c r="DH12" i="1"/>
  <c r="BI95" i="1"/>
  <c r="CD38" i="1"/>
  <c r="DG6" i="1"/>
  <c r="AE44" i="1"/>
  <c r="CJ24" i="1"/>
  <c r="CI13" i="1"/>
  <c r="D26" i="1"/>
  <c r="CF21" i="1"/>
  <c r="E29" i="1"/>
  <c r="BE37" i="1"/>
  <c r="CG49" i="1"/>
  <c r="I15" i="1"/>
  <c r="CI37" i="1"/>
  <c r="CF18" i="1"/>
  <c r="AL36" i="1"/>
  <c r="P11" i="1"/>
  <c r="F56" i="1"/>
  <c r="AB36" i="1"/>
  <c r="J9" i="1"/>
  <c r="AM25" i="1"/>
  <c r="BD25" i="1"/>
  <c r="CE14" i="1"/>
  <c r="CB30" i="1"/>
  <c r="BH34" i="1"/>
  <c r="BD37" i="1"/>
  <c r="P39" i="1"/>
  <c r="AB44" i="1"/>
  <c r="J57" i="1"/>
  <c r="CF19" i="1"/>
  <c r="DA6" i="1"/>
  <c r="AI11" i="1"/>
  <c r="I44" i="1"/>
  <c r="CB13" i="1"/>
  <c r="AG16" i="1"/>
  <c r="CC14" i="1"/>
  <c r="AG7" i="1"/>
  <c r="AJ29" i="1"/>
  <c r="CD11" i="1"/>
  <c r="CH18" i="1"/>
  <c r="AI45" i="1"/>
  <c r="CB28" i="1"/>
  <c r="N56" i="1"/>
  <c r="AH97" i="1"/>
  <c r="AE9" i="1"/>
  <c r="CC57" i="1"/>
  <c r="L55" i="1"/>
  <c r="D18" i="1"/>
  <c r="O6" i="1"/>
  <c r="CJ25" i="1"/>
  <c r="CC12" i="1"/>
  <c r="G16" i="1"/>
  <c r="F26" i="1"/>
  <c r="CF8" i="1"/>
  <c r="BF34" i="1"/>
  <c r="K14" i="1"/>
  <c r="BL28" i="1"/>
  <c r="AF7" i="1"/>
  <c r="K53" i="1"/>
  <c r="BD32" i="1"/>
  <c r="BH7" i="1"/>
  <c r="AE55" i="1"/>
  <c r="BD13" i="1"/>
  <c r="AG46" i="1"/>
  <c r="H43" i="1"/>
  <c r="BI110" i="1"/>
  <c r="CG38" i="1"/>
  <c r="CG35" i="1"/>
  <c r="CH13" i="1"/>
  <c r="AC6" i="1"/>
  <c r="CJ36" i="1"/>
  <c r="CE8" i="1"/>
  <c r="AE29" i="1"/>
  <c r="P56" i="1"/>
  <c r="AF20" i="1"/>
  <c r="CC9" i="1"/>
  <c r="CI12" i="1"/>
  <c r="K56" i="1"/>
  <c r="K54" i="1"/>
  <c r="O31" i="1"/>
  <c r="AN42" i="1"/>
  <c r="AH27" i="1"/>
  <c r="BH9" i="1"/>
  <c r="AC31" i="1"/>
  <c r="CC26" i="1"/>
  <c r="BI25" i="1"/>
  <c r="AL45" i="1"/>
  <c r="K39" i="1"/>
  <c r="BE13" i="1"/>
  <c r="BI7" i="1"/>
  <c r="AH43" i="1"/>
  <c r="BF96" i="1"/>
  <c r="BE17" i="1"/>
  <c r="AN53" i="1"/>
  <c r="AN30" i="1"/>
  <c r="CG14" i="1"/>
  <c r="CB18" i="1"/>
  <c r="C51" i="1"/>
  <c r="E14" i="1"/>
  <c r="AJ24" i="1"/>
  <c r="L51" i="1"/>
  <c r="CC38" i="1"/>
  <c r="CD57" i="1"/>
  <c r="CG17" i="1"/>
  <c r="AM52" i="1"/>
  <c r="L34" i="1"/>
  <c r="AL17" i="1"/>
  <c r="L10" i="1"/>
  <c r="M15" i="1"/>
  <c r="H27" i="1"/>
  <c r="BH13" i="1"/>
  <c r="I39" i="1"/>
  <c r="AC50" i="1"/>
  <c r="M24" i="1"/>
  <c r="CC17" i="1"/>
  <c r="AD21" i="1"/>
  <c r="CD27" i="1"/>
  <c r="F12" i="1"/>
  <c r="CG110" i="1"/>
  <c r="F77" i="1"/>
  <c r="AD46" i="1"/>
  <c r="BE21" i="1"/>
  <c r="K31" i="1"/>
  <c r="G46" i="1"/>
  <c r="BL34" i="1"/>
  <c r="AC32" i="1"/>
  <c r="M18" i="1"/>
  <c r="BF24" i="1"/>
  <c r="AI44" i="1"/>
  <c r="E51" i="1"/>
  <c r="C11" i="1"/>
  <c r="P24" i="1"/>
  <c r="N29" i="1"/>
  <c r="C10" i="1"/>
  <c r="CC8" i="1"/>
  <c r="CB39" i="1"/>
  <c r="G57" i="1"/>
  <c r="CC7" i="1"/>
  <c r="CD26" i="1"/>
  <c r="AD31" i="1"/>
  <c r="BK28" i="1"/>
  <c r="D34" i="1"/>
  <c r="CH48" i="1"/>
  <c r="L15" i="1"/>
  <c r="O32" i="1"/>
  <c r="AM6" i="1"/>
  <c r="CH55" i="1"/>
  <c r="BH33" i="1"/>
  <c r="AL6" i="1"/>
  <c r="D6" i="1"/>
  <c r="AB27" i="1"/>
  <c r="BE30" i="1"/>
  <c r="AE50" i="1"/>
  <c r="BF6" i="1"/>
  <c r="L49" i="1"/>
  <c r="CF37" i="1"/>
  <c r="AC49" i="1"/>
  <c r="CF39" i="1"/>
  <c r="AB29" i="1"/>
  <c r="BJ18" i="1"/>
  <c r="AI47" i="1"/>
  <c r="M8" i="1"/>
  <c r="AC24" i="1"/>
  <c r="AK20" i="1"/>
  <c r="CI21" i="1"/>
  <c r="AB33" i="1"/>
  <c r="CH15" i="1"/>
  <c r="BK19" i="1"/>
  <c r="CD42" i="1"/>
  <c r="AH46" i="1"/>
  <c r="AA36" i="1"/>
  <c r="CB48" i="1"/>
  <c r="AD25" i="1"/>
  <c r="O49" i="1"/>
  <c r="H28" i="1"/>
  <c r="CE31" i="1"/>
  <c r="BD27" i="1"/>
  <c r="CF16" i="1"/>
  <c r="O9" i="1"/>
  <c r="AL42" i="1"/>
  <c r="AA48" i="1"/>
  <c r="CF44" i="1"/>
  <c r="BK34" i="1"/>
  <c r="CB25" i="1"/>
  <c r="CB12" i="1"/>
  <c r="CB26" i="1"/>
  <c r="H54" i="1"/>
  <c r="BF36" i="1"/>
  <c r="AA25" i="1"/>
  <c r="AC19" i="1"/>
  <c r="AH15" i="1"/>
  <c r="AG33" i="1"/>
  <c r="AL30" i="1"/>
  <c r="AC53" i="1"/>
  <c r="D46" i="1"/>
  <c r="CD47" i="1"/>
  <c r="C34" i="1"/>
  <c r="CC29" i="1"/>
  <c r="CD16" i="1"/>
  <c r="AK34" i="1"/>
  <c r="E54" i="1"/>
  <c r="M49" i="1"/>
  <c r="AH12" i="1"/>
  <c r="CD10" i="1"/>
  <c r="AM38" i="1"/>
  <c r="BK36" i="1"/>
  <c r="AA26" i="1"/>
  <c r="DH84" i="1"/>
  <c r="EB108" i="1"/>
  <c r="CD85" i="1"/>
  <c r="AC68" i="1"/>
  <c r="CF69" i="1"/>
  <c r="AB9" i="1"/>
  <c r="AH37" i="1"/>
  <c r="CF36" i="1"/>
  <c r="CF53" i="1"/>
  <c r="K34" i="1"/>
  <c r="AG13" i="1"/>
  <c r="CJ18" i="1"/>
  <c r="BD30" i="1"/>
  <c r="CG7" i="1"/>
  <c r="BD8" i="1"/>
  <c r="BL38" i="1"/>
  <c r="AN32" i="1"/>
  <c r="AI12" i="1"/>
  <c r="J29" i="1"/>
  <c r="P35" i="1"/>
  <c r="CJ39" i="1"/>
  <c r="F52" i="1"/>
  <c r="K46" i="1"/>
  <c r="AL8" i="1"/>
  <c r="AJ52" i="1"/>
  <c r="AC13" i="1"/>
  <c r="BI8" i="1"/>
  <c r="AM54" i="1"/>
  <c r="CE33" i="1"/>
  <c r="CB42" i="1"/>
  <c r="I43" i="1"/>
  <c r="K43" i="1"/>
  <c r="AF6" i="1"/>
  <c r="D44" i="1"/>
  <c r="BG37" i="1"/>
  <c r="J48" i="1"/>
  <c r="AF42" i="1"/>
  <c r="AK46" i="1"/>
  <c r="O24" i="1"/>
  <c r="H10" i="1"/>
  <c r="F39" i="1"/>
  <c r="K42" i="1"/>
  <c r="M42" i="1"/>
  <c r="CE21" i="1"/>
  <c r="AD52" i="1"/>
  <c r="CC49" i="1"/>
  <c r="AG15" i="1"/>
  <c r="DX106" i="1"/>
  <c r="K17" i="1"/>
  <c r="CJ29" i="1"/>
  <c r="BJ12" i="1"/>
  <c r="BJ29" i="1"/>
  <c r="AF25" i="1"/>
  <c r="BG10" i="1"/>
  <c r="BE9" i="1"/>
  <c r="N17" i="1"/>
  <c r="M45" i="1"/>
  <c r="O47" i="1"/>
  <c r="AH11" i="1"/>
  <c r="BL11" i="1"/>
  <c r="BE6" i="1"/>
  <c r="BL30" i="1"/>
  <c r="AA28" i="1"/>
  <c r="BD19" i="1"/>
  <c r="BI35" i="1"/>
  <c r="CI50" i="1"/>
  <c r="BJ21" i="1"/>
  <c r="AG52" i="1"/>
  <c r="CI6" i="1"/>
  <c r="AJ14" i="1"/>
  <c r="L48" i="1"/>
  <c r="CC55" i="1"/>
  <c r="EB24" i="1"/>
  <c r="AM26" i="1"/>
  <c r="CI18" i="1"/>
  <c r="I31" i="1"/>
  <c r="I17" i="1"/>
  <c r="CH34" i="1"/>
  <c r="AD38" i="1"/>
  <c r="BH15" i="1"/>
  <c r="AD11" i="1"/>
  <c r="AH36" i="1"/>
  <c r="O26" i="1"/>
  <c r="AJ57" i="1"/>
  <c r="H18" i="1"/>
  <c r="C36" i="1"/>
  <c r="CE19" i="1"/>
  <c r="J51" i="1"/>
  <c r="AF18" i="1"/>
  <c r="AB56" i="1"/>
  <c r="BE12" i="1"/>
  <c r="AN8" i="1"/>
  <c r="J50" i="1"/>
  <c r="CF56" i="1"/>
  <c r="AE36" i="1"/>
  <c r="AI35" i="1"/>
  <c r="CJ27" i="1"/>
  <c r="AN45" i="1"/>
  <c r="DZ9" i="1"/>
  <c r="CD12" i="1"/>
  <c r="AE34" i="1"/>
  <c r="AC12" i="1"/>
  <c r="F27" i="1"/>
  <c r="BH10" i="1"/>
  <c r="BK21" i="1"/>
  <c r="AL15" i="1"/>
  <c r="BH19" i="1"/>
  <c r="N39" i="1"/>
  <c r="CD33" i="1"/>
  <c r="CI35" i="1"/>
  <c r="L53" i="1"/>
  <c r="AL10" i="1"/>
  <c r="N36" i="1"/>
  <c r="I46" i="1"/>
  <c r="AH48" i="1"/>
  <c r="D48" i="1"/>
  <c r="E39" i="1"/>
  <c r="C29" i="1"/>
  <c r="AG20" i="1"/>
  <c r="AH7" i="1"/>
  <c r="E35" i="1"/>
  <c r="K32" i="1"/>
  <c r="AL53" i="1"/>
  <c r="CG8" i="1"/>
  <c r="P30" i="1"/>
  <c r="AC38" i="1"/>
  <c r="H14" i="1"/>
  <c r="E57" i="1"/>
  <c r="BE8" i="1"/>
  <c r="AK57" i="1"/>
  <c r="BJ30" i="1"/>
  <c r="BJ31" i="1"/>
  <c r="EB14" i="1"/>
  <c r="CF14" i="1"/>
  <c r="AB55" i="1"/>
  <c r="AJ18" i="1"/>
  <c r="CJ15" i="1"/>
  <c r="AM37" i="1"/>
  <c r="CG18" i="1"/>
  <c r="AF52" i="1"/>
  <c r="CC24" i="1"/>
  <c r="AB46" i="1"/>
  <c r="P15" i="1"/>
  <c r="CI57" i="1"/>
  <c r="BL10" i="1"/>
  <c r="D52" i="1"/>
  <c r="N55" i="1"/>
  <c r="CG25" i="1"/>
  <c r="BJ36" i="1"/>
  <c r="P19" i="1"/>
  <c r="AH28" i="1"/>
  <c r="J10" i="1"/>
  <c r="BI24" i="1"/>
  <c r="BD38" i="1"/>
  <c r="J39" i="1"/>
  <c r="H11" i="1"/>
  <c r="AH49" i="1"/>
  <c r="BE33" i="1"/>
  <c r="AK42" i="1"/>
  <c r="I54" i="1"/>
  <c r="BL20" i="1"/>
  <c r="CB57" i="1"/>
  <c r="DB6" i="1"/>
  <c r="BG35" i="1"/>
  <c r="CH46" i="1"/>
  <c r="AH21" i="1"/>
  <c r="AF8" i="1"/>
  <c r="BJ38" i="1"/>
  <c r="L16" i="1"/>
  <c r="AI33" i="1"/>
  <c r="BI33" i="1"/>
  <c r="BE35" i="1"/>
  <c r="AN47" i="1"/>
  <c r="C17" i="1"/>
  <c r="CG51" i="1"/>
  <c r="F24" i="1"/>
  <c r="BK7" i="1"/>
  <c r="CB14" i="1"/>
  <c r="D43" i="1"/>
  <c r="H32" i="1"/>
  <c r="CI19" i="1"/>
  <c r="I33" i="1"/>
  <c r="BF10" i="1"/>
  <c r="AL43" i="1"/>
  <c r="CB17" i="1"/>
  <c r="AG27" i="1"/>
  <c r="BL19" i="1"/>
  <c r="AN21" i="1"/>
  <c r="CE16" i="1"/>
  <c r="G50" i="1"/>
  <c r="BD6" i="1"/>
  <c r="CJ31" i="1"/>
  <c r="AB43" i="1"/>
  <c r="AC14" i="1"/>
  <c r="AC28" i="1"/>
  <c r="L29" i="1"/>
  <c r="I34" i="1"/>
  <c r="CI15" i="1"/>
  <c r="AK9" i="1"/>
  <c r="F15" i="1"/>
  <c r="M35" i="1"/>
  <c r="D33" i="1"/>
  <c r="O54" i="1"/>
  <c r="BI16" i="1"/>
  <c r="CD28" i="1"/>
  <c r="CF24" i="1"/>
  <c r="CC16" i="1"/>
  <c r="BL9" i="1"/>
  <c r="E28" i="1"/>
  <c r="DC6" i="1"/>
  <c r="I48" i="1"/>
  <c r="AC46" i="1"/>
  <c r="AD36" i="1"/>
  <c r="BF17" i="1"/>
  <c r="CF35" i="1"/>
  <c r="CF27" i="1"/>
  <c r="O56" i="1"/>
  <c r="E24" i="1"/>
  <c r="CH36" i="1"/>
  <c r="AM24" i="1"/>
  <c r="CJ33" i="1"/>
  <c r="AK33" i="1"/>
  <c r="D51" i="1"/>
  <c r="CZ35" i="1"/>
  <c r="AB67" i="1"/>
  <c r="EF31" i="1"/>
  <c r="J98" i="1"/>
  <c r="J112" i="1"/>
  <c r="CB36" i="1"/>
  <c r="AA37" i="1"/>
  <c r="I47" i="1"/>
  <c r="CC21" i="1"/>
  <c r="CJ53" i="1"/>
  <c r="H35" i="1"/>
  <c r="H30" i="1"/>
  <c r="AK30" i="1"/>
  <c r="CI10" i="1"/>
  <c r="P18" i="1"/>
  <c r="L19" i="1"/>
  <c r="M47" i="1"/>
  <c r="K48" i="1"/>
  <c r="BI29" i="1"/>
  <c r="BE28" i="1"/>
  <c r="E16" i="1"/>
  <c r="BG24" i="1"/>
  <c r="CG15" i="1"/>
  <c r="AJ54" i="1"/>
  <c r="J36" i="1"/>
  <c r="F49" i="1"/>
  <c r="AN39" i="1"/>
  <c r="AG26" i="1"/>
  <c r="AL31" i="1"/>
  <c r="AI56" i="1"/>
  <c r="AK50" i="1"/>
  <c r="F42" i="1"/>
  <c r="CJ8" i="1"/>
  <c r="AJ8" i="1"/>
  <c r="G47" i="1"/>
  <c r="CF45" i="1"/>
  <c r="BI34" i="1"/>
  <c r="CF13" i="1"/>
  <c r="BE7" i="1"/>
  <c r="BE34" i="1"/>
  <c r="AK17" i="1"/>
  <c r="AG50" i="1"/>
  <c r="AC36" i="1"/>
  <c r="AJ39" i="1"/>
  <c r="CH54" i="1"/>
  <c r="AJ30" i="1"/>
  <c r="L46" i="1"/>
  <c r="DH33" i="1"/>
  <c r="CH24" i="1"/>
  <c r="J6" i="1"/>
  <c r="BK18" i="1"/>
  <c r="M53" i="1"/>
  <c r="CC48" i="1"/>
  <c r="I37" i="1"/>
  <c r="CJ6" i="1"/>
  <c r="AJ47" i="1"/>
  <c r="P27" i="1"/>
  <c r="I38" i="1"/>
  <c r="CB19" i="1"/>
  <c r="AN17" i="1"/>
  <c r="AB52" i="1"/>
  <c r="BK12" i="1"/>
  <c r="I42" i="1"/>
  <c r="CC36" i="1"/>
  <c r="O7" i="1"/>
  <c r="E10" i="1"/>
  <c r="AB45" i="1"/>
  <c r="AA8" i="1"/>
  <c r="AN10" i="1"/>
  <c r="AD20" i="1"/>
  <c r="O37" i="1"/>
  <c r="EF14" i="1"/>
  <c r="AA46" i="1"/>
  <c r="G44" i="1"/>
  <c r="AC16" i="1"/>
  <c r="AI39" i="1"/>
  <c r="BK31" i="1"/>
  <c r="CC10" i="1"/>
  <c r="M48" i="1"/>
  <c r="D16" i="1"/>
  <c r="AG12" i="1"/>
  <c r="CG12" i="1"/>
  <c r="E42" i="1"/>
  <c r="AF13" i="1"/>
  <c r="CC46" i="1"/>
  <c r="J28" i="1"/>
  <c r="H31" i="1"/>
  <c r="CB34" i="1"/>
  <c r="BL12" i="1"/>
  <c r="E20" i="1"/>
  <c r="P52" i="1"/>
  <c r="CG53" i="1"/>
  <c r="E21" i="1"/>
  <c r="AC21" i="1"/>
  <c r="AB21" i="1"/>
  <c r="AJ17" i="1"/>
  <c r="AC45" i="1"/>
  <c r="P14" i="1"/>
  <c r="CC52" i="1"/>
  <c r="D7" i="1"/>
  <c r="BG36" i="1"/>
  <c r="DC17" i="1"/>
  <c r="AI101" i="1"/>
  <c r="CG57" i="1"/>
  <c r="AK31" i="1"/>
  <c r="CF55" i="1"/>
  <c r="BD18" i="1"/>
  <c r="BI10" i="1"/>
  <c r="AH33" i="1"/>
  <c r="CH42" i="1"/>
  <c r="CB35" i="1"/>
  <c r="O18" i="1"/>
  <c r="CH35" i="1"/>
  <c r="BI27" i="1"/>
  <c r="CC54" i="1"/>
  <c r="N48" i="1"/>
  <c r="CI38" i="1"/>
  <c r="CF26" i="1"/>
  <c r="N24" i="1"/>
  <c r="CD18" i="1"/>
  <c r="D32" i="1"/>
  <c r="CI29" i="1"/>
  <c r="L36" i="1"/>
  <c r="E33" i="1"/>
  <c r="CG43" i="1"/>
  <c r="CF43" i="1"/>
  <c r="J7" i="1"/>
  <c r="K26" i="1"/>
  <c r="AJ26" i="1"/>
  <c r="AN51" i="1"/>
  <c r="AG34" i="1"/>
  <c r="G36" i="1"/>
  <c r="O48" i="1"/>
  <c r="BL71" i="1"/>
  <c r="M6" i="1"/>
  <c r="CH51" i="1"/>
  <c r="AG11" i="1"/>
  <c r="G37" i="1"/>
  <c r="M30" i="1"/>
  <c r="D10" i="1"/>
  <c r="BJ39" i="1"/>
  <c r="AN33" i="1"/>
  <c r="I24" i="1"/>
  <c r="CH26" i="1"/>
  <c r="F30" i="1"/>
  <c r="CJ9" i="1"/>
  <c r="AL56" i="1"/>
  <c r="CB46" i="1"/>
  <c r="CF57" i="1"/>
  <c r="CI25" i="1"/>
  <c r="D57" i="1"/>
  <c r="AF12" i="1"/>
  <c r="BG30" i="1"/>
  <c r="P49" i="1"/>
  <c r="AJ50" i="1"/>
  <c r="AI26" i="1"/>
  <c r="G19" i="1"/>
  <c r="CE50" i="1"/>
  <c r="BE31" i="1"/>
  <c r="N14" i="1"/>
  <c r="K50" i="1"/>
  <c r="BD21" i="1"/>
  <c r="CF29" i="1"/>
  <c r="C50" i="1"/>
  <c r="E55" i="1"/>
  <c r="AK27" i="1"/>
  <c r="P46" i="1"/>
  <c r="C48" i="1"/>
  <c r="BE26" i="1"/>
  <c r="BL39" i="1"/>
  <c r="BH29" i="1"/>
  <c r="N15" i="1"/>
  <c r="C38" i="1"/>
  <c r="CE35" i="1"/>
  <c r="I19" i="1"/>
  <c r="AI55" i="1"/>
  <c r="AH8" i="1"/>
  <c r="BI36" i="1"/>
  <c r="N25" i="1"/>
  <c r="CG52" i="1"/>
  <c r="CD50" i="1"/>
  <c r="C20" i="1"/>
  <c r="F54" i="1"/>
  <c r="AI28" i="1"/>
  <c r="N51" i="1"/>
  <c r="AI15" i="1"/>
  <c r="I16" i="1"/>
  <c r="CC27" i="1"/>
  <c r="BJ9" i="1"/>
  <c r="AH44" i="1"/>
  <c r="BF18" i="1"/>
  <c r="AM8" i="1"/>
  <c r="BL17" i="1"/>
  <c r="CF52" i="1"/>
  <c r="D29" i="1"/>
  <c r="AI54" i="1"/>
  <c r="AD14" i="1"/>
  <c r="CC53" i="1"/>
  <c r="L38" i="1"/>
  <c r="BI12" i="1"/>
  <c r="CJ16" i="1"/>
  <c r="G39" i="1"/>
  <c r="AL55" i="1"/>
  <c r="G20" i="1"/>
  <c r="BJ11" i="1"/>
  <c r="CJ51" i="1"/>
  <c r="CH30" i="1"/>
  <c r="CF28" i="1"/>
  <c r="AI43" i="1"/>
  <c r="M26" i="1"/>
  <c r="C57" i="1"/>
  <c r="AI24" i="1"/>
  <c r="F6" i="1"/>
  <c r="N42" i="1"/>
  <c r="D8" i="1"/>
  <c r="AL29" i="1"/>
  <c r="H38" i="1"/>
  <c r="BG7" i="1"/>
  <c r="M29" i="1"/>
  <c r="AC42" i="1"/>
  <c r="AC57" i="1"/>
  <c r="BH18" i="1"/>
  <c r="CJ48" i="1"/>
  <c r="G17" i="1"/>
  <c r="AD98" i="1"/>
  <c r="EF50" i="1"/>
  <c r="F66" i="1"/>
  <c r="C103" i="1"/>
  <c r="EF18" i="1"/>
  <c r="AD110" i="1"/>
  <c r="CB106" i="1"/>
  <c r="EE116" i="1"/>
  <c r="DD92" i="1"/>
  <c r="CI14" i="1"/>
  <c r="L39" i="1"/>
  <c r="CC35" i="1"/>
  <c r="AA30" i="1"/>
  <c r="CG24" i="1"/>
  <c r="BE14" i="1"/>
  <c r="AA15" i="1"/>
  <c r="F35" i="1"/>
  <c r="BK35" i="1"/>
  <c r="F37" i="1"/>
  <c r="BK17" i="1"/>
  <c r="K52" i="1"/>
  <c r="CC37" i="1"/>
  <c r="K51" i="1"/>
  <c r="AM17" i="1"/>
  <c r="H37" i="1"/>
  <c r="N57" i="1"/>
  <c r="K15" i="1"/>
  <c r="BJ35" i="1"/>
  <c r="CD8" i="1"/>
  <c r="CB27" i="1"/>
  <c r="G15" i="1"/>
  <c r="O29" i="1"/>
  <c r="N32" i="1"/>
  <c r="CD39" i="1"/>
  <c r="I55" i="1"/>
  <c r="BL32" i="1"/>
  <c r="AH10" i="1"/>
  <c r="AF10" i="1"/>
  <c r="BL16" i="1"/>
  <c r="CD14" i="1"/>
  <c r="N33" i="1"/>
  <c r="AC55" i="1"/>
  <c r="CF49" i="1"/>
  <c r="G25" i="1"/>
  <c r="AB37" i="1"/>
  <c r="G18" i="1"/>
  <c r="E17" i="1"/>
  <c r="AH13" i="1"/>
  <c r="AH55" i="1"/>
  <c r="AM35" i="1"/>
  <c r="K9" i="1"/>
  <c r="AG48" i="1"/>
  <c r="AD34" i="1"/>
  <c r="M36" i="1"/>
  <c r="M25" i="1"/>
  <c r="AL47" i="1"/>
  <c r="CI16" i="1"/>
  <c r="AN37" i="1"/>
  <c r="C33" i="1"/>
  <c r="CD7" i="1"/>
  <c r="AD12" i="1"/>
  <c r="BH14" i="1"/>
  <c r="AL21" i="1"/>
  <c r="AB32" i="1"/>
  <c r="CF17" i="1"/>
  <c r="AB53" i="1"/>
  <c r="I25" i="1"/>
  <c r="CB31" i="1"/>
  <c r="E52" i="1"/>
  <c r="BD15" i="1"/>
  <c r="CJ37" i="1"/>
  <c r="N44" i="1"/>
  <c r="P37" i="1"/>
  <c r="E27" i="1"/>
  <c r="P21" i="1"/>
  <c r="P34" i="1"/>
  <c r="CF47" i="1"/>
  <c r="L54" i="1"/>
  <c r="CI31" i="1"/>
  <c r="AE52" i="1"/>
  <c r="H36" i="1"/>
  <c r="AG38" i="1"/>
  <c r="CJ50" i="1"/>
  <c r="CE13" i="1"/>
  <c r="I30" i="1"/>
  <c r="AK56" i="1"/>
  <c r="AM10" i="1"/>
  <c r="CD6" i="1"/>
  <c r="P29" i="1"/>
  <c r="CC19" i="1"/>
  <c r="CF33" i="1"/>
  <c r="O53" i="1"/>
  <c r="AN7" i="1"/>
  <c r="CI20" i="1"/>
  <c r="K7" i="1"/>
  <c r="AJ49" i="1"/>
  <c r="AB31" i="1"/>
  <c r="CI42" i="1"/>
  <c r="AK37" i="1"/>
  <c r="I51" i="1"/>
  <c r="N21" i="1"/>
  <c r="P57" i="1"/>
  <c r="CC31" i="1"/>
  <c r="CJ20" i="1"/>
  <c r="L26" i="1"/>
  <c r="AN16" i="1"/>
  <c r="P20" i="1"/>
  <c r="CJ7" i="1"/>
  <c r="AF11" i="1"/>
  <c r="K38" i="1"/>
  <c r="AK15" i="1"/>
  <c r="AD50" i="1"/>
  <c r="AK29" i="1"/>
  <c r="BI14" i="1"/>
  <c r="BK14" i="1"/>
  <c r="AL27" i="1"/>
  <c r="AL54" i="1"/>
  <c r="BJ25" i="1"/>
  <c r="CI46" i="1"/>
  <c r="AM32" i="1"/>
  <c r="BF26" i="1"/>
  <c r="CJ47" i="1"/>
  <c r="CG29" i="1"/>
  <c r="H55" i="1"/>
  <c r="AE15" i="1"/>
  <c r="AB12" i="1"/>
  <c r="CH14" i="1"/>
  <c r="H51" i="1"/>
  <c r="CJ26" i="1"/>
  <c r="P9" i="1"/>
  <c r="G34" i="1"/>
  <c r="G48" i="1"/>
  <c r="AC54" i="1"/>
  <c r="E13" i="1"/>
  <c r="O21" i="1"/>
  <c r="AN19" i="1"/>
  <c r="AK7" i="1"/>
  <c r="P12" i="1"/>
  <c r="CB21" i="1"/>
  <c r="BK11" i="1"/>
  <c r="AG24" i="1"/>
  <c r="BK16" i="1"/>
  <c r="L44" i="1"/>
  <c r="AE7" i="1"/>
  <c r="CJ12" i="1"/>
  <c r="I8" i="1"/>
  <c r="AM31" i="1"/>
  <c r="AN31" i="1"/>
  <c r="D55" i="1"/>
  <c r="H44" i="1"/>
  <c r="BL29" i="1"/>
  <c r="AJ37" i="1"/>
  <c r="BD28" i="1"/>
  <c r="C31" i="1"/>
  <c r="J42" i="1"/>
  <c r="J13" i="1"/>
  <c r="CJ21" i="1"/>
  <c r="BI15" i="1"/>
  <c r="N50" i="1"/>
  <c r="L30" i="1"/>
  <c r="CH47" i="1"/>
  <c r="CI51" i="1"/>
  <c r="BJ8" i="1"/>
  <c r="AJ34" i="1"/>
  <c r="BI28" i="1"/>
  <c r="I7" i="1"/>
  <c r="CF32" i="1"/>
  <c r="D42" i="1"/>
  <c r="J16" i="1"/>
  <c r="K47" i="1"/>
  <c r="AH45" i="1"/>
  <c r="CF51" i="1"/>
  <c r="AA57" i="1"/>
  <c r="CG55" i="1"/>
  <c r="K35" i="1"/>
  <c r="AD30" i="1"/>
  <c r="BG12" i="1"/>
  <c r="AD51" i="1"/>
  <c r="BJ14" i="1"/>
  <c r="CC20" i="1"/>
  <c r="N104" i="1"/>
  <c r="M90" i="1"/>
  <c r="DC55" i="1"/>
  <c r="EE27" i="1"/>
  <c r="M85" i="1"/>
  <c r="EF44" i="1"/>
  <c r="AC72" i="1"/>
  <c r="O87" i="1"/>
  <c r="AJ98" i="1"/>
  <c r="F84" i="1"/>
  <c r="DG90" i="1"/>
  <c r="AN85" i="1"/>
  <c r="BE87" i="1"/>
  <c r="DF47" i="1"/>
  <c r="DA29" i="1"/>
  <c r="ED29" i="1"/>
  <c r="BE107" i="1"/>
  <c r="EF12" i="1"/>
  <c r="AI106" i="1"/>
  <c r="DZ10" i="1"/>
  <c r="ED35" i="1"/>
  <c r="AJ70" i="1"/>
  <c r="F87" i="1"/>
  <c r="BJ67" i="1"/>
  <c r="AE106" i="1"/>
  <c r="AK91" i="1"/>
  <c r="ED56" i="1"/>
  <c r="DZ35" i="1"/>
  <c r="EC14" i="1"/>
  <c r="AE101" i="1"/>
  <c r="DF103" i="1"/>
  <c r="CD105" i="1"/>
  <c r="DG26" i="1"/>
  <c r="DF37" i="1"/>
  <c r="D95" i="1"/>
  <c r="E65" i="1"/>
  <c r="D103" i="1"/>
  <c r="BH42" i="1"/>
  <c r="BH101" i="1"/>
  <c r="CE67" i="1"/>
  <c r="CJ79" i="1"/>
  <c r="AM67" i="1"/>
  <c r="BH57" i="1"/>
  <c r="EA105" i="1"/>
  <c r="J93" i="1"/>
  <c r="L112" i="1"/>
  <c r="CE70" i="1"/>
  <c r="CF30" i="1"/>
  <c r="H7" i="1"/>
  <c r="E50" i="1"/>
  <c r="BK8" i="1"/>
  <c r="AL28" i="1"/>
  <c r="AM43" i="1"/>
  <c r="AN6" i="1"/>
  <c r="O44" i="1"/>
  <c r="CI24" i="1"/>
  <c r="M39" i="1"/>
  <c r="AI49" i="1"/>
  <c r="AG98" i="1"/>
  <c r="CZ20" i="1"/>
  <c r="H101" i="1"/>
  <c r="BH75" i="1"/>
  <c r="BD96" i="1"/>
  <c r="BL65" i="1"/>
  <c r="AD87" i="1"/>
  <c r="AG84" i="1"/>
  <c r="CI77" i="1"/>
  <c r="AE102" i="1"/>
  <c r="BK86" i="1"/>
  <c r="DD110" i="1"/>
  <c r="CJ113" i="1"/>
  <c r="AD107" i="1"/>
  <c r="DF11" i="1"/>
  <c r="D76" i="1"/>
  <c r="DH42" i="1"/>
  <c r="DH17" i="1"/>
  <c r="N75" i="1"/>
  <c r="P65" i="1"/>
  <c r="BK110" i="1"/>
  <c r="G79" i="1"/>
  <c r="BF115" i="1"/>
  <c r="AL73" i="1"/>
  <c r="AK101" i="1"/>
  <c r="CG77" i="1"/>
  <c r="BF95" i="1"/>
  <c r="D88" i="1"/>
  <c r="AH67" i="1"/>
  <c r="E108" i="1"/>
  <c r="BI92" i="1"/>
  <c r="CD114" i="1"/>
  <c r="DZ90" i="1"/>
  <c r="AG110" i="1"/>
  <c r="DH20" i="1"/>
  <c r="BK107" i="1"/>
  <c r="AM77" i="1"/>
  <c r="I95" i="1"/>
  <c r="DF39" i="1"/>
  <c r="DX15" i="1"/>
  <c r="CF96" i="1"/>
  <c r="P106" i="1"/>
  <c r="BK57" i="1"/>
  <c r="DG107" i="1"/>
  <c r="EA115" i="1"/>
  <c r="AC112" i="1"/>
  <c r="BD52" i="1"/>
  <c r="O50" i="1"/>
  <c r="BE11" i="1"/>
  <c r="BL18" i="1"/>
  <c r="AM57" i="1"/>
  <c r="I13" i="1"/>
  <c r="CJ11" i="1"/>
  <c r="O51" i="1"/>
  <c r="CI36" i="1"/>
  <c r="CJ49" i="1"/>
  <c r="CH12" i="1"/>
  <c r="CJ30" i="1"/>
  <c r="BL80" i="1"/>
  <c r="DD69" i="1"/>
  <c r="EF80" i="1"/>
  <c r="EA46" i="1"/>
  <c r="EF35" i="1"/>
  <c r="DD9" i="1"/>
  <c r="DE37" i="1"/>
  <c r="DZ56" i="1"/>
  <c r="M95" i="1"/>
  <c r="DF55" i="1"/>
  <c r="EE66" i="1"/>
  <c r="DE51" i="1"/>
  <c r="DG35" i="1"/>
  <c r="EE12" i="1"/>
  <c r="AL106" i="1"/>
  <c r="L97" i="1"/>
  <c r="AN103" i="1"/>
  <c r="AF104" i="1"/>
  <c r="BG78" i="1"/>
  <c r="BD115" i="1"/>
  <c r="CE90" i="1"/>
  <c r="CD98" i="1"/>
  <c r="DE33" i="1"/>
  <c r="DD30" i="1"/>
  <c r="CZ87" i="1"/>
  <c r="DG34" i="1"/>
  <c r="E104" i="1"/>
  <c r="BH84" i="1"/>
  <c r="AE87" i="1"/>
  <c r="DF31" i="1"/>
  <c r="EC36" i="1"/>
  <c r="AL102" i="1"/>
  <c r="DX9" i="1"/>
  <c r="DD19" i="1"/>
  <c r="EF48" i="1"/>
  <c r="K78" i="1"/>
  <c r="AJ86" i="1"/>
  <c r="AN104" i="1"/>
  <c r="BJ50" i="1"/>
  <c r="AI78" i="1"/>
  <c r="CH87" i="1"/>
  <c r="BF98" i="1"/>
  <c r="BJ44" i="1"/>
  <c r="ED78" i="1"/>
  <c r="AD83" i="1"/>
  <c r="N103" i="1"/>
  <c r="BI114" i="1"/>
  <c r="G49" i="1"/>
  <c r="P10" i="1"/>
  <c r="AE43" i="1"/>
  <c r="CD24" i="1"/>
  <c r="AG31" i="1"/>
  <c r="AI20" i="1"/>
  <c r="AJ35" i="1"/>
  <c r="CF10" i="1"/>
  <c r="CD54" i="1"/>
  <c r="J17" i="1"/>
  <c r="AL50" i="1"/>
  <c r="BJ113" i="1"/>
  <c r="DD46" i="1"/>
  <c r="DE42" i="1"/>
  <c r="M92" i="1"/>
  <c r="P90" i="1"/>
  <c r="DC30" i="1"/>
  <c r="BJ57" i="1"/>
  <c r="N89" i="1"/>
  <c r="DH30" i="1"/>
  <c r="DA47" i="1"/>
  <c r="AD67" i="1"/>
  <c r="C110" i="1"/>
  <c r="AC84" i="1"/>
  <c r="BH96" i="1"/>
  <c r="BH114" i="1"/>
  <c r="DB92" i="1"/>
  <c r="O110" i="1"/>
  <c r="G98" i="1"/>
  <c r="D98" i="1"/>
  <c r="AL74" i="1"/>
  <c r="DA39" i="1"/>
  <c r="AG79" i="1"/>
  <c r="DX43" i="1"/>
  <c r="F103" i="1"/>
  <c r="DB103" i="1"/>
  <c r="AK107" i="1"/>
  <c r="DE31" i="1"/>
  <c r="CF84" i="1"/>
  <c r="BD57" i="1"/>
  <c r="DY16" i="1"/>
  <c r="AL65" i="1"/>
  <c r="EF10" i="1"/>
  <c r="DD96" i="1"/>
  <c r="BL113" i="1"/>
  <c r="DF52" i="1"/>
  <c r="BK66" i="1"/>
  <c r="AH102" i="1"/>
  <c r="J89" i="1"/>
  <c r="AL77" i="1"/>
  <c r="EB31" i="1"/>
  <c r="N109" i="1"/>
  <c r="I112" i="1"/>
  <c r="H86" i="1"/>
  <c r="DX17" i="1"/>
  <c r="E101" i="1"/>
  <c r="DE14" i="1"/>
  <c r="CB103" i="1"/>
  <c r="AA47" i="1"/>
  <c r="J47" i="1"/>
  <c r="CE44" i="1"/>
  <c r="O17" i="1"/>
  <c r="M46" i="1"/>
  <c r="N35" i="1"/>
  <c r="AB20" i="1"/>
  <c r="AE35" i="1"/>
  <c r="AK24" i="1"/>
  <c r="CI39" i="1"/>
  <c r="AI109" i="1"/>
  <c r="DF27" i="1"/>
  <c r="M79" i="1"/>
  <c r="CF75" i="1"/>
  <c r="AF78" i="1"/>
  <c r="DX14" i="1"/>
  <c r="EB20" i="1"/>
  <c r="EC9" i="1"/>
  <c r="L68" i="1"/>
  <c r="N97" i="1"/>
  <c r="DF74" i="1"/>
  <c r="H75" i="1"/>
  <c r="CI67" i="1"/>
  <c r="F101" i="1"/>
  <c r="AM86" i="1"/>
  <c r="BJ96" i="1"/>
  <c r="EB54" i="1"/>
  <c r="DD74" i="1"/>
  <c r="DZ39" i="1"/>
  <c r="N76" i="1"/>
  <c r="CG95" i="1"/>
  <c r="BD44" i="1"/>
  <c r="AK79" i="1"/>
  <c r="DA49" i="1"/>
  <c r="EE13" i="1"/>
  <c r="AB70" i="1"/>
  <c r="DC42" i="1"/>
  <c r="AC80" i="1"/>
  <c r="DY30" i="1"/>
  <c r="DC49" i="1"/>
  <c r="ED26" i="1"/>
  <c r="DB21" i="1"/>
  <c r="EA16" i="1"/>
  <c r="DX57" i="1"/>
  <c r="DB49" i="1"/>
  <c r="DY97" i="1"/>
  <c r="AI67" i="1"/>
  <c r="BK42" i="1"/>
  <c r="H96" i="1"/>
  <c r="AI103" i="1"/>
  <c r="M72" i="1"/>
  <c r="DB96" i="1"/>
  <c r="ED49" i="1"/>
  <c r="J111" i="1"/>
  <c r="AM72" i="1"/>
  <c r="CC110" i="1"/>
  <c r="DC8" i="1"/>
  <c r="DE75" i="1"/>
  <c r="N30" i="1"/>
  <c r="AJ107" i="1"/>
  <c r="AE72" i="1"/>
  <c r="DA30" i="1"/>
  <c r="AD103" i="1"/>
  <c r="EA42" i="1"/>
  <c r="AL98" i="1"/>
  <c r="AD73" i="1"/>
  <c r="DX70" i="1"/>
  <c r="AB96" i="1"/>
  <c r="EE47" i="1"/>
  <c r="C76" i="1"/>
  <c r="BF68" i="1"/>
  <c r="CH72" i="1"/>
  <c r="AD66" i="1"/>
  <c r="DA12" i="1"/>
  <c r="CZ11" i="1"/>
  <c r="EB111" i="1"/>
  <c r="BI108" i="1"/>
  <c r="C86" i="1"/>
  <c r="D69" i="1"/>
  <c r="AH69" i="1"/>
  <c r="AI83" i="1"/>
  <c r="BL87" i="1"/>
  <c r="EB25" i="1"/>
  <c r="AB87" i="1"/>
  <c r="EB51" i="1"/>
  <c r="EC55" i="1"/>
  <c r="AH115" i="1"/>
  <c r="CC78" i="1"/>
  <c r="DB15" i="1"/>
  <c r="ED7" i="1"/>
  <c r="DA33" i="1"/>
  <c r="EE55" i="1"/>
  <c r="H76" i="1"/>
  <c r="EC27" i="1"/>
  <c r="BL72" i="1"/>
  <c r="DB54" i="1"/>
  <c r="ED88" i="1"/>
  <c r="AA102" i="1"/>
  <c r="P51" i="1"/>
  <c r="CH9" i="1"/>
  <c r="CB33" i="1"/>
  <c r="AA50" i="1"/>
  <c r="CE18" i="1"/>
  <c r="AB11" i="1"/>
  <c r="F29" i="1"/>
  <c r="F38" i="1"/>
  <c r="AE17" i="1"/>
  <c r="AD35" i="1"/>
  <c r="CH11" i="1"/>
  <c r="AB14" i="1"/>
  <c r="AC29" i="1"/>
  <c r="AD19" i="1"/>
  <c r="G53" i="1"/>
  <c r="AD39" i="1"/>
  <c r="AD56" i="1"/>
  <c r="BF7" i="1"/>
  <c r="AI53" i="1"/>
  <c r="BD7" i="1"/>
  <c r="AA51" i="1"/>
  <c r="AA9" i="1"/>
  <c r="AE6" i="1"/>
  <c r="CE25" i="1"/>
  <c r="CD37" i="1"/>
  <c r="BF88" i="1"/>
  <c r="I78" i="1"/>
  <c r="AJ28" i="1"/>
  <c r="CE37" i="1"/>
  <c r="G13" i="1"/>
  <c r="CB15" i="1"/>
  <c r="H39" i="1"/>
  <c r="BL36" i="1"/>
  <c r="BF31" i="1"/>
  <c r="J44" i="1"/>
  <c r="CH8" i="1"/>
  <c r="BH38" i="1"/>
  <c r="BF19" i="1"/>
  <c r="AG55" i="1"/>
  <c r="CI9" i="1"/>
  <c r="N16" i="1"/>
  <c r="AD8" i="1"/>
  <c r="D50" i="1"/>
  <c r="BK20" i="1"/>
  <c r="P7" i="1"/>
  <c r="K6" i="1"/>
  <c r="AA13" i="1"/>
  <c r="AB16" i="1"/>
  <c r="CE6" i="1"/>
  <c r="F31" i="1"/>
  <c r="BK9" i="1"/>
  <c r="CG45" i="1"/>
  <c r="CH10" i="1"/>
  <c r="CH28" i="1"/>
  <c r="AD48" i="1"/>
  <c r="AG8" i="1"/>
  <c r="E9" i="1"/>
  <c r="BK33" i="1"/>
  <c r="BF32" i="1"/>
  <c r="BJ7" i="1"/>
  <c r="AJ56" i="1"/>
  <c r="G11" i="1"/>
  <c r="J24" i="1"/>
  <c r="CE27" i="1"/>
  <c r="CJ52" i="1"/>
  <c r="M10" i="1"/>
  <c r="AD17" i="1"/>
  <c r="K36" i="1"/>
  <c r="L31" i="1"/>
  <c r="H56" i="1"/>
  <c r="AD6" i="1"/>
  <c r="I35" i="1"/>
  <c r="BH8" i="1"/>
  <c r="AE48" i="1"/>
  <c r="AE14" i="1"/>
  <c r="BD34" i="1"/>
  <c r="AB25" i="1"/>
  <c r="BD17" i="1"/>
  <c r="AI52" i="1"/>
  <c r="BK24" i="1"/>
  <c r="P16" i="1"/>
  <c r="AH9" i="1"/>
  <c r="H21" i="1"/>
  <c r="CD53" i="1"/>
  <c r="CD48" i="1"/>
  <c r="AN13" i="1"/>
  <c r="AI30" i="1"/>
  <c r="H9" i="1"/>
  <c r="G10" i="1"/>
  <c r="AM48" i="1"/>
  <c r="BG20" i="1"/>
  <c r="AI37" i="1"/>
  <c r="CH32" i="1"/>
  <c r="J25" i="1"/>
  <c r="CI54" i="1"/>
  <c r="AF55" i="1"/>
  <c r="M13" i="1"/>
  <c r="BL37" i="1"/>
  <c r="AG6" i="1"/>
  <c r="P36" i="1"/>
  <c r="AA53" i="1"/>
  <c r="G51" i="1"/>
  <c r="AG30" i="1"/>
  <c r="D36" i="1"/>
  <c r="J32" i="1"/>
  <c r="L52" i="1"/>
  <c r="O43" i="1"/>
  <c r="AM13" i="1"/>
  <c r="AN52" i="1"/>
  <c r="AM7" i="1"/>
  <c r="AH31" i="1"/>
  <c r="AA56" i="1"/>
  <c r="CI27" i="1"/>
  <c r="AN49" i="1"/>
  <c r="AA20" i="1"/>
  <c r="BF21" i="1"/>
  <c r="AM29" i="1"/>
  <c r="G9" i="1"/>
  <c r="CB45" i="1"/>
  <c r="G45" i="1"/>
  <c r="CJ43" i="1"/>
  <c r="K25" i="1"/>
  <c r="CC30" i="1"/>
  <c r="AG49" i="1"/>
  <c r="AK47" i="1"/>
  <c r="BI38" i="1"/>
  <c r="CF11" i="1"/>
  <c r="AF43" i="1"/>
  <c r="J34" i="1"/>
  <c r="M51" i="1"/>
  <c r="BF11" i="1"/>
  <c r="H52" i="1"/>
  <c r="AL13" i="1"/>
  <c r="E30" i="1"/>
  <c r="AL49" i="1"/>
  <c r="AN46" i="1"/>
  <c r="M21" i="1"/>
  <c r="AN35" i="1"/>
  <c r="CD31" i="1"/>
  <c r="CB38" i="1"/>
  <c r="AC7" i="1"/>
  <c r="F9" i="1"/>
  <c r="BH37" i="1"/>
  <c r="AC27" i="1"/>
  <c r="CJ19" i="1"/>
  <c r="I12" i="1"/>
  <c r="H15" i="1"/>
  <c r="L24" i="1"/>
  <c r="C35" i="1"/>
  <c r="AK39" i="1"/>
  <c r="CG27" i="1"/>
  <c r="AH14" i="1"/>
  <c r="I28" i="1"/>
  <c r="AB13" i="1"/>
  <c r="M16" i="1"/>
  <c r="BJ6" i="1"/>
  <c r="DD6" i="1"/>
  <c r="CE29" i="1"/>
  <c r="AN15" i="1"/>
  <c r="CD20" i="1"/>
  <c r="I26" i="1"/>
  <c r="AH52" i="1"/>
  <c r="J33" i="1"/>
  <c r="AH32" i="1"/>
  <c r="AH20" i="1"/>
  <c r="CD44" i="1"/>
  <c r="AA42" i="1"/>
  <c r="CB11" i="1"/>
  <c r="F36" i="1"/>
  <c r="BL15" i="1"/>
  <c r="N45" i="1"/>
  <c r="CB10" i="1"/>
  <c r="J27" i="1"/>
  <c r="AK11" i="1"/>
  <c r="N10" i="1"/>
  <c r="CH43" i="1"/>
  <c r="J8" i="1"/>
  <c r="K49" i="1"/>
  <c r="CC28" i="1"/>
  <c r="C25" i="1"/>
  <c r="E31" i="1"/>
  <c r="CC33" i="1"/>
  <c r="BI26" i="1"/>
  <c r="CC43" i="1"/>
  <c r="BD26" i="1"/>
  <c r="CG56" i="1"/>
  <c r="CH37" i="1"/>
  <c r="AA18" i="1"/>
  <c r="CB50" i="1"/>
  <c r="BK37" i="1"/>
  <c r="AJ44" i="1"/>
  <c r="CI56" i="1"/>
  <c r="O34" i="1"/>
  <c r="CG10" i="1"/>
  <c r="CB51" i="1"/>
  <c r="DE6" i="1"/>
  <c r="CJ10" i="1"/>
  <c r="O25" i="1"/>
  <c r="O101" i="1"/>
  <c r="DA17" i="1"/>
  <c r="BJ85" i="1"/>
  <c r="CH89" i="1"/>
  <c r="AA110" i="1"/>
  <c r="AN91" i="1"/>
  <c r="E95" i="1"/>
  <c r="ED16" i="1"/>
  <c r="ED51" i="1"/>
  <c r="AK94" i="1"/>
  <c r="H92" i="1"/>
  <c r="AM66" i="1"/>
  <c r="AL83" i="1"/>
  <c r="DH26" i="1"/>
  <c r="BD73" i="1"/>
  <c r="EE36" i="1"/>
  <c r="DF89" i="1"/>
  <c r="BF69" i="1"/>
  <c r="BH79" i="1"/>
  <c r="E68" i="1"/>
  <c r="BD93" i="1"/>
  <c r="E75" i="1"/>
  <c r="BJ47" i="1"/>
  <c r="E109" i="1"/>
  <c r="EA29" i="1"/>
  <c r="CJ94" i="1"/>
  <c r="DF32" i="1"/>
  <c r="CZ47" i="1"/>
  <c r="DY15" i="1"/>
  <c r="DH15" i="1"/>
  <c r="DB35" i="1"/>
  <c r="AL88" i="1"/>
  <c r="BL91" i="1"/>
  <c r="E78" i="1"/>
  <c r="N107" i="1"/>
  <c r="K92" i="1"/>
  <c r="AE77" i="1"/>
  <c r="BK48" i="1"/>
  <c r="BD56" i="1"/>
  <c r="BD84" i="1"/>
  <c r="AF77" i="1"/>
  <c r="DH21" i="1"/>
  <c r="DF45" i="1"/>
  <c r="DH66" i="1"/>
  <c r="EE44" i="1"/>
  <c r="C66" i="1"/>
  <c r="N85" i="1"/>
  <c r="BF43" i="1"/>
  <c r="AE8" i="1"/>
  <c r="AE46" i="1"/>
  <c r="CB53" i="1"/>
  <c r="CH53" i="1"/>
  <c r="D20" i="1"/>
  <c r="AK54" i="1"/>
  <c r="L47" i="1"/>
  <c r="O35" i="1"/>
  <c r="BG21" i="1"/>
  <c r="AM45" i="1"/>
  <c r="AM28" i="1"/>
  <c r="AL16" i="1"/>
  <c r="AK53" i="1"/>
  <c r="AL24" i="1"/>
  <c r="AG9" i="1"/>
  <c r="BL13" i="1"/>
  <c r="O8" i="1"/>
  <c r="I57" i="1"/>
  <c r="E53" i="1"/>
  <c r="CH20" i="1"/>
  <c r="CC32" i="1"/>
  <c r="AE28" i="1"/>
  <c r="BH31" i="1"/>
  <c r="AD10" i="1"/>
  <c r="AE33" i="1"/>
  <c r="C9" i="1"/>
  <c r="H53" i="1"/>
  <c r="CG50" i="1"/>
  <c r="CH44" i="1"/>
  <c r="CJ13" i="1"/>
  <c r="AE18" i="1"/>
  <c r="AN34" i="1"/>
  <c r="CZ25" i="1"/>
  <c r="AF110" i="1"/>
  <c r="AG93" i="1"/>
  <c r="EA50" i="1"/>
  <c r="G8" i="1"/>
  <c r="BD10" i="1"/>
  <c r="AN38" i="1"/>
  <c r="AL33" i="1"/>
  <c r="M37" i="1"/>
  <c r="AD9" i="1"/>
  <c r="AC56" i="1"/>
  <c r="BD16" i="1"/>
  <c r="AJ31" i="1"/>
  <c r="AH56" i="1"/>
  <c r="AH54" i="1"/>
  <c r="BH17" i="1"/>
  <c r="AK49" i="1"/>
  <c r="C46" i="1"/>
  <c r="AB42" i="1"/>
  <c r="I20" i="1"/>
  <c r="AL7" i="1"/>
  <c r="AM34" i="1"/>
  <c r="AN12" i="1"/>
  <c r="J31" i="1"/>
  <c r="BF29" i="1"/>
  <c r="BG31" i="1"/>
  <c r="CG21" i="1"/>
  <c r="P33" i="1"/>
  <c r="AC44" i="1"/>
  <c r="BD29" i="1"/>
  <c r="K21" i="1"/>
  <c r="AE38" i="1"/>
  <c r="D35" i="1"/>
  <c r="AF16" i="1"/>
  <c r="M32" i="1"/>
  <c r="BH35" i="1"/>
  <c r="AB6" i="1"/>
  <c r="D24" i="1"/>
  <c r="BG18" i="1"/>
  <c r="P44" i="1"/>
  <c r="N9" i="1"/>
  <c r="AN48" i="1"/>
  <c r="AN43" i="1"/>
  <c r="AL44" i="1"/>
  <c r="AF15" i="1"/>
  <c r="CE46" i="1"/>
  <c r="CC11" i="1"/>
  <c r="G55" i="1"/>
  <c r="N28" i="1"/>
  <c r="CB9" i="1"/>
  <c r="BI21" i="1"/>
  <c r="AM56" i="1"/>
  <c r="CE28" i="1"/>
  <c r="K44" i="1"/>
  <c r="F53" i="1"/>
  <c r="CJ57" i="1"/>
  <c r="CJ38" i="1"/>
  <c r="N20" i="1"/>
  <c r="AL9" i="1"/>
  <c r="CB52" i="1"/>
  <c r="C49" i="1"/>
  <c r="CH52" i="1"/>
  <c r="BG33" i="1"/>
  <c r="CI47" i="1"/>
  <c r="CF6" i="1"/>
  <c r="AI31" i="1"/>
  <c r="AF17" i="1"/>
  <c r="AK38" i="1"/>
  <c r="AC25" i="1"/>
  <c r="AB38" i="1"/>
  <c r="AF46" i="1"/>
  <c r="I52" i="1"/>
  <c r="C7" i="1"/>
  <c r="F32" i="1"/>
  <c r="CE48" i="1"/>
  <c r="BG15" i="1"/>
  <c r="CJ45" i="1"/>
  <c r="E38" i="1"/>
  <c r="AE32" i="1"/>
  <c r="F17" i="1"/>
  <c r="CJ56" i="1"/>
  <c r="AI13" i="1"/>
  <c r="AL34" i="1"/>
  <c r="H29" i="1"/>
  <c r="CJ17" i="1"/>
  <c r="AH42" i="1"/>
  <c r="D15" i="1"/>
  <c r="AJ36" i="1"/>
  <c r="CB24" i="1"/>
  <c r="CH21" i="1"/>
  <c r="F50" i="1"/>
  <c r="BF9" i="1"/>
  <c r="BL14" i="1"/>
  <c r="N53" i="1"/>
  <c r="I18" i="1"/>
  <c r="O46" i="1"/>
  <c r="CC56" i="1"/>
  <c r="AE53" i="1"/>
  <c r="CG48" i="1"/>
  <c r="AF24" i="1"/>
  <c r="AN25" i="1"/>
  <c r="CC15" i="1"/>
  <c r="F20" i="1"/>
  <c r="AJ53" i="1"/>
  <c r="CC44" i="1"/>
  <c r="I50" i="1"/>
  <c r="K19" i="1"/>
  <c r="CH19" i="1"/>
  <c r="F21" i="1"/>
  <c r="F19" i="1"/>
  <c r="AG51" i="1"/>
  <c r="G31" i="1"/>
  <c r="H12" i="1"/>
  <c r="BE25" i="1"/>
  <c r="CE51" i="1"/>
  <c r="E47" i="1"/>
  <c r="AM51" i="1"/>
  <c r="AK10" i="1"/>
  <c r="BJ15" i="1"/>
  <c r="BG26" i="1"/>
  <c r="I32" i="1"/>
  <c r="CG44" i="1"/>
  <c r="E26" i="1"/>
  <c r="CI43" i="1"/>
  <c r="O27" i="1"/>
  <c r="CH38" i="1"/>
  <c r="AK35" i="1"/>
  <c r="AG36" i="1"/>
  <c r="CI34" i="1"/>
  <c r="AE42" i="1"/>
  <c r="AG57" i="1"/>
  <c r="AA34" i="1"/>
  <c r="P48" i="1"/>
  <c r="K30" i="1"/>
  <c r="CC50" i="1"/>
  <c r="P45" i="1"/>
  <c r="AJ48" i="1"/>
  <c r="BG29" i="1"/>
  <c r="K28" i="1"/>
  <c r="AB26" i="1"/>
  <c r="CB16" i="1"/>
  <c r="H57" i="1"/>
  <c r="CD34" i="1"/>
  <c r="CF31" i="1"/>
  <c r="AJ12" i="1"/>
  <c r="E15" i="1"/>
  <c r="AN14" i="1"/>
  <c r="H13" i="1"/>
  <c r="CB32" i="1"/>
  <c r="C37" i="1"/>
  <c r="AG17" i="1"/>
  <c r="E19" i="1"/>
  <c r="AI36" i="1"/>
  <c r="K57" i="1"/>
  <c r="AN28" i="1"/>
  <c r="AL26" i="1"/>
  <c r="CE39" i="1"/>
  <c r="G24" i="1"/>
  <c r="C45" i="1"/>
  <c r="AB24" i="1"/>
  <c r="BK27" i="1"/>
  <c r="P6" i="1"/>
  <c r="L45" i="1"/>
  <c r="AK21" i="1"/>
  <c r="D49" i="1"/>
  <c r="L8" i="1"/>
  <c r="M14" i="1"/>
  <c r="AM53" i="1"/>
  <c r="F51" i="1"/>
  <c r="AL51" i="1"/>
  <c r="I56" i="1"/>
  <c r="CB55" i="1"/>
  <c r="AD27" i="1"/>
  <c r="BF25" i="1"/>
  <c r="AH47" i="1"/>
  <c r="DH54" i="1"/>
  <c r="AH111" i="1"/>
  <c r="DF56" i="1"/>
  <c r="CJ75" i="1"/>
  <c r="BJ51" i="1"/>
  <c r="DG47" i="1"/>
  <c r="AH106" i="1"/>
  <c r="AJ75" i="1"/>
  <c r="BF97" i="1"/>
  <c r="DY12" i="1"/>
  <c r="AF76" i="1"/>
  <c r="E73" i="1"/>
  <c r="CF85" i="1"/>
  <c r="N106" i="1"/>
  <c r="CH115" i="1"/>
  <c r="I65" i="1"/>
  <c r="CZ48" i="1"/>
  <c r="O86" i="1"/>
  <c r="AD74" i="1"/>
  <c r="DY104" i="1"/>
  <c r="BH68" i="1"/>
  <c r="C71" i="1"/>
  <c r="G83" i="1"/>
  <c r="DB39" i="1"/>
  <c r="EC12" i="1"/>
  <c r="CZ15" i="1"/>
  <c r="CJ78" i="1"/>
  <c r="AH68" i="1"/>
  <c r="EF25" i="1"/>
  <c r="EE51" i="1"/>
  <c r="DA55" i="1"/>
  <c r="CC76" i="1"/>
  <c r="K72" i="1"/>
  <c r="AH116" i="1"/>
  <c r="BK55" i="1"/>
  <c r="BI105" i="1"/>
  <c r="DF44" i="1"/>
  <c r="CD110" i="1"/>
  <c r="C75" i="1"/>
  <c r="CH66" i="1"/>
  <c r="BJ73" i="1"/>
  <c r="AG65" i="1"/>
  <c r="DH47" i="1"/>
  <c r="L85" i="1"/>
  <c r="AM69" i="1"/>
  <c r="BJ45" i="1"/>
  <c r="DB53" i="1"/>
  <c r="E111" i="1"/>
  <c r="CD32" i="1"/>
  <c r="CF12" i="1"/>
  <c r="H26" i="1"/>
  <c r="CG19" i="1"/>
  <c r="F25" i="1"/>
  <c r="J26" i="1"/>
  <c r="J43" i="1"/>
  <c r="CC42" i="1"/>
  <c r="BL27" i="1"/>
  <c r="BD33" i="1"/>
  <c r="CI30" i="1"/>
  <c r="AI17" i="1"/>
  <c r="E32" i="1"/>
  <c r="AD7" i="1"/>
  <c r="AL25" i="1"/>
  <c r="AE12" i="1"/>
  <c r="AB35" i="1"/>
  <c r="AJ33" i="1"/>
  <c r="BL8" i="1"/>
  <c r="P38" i="1"/>
  <c r="AI32" i="1"/>
  <c r="E25" i="1"/>
  <c r="AJ25" i="1"/>
  <c r="C26" i="1"/>
  <c r="CH29" i="1"/>
  <c r="AJ7" i="1"/>
  <c r="CE49" i="1"/>
  <c r="P26" i="1"/>
  <c r="AF19" i="1"/>
  <c r="H49" i="1"/>
  <c r="C55" i="1"/>
  <c r="BD24" i="1"/>
  <c r="CC34" i="1"/>
  <c r="BD65" i="1"/>
  <c r="DH57" i="1"/>
  <c r="DX20" i="1"/>
  <c r="AC35" i="1"/>
  <c r="BG39" i="1"/>
  <c r="AM20" i="1"/>
  <c r="BI39" i="1"/>
  <c r="CG37" i="1"/>
  <c r="AD29" i="1"/>
  <c r="AA14" i="1"/>
  <c r="AF50" i="1"/>
  <c r="P17" i="1"/>
  <c r="BJ10" i="1"/>
  <c r="CF15" i="1"/>
  <c r="CI48" i="1"/>
  <c r="O16" i="1"/>
  <c r="AM39" i="1"/>
  <c r="L25" i="1"/>
  <c r="I27" i="1"/>
  <c r="AI48" i="1"/>
  <c r="AD47" i="1"/>
  <c r="G42" i="1"/>
  <c r="AN26" i="1"/>
  <c r="AC47" i="1"/>
  <c r="N8" i="1"/>
  <c r="AG56" i="1"/>
  <c r="AD43" i="1"/>
  <c r="BD36" i="1"/>
  <c r="M44" i="1"/>
  <c r="AA33" i="1"/>
  <c r="CI49" i="1"/>
  <c r="CF54" i="1"/>
  <c r="CF9" i="1"/>
  <c r="N27" i="1"/>
  <c r="M52" i="1"/>
  <c r="AG53" i="1"/>
  <c r="CE30" i="1"/>
  <c r="H6" i="1"/>
  <c r="N46" i="1"/>
  <c r="AC33" i="1"/>
  <c r="BG27" i="1"/>
  <c r="F43" i="1"/>
  <c r="M9" i="1"/>
  <c r="BG8" i="1"/>
  <c r="C32" i="1"/>
  <c r="AH18" i="1"/>
  <c r="CE9" i="1"/>
  <c r="BL7" i="1"/>
  <c r="M43" i="1"/>
  <c r="AM50" i="1"/>
  <c r="AJ46" i="1"/>
  <c r="G32" i="1"/>
  <c r="H33" i="1"/>
  <c r="BD14" i="1"/>
  <c r="D17" i="1"/>
  <c r="H47" i="1"/>
  <c r="I6" i="1"/>
  <c r="BE39" i="1"/>
  <c r="CJ35" i="1"/>
  <c r="CE24" i="1"/>
  <c r="AA54" i="1"/>
  <c r="M19" i="1"/>
  <c r="BH24" i="1"/>
  <c r="AG29" i="1"/>
  <c r="M57" i="1"/>
  <c r="AI38" i="1"/>
  <c r="L7" i="1"/>
  <c r="BJ19" i="1"/>
  <c r="AL37" i="1"/>
  <c r="AL18" i="1"/>
  <c r="BL21" i="1"/>
  <c r="AM46" i="1"/>
  <c r="BE19" i="1"/>
  <c r="AL32" i="1"/>
  <c r="AB7" i="1"/>
  <c r="O42" i="1"/>
  <c r="AK48" i="1"/>
  <c r="E37" i="1"/>
  <c r="C16" i="1"/>
  <c r="BK39" i="1"/>
  <c r="BF35" i="1"/>
  <c r="J56" i="1"/>
  <c r="M20" i="1"/>
  <c r="BI18" i="1"/>
  <c r="J49" i="1"/>
  <c r="AH53" i="1"/>
  <c r="M33" i="1"/>
  <c r="CG47" i="1"/>
  <c r="F33" i="1"/>
  <c r="AL57" i="1"/>
  <c r="P32" i="1"/>
  <c r="CB29" i="1"/>
  <c r="CG11" i="1"/>
  <c r="BF28" i="1"/>
  <c r="AE51" i="1"/>
  <c r="BJ17" i="1"/>
  <c r="AN54" i="1"/>
  <c r="K24" i="1"/>
  <c r="L50" i="1"/>
  <c r="G33" i="1"/>
  <c r="L37" i="1"/>
  <c r="CI28" i="1"/>
  <c r="M28" i="1"/>
  <c r="CE15" i="1"/>
  <c r="CG28" i="1"/>
  <c r="BD12" i="1"/>
  <c r="CG42" i="1"/>
  <c r="AN36" i="1"/>
  <c r="P28" i="1"/>
  <c r="AE26" i="1"/>
  <c r="CD9" i="1"/>
  <c r="BH36" i="1"/>
  <c r="CF38" i="1"/>
  <c r="AA55" i="1"/>
  <c r="AE10" i="1"/>
  <c r="I21" i="1"/>
  <c r="AB34" i="1"/>
  <c r="D28" i="1"/>
  <c r="AK26" i="1"/>
  <c r="CE55" i="1"/>
  <c r="BG19" i="1"/>
  <c r="BF39" i="1"/>
  <c r="E49" i="1"/>
  <c r="C24" i="1"/>
  <c r="AN29" i="1"/>
  <c r="F7" i="1"/>
  <c r="CB49" i="1"/>
  <c r="D54" i="1"/>
  <c r="AN27" i="1"/>
  <c r="BJ28" i="1"/>
  <c r="AF56" i="1"/>
  <c r="CD30" i="1"/>
  <c r="C52" i="1"/>
  <c r="D14" i="1"/>
  <c r="CH31" i="1"/>
  <c r="J54" i="1"/>
  <c r="CE53" i="1"/>
  <c r="BD11" i="1"/>
  <c r="D13" i="1"/>
  <c r="D45" i="1"/>
  <c r="AM11" i="1"/>
  <c r="AM18" i="1"/>
  <c r="D11" i="1"/>
  <c r="AE45" i="1"/>
  <c r="AC8" i="1"/>
  <c r="O52" i="1"/>
  <c r="AN44" i="1"/>
  <c r="AN18" i="1"/>
  <c r="AD16" i="1"/>
  <c r="BH20" i="1"/>
  <c r="AF48" i="1"/>
  <c r="O38" i="1"/>
  <c r="BE10" i="1"/>
  <c r="BI9" i="1"/>
  <c r="C39" i="1"/>
  <c r="BI19" i="1"/>
  <c r="CG54" i="1"/>
  <c r="E36" i="1"/>
  <c r="CD46" i="1"/>
  <c r="AL38" i="1"/>
  <c r="L27" i="1"/>
  <c r="AH19" i="1"/>
  <c r="N31" i="1"/>
  <c r="H45" i="1"/>
  <c r="K27" i="1"/>
  <c r="CI17" i="1"/>
  <c r="C47" i="1"/>
  <c r="AM19" i="1"/>
  <c r="AH16" i="1"/>
  <c r="E56" i="1"/>
  <c r="AK18" i="1"/>
  <c r="C18" i="1"/>
  <c r="AK19" i="1"/>
  <c r="AH51" i="1"/>
  <c r="DE13" i="1"/>
  <c r="EE20" i="1"/>
  <c r="EC19" i="1"/>
  <c r="BI86" i="1"/>
  <c r="BE80" i="1"/>
  <c r="CC98" i="1"/>
  <c r="I104" i="1"/>
  <c r="CJ96" i="1"/>
  <c r="J96" i="1"/>
  <c r="AA94" i="1"/>
  <c r="BJ72" i="1"/>
  <c r="BI48" i="1"/>
  <c r="EE102" i="1"/>
  <c r="DB65" i="1"/>
  <c r="EC52" i="1"/>
  <c r="DA106" i="1"/>
  <c r="DH10" i="1"/>
  <c r="CI97" i="1"/>
  <c r="P105" i="1"/>
  <c r="BE54" i="1"/>
  <c r="AH107" i="1"/>
  <c r="BF116" i="1"/>
  <c r="BI112" i="1"/>
  <c r="DG43" i="1"/>
  <c r="AL79" i="1"/>
  <c r="AM102" i="1"/>
  <c r="EB29" i="1"/>
  <c r="DY7" i="1"/>
  <c r="AE70" i="1"/>
  <c r="P101" i="1"/>
  <c r="ED50" i="1"/>
  <c r="E86" i="1"/>
  <c r="AC85" i="1"/>
  <c r="M78" i="1"/>
  <c r="EB80" i="1"/>
  <c r="BG86" i="1"/>
  <c r="N93" i="1"/>
  <c r="DE112" i="1"/>
  <c r="G68" i="1"/>
  <c r="N88" i="1"/>
  <c r="O72" i="1"/>
  <c r="DE29" i="1"/>
  <c r="DH7" i="1"/>
  <c r="DG65" i="1"/>
  <c r="I77" i="1"/>
  <c r="DA50" i="1"/>
  <c r="BL76" i="1"/>
  <c r="CD97" i="1"/>
  <c r="CC95" i="1"/>
  <c r="G88" i="1"/>
  <c r="CG70" i="1"/>
  <c r="CZ9" i="1"/>
  <c r="F88" i="1"/>
  <c r="DH9" i="1"/>
  <c r="BL49" i="1"/>
  <c r="BI44" i="1"/>
  <c r="AN66" i="1"/>
  <c r="BI107" i="1"/>
  <c r="BH78" i="1"/>
  <c r="EB42" i="1"/>
  <c r="CD70" i="1"/>
  <c r="CD72" i="1"/>
  <c r="AM70" i="1"/>
  <c r="N66" i="1"/>
  <c r="DY18" i="1"/>
  <c r="AE107" i="1"/>
  <c r="CJ102" i="1"/>
  <c r="CH91" i="1"/>
  <c r="DX44" i="1"/>
  <c r="BE88" i="1"/>
  <c r="K65" i="1"/>
  <c r="AF75" i="1"/>
  <c r="DB83" i="1"/>
  <c r="AI71" i="1"/>
  <c r="CZ21" i="1"/>
  <c r="E115" i="1"/>
  <c r="G84" i="1"/>
  <c r="BG107" i="1"/>
  <c r="DF18" i="1"/>
  <c r="BD103" i="1"/>
  <c r="AJ72" i="1"/>
  <c r="EA31" i="1"/>
  <c r="L108" i="1"/>
  <c r="BF46" i="1"/>
  <c r="DY55" i="1"/>
  <c r="E96" i="1"/>
  <c r="BH115" i="1"/>
  <c r="CB79" i="1"/>
  <c r="E85" i="1"/>
  <c r="EC71" i="1"/>
  <c r="EC47" i="1"/>
  <c r="AB108" i="1"/>
  <c r="C105" i="1"/>
  <c r="EA39" i="1"/>
  <c r="CJ95" i="1"/>
  <c r="DF107" i="1"/>
  <c r="DY73" i="1"/>
  <c r="AI108" i="1"/>
  <c r="BJ110" i="1"/>
  <c r="CD84" i="1"/>
  <c r="CW98" i="1"/>
  <c r="EA110" i="1"/>
  <c r="AJ74" i="1"/>
  <c r="CZ92" i="1"/>
  <c r="BX65" i="1"/>
  <c r="P116" i="1"/>
  <c r="DZ106" i="1"/>
  <c r="DB42" i="1"/>
  <c r="CZ34" i="1"/>
  <c r="BF44" i="1"/>
  <c r="BJ76" i="1"/>
  <c r="DD65" i="1"/>
  <c r="CZ54" i="1"/>
  <c r="ED10" i="1"/>
  <c r="DA79" i="1"/>
  <c r="DC106" i="1"/>
  <c r="AE94" i="1"/>
  <c r="CW47" i="1"/>
  <c r="CB101" i="1"/>
  <c r="DC110" i="1"/>
  <c r="EA6" i="1"/>
  <c r="BL47" i="1"/>
  <c r="DX31" i="1"/>
  <c r="EE89" i="1"/>
  <c r="AE75" i="1"/>
  <c r="AM107" i="1"/>
  <c r="BK105" i="1"/>
  <c r="ED105" i="1"/>
  <c r="BK25" i="1"/>
  <c r="L28" i="1"/>
  <c r="CB20" i="1"/>
  <c r="CD21" i="1"/>
  <c r="G38" i="1"/>
  <c r="AD33" i="1"/>
  <c r="AH6" i="1"/>
  <c r="AF14" i="1"/>
  <c r="AC48" i="1"/>
  <c r="AK55" i="1"/>
  <c r="CJ44" i="1"/>
  <c r="BH26" i="1"/>
  <c r="O28" i="1"/>
  <c r="J19" i="1"/>
  <c r="J45" i="1"/>
  <c r="J55" i="1"/>
  <c r="J38" i="1"/>
  <c r="BH30" i="1"/>
  <c r="AB47" i="1"/>
  <c r="E18" i="1"/>
  <c r="BF8" i="1"/>
  <c r="AH26" i="1"/>
  <c r="J12" i="1"/>
  <c r="CE57" i="1"/>
  <c r="CI53" i="1"/>
  <c r="CG36" i="1"/>
  <c r="N47" i="1"/>
  <c r="CB7" i="1"/>
  <c r="P25" i="1"/>
  <c r="CG32" i="1"/>
  <c r="BH28" i="1"/>
  <c r="AK8" i="1"/>
  <c r="BG14" i="1"/>
  <c r="J35" i="1"/>
  <c r="E48" i="1"/>
  <c r="AN57" i="1"/>
  <c r="AI50" i="1"/>
  <c r="K37" i="1"/>
  <c r="CI26" i="1"/>
  <c r="AA43" i="1"/>
  <c r="CB56" i="1"/>
  <c r="L20" i="1"/>
  <c r="F55" i="1"/>
  <c r="BI17" i="1"/>
  <c r="BF16" i="1"/>
  <c r="CE7" i="1"/>
  <c r="BD39" i="1"/>
  <c r="F44" i="1"/>
  <c r="AM49" i="1"/>
  <c r="AH38" i="1"/>
  <c r="CD55" i="1"/>
  <c r="CD36" i="1"/>
  <c r="DH6" i="1"/>
  <c r="D9" i="1"/>
  <c r="AC9" i="1"/>
  <c r="AF49" i="1"/>
  <c r="J15" i="1"/>
  <c r="AD55" i="1"/>
  <c r="G30" i="1"/>
  <c r="AA7" i="1"/>
  <c r="C12" i="1"/>
  <c r="P13" i="1"/>
  <c r="D12" i="1"/>
  <c r="CF42" i="1"/>
  <c r="AG14" i="1"/>
  <c r="AJ42" i="1"/>
  <c r="G35" i="1"/>
  <c r="K8" i="1"/>
  <c r="BK32" i="1"/>
  <c r="M31" i="1"/>
  <c r="CC51" i="1"/>
  <c r="BH25" i="1"/>
  <c r="O19" i="1"/>
  <c r="CJ34" i="1"/>
  <c r="AN9" i="1"/>
  <c r="CI33" i="1"/>
  <c r="C42" i="1"/>
  <c r="AB48" i="1"/>
  <c r="C54" i="1"/>
  <c r="N7" i="1"/>
  <c r="BE24" i="1"/>
  <c r="AI8" i="1"/>
  <c r="D27" i="1"/>
  <c r="CH25" i="1"/>
  <c r="CI32" i="1"/>
  <c r="F10" i="1"/>
  <c r="K20" i="1"/>
  <c r="I73" i="1"/>
  <c r="DH28" i="1"/>
  <c r="F93" i="1"/>
  <c r="CG79" i="1"/>
  <c r="O96" i="1"/>
  <c r="K95" i="1"/>
  <c r="DZ49" i="1"/>
  <c r="BG49" i="1"/>
  <c r="DX45" i="1"/>
  <c r="DY38" i="1"/>
  <c r="I72" i="1"/>
  <c r="AI95" i="1"/>
  <c r="K89" i="1"/>
  <c r="M93" i="1"/>
  <c r="BG52" i="1"/>
  <c r="AA106" i="1"/>
  <c r="DD49" i="1"/>
  <c r="DX8" i="1"/>
  <c r="AB115" i="1"/>
  <c r="G97" i="1"/>
  <c r="I106" i="1"/>
  <c r="CD66" i="1"/>
  <c r="BF57" i="1"/>
  <c r="BF74" i="1"/>
  <c r="DB43" i="1"/>
  <c r="M75" i="1"/>
  <c r="BE94" i="1"/>
  <c r="EA15" i="1"/>
  <c r="BH108" i="1"/>
  <c r="DA38" i="1"/>
  <c r="BH74" i="1"/>
  <c r="AN86" i="1"/>
  <c r="BF101" i="1"/>
  <c r="BF91" i="1"/>
  <c r="CJ103" i="1"/>
  <c r="G113" i="1"/>
  <c r="BG95" i="1"/>
  <c r="DE43" i="1"/>
  <c r="F107" i="1"/>
  <c r="CG102" i="1"/>
  <c r="CI79" i="1"/>
  <c r="P83" i="1"/>
  <c r="AF67" i="1"/>
  <c r="DH49" i="1"/>
  <c r="C70" i="1"/>
  <c r="AA75" i="1"/>
  <c r="BL105" i="1"/>
  <c r="DA72" i="1"/>
  <c r="BI98" i="1"/>
  <c r="J115" i="1"/>
  <c r="BH95" i="1"/>
  <c r="DX49" i="1"/>
  <c r="CZ55" i="1"/>
  <c r="D73" i="1"/>
  <c r="BI96" i="1"/>
  <c r="K111" i="1"/>
  <c r="BK112" i="1"/>
  <c r="CZ7" i="1"/>
  <c r="P94" i="1"/>
  <c r="DX50" i="1"/>
  <c r="I69" i="1"/>
  <c r="EE15" i="1"/>
  <c r="D83" i="1"/>
  <c r="EF8" i="1"/>
  <c r="DA56" i="1"/>
  <c r="CB90" i="1"/>
  <c r="DG17" i="1"/>
  <c r="AE83" i="1"/>
  <c r="EE48" i="1"/>
  <c r="DA44" i="1"/>
  <c r="AL112" i="1"/>
  <c r="EC20" i="1"/>
  <c r="DE47" i="1"/>
  <c r="AC104" i="1"/>
  <c r="AK73" i="1"/>
  <c r="EC42" i="1"/>
  <c r="AB76" i="1"/>
  <c r="DC9" i="1"/>
  <c r="DA8" i="1"/>
  <c r="EB74" i="1"/>
  <c r="F75" i="1"/>
  <c r="DD80" i="1"/>
  <c r="CI101" i="1"/>
  <c r="N112" i="1"/>
  <c r="N87" i="1"/>
  <c r="DB28" i="1"/>
  <c r="CZ80" i="1"/>
  <c r="DD91" i="1"/>
  <c r="DD51" i="1"/>
  <c r="AG94" i="1"/>
  <c r="E76" i="1"/>
  <c r="BL102" i="1"/>
  <c r="H77" i="1"/>
  <c r="G96" i="1"/>
  <c r="BK79" i="1"/>
  <c r="P102" i="1"/>
  <c r="DC24" i="1"/>
  <c r="BJ95" i="1"/>
  <c r="EC10" i="1"/>
  <c r="AF85" i="1"/>
  <c r="DZ32" i="1"/>
  <c r="L67" i="1"/>
  <c r="J108" i="1"/>
  <c r="CJ70" i="1"/>
  <c r="J86" i="1"/>
  <c r="I89" i="1"/>
  <c r="N78" i="1"/>
  <c r="DX75" i="1"/>
  <c r="EB53" i="1"/>
  <c r="BF102" i="1"/>
  <c r="DB52" i="1"/>
  <c r="EE69" i="1"/>
  <c r="EA7" i="1"/>
  <c r="CE116" i="1"/>
  <c r="E103" i="1"/>
  <c r="G85" i="1"/>
  <c r="AG86" i="1"/>
  <c r="DX32" i="1"/>
  <c r="BE78" i="1"/>
  <c r="BG42" i="1"/>
  <c r="EB91" i="1"/>
  <c r="AE74" i="1"/>
  <c r="DD18" i="1"/>
  <c r="I116" i="1"/>
  <c r="EB72" i="1"/>
  <c r="AJ106" i="1"/>
  <c r="DH50" i="1"/>
  <c r="CZ12" i="1"/>
  <c r="DA70" i="1"/>
  <c r="EA111" i="1"/>
  <c r="DC28" i="1"/>
  <c r="DB44" i="1"/>
  <c r="M97" i="1"/>
  <c r="EC96" i="1"/>
  <c r="AN79" i="1"/>
  <c r="AG70" i="1"/>
  <c r="H15" i="12"/>
  <c r="CZ43" i="1"/>
  <c r="BD46" i="1"/>
  <c r="DB88" i="1"/>
  <c r="CV86" i="1"/>
  <c r="DB79" i="1"/>
  <c r="N70" i="1"/>
  <c r="CH69" i="1"/>
  <c r="BA109" i="1"/>
  <c r="O102" i="1"/>
  <c r="EC98" i="1"/>
  <c r="DE50" i="1"/>
  <c r="P74" i="1"/>
  <c r="EC26" i="1"/>
  <c r="BL103" i="1"/>
  <c r="AB65" i="1"/>
  <c r="BL96" i="1"/>
  <c r="EF114" i="1"/>
  <c r="N73" i="1"/>
  <c r="DC77" i="1"/>
  <c r="CZ90" i="1"/>
  <c r="EF17" i="1"/>
  <c r="AD115" i="1"/>
  <c r="DB70" i="1"/>
  <c r="BD94" i="1"/>
  <c r="EA94" i="1"/>
  <c r="DF10" i="1"/>
  <c r="C96" i="1"/>
  <c r="AA89" i="1"/>
  <c r="F67" i="1"/>
  <c r="CG92" i="1"/>
  <c r="BK96" i="1"/>
  <c r="AF53" i="1"/>
  <c r="O15" i="1"/>
  <c r="I45" i="1"/>
  <c r="AK52" i="1"/>
  <c r="E7" i="1"/>
  <c r="H16" i="1"/>
  <c r="AG19" i="1"/>
  <c r="AM16" i="1"/>
  <c r="N11" i="1"/>
  <c r="K29" i="1"/>
  <c r="N13" i="1"/>
  <c r="AL14" i="1"/>
  <c r="CC6" i="1"/>
  <c r="AH24" i="1"/>
  <c r="CD25" i="1"/>
  <c r="AN24" i="1"/>
  <c r="AE25" i="1"/>
  <c r="C21" i="1"/>
  <c r="AJ21" i="1"/>
  <c r="BG34" i="1"/>
  <c r="J18" i="1"/>
  <c r="AB54" i="1"/>
  <c r="BI20" i="1"/>
  <c r="CC45" i="1"/>
  <c r="AD13" i="1"/>
  <c r="CG13" i="1"/>
  <c r="BG9" i="1"/>
  <c r="AI18" i="1"/>
  <c r="L33" i="1"/>
  <c r="AG54" i="1"/>
  <c r="AG32" i="1"/>
  <c r="L57" i="1"/>
  <c r="BI30" i="1"/>
  <c r="AA21" i="1"/>
  <c r="L35" i="1"/>
  <c r="O55" i="1"/>
  <c r="M17" i="1"/>
  <c r="AM12" i="1"/>
  <c r="AJ10" i="1"/>
  <c r="N19" i="1"/>
  <c r="AJ43" i="1"/>
  <c r="BE27" i="1"/>
  <c r="AJ38" i="1"/>
  <c r="CG30" i="1"/>
  <c r="AF21" i="1"/>
  <c r="BL35" i="1"/>
  <c r="CE52" i="1"/>
  <c r="AC43" i="1"/>
  <c r="AA6" i="1"/>
  <c r="AB39" i="1"/>
  <c r="AK16" i="1"/>
  <c r="M7" i="1"/>
  <c r="H42" i="1"/>
  <c r="AG18" i="1"/>
  <c r="AA24" i="1"/>
  <c r="AJ55" i="1"/>
  <c r="AJ27" i="1"/>
  <c r="O45" i="1"/>
  <c r="CF25" i="1"/>
  <c r="BF20" i="1"/>
  <c r="AL46" i="1"/>
  <c r="AC10" i="1"/>
  <c r="BJ26" i="1"/>
  <c r="CD56" i="1"/>
  <c r="AM9" i="1"/>
  <c r="H34" i="1"/>
  <c r="AK36" i="1"/>
  <c r="BL26" i="1"/>
  <c r="BF38" i="1"/>
  <c r="AM30" i="1"/>
  <c r="P54" i="1"/>
  <c r="AJ32" i="1"/>
  <c r="CF48" i="1"/>
  <c r="M55" i="1"/>
  <c r="BG32" i="1"/>
  <c r="AC39" i="1"/>
  <c r="CH17" i="1"/>
  <c r="CG16" i="1"/>
  <c r="AB57" i="1"/>
  <c r="AG42" i="1"/>
  <c r="BK15" i="1"/>
  <c r="AG21" i="1"/>
  <c r="AJ15" i="1"/>
  <c r="AF9" i="1"/>
  <c r="AA44" i="1"/>
  <c r="AM33" i="1"/>
  <c r="CI44" i="1"/>
  <c r="DD14" i="1"/>
  <c r="DE78" i="1"/>
  <c r="BL109" i="1"/>
  <c r="DZ66" i="1"/>
  <c r="ED55" i="1"/>
  <c r="BL51" i="1"/>
  <c r="I108" i="1"/>
  <c r="O98" i="1"/>
  <c r="BF84" i="1"/>
  <c r="CE69" i="1"/>
  <c r="DF80" i="1"/>
  <c r="BG89" i="1"/>
  <c r="CZ42" i="1"/>
  <c r="BD53" i="1"/>
  <c r="AI93" i="1"/>
  <c r="EA25" i="1"/>
  <c r="EC56" i="1"/>
  <c r="BJ70" i="1"/>
  <c r="EF109" i="1"/>
  <c r="DC7" i="1"/>
  <c r="BI77" i="1"/>
  <c r="K90" i="1"/>
  <c r="CE97" i="1"/>
  <c r="CD71" i="1"/>
  <c r="BE56" i="1"/>
  <c r="DX7" i="1"/>
  <c r="AD72" i="1"/>
  <c r="DX96" i="1"/>
  <c r="EF9" i="1"/>
  <c r="O84" i="1"/>
  <c r="L93" i="1"/>
  <c r="C67" i="1"/>
  <c r="DG28" i="1"/>
  <c r="EC67" i="1"/>
  <c r="DE35" i="1"/>
  <c r="CH95" i="1"/>
  <c r="I102" i="1"/>
  <c r="BJ109" i="1"/>
  <c r="EF56" i="1"/>
  <c r="D89" i="1"/>
  <c r="DA102" i="1"/>
  <c r="DB76" i="1"/>
  <c r="AG69" i="1"/>
  <c r="EE43" i="1"/>
  <c r="ED48" i="1"/>
  <c r="DG98" i="1"/>
  <c r="AI94" i="1"/>
  <c r="BL111" i="1"/>
  <c r="DE53" i="1"/>
  <c r="CH113" i="1"/>
  <c r="P73" i="1"/>
  <c r="L65" i="1"/>
  <c r="AJ73" i="1"/>
  <c r="AN110" i="1"/>
  <c r="CH106" i="1"/>
  <c r="CI116" i="1"/>
  <c r="K104" i="1"/>
  <c r="EA8" i="1"/>
  <c r="D66" i="1"/>
  <c r="AD112" i="1"/>
  <c r="AK93" i="1"/>
  <c r="DG16" i="1"/>
  <c r="AL84" i="1"/>
  <c r="AJ94" i="1"/>
  <c r="CB85" i="1"/>
  <c r="BI101" i="1"/>
  <c r="CZ45" i="1"/>
  <c r="BD69" i="1"/>
  <c r="DA13" i="1"/>
  <c r="BL106" i="1"/>
  <c r="DY9" i="1"/>
  <c r="ED33" i="1"/>
  <c r="AN97" i="1"/>
  <c r="EE35" i="1"/>
  <c r="P67" i="1"/>
  <c r="DB18" i="1"/>
  <c r="E98" i="1"/>
  <c r="DG24" i="1"/>
  <c r="AK78" i="1"/>
  <c r="P80" i="1"/>
  <c r="CF67" i="1"/>
  <c r="CD83" i="1"/>
  <c r="BH50" i="1"/>
  <c r="CC102" i="1"/>
  <c r="CZ57" i="1"/>
  <c r="EF57" i="1"/>
  <c r="EA9" i="1"/>
  <c r="DB94" i="1"/>
  <c r="BH85" i="1"/>
  <c r="AJ97" i="1"/>
  <c r="DB75" i="1"/>
  <c r="BI66" i="1"/>
  <c r="BK80" i="1"/>
  <c r="CG90" i="1"/>
  <c r="G106" i="1"/>
  <c r="DA51" i="1"/>
  <c r="BL84" i="1"/>
  <c r="M80" i="1"/>
  <c r="O107" i="1"/>
  <c r="AB73" i="1"/>
  <c r="M106" i="1"/>
  <c r="BJ115" i="1"/>
  <c r="DB25" i="1"/>
  <c r="AH113" i="1"/>
  <c r="BD80" i="1"/>
  <c r="AN112" i="1"/>
  <c r="DG12" i="1"/>
  <c r="CF91" i="1"/>
  <c r="DG55" i="1"/>
  <c r="BE68" i="1"/>
  <c r="EB36" i="1"/>
  <c r="AJ89" i="1"/>
  <c r="AN75" i="1"/>
  <c r="CF103" i="1"/>
  <c r="DE9" i="1"/>
  <c r="AL90" i="1"/>
  <c r="AL110" i="1"/>
  <c r="DZ6" i="1"/>
  <c r="EC21" i="1"/>
  <c r="DF19" i="1"/>
  <c r="H68" i="1"/>
  <c r="M86" i="1"/>
  <c r="AG83" i="1"/>
  <c r="O78" i="1"/>
  <c r="DB36" i="1"/>
  <c r="O113" i="1"/>
  <c r="AN106" i="1"/>
  <c r="BF73" i="1"/>
  <c r="ED96" i="1"/>
  <c r="CE65" i="1"/>
  <c r="BJ74" i="1"/>
  <c r="BD92" i="1"/>
  <c r="C85" i="1"/>
  <c r="CI105" i="1"/>
  <c r="BE86" i="1"/>
  <c r="CI78" i="1"/>
  <c r="CU114" i="1"/>
  <c r="DA78" i="1"/>
  <c r="CF89" i="1"/>
  <c r="DX115" i="1"/>
  <c r="BE104" i="1"/>
  <c r="CB73" i="1"/>
  <c r="C88" i="1"/>
  <c r="DE91" i="1"/>
  <c r="CZ65" i="1"/>
  <c r="BH102" i="1"/>
  <c r="DB69" i="1"/>
  <c r="DF17" i="1"/>
  <c r="BL104" i="1"/>
  <c r="EF55" i="1"/>
  <c r="DC37" i="1"/>
  <c r="K115" i="1"/>
  <c r="DE25" i="1"/>
  <c r="DY51" i="1"/>
  <c r="DX104" i="1"/>
  <c r="DX110" i="1"/>
  <c r="AK85" i="1"/>
  <c r="AM112" i="1"/>
  <c r="DC19" i="1"/>
  <c r="DG67" i="1"/>
  <c r="DY90" i="1"/>
  <c r="P72" i="1"/>
  <c r="CG76" i="1"/>
  <c r="AH70" i="1"/>
  <c r="CF113" i="1"/>
  <c r="F113" i="1"/>
  <c r="AG92" i="1"/>
  <c r="AI88" i="1"/>
  <c r="CZ30" i="1"/>
  <c r="P87" i="1"/>
  <c r="BD50" i="1"/>
  <c r="I66" i="1"/>
  <c r="D104" i="1"/>
  <c r="BI109" i="1"/>
  <c r="G103" i="1"/>
  <c r="AG109" i="1"/>
  <c r="J72" i="1"/>
  <c r="AN67" i="1"/>
  <c r="CD80" i="1"/>
  <c r="DD34" i="1"/>
  <c r="DF34" i="1"/>
  <c r="EF19" i="1"/>
  <c r="L79" i="1"/>
  <c r="AG74" i="1"/>
  <c r="CH116" i="1"/>
  <c r="DY50" i="1"/>
  <c r="DZ28" i="1"/>
  <c r="EA44" i="1"/>
  <c r="DC46" i="1"/>
  <c r="O108" i="1"/>
  <c r="J71" i="1"/>
  <c r="AE114" i="1"/>
  <c r="DX30" i="1"/>
  <c r="BJ104" i="1"/>
  <c r="CI109" i="1"/>
  <c r="BE92" i="1"/>
  <c r="BI70" i="1"/>
  <c r="M76" i="1"/>
  <c r="ED28" i="1"/>
  <c r="DG15" i="1"/>
  <c r="BL112" i="1"/>
  <c r="CI93" i="1"/>
  <c r="J107" i="1"/>
  <c r="I96" i="1"/>
  <c r="EB39" i="1"/>
  <c r="CB97" i="1"/>
  <c r="AA96" i="1"/>
  <c r="BI51" i="1"/>
  <c r="AN70" i="1"/>
  <c r="M109" i="1"/>
  <c r="DX21" i="1"/>
  <c r="P104" i="1"/>
  <c r="N90" i="1"/>
  <c r="EA101" i="1"/>
  <c r="AE90" i="1"/>
  <c r="N92" i="1"/>
  <c r="DA14" i="1"/>
  <c r="CZ68" i="1"/>
  <c r="BI76" i="1"/>
  <c r="E113" i="1"/>
  <c r="AI89" i="1"/>
  <c r="CC96" i="1"/>
  <c r="CC69" i="1"/>
  <c r="ED42" i="1"/>
  <c r="CH77" i="1"/>
  <c r="DC36" i="1"/>
  <c r="CC74" i="1"/>
  <c r="EB83" i="1"/>
  <c r="DF65" i="1"/>
  <c r="CX98" i="1"/>
  <c r="DE114" i="1"/>
  <c r="BL55" i="1"/>
  <c r="DB98" i="1"/>
  <c r="DE65" i="1"/>
  <c r="BI93" i="1"/>
  <c r="CB110" i="1"/>
  <c r="AN105" i="1"/>
  <c r="DD24" i="1"/>
  <c r="DF77" i="1"/>
  <c r="DD73" i="1"/>
  <c r="AC67" i="1"/>
  <c r="AK115" i="1"/>
  <c r="K75" i="1"/>
  <c r="DZ19" i="1"/>
  <c r="EE52" i="1"/>
  <c r="BG55" i="1"/>
  <c r="M110" i="1"/>
  <c r="CB86" i="1"/>
  <c r="CZ95" i="1"/>
  <c r="EF95" i="1"/>
  <c r="L83" i="1"/>
  <c r="DZ89" i="1"/>
  <c r="BI45" i="1"/>
  <c r="DZ97" i="1"/>
  <c r="AB84" i="1"/>
  <c r="DF54" i="1"/>
  <c r="BE55" i="1"/>
  <c r="M107" i="1"/>
  <c r="J66" i="1"/>
  <c r="BJ112" i="1"/>
  <c r="BD102" i="1"/>
  <c r="ED37" i="1"/>
  <c r="DZ21" i="1"/>
  <c r="D67" i="1"/>
  <c r="AM105" i="1"/>
  <c r="O80" i="1"/>
  <c r="BJ107" i="1"/>
  <c r="K86" i="1"/>
  <c r="AG68" i="1"/>
  <c r="CI83" i="1"/>
  <c r="DB33" i="1"/>
  <c r="DY10" i="1"/>
  <c r="BF114" i="1"/>
  <c r="DE48" i="1"/>
  <c r="CI70" i="1"/>
  <c r="DH25" i="1"/>
  <c r="L72" i="1"/>
  <c r="C97" i="1"/>
  <c r="BE73" i="1"/>
  <c r="BK85" i="1"/>
  <c r="AC113" i="1"/>
  <c r="BI97" i="1"/>
  <c r="DH43" i="1"/>
  <c r="AM75" i="1"/>
  <c r="DE90" i="1"/>
  <c r="ED17" i="1"/>
  <c r="CH65" i="1"/>
  <c r="J97" i="1"/>
  <c r="C92" i="1"/>
  <c r="AC79" i="1"/>
  <c r="ED84" i="1"/>
  <c r="BE72" i="1"/>
  <c r="N110" i="1"/>
  <c r="G102" i="1"/>
  <c r="AI73" i="1"/>
  <c r="AK102" i="1"/>
  <c r="DZ12" i="1"/>
  <c r="DF83" i="1"/>
  <c r="EB12" i="1"/>
  <c r="BJ86" i="1"/>
  <c r="H112" i="1"/>
  <c r="CJ98" i="1"/>
  <c r="DF92" i="1"/>
  <c r="CZ97" i="1"/>
  <c r="AA109" i="1"/>
  <c r="CB92" i="1"/>
  <c r="DD32" i="1"/>
  <c r="CC90" i="1"/>
  <c r="EB50" i="1"/>
  <c r="AH78" i="1"/>
  <c r="F69" i="1"/>
  <c r="K69" i="1"/>
  <c r="DA48" i="1"/>
  <c r="DG97" i="1"/>
  <c r="DZ24" i="1"/>
  <c r="DA28" i="1"/>
  <c r="J80" i="1"/>
  <c r="AH84" i="1"/>
  <c r="DX54" i="1"/>
  <c r="L105" i="1"/>
  <c r="BL101" i="1"/>
  <c r="EE56" i="1"/>
  <c r="BK91" i="1"/>
  <c r="EE34" i="1"/>
  <c r="AL68" i="1"/>
  <c r="I94" i="1"/>
  <c r="DF53" i="1"/>
  <c r="DZ54" i="1"/>
  <c r="F106" i="1"/>
  <c r="CI115" i="1"/>
  <c r="CE79" i="1"/>
  <c r="EA54" i="1"/>
  <c r="AG107" i="1"/>
  <c r="O116" i="1"/>
  <c r="AH75" i="1"/>
  <c r="DF114" i="1"/>
  <c r="CU39" i="1"/>
  <c r="AM87" i="1"/>
  <c r="DZ92" i="1"/>
  <c r="EB95" i="1"/>
  <c r="DE70" i="1"/>
  <c r="C79" i="1"/>
  <c r="AL105" i="1"/>
  <c r="DH73" i="1"/>
  <c r="CB66" i="1"/>
  <c r="BE83" i="1"/>
  <c r="EA86" i="1"/>
  <c r="BK109" i="1"/>
  <c r="F76" i="1"/>
  <c r="AE67" i="1"/>
  <c r="DY48" i="1"/>
  <c r="CE101" i="1"/>
  <c r="EC35" i="1"/>
  <c r="DA104" i="1"/>
  <c r="BE70" i="1"/>
  <c r="H26" i="12"/>
  <c r="DD103" i="1"/>
  <c r="L91" i="1"/>
  <c r="BJ49" i="1"/>
  <c r="H19" i="9"/>
  <c r="AF106" i="1"/>
  <c r="AH114" i="1"/>
  <c r="AF74" i="1"/>
  <c r="H12" i="9"/>
  <c r="DC72" i="1"/>
  <c r="AF102" i="1"/>
  <c r="EF97" i="1"/>
  <c r="EE90" i="1"/>
  <c r="AG108" i="1"/>
  <c r="AF90" i="1"/>
  <c r="BF80" i="1"/>
  <c r="DA27" i="1"/>
  <c r="AF97" i="1"/>
  <c r="BJ80" i="1"/>
  <c r="AL114" i="1"/>
  <c r="CZ17" i="1"/>
  <c r="M71" i="1"/>
  <c r="AJ114" i="1"/>
  <c r="I71" i="1"/>
  <c r="EB26" i="1"/>
  <c r="DH36" i="1"/>
  <c r="M73" i="1"/>
  <c r="DZ46" i="1"/>
  <c r="CB70" i="1"/>
  <c r="EB19" i="1"/>
  <c r="CZ14" i="1"/>
  <c r="BJ83" i="1"/>
  <c r="DD7" i="1"/>
  <c r="DA65" i="1"/>
  <c r="BE71" i="1"/>
  <c r="F80" i="1"/>
  <c r="G114" i="1"/>
  <c r="ED107" i="1"/>
  <c r="AB77" i="1"/>
  <c r="CZ27" i="1"/>
  <c r="DD13" i="1"/>
  <c r="DX95" i="1"/>
  <c r="CF106" i="1"/>
  <c r="C74" i="1"/>
  <c r="N83" i="1"/>
  <c r="AL76" i="1"/>
  <c r="EA17" i="1"/>
  <c r="DX39" i="1"/>
  <c r="CC68" i="1"/>
  <c r="BD87" i="1"/>
  <c r="D77" i="1"/>
  <c r="DC45" i="1"/>
  <c r="M84" i="1"/>
  <c r="DY43" i="1"/>
  <c r="DC26" i="1"/>
  <c r="DF49" i="1"/>
  <c r="DZ16" i="1"/>
  <c r="CI74" i="1"/>
  <c r="CH107" i="1"/>
  <c r="DD57" i="1"/>
  <c r="EF103" i="1"/>
  <c r="AA86" i="1"/>
  <c r="DY34" i="1"/>
  <c r="AN71" i="1"/>
  <c r="DX16" i="1"/>
  <c r="BE105" i="1"/>
  <c r="F112" i="1"/>
  <c r="O68" i="1"/>
  <c r="BG101" i="1"/>
  <c r="AD113" i="1"/>
  <c r="CB75" i="1"/>
  <c r="DH65" i="1"/>
  <c r="AC66" i="1"/>
  <c r="DC111" i="1"/>
  <c r="C111" i="1"/>
  <c r="EF47" i="1"/>
  <c r="DC12" i="1"/>
  <c r="CH71" i="1"/>
  <c r="AE68" i="1"/>
  <c r="BG51" i="1"/>
  <c r="H110" i="1"/>
  <c r="DE15" i="1"/>
  <c r="BK51" i="1"/>
  <c r="DH55" i="1"/>
  <c r="BL89" i="1"/>
  <c r="BI90" i="1"/>
  <c r="BK104" i="1"/>
  <c r="AA80" i="1"/>
  <c r="EF78" i="1"/>
  <c r="AJ110" i="1"/>
  <c r="EC25" i="1"/>
  <c r="EB115" i="1"/>
  <c r="DX73" i="1"/>
  <c r="CW26" i="1"/>
  <c r="DC98" i="1"/>
  <c r="CZ106" i="1"/>
  <c r="DB107" i="1"/>
  <c r="DZ29" i="1"/>
  <c r="DC69" i="1"/>
  <c r="BF113" i="1"/>
  <c r="DC107" i="1"/>
  <c r="EB43" i="1"/>
  <c r="EB52" i="1"/>
  <c r="DY89" i="1"/>
  <c r="EA19" i="1"/>
  <c r="DH11" i="1"/>
  <c r="CF74" i="1"/>
  <c r="AE115" i="1"/>
  <c r="AH72" i="1"/>
  <c r="AK106" i="1"/>
  <c r="AL97" i="1"/>
  <c r="AC95" i="1"/>
  <c r="CV80" i="1"/>
  <c r="P112" i="1"/>
  <c r="BL90" i="1"/>
  <c r="DB104" i="1"/>
  <c r="CX65" i="1"/>
  <c r="AF29" i="1"/>
  <c r="AE112" i="1"/>
  <c r="DZ68" i="1"/>
  <c r="CV115" i="1"/>
  <c r="DH51" i="1"/>
  <c r="O104" i="1"/>
  <c r="DG109" i="1"/>
  <c r="CW76" i="1"/>
  <c r="AN94" i="1"/>
  <c r="BL42" i="1"/>
  <c r="D70" i="1"/>
  <c r="DC29" i="1"/>
  <c r="EB48" i="1"/>
  <c r="AE95" i="1"/>
  <c r="DG37" i="1"/>
  <c r="DC33" i="1"/>
  <c r="DY53" i="1"/>
  <c r="CD69" i="1"/>
  <c r="CF70" i="1"/>
  <c r="C114" i="1"/>
  <c r="DD8" i="1"/>
  <c r="AB80" i="1"/>
  <c r="DY17" i="1"/>
  <c r="AH103" i="1"/>
  <c r="DA10" i="1"/>
  <c r="DH45" i="1"/>
  <c r="AL66" i="1"/>
  <c r="AM65" i="1"/>
  <c r="O66" i="1"/>
  <c r="H111" i="1"/>
  <c r="DD20" i="1"/>
  <c r="M83" i="1"/>
  <c r="CB113" i="1"/>
  <c r="BJ56" i="1"/>
  <c r="O65" i="1"/>
  <c r="D78" i="1"/>
  <c r="O92" i="1"/>
  <c r="AF84" i="1"/>
  <c r="E112" i="1"/>
  <c r="DA31" i="1"/>
  <c r="DB12" i="1"/>
  <c r="AB114" i="1"/>
  <c r="AF88" i="1"/>
  <c r="P110" i="1"/>
  <c r="BG65" i="1"/>
  <c r="AD65" i="1"/>
  <c r="AE91" i="1"/>
  <c r="DD39" i="1"/>
  <c r="DA9" i="1"/>
  <c r="EB9" i="1"/>
  <c r="EA24" i="1"/>
  <c r="DB8" i="1"/>
  <c r="EB101" i="1"/>
  <c r="D74" i="1"/>
  <c r="I115" i="1"/>
  <c r="BD78" i="1"/>
  <c r="AF91" i="1"/>
  <c r="AB89" i="1"/>
  <c r="DY44" i="1"/>
  <c r="AA67" i="1"/>
  <c r="CE77" i="1"/>
  <c r="CZ113" i="1"/>
  <c r="DD10" i="1"/>
  <c r="E70" i="1"/>
  <c r="DD50" i="1"/>
  <c r="H97" i="1"/>
  <c r="AI112" i="1"/>
  <c r="BE45" i="1"/>
  <c r="EE14" i="1"/>
  <c r="BG113" i="1"/>
  <c r="AE79" i="1"/>
  <c r="AH92" i="1"/>
  <c r="BF87" i="1"/>
  <c r="F94" i="1"/>
  <c r="BH103" i="1"/>
  <c r="EE7" i="1"/>
  <c r="DA16" i="1"/>
  <c r="AI76" i="1"/>
  <c r="O93" i="1"/>
  <c r="DD43" i="1"/>
  <c r="EA89" i="1"/>
  <c r="BD110" i="1"/>
  <c r="CC93" i="1"/>
  <c r="M116" i="1"/>
  <c r="DE79" i="1"/>
  <c r="AJ111" i="1"/>
  <c r="EC51" i="1"/>
  <c r="EF65" i="1"/>
  <c r="DZ115" i="1"/>
  <c r="BL114" i="1"/>
  <c r="K103" i="1"/>
  <c r="CE91" i="1"/>
  <c r="DY103" i="1"/>
  <c r="CF80" i="1"/>
  <c r="DE96" i="1"/>
  <c r="DX67" i="1"/>
  <c r="AD84" i="1"/>
  <c r="H80" i="1"/>
  <c r="AK80" i="1"/>
  <c r="DE39" i="1"/>
  <c r="BE46" i="1"/>
  <c r="BL69" i="1"/>
  <c r="DG69" i="1"/>
  <c r="CE93" i="1"/>
  <c r="J73" i="1"/>
  <c r="AK67" i="1"/>
  <c r="AM108" i="1"/>
  <c r="CY66" i="1"/>
  <c r="BK67" i="1"/>
  <c r="DG25" i="1"/>
  <c r="CI90" i="1"/>
  <c r="BA66" i="1"/>
  <c r="CI71" i="1"/>
  <c r="EB38" i="1"/>
  <c r="AM74" i="1"/>
  <c r="AG96" i="1"/>
  <c r="EC33" i="1"/>
  <c r="CD87" i="1"/>
  <c r="CU78" i="1"/>
  <c r="CU116" i="1"/>
  <c r="G7" i="1"/>
  <c r="AK32" i="1"/>
  <c r="BD35" i="1"/>
  <c r="BJ24" i="1"/>
  <c r="CH49" i="1"/>
  <c r="CD35" i="1"/>
  <c r="AB49" i="1"/>
  <c r="C53" i="1"/>
  <c r="K55" i="1"/>
  <c r="BH6" i="1"/>
  <c r="CF20" i="1"/>
  <c r="AK25" i="1"/>
  <c r="AL19" i="1"/>
  <c r="BE36" i="1"/>
  <c r="AH25" i="1"/>
  <c r="AM15" i="1"/>
  <c r="H20" i="1"/>
  <c r="AK45" i="1"/>
  <c r="L21" i="1"/>
  <c r="N18" i="1"/>
  <c r="BG13" i="1"/>
  <c r="AI29" i="1"/>
  <c r="L6" i="1"/>
  <c r="BE20" i="1"/>
  <c r="CH33" i="1"/>
  <c r="BE38" i="1"/>
  <c r="AK12" i="1"/>
  <c r="O57" i="1"/>
  <c r="AA49" i="1"/>
  <c r="AA16" i="1"/>
  <c r="L11" i="1"/>
  <c r="AA10" i="1"/>
  <c r="BL25" i="1"/>
  <c r="AC15" i="1"/>
  <c r="BH11" i="1"/>
  <c r="O39" i="1"/>
  <c r="AM36" i="1"/>
  <c r="D37" i="1"/>
  <c r="F13" i="1"/>
  <c r="AH34" i="1"/>
  <c r="AN11" i="1"/>
  <c r="AK51" i="1"/>
  <c r="AC37" i="1"/>
  <c r="CC25" i="1"/>
  <c r="BI31" i="1"/>
  <c r="AF44" i="1"/>
  <c r="CJ55" i="1"/>
  <c r="BK38" i="1"/>
  <c r="AD37" i="1"/>
  <c r="K33" i="1"/>
  <c r="AC30" i="1"/>
  <c r="P50" i="1"/>
  <c r="CB43" i="1"/>
  <c r="AE47" i="1"/>
  <c r="AN20" i="1"/>
  <c r="AB50" i="1"/>
  <c r="I36" i="1"/>
  <c r="CD45" i="1"/>
  <c r="D39" i="1"/>
  <c r="AB51" i="1"/>
  <c r="CC47" i="1"/>
  <c r="F45" i="1"/>
  <c r="CE45" i="1"/>
  <c r="BL33" i="1"/>
  <c r="F16" i="1"/>
  <c r="CE54" i="1"/>
  <c r="AD26" i="1"/>
  <c r="BG16" i="1"/>
  <c r="N34" i="1"/>
  <c r="J53" i="1"/>
  <c r="AL48" i="1"/>
  <c r="C30" i="1"/>
  <c r="AE30" i="1"/>
  <c r="C15" i="1"/>
  <c r="L43" i="1"/>
  <c r="CH7" i="1"/>
  <c r="CB44" i="1"/>
  <c r="AI9" i="1"/>
  <c r="BE29" i="1"/>
  <c r="BF12" i="1"/>
  <c r="J20" i="1"/>
  <c r="AC18" i="1"/>
  <c r="CI45" i="1"/>
  <c r="CG20" i="1"/>
  <c r="K11" i="1"/>
  <c r="AJ16" i="1"/>
  <c r="D31" i="1"/>
  <c r="EB32" i="1"/>
  <c r="H109" i="1"/>
  <c r="AB104" i="1"/>
  <c r="BG48" i="1"/>
  <c r="EC17" i="1"/>
  <c r="DY27" i="1"/>
  <c r="CF115" i="1"/>
  <c r="DC43" i="1"/>
  <c r="EA77" i="1"/>
  <c r="CB76" i="1"/>
  <c r="DE16" i="1"/>
  <c r="EB67" i="1"/>
  <c r="DB45" i="1"/>
  <c r="ED38" i="1"/>
  <c r="DF36" i="1"/>
  <c r="AA87" i="1"/>
  <c r="ED43" i="1"/>
  <c r="AA90" i="1"/>
  <c r="G72" i="1"/>
  <c r="AI116" i="1"/>
  <c r="DD21" i="1"/>
  <c r="AM92" i="1"/>
  <c r="DA26" i="1"/>
  <c r="K101" i="1"/>
  <c r="AF116" i="1"/>
  <c r="DH8" i="1"/>
  <c r="BJ114" i="1"/>
  <c r="P97" i="1"/>
  <c r="AE89" i="1"/>
  <c r="EE49" i="1"/>
  <c r="AD71" i="1"/>
  <c r="AC97" i="1"/>
  <c r="BE95" i="1"/>
  <c r="EC13" i="1"/>
  <c r="AJ87" i="1"/>
  <c r="AA116" i="1"/>
  <c r="H85" i="1"/>
  <c r="DG9" i="1"/>
  <c r="BD89" i="1"/>
  <c r="EA51" i="1"/>
  <c r="P76" i="1"/>
  <c r="H107" i="1"/>
  <c r="AG113" i="1"/>
  <c r="L110" i="1"/>
  <c r="AD76" i="1"/>
  <c r="AB68" i="1"/>
  <c r="C107" i="1"/>
  <c r="AN83" i="1"/>
  <c r="DZ18" i="1"/>
  <c r="BG74" i="1"/>
  <c r="F110" i="1"/>
  <c r="DD47" i="1"/>
  <c r="CG105" i="1"/>
  <c r="DG39" i="1"/>
  <c r="BH54" i="1"/>
  <c r="DX48" i="1"/>
  <c r="EF93" i="1"/>
  <c r="AK113" i="1"/>
  <c r="ED21" i="1"/>
  <c r="BD106" i="1"/>
  <c r="BF83" i="1"/>
  <c r="AM109" i="1"/>
  <c r="CZ46" i="1"/>
  <c r="EB45" i="1"/>
  <c r="AC71" i="1"/>
  <c r="F102" i="1"/>
  <c r="BG90" i="1"/>
  <c r="BE84" i="1"/>
  <c r="DY6" i="1"/>
  <c r="AE78" i="1"/>
  <c r="CE106" i="1"/>
  <c r="N86" i="1"/>
  <c r="AE92" i="1"/>
  <c r="L111" i="1"/>
  <c r="AA71" i="1"/>
  <c r="DF84" i="1"/>
  <c r="AB94" i="1"/>
  <c r="DC35" i="1"/>
  <c r="D86" i="1"/>
  <c r="AG66" i="1"/>
  <c r="CG84" i="1"/>
  <c r="AB71" i="1"/>
  <c r="BD111" i="1"/>
  <c r="DH106" i="1"/>
  <c r="EA83" i="1"/>
  <c r="K93" i="1"/>
  <c r="AK70" i="1"/>
  <c r="AI68" i="1"/>
  <c r="I87" i="1"/>
  <c r="AI115" i="1"/>
  <c r="BK53" i="1"/>
  <c r="BK89" i="1"/>
  <c r="EC34" i="1"/>
  <c r="EA92" i="1"/>
  <c r="AG105" i="1"/>
  <c r="CB108" i="1"/>
  <c r="EA11" i="1"/>
  <c r="DD31" i="1"/>
  <c r="EB15" i="1"/>
  <c r="EE6" i="1"/>
  <c r="AJ91" i="1"/>
  <c r="BL93" i="1"/>
  <c r="EF30" i="1"/>
  <c r="DB31" i="1"/>
  <c r="EB33" i="1"/>
  <c r="BK116" i="1"/>
  <c r="AI98" i="1"/>
  <c r="DG38" i="1"/>
  <c r="AN76" i="1"/>
  <c r="BK92" i="1"/>
  <c r="CC79" i="1"/>
  <c r="L78" i="1"/>
  <c r="DG46" i="1"/>
  <c r="DE28" i="1"/>
  <c r="O97" i="1"/>
  <c r="BD91" i="1"/>
  <c r="N91" i="1"/>
  <c r="CD95" i="1"/>
  <c r="EF51" i="1"/>
  <c r="CC94" i="1"/>
  <c r="CJ84" i="1"/>
  <c r="CF83" i="1"/>
  <c r="DD38" i="1"/>
  <c r="BF66" i="1"/>
  <c r="ED6" i="1"/>
  <c r="DH13" i="1"/>
  <c r="EF45" i="1"/>
  <c r="CD77" i="1"/>
  <c r="CE72" i="1"/>
  <c r="I79" i="1"/>
  <c r="AC90" i="1"/>
  <c r="AK95" i="1"/>
  <c r="AE73" i="1"/>
  <c r="DE92" i="1"/>
  <c r="CG114" i="1"/>
  <c r="DB102" i="1"/>
  <c r="DE71" i="1"/>
  <c r="AK96" i="1"/>
  <c r="CD65" i="1"/>
  <c r="DE95" i="1"/>
  <c r="I74" i="1"/>
  <c r="DX12" i="1"/>
  <c r="CJ111" i="1"/>
  <c r="M11" i="9"/>
  <c r="AF96" i="1"/>
  <c r="DE101" i="1"/>
  <c r="DX105" i="1"/>
  <c r="O90" i="1"/>
  <c r="C78" i="1"/>
  <c r="BF78" i="1"/>
  <c r="EF74" i="1"/>
  <c r="AD96" i="1"/>
  <c r="BH51" i="1"/>
  <c r="BD54" i="1"/>
  <c r="DF68" i="1"/>
  <c r="BA76" i="1"/>
  <c r="C112" i="1"/>
  <c r="DA85" i="1"/>
  <c r="DC51" i="1"/>
  <c r="DE45" i="1"/>
  <c r="CF66" i="1"/>
  <c r="N72" i="1"/>
  <c r="BH90" i="1"/>
  <c r="EE17" i="1"/>
  <c r="BK43" i="1"/>
  <c r="CE86" i="1"/>
  <c r="DG96" i="1"/>
  <c r="H30" i="12"/>
  <c r="M16" i="9"/>
  <c r="G105" i="1"/>
  <c r="DZ112" i="1"/>
  <c r="EC70" i="1"/>
  <c r="CU51" i="1"/>
  <c r="AE109" i="1"/>
  <c r="EF26" i="1"/>
  <c r="BX109" i="1"/>
  <c r="N111" i="1"/>
  <c r="DB32" i="1"/>
  <c r="AI110" i="1"/>
  <c r="DX47" i="1"/>
  <c r="DD54" i="1"/>
  <c r="L106" i="1"/>
  <c r="L89" i="1"/>
  <c r="DH92" i="1"/>
  <c r="AK98" i="1"/>
  <c r="BG116" i="1"/>
  <c r="BI55" i="1"/>
  <c r="G107" i="1"/>
  <c r="M112" i="1"/>
  <c r="EE21" i="1"/>
  <c r="BL115" i="1"/>
  <c r="DH32" i="1"/>
  <c r="BD67" i="1"/>
  <c r="DG84" i="1"/>
  <c r="D93" i="1"/>
  <c r="DE54" i="1"/>
  <c r="BX107" i="1"/>
  <c r="CF34" i="1"/>
  <c r="AA35" i="1"/>
  <c r="BG25" i="1"/>
  <c r="I14" i="1"/>
  <c r="BL31" i="1"/>
  <c r="P31" i="1"/>
  <c r="D19" i="1"/>
  <c r="I49" i="1"/>
  <c r="AL20" i="1"/>
  <c r="CB47" i="1"/>
  <c r="C19" i="1"/>
  <c r="G21" i="1"/>
  <c r="AJ13" i="1"/>
  <c r="M12" i="1"/>
  <c r="CH45" i="1"/>
  <c r="AE37" i="1"/>
  <c r="AM55" i="1"/>
  <c r="D38" i="1"/>
  <c r="AB17" i="1"/>
  <c r="AH35" i="1"/>
  <c r="CE36" i="1"/>
  <c r="L9" i="1"/>
  <c r="CG6" i="1"/>
  <c r="CC39" i="1"/>
  <c r="AN56" i="1"/>
  <c r="AE24" i="1"/>
  <c r="AH30" i="1"/>
  <c r="CJ42" i="1"/>
  <c r="BI11" i="1"/>
  <c r="CJ46" i="1"/>
  <c r="BK10" i="1"/>
  <c r="AD44" i="1"/>
  <c r="AJ45" i="1"/>
  <c r="AD28" i="1"/>
  <c r="AL39" i="1"/>
  <c r="K10" i="1"/>
  <c r="G27" i="1"/>
  <c r="BH32" i="1"/>
  <c r="BG17" i="1"/>
  <c r="O12" i="1"/>
  <c r="BJ13" i="1"/>
  <c r="AK14" i="1"/>
  <c r="AH50" i="1"/>
  <c r="G28" i="1"/>
  <c r="M27" i="1"/>
  <c r="AD15" i="1"/>
  <c r="AE56" i="1"/>
  <c r="AA38" i="1"/>
  <c r="C43" i="1"/>
  <c r="CD52" i="1"/>
  <c r="AG43" i="1"/>
  <c r="BH12" i="1"/>
  <c r="I53" i="1"/>
  <c r="AA17" i="1"/>
  <c r="AF57" i="1"/>
  <c r="AI7" i="1"/>
  <c r="AC20" i="1"/>
  <c r="N43" i="1"/>
  <c r="CB54" i="1"/>
  <c r="CH39" i="1"/>
  <c r="BJ37" i="1"/>
  <c r="J52" i="1"/>
  <c r="CC18" i="1"/>
  <c r="BK26" i="1"/>
  <c r="L12" i="1"/>
  <c r="AE54" i="1"/>
  <c r="AD24" i="1"/>
  <c r="CE26" i="1"/>
  <c r="BH39" i="1"/>
  <c r="AJ9" i="1"/>
  <c r="C13" i="1"/>
  <c r="M50" i="1"/>
  <c r="C8" i="1"/>
  <c r="J46" i="1"/>
  <c r="AI21" i="1"/>
  <c r="L13" i="1"/>
  <c r="AF45" i="1"/>
  <c r="CD15" i="1"/>
  <c r="BE15" i="1"/>
  <c r="E11" i="1"/>
  <c r="I29" i="1"/>
  <c r="G54" i="1"/>
  <c r="BF37" i="1"/>
  <c r="AB30" i="1"/>
  <c r="D30" i="1"/>
  <c r="E45" i="1"/>
  <c r="BE18" i="1"/>
  <c r="L88" i="1"/>
  <c r="EB34" i="1"/>
  <c r="DH35" i="1"/>
  <c r="DE17" i="1"/>
  <c r="DC27" i="1"/>
  <c r="DH44" i="1"/>
  <c r="BL57" i="1"/>
  <c r="C68" i="1"/>
  <c r="E71" i="1"/>
  <c r="ED13" i="1"/>
  <c r="BI113" i="1"/>
  <c r="DG19" i="1"/>
  <c r="CZ16" i="1"/>
  <c r="AH88" i="1"/>
  <c r="F68" i="1"/>
  <c r="DG11" i="1"/>
  <c r="CB116" i="1"/>
  <c r="EA49" i="1"/>
  <c r="AM111" i="1"/>
  <c r="H69" i="1"/>
  <c r="J104" i="1"/>
  <c r="E74" i="1"/>
  <c r="EB7" i="1"/>
  <c r="J95" i="1"/>
  <c r="BG85" i="1"/>
  <c r="DF8" i="1"/>
  <c r="EE96" i="1"/>
  <c r="DZ20" i="1"/>
  <c r="G101" i="1"/>
  <c r="J69" i="1"/>
  <c r="AA113" i="1"/>
  <c r="BI84" i="1"/>
  <c r="DY35" i="1"/>
  <c r="EC16" i="1"/>
  <c r="DE49" i="1"/>
  <c r="BG79" i="1"/>
  <c r="O74" i="1"/>
  <c r="ED15" i="1"/>
  <c r="DX18" i="1"/>
  <c r="CH102" i="1"/>
  <c r="AD78" i="1"/>
  <c r="F79" i="1"/>
  <c r="EF54" i="1"/>
  <c r="DD76" i="1"/>
  <c r="AC98" i="1"/>
  <c r="N94" i="1"/>
  <c r="BL108" i="1"/>
  <c r="DY71" i="1"/>
  <c r="AG87" i="1"/>
  <c r="AH93" i="1"/>
  <c r="DY8" i="1"/>
  <c r="AE93" i="1"/>
  <c r="BG75" i="1"/>
  <c r="C115" i="1"/>
  <c r="AG77" i="1"/>
  <c r="EC57" i="1"/>
  <c r="AF80" i="1"/>
  <c r="E88" i="1"/>
  <c r="DB24" i="1"/>
  <c r="O94" i="1"/>
  <c r="DX109" i="1"/>
  <c r="EE54" i="1"/>
  <c r="P111" i="1"/>
  <c r="DD12" i="1"/>
  <c r="CF73" i="1"/>
  <c r="ED46" i="1"/>
  <c r="EE110" i="1"/>
  <c r="DB56" i="1"/>
  <c r="AN109" i="1"/>
  <c r="F89" i="1"/>
  <c r="CZ52" i="1"/>
  <c r="DX55" i="1"/>
  <c r="G66" i="1"/>
  <c r="DF12" i="1"/>
  <c r="D111" i="1"/>
  <c r="DY116" i="1"/>
  <c r="DH38" i="1"/>
  <c r="BJ111" i="1"/>
  <c r="DY39" i="1"/>
  <c r="BD47" i="1"/>
  <c r="CJ116" i="1"/>
  <c r="BL79" i="1"/>
  <c r="CE73" i="1"/>
  <c r="CJ83" i="1"/>
  <c r="CD79" i="1"/>
  <c r="CC105" i="1"/>
  <c r="CE107" i="1"/>
  <c r="BJ90" i="1"/>
  <c r="AJ68" i="1"/>
  <c r="DC90" i="1"/>
  <c r="AC77" i="1"/>
  <c r="K102" i="1"/>
  <c r="DE21" i="1"/>
  <c r="K88" i="1"/>
  <c r="DY42" i="1"/>
  <c r="DC57" i="1"/>
  <c r="M108" i="1"/>
  <c r="DZ15" i="1"/>
  <c r="AA69" i="1"/>
  <c r="D115" i="1"/>
  <c r="CF78" i="1"/>
  <c r="AB79" i="1"/>
  <c r="EA33" i="1"/>
  <c r="DC39" i="1"/>
  <c r="EB21" i="1"/>
  <c r="EF21" i="1"/>
  <c r="CB77" i="1"/>
  <c r="CI65" i="1"/>
  <c r="DA11" i="1"/>
  <c r="N102" i="1"/>
  <c r="AB116" i="1"/>
  <c r="CZ37" i="1"/>
  <c r="AD89" i="1"/>
  <c r="C65" i="1"/>
  <c r="AA97" i="1"/>
  <c r="DD26" i="1"/>
  <c r="AB78" i="1"/>
  <c r="F86" i="1"/>
  <c r="K71" i="1"/>
  <c r="BG91" i="1"/>
  <c r="DB14" i="1"/>
  <c r="CJ112" i="1"/>
  <c r="D91" i="1"/>
  <c r="J65" i="1"/>
  <c r="BH46" i="1"/>
  <c r="DY33" i="1"/>
  <c r="L104" i="1"/>
  <c r="O73" i="1"/>
  <c r="I70" i="1"/>
  <c r="AJ80" i="1"/>
  <c r="BD55" i="1"/>
  <c r="E97" i="1"/>
  <c r="L71" i="1"/>
  <c r="EF38" i="1"/>
  <c r="DX101" i="1"/>
  <c r="EF98" i="1"/>
  <c r="DF116" i="1"/>
  <c r="DF70" i="1"/>
  <c r="CJ88" i="1"/>
  <c r="H17" i="12"/>
  <c r="EB28" i="1"/>
  <c r="DE89" i="1"/>
  <c r="CZ78" i="1"/>
  <c r="CV19" i="1"/>
  <c r="BL88" i="1"/>
  <c r="AL101" i="1"/>
  <c r="DF28" i="1"/>
  <c r="DH46" i="1"/>
  <c r="AL94" i="1"/>
  <c r="M87" i="1"/>
  <c r="DA91" i="1"/>
  <c r="N108" i="1"/>
  <c r="DY47" i="1"/>
  <c r="BH48" i="1"/>
  <c r="EC116" i="1"/>
  <c r="BG66" i="1"/>
  <c r="EF88" i="1"/>
  <c r="EE11" i="1"/>
  <c r="CI103" i="1"/>
  <c r="BK65" i="1"/>
  <c r="AH109" i="1"/>
  <c r="BE96" i="1"/>
  <c r="DA112" i="1"/>
  <c r="AM116" i="1"/>
  <c r="CF72" i="1"/>
  <c r="DD104" i="1"/>
  <c r="EC91" i="1"/>
  <c r="BG45" i="1"/>
  <c r="P103" i="1"/>
  <c r="AG90" i="1"/>
  <c r="EA20" i="1"/>
  <c r="DF29" i="1"/>
  <c r="L77" i="1"/>
  <c r="AL95" i="1"/>
  <c r="EA10" i="1"/>
  <c r="DE46" i="1"/>
  <c r="J75" i="1"/>
  <c r="AC94" i="1"/>
  <c r="DA18" i="1"/>
  <c r="CG78" i="1"/>
  <c r="CC72" i="1"/>
  <c r="AN84" i="1"/>
  <c r="J76" i="1"/>
  <c r="DE103" i="1"/>
  <c r="L70" i="1"/>
  <c r="P79" i="1"/>
  <c r="O70" i="1"/>
  <c r="AB109" i="1"/>
  <c r="DC54" i="1"/>
  <c r="C72" i="1"/>
  <c r="AB92" i="1"/>
  <c r="EC49" i="1"/>
  <c r="BI106" i="1"/>
  <c r="M111" i="1"/>
  <c r="AL113" i="1"/>
  <c r="BK114" i="1"/>
  <c r="L90" i="1"/>
  <c r="J77" i="1"/>
  <c r="DG36" i="1"/>
  <c r="AG104" i="1"/>
  <c r="CI108" i="1"/>
  <c r="AF95" i="1"/>
  <c r="BE102" i="1"/>
  <c r="BG93" i="1"/>
  <c r="M113" i="1"/>
  <c r="DB114" i="1"/>
  <c r="CJ86" i="1"/>
  <c r="N67" i="1"/>
  <c r="D72" i="1"/>
  <c r="DF9" i="1"/>
  <c r="P108" i="1"/>
  <c r="AM89" i="1"/>
  <c r="BI52" i="1"/>
  <c r="I105" i="1"/>
  <c r="BG76" i="1"/>
  <c r="EC11" i="1"/>
  <c r="AG112" i="1"/>
  <c r="AH77" i="1"/>
  <c r="AF111" i="1"/>
  <c r="N79" i="1"/>
  <c r="BH83" i="1"/>
  <c r="AM76" i="1"/>
  <c r="CG107" i="1"/>
  <c r="BG72" i="1"/>
  <c r="BI74" i="1"/>
  <c r="J91" i="1"/>
  <c r="L92" i="1"/>
  <c r="DH110" i="1"/>
  <c r="AF103" i="1"/>
  <c r="DE7" i="1"/>
  <c r="EC54" i="1"/>
  <c r="EF52" i="1"/>
  <c r="DH29" i="1"/>
  <c r="L95" i="1"/>
  <c r="CZ74" i="1"/>
  <c r="CG98" i="1"/>
  <c r="BD74" i="1"/>
  <c r="AL103" i="1"/>
  <c r="BF112" i="1"/>
  <c r="DA15" i="1"/>
  <c r="DA24" i="1"/>
  <c r="O115" i="1"/>
  <c r="AC110" i="1"/>
  <c r="AG75" i="1"/>
  <c r="K106" i="1"/>
  <c r="D107" i="1"/>
  <c r="EB18" i="1"/>
  <c r="AH83" i="1"/>
  <c r="CJ76" i="1"/>
  <c r="DD55" i="1"/>
  <c r="DB97" i="1"/>
  <c r="AI69" i="1"/>
  <c r="EC50" i="1"/>
  <c r="CJ80" i="1"/>
  <c r="CF90" i="1"/>
  <c r="CG91" i="1"/>
  <c r="CI88" i="1"/>
  <c r="AH91" i="1"/>
  <c r="AK105" i="1"/>
  <c r="BF77" i="1"/>
  <c r="AG85" i="1"/>
  <c r="AA95" i="1"/>
  <c r="BD97" i="1"/>
  <c r="AL72" i="1"/>
  <c r="AA84" i="1"/>
  <c r="AK75" i="1"/>
  <c r="O95" i="1"/>
  <c r="BI46" i="1"/>
  <c r="BE50" i="1"/>
  <c r="CZ84" i="1"/>
  <c r="AF73" i="1"/>
  <c r="DD25" i="1"/>
  <c r="EC46" i="1"/>
  <c r="DZ26" i="1"/>
  <c r="K113" i="1"/>
  <c r="D84" i="1"/>
  <c r="L69" i="1"/>
  <c r="ED12" i="1"/>
  <c r="BD45" i="1"/>
  <c r="AH65" i="1"/>
  <c r="C109" i="1"/>
  <c r="EA47" i="1"/>
  <c r="AB102" i="1"/>
  <c r="N96" i="1"/>
  <c r="AN98" i="1"/>
  <c r="N69" i="1"/>
  <c r="DX35" i="1"/>
  <c r="CH68" i="1"/>
  <c r="I107" i="1"/>
  <c r="N80" i="1"/>
  <c r="C116" i="1"/>
  <c r="EC38" i="1"/>
  <c r="DA46" i="1"/>
  <c r="DF43" i="1"/>
  <c r="AH95" i="1"/>
  <c r="BL85" i="1"/>
  <c r="AN96" i="1"/>
  <c r="DZ33" i="1"/>
  <c r="DD33" i="1"/>
  <c r="F98" i="1"/>
  <c r="DB17" i="1"/>
  <c r="BI68" i="1"/>
  <c r="O109" i="1"/>
  <c r="M96" i="1"/>
  <c r="DZ44" i="1"/>
  <c r="BF79" i="1"/>
  <c r="BI111" i="1"/>
  <c r="BI83" i="1"/>
  <c r="CD112" i="1"/>
  <c r="I75" i="1"/>
  <c r="CJ109" i="1"/>
  <c r="BG71" i="1"/>
  <c r="EF39" i="1"/>
  <c r="DZ34" i="1"/>
  <c r="CE84" i="1"/>
  <c r="CH74" i="1"/>
  <c r="AG102" i="1"/>
  <c r="DC18" i="1"/>
  <c r="AF98" i="1"/>
  <c r="BH65" i="1"/>
  <c r="DG116" i="1"/>
  <c r="EC7" i="1"/>
  <c r="DH56" i="1"/>
  <c r="AB95" i="1"/>
  <c r="O67" i="1"/>
  <c r="EF11" i="1"/>
  <c r="CD86" i="1"/>
  <c r="E72" i="1"/>
  <c r="CZ33" i="1"/>
  <c r="DX102" i="1"/>
  <c r="EE8" i="1"/>
  <c r="BF94" i="1"/>
  <c r="BI69" i="1"/>
  <c r="AG78" i="1"/>
  <c r="DG18" i="1"/>
  <c r="EF28" i="1"/>
  <c r="BI72" i="1"/>
  <c r="DB66" i="1"/>
  <c r="DZ25" i="1"/>
  <c r="DE105" i="1"/>
  <c r="DY112" i="1"/>
  <c r="EC103" i="1"/>
  <c r="M21" i="9"/>
  <c r="DX107" i="1"/>
  <c r="EF29" i="1"/>
  <c r="CG83" i="1"/>
  <c r="ED36" i="1"/>
  <c r="AH108" i="1"/>
  <c r="EE71" i="1"/>
  <c r="BL54" i="1"/>
  <c r="DA111" i="1"/>
  <c r="EC15" i="1"/>
  <c r="DC70" i="1"/>
  <c r="BI73" i="1"/>
  <c r="DC114" i="1"/>
  <c r="CX35" i="1"/>
  <c r="DE73" i="1"/>
  <c r="EB102" i="1"/>
  <c r="E116" i="1"/>
  <c r="DG111" i="1"/>
  <c r="DF13" i="1"/>
  <c r="EE53" i="1"/>
  <c r="CC113" i="1"/>
  <c r="M69" i="1"/>
  <c r="BK102" i="1"/>
  <c r="AM90" i="1"/>
  <c r="K74" i="1"/>
  <c r="CJ106" i="1"/>
  <c r="G67" i="1"/>
  <c r="EB55" i="1"/>
  <c r="AE85" i="1"/>
  <c r="CJ87" i="1"/>
  <c r="CZ103" i="1"/>
  <c r="EA104" i="1"/>
  <c r="CB96" i="1"/>
  <c r="AH94" i="1"/>
  <c r="AD94" i="1"/>
  <c r="BF45" i="1"/>
  <c r="CU32" i="1"/>
  <c r="AM114" i="1"/>
  <c r="DZ83" i="1"/>
  <c r="BD42" i="1"/>
  <c r="I111" i="1"/>
  <c r="DD113" i="1"/>
  <c r="DH78" i="1"/>
  <c r="CW106" i="1"/>
  <c r="EE30" i="1"/>
  <c r="K66" i="1"/>
  <c r="CF107" i="1"/>
  <c r="G73" i="1"/>
  <c r="DA37" i="1"/>
  <c r="AJ84" i="1"/>
  <c r="AL80" i="1"/>
  <c r="AC76" i="1"/>
  <c r="AG76" i="1"/>
  <c r="BH73" i="1"/>
  <c r="EE97" i="1"/>
  <c r="DA52" i="1"/>
  <c r="CD103" i="1"/>
  <c r="N71" i="1"/>
  <c r="EA57" i="1"/>
  <c r="DD84" i="1"/>
  <c r="N113" i="1"/>
  <c r="AL115" i="1"/>
  <c r="DG52" i="1"/>
  <c r="AF86" i="1"/>
  <c r="AB66" i="1"/>
  <c r="AN102" i="1"/>
  <c r="BI56" i="1"/>
  <c r="AA14" i="12"/>
  <c r="DC86" i="1"/>
  <c r="EC114" i="1"/>
  <c r="DY67" i="1"/>
  <c r="M14" i="9"/>
  <c r="L75" i="1"/>
  <c r="DE85" i="1"/>
  <c r="M114" i="1"/>
  <c r="BD88" i="1"/>
  <c r="CY50" i="1"/>
  <c r="CU112" i="1"/>
  <c r="H33" i="12"/>
  <c r="BW104" i="1"/>
  <c r="J79" i="1"/>
  <c r="P109" i="1"/>
  <c r="CH70" i="1"/>
  <c r="EB71" i="1"/>
  <c r="DG75" i="1"/>
  <c r="BD98" i="1"/>
  <c r="EA34" i="1"/>
  <c r="BJ103" i="1"/>
  <c r="AB101" i="1"/>
  <c r="BK95" i="1"/>
  <c r="CH101" i="1"/>
  <c r="CY77" i="1"/>
  <c r="AA108" i="1"/>
  <c r="BH53" i="1"/>
  <c r="ED70" i="1"/>
  <c r="O105" i="1"/>
  <c r="DX51" i="1"/>
  <c r="AG115" i="1"/>
  <c r="DG56" i="1"/>
  <c r="EE108" i="1"/>
  <c r="AJ77" i="1"/>
  <c r="CB68" i="1"/>
  <c r="BE93" i="1"/>
  <c r="J114" i="1"/>
  <c r="CC106" i="1"/>
  <c r="CZ93" i="1"/>
  <c r="K107" i="1"/>
  <c r="EF32" i="1"/>
  <c r="ED31" i="1"/>
  <c r="F111" i="1"/>
  <c r="EC8" i="1"/>
  <c r="AC88" i="1"/>
  <c r="D105" i="1"/>
  <c r="BL70" i="1"/>
  <c r="CD109" i="1"/>
  <c r="CV74" i="1"/>
  <c r="DH76" i="1"/>
  <c r="BF49" i="1"/>
  <c r="CH85" i="1"/>
  <c r="CV104" i="1"/>
  <c r="BG84" i="1"/>
  <c r="EF76" i="1"/>
  <c r="BF109" i="1"/>
  <c r="BI116" i="1"/>
  <c r="CV47" i="1"/>
  <c r="DT71" i="1"/>
  <c r="BH116" i="1"/>
  <c r="BX87" i="1"/>
  <c r="AH73" i="1"/>
  <c r="DG21" i="1"/>
  <c r="CH104" i="1"/>
  <c r="H87" i="1"/>
  <c r="AF65" i="1"/>
  <c r="H70" i="1"/>
  <c r="J68" i="1"/>
  <c r="CD88" i="1"/>
  <c r="EE79" i="1"/>
  <c r="CJ68" i="1"/>
  <c r="CU55" i="1"/>
  <c r="AH66" i="1"/>
  <c r="E69" i="1"/>
  <c r="DG83" i="1"/>
  <c r="CU84" i="1"/>
  <c r="DZ36" i="1"/>
  <c r="BK46" i="1"/>
  <c r="CJ65" i="1"/>
  <c r="DF93" i="1"/>
  <c r="EB90" i="1"/>
  <c r="C73" i="1"/>
  <c r="AE104" i="1"/>
  <c r="CA83" i="1"/>
  <c r="DD109" i="1"/>
  <c r="G76" i="1"/>
  <c r="DY32" i="1"/>
  <c r="CB80" i="1"/>
  <c r="AZ76" i="1"/>
  <c r="DY91" i="1"/>
  <c r="EA85" i="1"/>
  <c r="DX85" i="1"/>
  <c r="ED87" i="1"/>
  <c r="BE97" i="1"/>
  <c r="DY24" i="1"/>
  <c r="AE86" i="1"/>
  <c r="DG79" i="1"/>
  <c r="G108" i="1"/>
  <c r="DF76" i="1"/>
  <c r="AB90" i="1"/>
  <c r="DB95" i="1"/>
  <c r="DE52" i="1"/>
  <c r="DG71" i="1"/>
  <c r="CV56" i="1"/>
  <c r="EF34" i="1"/>
  <c r="BG102" i="1"/>
  <c r="K87" i="1"/>
  <c r="DF78" i="1"/>
  <c r="CF93" i="1"/>
  <c r="CD90" i="1"/>
  <c r="P91" i="1"/>
  <c r="DE107" i="1"/>
  <c r="EE93" i="1"/>
  <c r="CU104" i="1"/>
  <c r="DX46" i="1"/>
  <c r="J92" i="1"/>
  <c r="AI74" i="1"/>
  <c r="EF24" i="1"/>
  <c r="C84" i="1"/>
  <c r="C94" i="1"/>
  <c r="AA115" i="1"/>
  <c r="DA83" i="1"/>
  <c r="BD86" i="1"/>
  <c r="CJ66" i="1"/>
  <c r="EE92" i="1"/>
  <c r="BF111" i="1"/>
  <c r="BI94" i="1"/>
  <c r="ED73" i="1"/>
  <c r="CA116" i="1"/>
  <c r="DX74" i="1"/>
  <c r="CY102" i="1"/>
  <c r="O71" i="1"/>
  <c r="BE108" i="1"/>
  <c r="DD71" i="1"/>
  <c r="CE96" i="1"/>
  <c r="DF104" i="1"/>
  <c r="DU49" i="1"/>
  <c r="ED115" i="1"/>
  <c r="DE93" i="1"/>
  <c r="BL77" i="1"/>
  <c r="DZ67" i="1"/>
  <c r="DX91" i="1"/>
  <c r="BL107" i="1"/>
  <c r="CF109" i="1"/>
  <c r="DB110" i="1"/>
  <c r="CU45" i="1"/>
  <c r="AM79" i="1"/>
  <c r="ED30" i="1"/>
  <c r="DD45" i="1"/>
  <c r="K77" i="1"/>
  <c r="BK72" i="1"/>
  <c r="BK111" i="1"/>
  <c r="BK52" i="1"/>
  <c r="AG80" i="1"/>
  <c r="AN108" i="1"/>
  <c r="E79" i="1"/>
  <c r="DH14" i="1"/>
  <c r="CF92" i="1"/>
  <c r="BI47" i="1"/>
  <c r="AC87" i="1"/>
  <c r="E84" i="1"/>
  <c r="BJ53" i="1"/>
  <c r="DF38" i="1"/>
  <c r="DF14" i="1"/>
  <c r="CF65" i="1"/>
  <c r="DA80" i="1"/>
  <c r="CI107" i="1"/>
  <c r="AA70" i="1"/>
  <c r="DX114" i="1"/>
  <c r="ED65" i="1"/>
  <c r="BW97" i="1"/>
  <c r="DA86" i="1"/>
  <c r="CV97" i="1"/>
  <c r="AK90" i="1"/>
  <c r="EB116" i="1"/>
  <c r="AF27" i="1"/>
  <c r="BL98" i="1"/>
  <c r="CE109" i="1"/>
  <c r="CV20" i="1"/>
  <c r="CY36" i="1"/>
  <c r="DE12" i="1"/>
  <c r="EA48" i="1"/>
  <c r="CI66" i="1"/>
  <c r="CZ51" i="1"/>
  <c r="AA92" i="1"/>
  <c r="AD85" i="1"/>
  <c r="AL89" i="1"/>
  <c r="CC111" i="1"/>
  <c r="O75" i="1"/>
  <c r="EE31" i="1"/>
  <c r="DG31" i="1"/>
  <c r="M88" i="1"/>
  <c r="D112" i="1"/>
  <c r="DD77" i="1"/>
  <c r="AA93" i="1"/>
  <c r="E83" i="1"/>
  <c r="O89" i="1"/>
  <c r="DB26" i="1"/>
  <c r="AF105" i="1"/>
  <c r="EC6" i="1"/>
  <c r="BG77" i="1"/>
  <c r="EC32" i="1"/>
  <c r="M98" i="1"/>
  <c r="EE16" i="1"/>
  <c r="G70" i="1"/>
  <c r="G109" i="1"/>
  <c r="DC10" i="1"/>
  <c r="BJ92" i="1"/>
  <c r="CI113" i="1"/>
  <c r="K84" i="1"/>
  <c r="AB86" i="1"/>
  <c r="CZ53" i="1"/>
  <c r="AB105" i="1"/>
  <c r="H95" i="1"/>
  <c r="BH66" i="1"/>
  <c r="AD95" i="1"/>
  <c r="DX10" i="1"/>
  <c r="BF108" i="1"/>
  <c r="DH53" i="1"/>
  <c r="F72" i="1"/>
  <c r="EC37" i="1"/>
  <c r="E66" i="1"/>
  <c r="BK75" i="1"/>
  <c r="AF115" i="1"/>
  <c r="DZ51" i="1"/>
  <c r="BL86" i="1"/>
  <c r="BH69" i="1"/>
  <c r="DA36" i="1"/>
  <c r="BG98" i="1"/>
  <c r="BE110" i="1"/>
  <c r="M89" i="1"/>
  <c r="J83" i="1"/>
  <c r="K110" i="1"/>
  <c r="AE103" i="1"/>
  <c r="N98" i="1"/>
  <c r="M105" i="1"/>
  <c r="BF72" i="1"/>
  <c r="AK116" i="1"/>
  <c r="AD79" i="1"/>
  <c r="J106" i="1"/>
  <c r="EB8" i="1"/>
  <c r="AB97" i="1"/>
  <c r="DB16" i="1"/>
  <c r="AL91" i="1"/>
  <c r="AL104" i="1"/>
  <c r="E107" i="1"/>
  <c r="ED20" i="1"/>
  <c r="AD90" i="1"/>
  <c r="BL68" i="1"/>
  <c r="EC43" i="1"/>
  <c r="BF52" i="1"/>
  <c r="N114" i="1"/>
  <c r="BH92" i="1"/>
  <c r="AL116" i="1"/>
  <c r="BE43" i="1"/>
  <c r="EA32" i="1"/>
  <c r="AB112" i="1"/>
  <c r="ED91" i="1"/>
  <c r="D113" i="1"/>
  <c r="G104" i="1"/>
  <c r="DY14" i="1"/>
  <c r="I97" i="1"/>
  <c r="DB34" i="1"/>
  <c r="D65" i="1"/>
  <c r="CB88" i="1"/>
  <c r="BF103" i="1"/>
  <c r="AF94" i="1"/>
  <c r="BG80" i="1"/>
  <c r="ED76" i="1"/>
  <c r="AH90" i="1"/>
  <c r="J88" i="1"/>
  <c r="BE91" i="1"/>
  <c r="C89" i="1"/>
  <c r="CZ18" i="1"/>
  <c r="DX37" i="1"/>
  <c r="BD116" i="1"/>
  <c r="DC52" i="1"/>
  <c r="CC86" i="1"/>
  <c r="DE11" i="1"/>
  <c r="BF55" i="1"/>
  <c r="EB16" i="1"/>
  <c r="F78" i="1"/>
  <c r="M94" i="1"/>
  <c r="DX26" i="1"/>
  <c r="DH31" i="1"/>
  <c r="DZ91" i="1"/>
  <c r="F114" i="1"/>
  <c r="CF104" i="1"/>
  <c r="AC75" i="1"/>
  <c r="AH101" i="1"/>
  <c r="DG14" i="1"/>
  <c r="AJ95" i="1"/>
  <c r="BG92" i="1"/>
  <c r="BJ88" i="1"/>
  <c r="BK106" i="1"/>
  <c r="EB57" i="1"/>
  <c r="CZ29" i="1"/>
  <c r="EF73" i="1"/>
  <c r="J67" i="1"/>
  <c r="N84" i="1"/>
  <c r="DH18" i="1"/>
  <c r="AN90" i="1"/>
  <c r="BD76" i="1"/>
  <c r="K105" i="1"/>
  <c r="AI75" i="1"/>
  <c r="CC83" i="1"/>
  <c r="DA103" i="1"/>
  <c r="EE18" i="1"/>
  <c r="EC44" i="1"/>
  <c r="N105" i="1"/>
  <c r="J103" i="1"/>
  <c r="DA53" i="1"/>
  <c r="P107" i="1"/>
  <c r="E94" i="1"/>
  <c r="AG103" i="1"/>
  <c r="EC39" i="1"/>
  <c r="AB110" i="1"/>
  <c r="EF94" i="1"/>
  <c r="CZ75" i="1"/>
  <c r="K108" i="1"/>
  <c r="DH19" i="1"/>
  <c r="DD42" i="1"/>
  <c r="DX33" i="1"/>
  <c r="EF46" i="1"/>
  <c r="BH107" i="1"/>
  <c r="BF67" i="1"/>
  <c r="F74" i="1"/>
  <c r="CE108" i="1"/>
  <c r="P69" i="1"/>
  <c r="CG94" i="1"/>
  <c r="C95" i="1"/>
  <c r="BJ69" i="1"/>
  <c r="DA95" i="1"/>
  <c r="CH86" i="1"/>
  <c r="EF87" i="1"/>
  <c r="ED57" i="1"/>
  <c r="AG91" i="1"/>
  <c r="AK76" i="1"/>
  <c r="K83" i="1"/>
  <c r="F104" i="1"/>
  <c r="I84" i="1"/>
  <c r="DZ14" i="1"/>
  <c r="DF67" i="1"/>
  <c r="DH98" i="1"/>
  <c r="ED75" i="1"/>
  <c r="BZ116" i="1"/>
  <c r="L66" i="1"/>
  <c r="AM96" i="1"/>
  <c r="DG77" i="1"/>
  <c r="EF111" i="1"/>
  <c r="ED97" i="1"/>
  <c r="CY70" i="1"/>
  <c r="CF79" i="1"/>
  <c r="DD108" i="1"/>
  <c r="BD107" i="1"/>
  <c r="EC89" i="1"/>
  <c r="EF75" i="1"/>
  <c r="H35" i="12"/>
  <c r="DC44" i="1"/>
  <c r="K68" i="1"/>
  <c r="AC83" i="1"/>
  <c r="BG68" i="1"/>
  <c r="H17" i="9"/>
  <c r="DF30" i="1"/>
  <c r="CE113" i="1"/>
  <c r="AD111" i="1"/>
  <c r="DY28" i="1"/>
  <c r="EB35" i="1"/>
  <c r="I110" i="1"/>
  <c r="DX116" i="1"/>
  <c r="DB10" i="1"/>
  <c r="AM71" i="1"/>
  <c r="CH90" i="1"/>
  <c r="AC114" i="1"/>
  <c r="BK108" i="1"/>
  <c r="BK87" i="1"/>
  <c r="DG70" i="1"/>
  <c r="ED92" i="1"/>
  <c r="CZ71" i="1"/>
  <c r="BF50" i="1"/>
  <c r="M24" i="9"/>
  <c r="BJ101" i="1"/>
  <c r="BL44" i="1"/>
  <c r="C113" i="1"/>
  <c r="EE104" i="1"/>
  <c r="BE77" i="1"/>
  <c r="DY70" i="1"/>
  <c r="DC85" i="1"/>
  <c r="EB97" i="1"/>
  <c r="DH83" i="1"/>
  <c r="EF91" i="1"/>
  <c r="AZ27" i="1"/>
  <c r="EF37" i="1"/>
  <c r="CD115" i="1"/>
  <c r="G89" i="1"/>
  <c r="BJ75" i="1"/>
  <c r="CG85" i="1"/>
  <c r="AM83" i="1"/>
  <c r="EE10" i="1"/>
  <c r="P98" i="1"/>
  <c r="DD70" i="1"/>
  <c r="AM78" i="1"/>
  <c r="D71" i="1"/>
  <c r="H89" i="1"/>
  <c r="ED19" i="1"/>
  <c r="BJ52" i="1"/>
  <c r="H105" i="1"/>
  <c r="ED14" i="1"/>
  <c r="AF109" i="1"/>
  <c r="DY49" i="1"/>
  <c r="AE76" i="1"/>
  <c r="DF110" i="1"/>
  <c r="BH86" i="1"/>
  <c r="AD104" i="1"/>
  <c r="L102" i="1"/>
  <c r="EE106" i="1"/>
  <c r="DY29" i="1"/>
  <c r="EE114" i="1"/>
  <c r="CV34" i="1"/>
  <c r="CG111" i="1"/>
  <c r="BE42" i="1"/>
  <c r="CX102" i="1"/>
  <c r="AD116" i="1"/>
  <c r="DC113" i="1"/>
  <c r="CX8" i="1"/>
  <c r="CX16" i="1"/>
  <c r="O88" i="1"/>
  <c r="DF16" i="1"/>
  <c r="EB47" i="1"/>
  <c r="BG111" i="1"/>
  <c r="DH34" i="1"/>
  <c r="AN78" i="1"/>
  <c r="CI69" i="1"/>
  <c r="M91" i="1"/>
  <c r="CI85" i="1"/>
  <c r="CH73" i="1"/>
  <c r="BI78" i="1"/>
  <c r="DG44" i="1"/>
  <c r="H108" i="1"/>
  <c r="D92" i="1"/>
  <c r="BJ105" i="1"/>
  <c r="D80" i="1"/>
  <c r="E80" i="1"/>
  <c r="CJ89" i="1"/>
  <c r="EA14" i="1"/>
  <c r="AK87" i="1"/>
  <c r="AJ93" i="1"/>
  <c r="DG57" i="1"/>
  <c r="DX25" i="1"/>
  <c r="DY20" i="1"/>
  <c r="AI79" i="1"/>
  <c r="AK103" i="1"/>
  <c r="I103" i="1"/>
  <c r="DB48" i="1"/>
  <c r="AL93" i="1"/>
  <c r="C6" i="1"/>
  <c r="F115" i="1"/>
  <c r="BD71" i="1"/>
  <c r="BJ94" i="1"/>
  <c r="BH67" i="1"/>
  <c r="AC102" i="1"/>
  <c r="AI102" i="1"/>
  <c r="BD113" i="1"/>
  <c r="BG106" i="1"/>
  <c r="AJ71" i="1"/>
  <c r="AC93" i="1"/>
  <c r="BH98" i="1"/>
  <c r="CE78" i="1"/>
  <c r="EA56" i="1"/>
  <c r="BE106" i="1"/>
  <c r="AE98" i="1"/>
  <c r="AJ85" i="1"/>
  <c r="AJ79" i="1"/>
  <c r="AC115" i="1"/>
  <c r="F70" i="1"/>
  <c r="AJ109" i="1"/>
  <c r="BI91" i="1"/>
  <c r="AA111" i="1"/>
  <c r="P114" i="1"/>
  <c r="O114" i="1"/>
  <c r="BI104" i="1"/>
  <c r="DY54" i="1"/>
  <c r="AH110" i="1"/>
  <c r="CZ10" i="1"/>
  <c r="DH91" i="1"/>
  <c r="CC65" i="1"/>
  <c r="BG94" i="1"/>
  <c r="BD101" i="1"/>
  <c r="CZ50" i="1"/>
  <c r="CI95" i="1"/>
  <c r="I76" i="1"/>
  <c r="CD108" i="1"/>
  <c r="AH89" i="1"/>
  <c r="DG8" i="1"/>
  <c r="AM68" i="1"/>
  <c r="EC18" i="1"/>
  <c r="M103" i="1"/>
  <c r="H103" i="1"/>
  <c r="CF116" i="1"/>
  <c r="AH80" i="1"/>
  <c r="EF6" i="1"/>
  <c r="BL95" i="1"/>
  <c r="AJ67" i="1"/>
  <c r="BG50" i="1"/>
  <c r="I68" i="1"/>
  <c r="BJ65" i="1"/>
  <c r="BG54" i="1"/>
  <c r="D75" i="1"/>
  <c r="BD75" i="1"/>
  <c r="AI66" i="1"/>
  <c r="P78" i="1"/>
  <c r="AE96" i="1"/>
  <c r="DZ11" i="1"/>
  <c r="M67" i="1"/>
  <c r="DH112" i="1"/>
  <c r="CH111" i="1"/>
  <c r="AN93" i="1"/>
  <c r="AJ96" i="1"/>
  <c r="AL111" i="1"/>
  <c r="EB56" i="1"/>
  <c r="L116" i="1"/>
  <c r="BI71" i="1"/>
  <c r="EC31" i="1"/>
  <c r="AG106" i="1"/>
  <c r="BF42" i="1"/>
  <c r="AL75" i="1"/>
  <c r="K70" i="1"/>
  <c r="DF106" i="1"/>
  <c r="DD16" i="1"/>
  <c r="DB7" i="1"/>
  <c r="BI115" i="1"/>
  <c r="CB105" i="1"/>
  <c r="AK74" i="1"/>
  <c r="AF68" i="1"/>
  <c r="DH39" i="1"/>
  <c r="AG89" i="1"/>
  <c r="EB44" i="1"/>
  <c r="EE32" i="1"/>
  <c r="AK108" i="1"/>
  <c r="CB87" i="1"/>
  <c r="CB91" i="1"/>
  <c r="G80" i="1"/>
  <c r="D87" i="1"/>
  <c r="AA107" i="1"/>
  <c r="DF7" i="1"/>
  <c r="DC14" i="1"/>
  <c r="DG20" i="1"/>
  <c r="DF57" i="1"/>
  <c r="EC30" i="1"/>
  <c r="F91" i="1"/>
  <c r="AC73" i="1"/>
  <c r="BK101" i="1"/>
  <c r="CI98" i="1"/>
  <c r="F96" i="1"/>
  <c r="CZ19" i="1"/>
  <c r="BJ77" i="1"/>
  <c r="DY31" i="1"/>
  <c r="AF101" i="1"/>
  <c r="EA38" i="1"/>
  <c r="BE74" i="1"/>
  <c r="D97" i="1"/>
  <c r="AJ101" i="1"/>
  <c r="AC101" i="1"/>
  <c r="DC65" i="1"/>
  <c r="DG110" i="1"/>
  <c r="BK103" i="1"/>
  <c r="AJ69" i="1"/>
  <c r="EF15" i="1"/>
  <c r="DC25" i="1"/>
  <c r="I67" i="1"/>
  <c r="G112" i="1"/>
  <c r="BE49" i="1"/>
  <c r="CF108" i="1"/>
  <c r="AI114" i="1"/>
  <c r="AG114" i="1"/>
  <c r="AG95" i="1"/>
  <c r="DY11" i="1"/>
  <c r="AD105" i="1"/>
  <c r="DH75" i="1"/>
  <c r="EB65" i="1"/>
  <c r="DE94" i="1"/>
  <c r="D94" i="1"/>
  <c r="CH103" i="1"/>
  <c r="DG50" i="1"/>
  <c r="EA52" i="1"/>
  <c r="DD72" i="1"/>
  <c r="DF94" i="1"/>
  <c r="AI72" i="1"/>
  <c r="BF53" i="1"/>
  <c r="CF97" i="1"/>
  <c r="CE71" i="1"/>
  <c r="BX78" i="1"/>
  <c r="BG115" i="1"/>
  <c r="BD79" i="1"/>
  <c r="DE68" i="1"/>
  <c r="BH72" i="1"/>
  <c r="EA88" i="1"/>
  <c r="BW116" i="1"/>
  <c r="CZ36" i="1"/>
  <c r="CF87" i="1"/>
  <c r="CE89" i="1"/>
  <c r="DF108" i="1"/>
  <c r="DZ111" i="1"/>
  <c r="CX111" i="1"/>
  <c r="ED89" i="1"/>
  <c r="CC88" i="1"/>
  <c r="DG66" i="1"/>
  <c r="DY105" i="1"/>
  <c r="H27" i="12"/>
  <c r="BK90" i="1"/>
  <c r="I93" i="1"/>
  <c r="DF24" i="1"/>
  <c r="H72" i="1"/>
  <c r="J74" i="1"/>
  <c r="CG87" i="1"/>
  <c r="CF101" i="1"/>
  <c r="DY83" i="1"/>
  <c r="AL108" i="1"/>
  <c r="BI102" i="1"/>
  <c r="DC11" i="1"/>
  <c r="BE113" i="1"/>
  <c r="BH55" i="1"/>
  <c r="CZ102" i="1"/>
  <c r="AN88" i="1"/>
  <c r="C91" i="1"/>
  <c r="CZ66" i="1"/>
  <c r="H24" i="9"/>
  <c r="AJ105" i="1"/>
  <c r="EE28" i="1"/>
  <c r="CD91" i="1"/>
  <c r="L96" i="1"/>
  <c r="AJ66" i="1"/>
  <c r="DC75" i="1"/>
  <c r="EE65" i="1"/>
  <c r="CI75" i="1"/>
  <c r="DC96" i="1"/>
  <c r="CG89" i="1"/>
  <c r="E90" i="1"/>
  <c r="DE32" i="1"/>
  <c r="DE10" i="1"/>
  <c r="EB6" i="1"/>
  <c r="CZ56" i="1"/>
  <c r="AJ83" i="1"/>
  <c r="AI104" i="1"/>
  <c r="DZ104" i="1"/>
  <c r="H67" i="1"/>
  <c r="DZ114" i="1"/>
  <c r="AM103" i="1"/>
  <c r="CJ67" i="1"/>
  <c r="BH45" i="1"/>
  <c r="DB106" i="1"/>
  <c r="AD70" i="1"/>
  <c r="F85" i="1"/>
  <c r="CE80" i="1"/>
  <c r="DG49" i="1"/>
  <c r="DA7" i="1"/>
  <c r="ED95" i="1"/>
  <c r="DD102" i="1"/>
  <c r="BH43" i="1"/>
  <c r="G94" i="1"/>
  <c r="EF85" i="1"/>
  <c r="DX83" i="1"/>
  <c r="BJ108" i="1"/>
  <c r="EB73" i="1"/>
  <c r="CU19" i="1"/>
  <c r="AK110" i="1"/>
  <c r="AA77" i="1"/>
  <c r="CX109" i="1"/>
  <c r="CC112" i="1"/>
  <c r="H32" i="9"/>
  <c r="AE65" i="1"/>
  <c r="P115" i="1"/>
  <c r="DC48" i="1"/>
  <c r="C98" i="1"/>
  <c r="BG88" i="1"/>
  <c r="L107" i="1"/>
  <c r="BD109" i="1"/>
  <c r="DH24" i="1"/>
  <c r="DB30" i="1"/>
  <c r="I91" i="1"/>
  <c r="DA34" i="1"/>
  <c r="BL56" i="1"/>
  <c r="DC32" i="1"/>
  <c r="BH105" i="1"/>
  <c r="DZ50" i="1"/>
  <c r="DE27" i="1"/>
  <c r="BF56" i="1"/>
  <c r="EC48" i="1"/>
  <c r="CH94" i="1"/>
  <c r="DX27" i="1"/>
  <c r="CB65" i="1"/>
  <c r="DD52" i="1"/>
  <c r="EF20" i="1"/>
  <c r="J90" i="1"/>
  <c r="DZ53" i="1"/>
  <c r="CI94" i="1"/>
  <c r="ED11" i="1"/>
  <c r="BE44" i="1"/>
  <c r="E92" i="1"/>
  <c r="BE112" i="1"/>
  <c r="ED53" i="1"/>
  <c r="H114" i="1"/>
  <c r="AI87" i="1"/>
  <c r="K97" i="1"/>
  <c r="AJ113" i="1"/>
  <c r="CI110" i="1"/>
  <c r="C102" i="1"/>
  <c r="G75" i="1"/>
  <c r="P84" i="1"/>
  <c r="EA12" i="1"/>
  <c r="AC70" i="1"/>
  <c r="EF53" i="1"/>
  <c r="BI65" i="1"/>
  <c r="DF50" i="1"/>
  <c r="BK54" i="1"/>
  <c r="DD35" i="1"/>
  <c r="L109" i="1"/>
  <c r="G78" i="1"/>
  <c r="H84" i="1"/>
  <c r="DD36" i="1"/>
  <c r="DZ52" i="1"/>
  <c r="M68" i="1"/>
  <c r="H90" i="1"/>
  <c r="DB50" i="1"/>
  <c r="EB46" i="1"/>
  <c r="AK72" i="1"/>
  <c r="L113" i="1"/>
  <c r="AJ88" i="1"/>
  <c r="EE24" i="1"/>
  <c r="DF35" i="1"/>
  <c r="AN89" i="1"/>
  <c r="BH109" i="1"/>
  <c r="AA74" i="1"/>
  <c r="DD29" i="1"/>
  <c r="EC24" i="1"/>
  <c r="EE37" i="1"/>
  <c r="EA28" i="1"/>
  <c r="G110" i="1"/>
  <c r="AF79" i="1"/>
  <c r="DF42" i="1"/>
  <c r="AA98" i="1"/>
  <c r="BL92" i="1"/>
  <c r="I101" i="1"/>
  <c r="DE56" i="1"/>
  <c r="DB20" i="1"/>
  <c r="DA75" i="1"/>
  <c r="CC84" i="1"/>
  <c r="DB11" i="1"/>
  <c r="P68" i="1"/>
  <c r="BH44" i="1"/>
  <c r="AF113" i="1"/>
  <c r="DB38" i="1"/>
  <c r="DZ8" i="1"/>
  <c r="DG85" i="1"/>
  <c r="H83" i="1"/>
  <c r="BG69" i="1"/>
  <c r="BE89" i="1"/>
  <c r="DC38" i="1"/>
  <c r="BE116" i="1"/>
  <c r="BD51" i="1"/>
  <c r="AH85" i="1"/>
  <c r="AJ78" i="1"/>
  <c r="C90" i="1"/>
  <c r="AM91" i="1"/>
  <c r="EA13" i="1"/>
  <c r="BE103" i="1"/>
  <c r="DZ38" i="1"/>
  <c r="AH98" i="1"/>
  <c r="N101" i="1"/>
  <c r="D101" i="1"/>
  <c r="DG48" i="1"/>
  <c r="DB27" i="1"/>
  <c r="BI85" i="1"/>
  <c r="DY25" i="1"/>
  <c r="E87" i="1"/>
  <c r="DZ45" i="1"/>
  <c r="J78" i="1"/>
  <c r="L73" i="1"/>
  <c r="D102" i="1"/>
  <c r="EA79" i="1"/>
  <c r="AC78" i="1"/>
  <c r="BG97" i="1"/>
  <c r="DB29" i="1"/>
  <c r="AD114" i="1"/>
  <c r="BL110" i="1"/>
  <c r="F71" i="1"/>
  <c r="BE65" i="1"/>
  <c r="DZ27" i="1"/>
  <c r="CZ38" i="1"/>
  <c r="AK84" i="1"/>
  <c r="DA45" i="1"/>
  <c r="M74" i="1"/>
  <c r="AK88" i="1"/>
  <c r="P113" i="1"/>
  <c r="DX6" i="1"/>
  <c r="AA83" i="1"/>
  <c r="N74" i="1"/>
  <c r="CD93" i="1"/>
  <c r="BG83" i="1"/>
  <c r="CJ107" i="1"/>
  <c r="AA72" i="1"/>
  <c r="AB98" i="1"/>
  <c r="DX19" i="1"/>
  <c r="CZ111" i="1"/>
  <c r="AC116" i="1"/>
  <c r="DE36" i="1"/>
  <c r="AA88" i="1"/>
  <c r="DZ43" i="1"/>
  <c r="E110" i="1"/>
  <c r="L80" i="1"/>
  <c r="DC21" i="1"/>
  <c r="BG87" i="1"/>
  <c r="AD97" i="1"/>
  <c r="DG33" i="1"/>
  <c r="AN87" i="1"/>
  <c r="AM84" i="1"/>
  <c r="BF48" i="1"/>
  <c r="CZ8" i="1"/>
  <c r="DC56" i="1"/>
  <c r="BE47" i="1"/>
  <c r="DA90" i="1"/>
  <c r="H93" i="1"/>
  <c r="CG74" i="1"/>
  <c r="AK77" i="1"/>
  <c r="AC91" i="1"/>
  <c r="DZ13" i="1"/>
  <c r="DC109" i="1"/>
  <c r="DE19" i="1"/>
  <c r="EB10" i="1"/>
  <c r="DZ42" i="1"/>
  <c r="AN92" i="1"/>
  <c r="CI73" i="1"/>
  <c r="DY72" i="1"/>
  <c r="H94" i="1"/>
  <c r="D90" i="1"/>
  <c r="DZ95" i="1"/>
  <c r="DC79" i="1"/>
  <c r="EA93" i="1"/>
  <c r="CA19" i="1"/>
  <c r="I114" i="1"/>
  <c r="L94" i="1"/>
  <c r="DY115" i="1"/>
  <c r="CZ73" i="1"/>
  <c r="CB78" i="1"/>
  <c r="AZ111" i="1"/>
  <c r="F109" i="1"/>
  <c r="AH112" i="1"/>
  <c r="H102" i="1"/>
  <c r="DY80" i="1"/>
  <c r="DH102" i="1"/>
  <c r="CV70" i="1"/>
  <c r="DH116" i="1"/>
  <c r="DA110" i="1"/>
  <c r="F83" i="1"/>
  <c r="EF106" i="1"/>
  <c r="CU95" i="1"/>
  <c r="BJ66" i="1"/>
  <c r="BE57" i="1"/>
  <c r="BI103" i="1"/>
  <c r="J85" i="1"/>
  <c r="DE24" i="1"/>
  <c r="AA103" i="1"/>
  <c r="DX38" i="1"/>
  <c r="EB77" i="1"/>
  <c r="DY68" i="1"/>
  <c r="C77" i="1"/>
  <c r="CG115" i="1"/>
  <c r="BE114" i="1"/>
  <c r="DY76" i="1"/>
  <c r="DA68" i="1"/>
  <c r="E93" i="1"/>
  <c r="I98" i="1"/>
  <c r="EF69" i="1"/>
  <c r="AF37" i="1"/>
  <c r="ED34" i="1"/>
  <c r="J116" i="1"/>
  <c r="CZ44" i="1"/>
  <c r="DB74" i="1"/>
  <c r="EC93" i="1"/>
  <c r="BH77" i="1"/>
  <c r="M33" i="9"/>
  <c r="CJ73" i="1"/>
  <c r="BK94" i="1"/>
  <c r="CZ88" i="1"/>
  <c r="CI86" i="1"/>
  <c r="DF91" i="1"/>
  <c r="AN74" i="1"/>
  <c r="ED25" i="1"/>
  <c r="C93" i="1"/>
  <c r="G90" i="1"/>
  <c r="DA87" i="1"/>
  <c r="L101" i="1"/>
  <c r="DH68" i="1"/>
  <c r="CH76" i="1"/>
  <c r="G95" i="1"/>
  <c r="EF16" i="1"/>
  <c r="BE48" i="1"/>
  <c r="BD66" i="1"/>
  <c r="AD91" i="1"/>
  <c r="CZ13" i="1"/>
  <c r="CZ67" i="1"/>
  <c r="DD28" i="1"/>
  <c r="AK114" i="1"/>
  <c r="CG101" i="1"/>
  <c r="DG91" i="1"/>
  <c r="ED47" i="1"/>
  <c r="L103" i="1"/>
  <c r="BG47" i="1"/>
  <c r="AI97" i="1"/>
  <c r="O106" i="1"/>
  <c r="DH86" i="1"/>
  <c r="CW9" i="1"/>
  <c r="EA45" i="1"/>
  <c r="EF108" i="1"/>
  <c r="CU106" i="1"/>
  <c r="EC85" i="1"/>
  <c r="AA34" i="12"/>
  <c r="I113" i="1"/>
  <c r="DZ94" i="1"/>
  <c r="CZ77" i="1"/>
  <c r="DB105" i="1"/>
  <c r="EC79" i="1"/>
  <c r="ED116" i="1"/>
  <c r="DF95" i="1"/>
  <c r="AE97" i="1"/>
  <c r="BJ87" i="1"/>
  <c r="BL75" i="1"/>
  <c r="D106" i="1"/>
  <c r="EC74" i="1"/>
  <c r="CG108" i="1"/>
  <c r="G86" i="1"/>
  <c r="ED32" i="1"/>
  <c r="AF87" i="1"/>
  <c r="DG51" i="1"/>
  <c r="DY52" i="1"/>
  <c r="CF71" i="1"/>
  <c r="DA93" i="1"/>
  <c r="AN65" i="1"/>
  <c r="DB47" i="1"/>
  <c r="DH72" i="1"/>
  <c r="J87" i="1"/>
  <c r="EB30" i="1"/>
  <c r="DD93" i="1"/>
  <c r="AE105" i="1"/>
  <c r="K73" i="1"/>
  <c r="CG69" i="1"/>
  <c r="EA65" i="1"/>
  <c r="CX48" i="1"/>
  <c r="AM104" i="1"/>
  <c r="CD89" i="1"/>
  <c r="AJ104" i="1"/>
  <c r="EB107" i="1"/>
  <c r="DD98" i="1"/>
  <c r="CW15" i="1"/>
  <c r="EE76" i="1"/>
  <c r="BD72" i="1"/>
  <c r="BG105" i="1"/>
  <c r="DH105" i="1"/>
  <c r="BK83" i="1"/>
  <c r="CG66" i="1"/>
  <c r="AM94" i="1"/>
  <c r="AD75" i="1"/>
  <c r="L87" i="1"/>
  <c r="DG115" i="1"/>
  <c r="CB83" i="1"/>
  <c r="CY30" i="1"/>
  <c r="BH112" i="1"/>
  <c r="ED83" i="1"/>
  <c r="H71" i="1"/>
  <c r="CZ110" i="1"/>
  <c r="DG87" i="1"/>
  <c r="BG53" i="1"/>
  <c r="DF25" i="1"/>
  <c r="BH104" i="1"/>
  <c r="DZ86" i="1"/>
  <c r="BJ93" i="1"/>
  <c r="AI91" i="1"/>
  <c r="DY56" i="1"/>
  <c r="BE69" i="1"/>
  <c r="AI84" i="1"/>
  <c r="AF70" i="1"/>
  <c r="CJ91" i="1"/>
  <c r="DD48" i="1"/>
  <c r="DZ30" i="1"/>
  <c r="EA18" i="1"/>
  <c r="BG43" i="1"/>
  <c r="DZ73" i="1"/>
  <c r="CY89" i="1"/>
  <c r="DA21" i="1"/>
  <c r="CB107" i="1"/>
  <c r="BJ78" i="1"/>
  <c r="DA116" i="1"/>
  <c r="P88" i="1"/>
  <c r="CI96" i="1"/>
  <c r="CZ24" i="1"/>
  <c r="C101" i="1"/>
  <c r="DC47" i="1"/>
  <c r="DD87" i="1"/>
  <c r="BH49" i="1"/>
  <c r="D114" i="1"/>
  <c r="DC78" i="1"/>
  <c r="J102" i="1"/>
  <c r="CF77" i="1"/>
  <c r="CD116" i="1"/>
  <c r="EF89" i="1"/>
  <c r="CX39" i="1"/>
  <c r="DA94" i="1"/>
  <c r="H79" i="1"/>
  <c r="DC97" i="1"/>
  <c r="DZ79" i="1"/>
  <c r="CH67" i="1"/>
  <c r="BG46" i="1"/>
  <c r="CW74" i="1"/>
  <c r="EA114" i="1"/>
  <c r="CE76" i="1"/>
  <c r="EF86" i="1"/>
  <c r="CC108" i="1"/>
  <c r="BY114" i="1"/>
  <c r="EF49" i="1"/>
  <c r="BF70" i="1"/>
  <c r="DA109" i="1"/>
  <c r="BL46" i="1"/>
  <c r="CV43" i="1"/>
  <c r="EB79" i="1"/>
  <c r="CX96" i="1"/>
  <c r="CU102" i="1"/>
  <c r="CW108" i="1"/>
  <c r="P92" i="1"/>
  <c r="N68" i="1"/>
  <c r="EE78" i="1"/>
  <c r="DA113" i="1"/>
  <c r="CY104" i="1"/>
  <c r="DG93" i="1"/>
  <c r="C104" i="1"/>
  <c r="CH92" i="1"/>
  <c r="CX112" i="1"/>
  <c r="BX97" i="1"/>
  <c r="BW77" i="1"/>
  <c r="H28" i="12"/>
  <c r="BZ115" i="1"/>
  <c r="BL43" i="1"/>
  <c r="EB105" i="1"/>
  <c r="CJ101" i="1"/>
  <c r="DY79" i="1"/>
  <c r="CW12" i="1"/>
  <c r="EE95" i="1"/>
  <c r="AI90" i="1"/>
  <c r="EE74" i="1"/>
  <c r="CG72" i="1"/>
  <c r="CD68" i="1"/>
  <c r="EA27" i="1"/>
  <c r="CG96" i="1"/>
  <c r="DE20" i="1"/>
  <c r="DE44" i="1"/>
  <c r="EE33" i="1"/>
  <c r="EF13" i="1"/>
  <c r="DD15" i="1"/>
  <c r="H98" i="1"/>
  <c r="M70" i="1"/>
  <c r="CC103" i="1"/>
  <c r="DZ48" i="1"/>
  <c r="CF98" i="1"/>
  <c r="BG57" i="1"/>
  <c r="P75" i="1"/>
  <c r="L84" i="1"/>
  <c r="AC65" i="1"/>
  <c r="DD53" i="1"/>
  <c r="DB55" i="1"/>
  <c r="EE57" i="1"/>
  <c r="BH94" i="1"/>
  <c r="DX78" i="1"/>
  <c r="EA78" i="1"/>
  <c r="EB113" i="1"/>
  <c r="CC97" i="1"/>
  <c r="CX15" i="1"/>
  <c r="CH80" i="1"/>
  <c r="DX56" i="1"/>
  <c r="CJ105" i="1"/>
  <c r="CZ109" i="1"/>
  <c r="ED114" i="1"/>
  <c r="BA69" i="1"/>
  <c r="DG101" i="1"/>
  <c r="BJ48" i="1"/>
  <c r="AJ102" i="1"/>
  <c r="DX53" i="1"/>
  <c r="BJ116" i="1"/>
  <c r="AM113" i="1"/>
  <c r="CG109" i="1"/>
  <c r="DA115" i="1"/>
  <c r="M101" i="1"/>
  <c r="CG103" i="1"/>
  <c r="BH113" i="1"/>
  <c r="CA39" i="1"/>
  <c r="AH79" i="1"/>
  <c r="AC74" i="1"/>
  <c r="CC67" i="1"/>
  <c r="EE84" i="1"/>
  <c r="H33" i="9"/>
  <c r="DF21" i="1"/>
  <c r="BI50" i="1"/>
  <c r="H88" i="1"/>
  <c r="DA19" i="1"/>
  <c r="EB27" i="1"/>
  <c r="DX13" i="1"/>
  <c r="F65" i="1"/>
  <c r="J94" i="1"/>
  <c r="CI114" i="1"/>
  <c r="DG7" i="1"/>
  <c r="DD17" i="1"/>
  <c r="AA66" i="1"/>
  <c r="H104" i="1"/>
  <c r="BF92" i="1"/>
  <c r="AG101" i="1"/>
  <c r="AC111" i="1"/>
  <c r="CY9" i="1"/>
  <c r="AD101" i="1"/>
  <c r="DX36" i="1"/>
  <c r="E105" i="1"/>
  <c r="I88" i="1"/>
  <c r="D68" i="1"/>
  <c r="DC50" i="1"/>
  <c r="BI57" i="1"/>
  <c r="K80" i="1"/>
  <c r="DB9" i="1"/>
  <c r="DZ77" i="1"/>
  <c r="BK69" i="1"/>
  <c r="DZ96" i="1"/>
  <c r="BK73" i="1"/>
  <c r="K76" i="1"/>
  <c r="BE51" i="1"/>
  <c r="AA101" i="1"/>
  <c r="DX77" i="1"/>
  <c r="CX26" i="1"/>
  <c r="BL116" i="1"/>
  <c r="DC15" i="1"/>
  <c r="BG73" i="1"/>
  <c r="CH96" i="1"/>
  <c r="DD116" i="1"/>
  <c r="DH113" i="1"/>
  <c r="CV11" i="1"/>
  <c r="DY111" i="1"/>
  <c r="DZ98" i="1"/>
  <c r="DD112" i="1"/>
  <c r="AF28" i="1"/>
  <c r="BE90" i="1"/>
  <c r="CZ39" i="1"/>
  <c r="DA71" i="1"/>
  <c r="DD75" i="1"/>
  <c r="H21" i="9"/>
  <c r="BA49" i="1"/>
  <c r="AD77" i="1"/>
  <c r="CV54" i="1"/>
  <c r="CX46" i="1"/>
  <c r="CU53" i="1"/>
  <c r="AB74" i="1"/>
  <c r="CB109" i="1"/>
  <c r="BD105" i="1"/>
  <c r="EC69" i="1"/>
  <c r="CW56" i="1"/>
  <c r="I80" i="1"/>
  <c r="DE110" i="1"/>
  <c r="ED90" i="1"/>
  <c r="CY78" i="1"/>
  <c r="CA46" i="1"/>
  <c r="BA88" i="1"/>
  <c r="CY92" i="1"/>
  <c r="CA56" i="1"/>
  <c r="EE103" i="1"/>
  <c r="DH108" i="1"/>
  <c r="DY69" i="1"/>
  <c r="AA36" i="12"/>
  <c r="BB106" i="1"/>
  <c r="BK44" i="1"/>
  <c r="H18" i="9"/>
  <c r="EE94" i="1"/>
  <c r="DB86" i="1"/>
  <c r="CX37" i="1"/>
  <c r="CU43" i="1"/>
  <c r="CW49" i="1"/>
  <c r="BG110" i="1"/>
  <c r="DE30" i="1"/>
  <c r="BD48" i="1"/>
  <c r="BI75" i="1"/>
  <c r="CV32" i="1"/>
  <c r="CD96" i="1"/>
  <c r="CB114" i="1"/>
  <c r="DF113" i="1"/>
  <c r="CY76" i="1"/>
  <c r="BW43" i="1"/>
  <c r="DS88" i="1"/>
  <c r="CY90" i="1"/>
  <c r="BW53" i="1"/>
  <c r="CH78" i="1"/>
  <c r="DA97" i="1"/>
  <c r="BG70" i="1"/>
  <c r="CY101" i="1"/>
  <c r="AZ85" i="1"/>
  <c r="ED68" i="1"/>
  <c r="H14" i="12"/>
  <c r="CH108" i="1"/>
  <c r="CJ74" i="1"/>
  <c r="CU34" i="1"/>
  <c r="CW37" i="1"/>
  <c r="CW45" i="1"/>
  <c r="CI84" i="1"/>
  <c r="DZ75" i="1"/>
  <c r="AA105" i="1"/>
  <c r="EF79" i="1"/>
  <c r="BW84" i="1"/>
  <c r="EC76" i="1"/>
  <c r="DY113" i="1"/>
  <c r="AC107" i="1"/>
  <c r="CV75" i="1"/>
  <c r="BZ35" i="1"/>
  <c r="CY16" i="1"/>
  <c r="CY88" i="1"/>
  <c r="BX48" i="1"/>
  <c r="DB111" i="1"/>
  <c r="EC109" i="1"/>
  <c r="EE109" i="1"/>
  <c r="CV96" i="1"/>
  <c r="AY56" i="1"/>
  <c r="EE85" i="1"/>
  <c r="M20" i="9"/>
  <c r="BX46" i="1"/>
  <c r="AC69" i="1"/>
  <c r="DC68" i="1"/>
  <c r="ED94" i="1"/>
  <c r="CV93" i="1"/>
  <c r="DD89" i="1"/>
  <c r="BK49" i="1"/>
  <c r="AM80" i="1"/>
  <c r="CG71" i="1"/>
  <c r="AA29" i="12"/>
  <c r="DA73" i="1"/>
  <c r="CZ85" i="1"/>
  <c r="CY28" i="1"/>
  <c r="CW33" i="1"/>
  <c r="CX28" i="1"/>
  <c r="DE26" i="1"/>
  <c r="DY95" i="1"/>
  <c r="CZ98" i="1"/>
  <c r="DB85" i="1"/>
  <c r="BZ29" i="1"/>
  <c r="CE87" i="1"/>
  <c r="DY66" i="1"/>
  <c r="EB75" i="1"/>
  <c r="CV73" i="1"/>
  <c r="BB104" i="1"/>
  <c r="CY14" i="1"/>
  <c r="CV87" i="1"/>
  <c r="BX11" i="1"/>
  <c r="DY102" i="1"/>
  <c r="CJ93" i="1"/>
  <c r="DY98" i="1"/>
  <c r="CV94" i="1"/>
  <c r="AY43" i="1"/>
  <c r="EA71" i="1"/>
  <c r="G65" i="1"/>
  <c r="DE66" i="1"/>
  <c r="DX89" i="1"/>
  <c r="CW110" i="1"/>
  <c r="BL67" i="1"/>
  <c r="DA20" i="1"/>
  <c r="DH67" i="1"/>
  <c r="EF33" i="1"/>
  <c r="DA35" i="1"/>
  <c r="DF20" i="1"/>
  <c r="P77" i="1"/>
  <c r="AG97" i="1"/>
  <c r="DG54" i="1"/>
  <c r="AC108" i="1"/>
  <c r="DC53" i="1"/>
  <c r="BJ43" i="1"/>
  <c r="BF47" i="1"/>
  <c r="CD101" i="1"/>
  <c r="DE55" i="1"/>
  <c r="DX29" i="1"/>
  <c r="ED39" i="1"/>
  <c r="K112" i="1"/>
  <c r="EE25" i="1"/>
  <c r="AL69" i="1"/>
  <c r="BD114" i="1"/>
  <c r="EA66" i="1"/>
  <c r="EB84" i="1"/>
  <c r="H16" i="9"/>
  <c r="EE91" i="1"/>
  <c r="CZ105" i="1"/>
  <c r="F97" i="1"/>
  <c r="EB114" i="1"/>
  <c r="EE111" i="1"/>
  <c r="AA26" i="12"/>
  <c r="DD111" i="1"/>
  <c r="AL71" i="1"/>
  <c r="EB13" i="1"/>
  <c r="AM110" i="1"/>
  <c r="CZ32" i="1"/>
  <c r="AL85" i="1"/>
  <c r="CB115" i="1"/>
  <c r="BD112" i="1"/>
  <c r="CZ31" i="1"/>
  <c r="ED85" i="1"/>
  <c r="CJ104" i="1"/>
  <c r="AA35" i="12"/>
  <c r="AK71" i="1"/>
  <c r="BJ102" i="1"/>
  <c r="AL109" i="1"/>
  <c r="DF115" i="1"/>
  <c r="CG68" i="1"/>
  <c r="BZ39" i="1"/>
  <c r="C87" i="1"/>
  <c r="G91" i="1"/>
  <c r="AG71" i="1"/>
  <c r="DE8" i="1"/>
  <c r="AD93" i="1"/>
  <c r="CZ49" i="1"/>
  <c r="O83" i="1"/>
  <c r="BH52" i="1"/>
  <c r="DC13" i="1"/>
  <c r="CE95" i="1"/>
  <c r="BK70" i="1"/>
  <c r="C69" i="1"/>
  <c r="F90" i="1"/>
  <c r="EE19" i="1"/>
  <c r="DZ65" i="1"/>
  <c r="EE68" i="1"/>
  <c r="AH87" i="1"/>
  <c r="AF72" i="1"/>
  <c r="DE38" i="1"/>
  <c r="F116" i="1"/>
  <c r="BF89" i="1"/>
  <c r="C83" i="1"/>
  <c r="AK69" i="1"/>
  <c r="BF110" i="1"/>
  <c r="AG73" i="1"/>
  <c r="ED44" i="1"/>
  <c r="DB73" i="1"/>
  <c r="I85" i="1"/>
  <c r="AN80" i="1"/>
  <c r="AD69" i="1"/>
  <c r="F108" i="1"/>
  <c r="AJ90" i="1"/>
  <c r="DB109" i="1"/>
  <c r="AN114" i="1"/>
  <c r="AH104" i="1"/>
  <c r="DX28" i="1"/>
  <c r="AA68" i="1"/>
  <c r="CF114" i="1"/>
  <c r="DC80" i="1"/>
  <c r="EC92" i="1"/>
  <c r="H29" i="9"/>
  <c r="AY112" i="1"/>
  <c r="M66" i="1"/>
  <c r="CG67" i="1"/>
  <c r="BE98" i="1"/>
  <c r="CX76" i="1"/>
  <c r="BK56" i="1"/>
  <c r="ED113" i="1"/>
  <c r="CZ115" i="1"/>
  <c r="L74" i="1"/>
  <c r="CY113" i="1"/>
  <c r="DA96" i="1"/>
  <c r="EC72" i="1"/>
  <c r="CX24" i="1"/>
  <c r="CW24" i="1"/>
  <c r="CV21" i="1"/>
  <c r="EA55" i="1"/>
  <c r="DZ103" i="1"/>
  <c r="BH111" i="1"/>
  <c r="DE72" i="1"/>
  <c r="AZ37" i="1"/>
  <c r="EA43" i="1"/>
  <c r="CD104" i="1"/>
  <c r="AL107" i="1"/>
  <c r="CV71" i="1"/>
  <c r="BA52" i="1"/>
  <c r="CV13" i="1"/>
  <c r="CV85" i="1"/>
  <c r="AY107" i="1"/>
  <c r="DE106" i="1"/>
  <c r="ED98" i="1"/>
  <c r="CZ94" i="1"/>
  <c r="CV92" i="1"/>
  <c r="DT49" i="1"/>
  <c r="DF102" i="1"/>
  <c r="H16" i="12"/>
  <c r="BY13" i="1"/>
  <c r="AZ49" i="1"/>
  <c r="CA29" i="1"/>
  <c r="DB84" i="1"/>
  <c r="ED18" i="1"/>
  <c r="DF105" i="1"/>
  <c r="M17" i="9"/>
  <c r="CZ107" i="1"/>
  <c r="BH106" i="1"/>
  <c r="BL78" i="1"/>
  <c r="M26" i="9"/>
  <c r="CY19" i="1"/>
  <c r="CA95" i="1"/>
  <c r="AY116" i="1"/>
  <c r="CW46" i="1"/>
  <c r="BJ98" i="1"/>
  <c r="ED109" i="1"/>
  <c r="CI111" i="1"/>
  <c r="CB104" i="1"/>
  <c r="CY42" i="1"/>
  <c r="BF105" i="1"/>
  <c r="DG76" i="1"/>
  <c r="BJ106" i="1"/>
  <c r="AB106" i="1"/>
  <c r="DC89" i="1"/>
  <c r="DD105" i="1"/>
  <c r="CW35" i="1"/>
  <c r="DG73" i="1"/>
  <c r="EA21" i="1"/>
  <c r="EC29" i="1"/>
  <c r="O85" i="1"/>
  <c r="G111" i="1"/>
  <c r="AL86" i="1"/>
  <c r="D109" i="1"/>
  <c r="BG108" i="1"/>
  <c r="DB37" i="1"/>
  <c r="BF75" i="1"/>
  <c r="AJ108" i="1"/>
  <c r="BK50" i="1"/>
  <c r="EC108" i="1"/>
  <c r="EA35" i="1"/>
  <c r="DG29" i="1"/>
  <c r="AN107" i="1"/>
  <c r="BK113" i="1"/>
  <c r="DC66" i="1"/>
  <c r="ED54" i="1"/>
  <c r="CE68" i="1"/>
  <c r="EA108" i="1"/>
  <c r="DD95" i="1"/>
  <c r="EF96" i="1"/>
  <c r="CW94" i="1"/>
  <c r="EE101" i="1"/>
  <c r="DE18" i="1"/>
  <c r="BH91" i="1"/>
  <c r="EF105" i="1"/>
  <c r="DE108" i="1"/>
  <c r="CX107" i="1"/>
  <c r="BD77" i="1"/>
  <c r="BI43" i="1"/>
  <c r="H74" i="1"/>
  <c r="DZ37" i="1"/>
  <c r="CZ28" i="1"/>
  <c r="CZ26" i="1"/>
  <c r="DE102" i="1"/>
  <c r="O77" i="1"/>
  <c r="G69" i="1"/>
  <c r="CZ79" i="1"/>
  <c r="EE83" i="1"/>
  <c r="CU91" i="1"/>
  <c r="AL96" i="1"/>
  <c r="BH97" i="1"/>
  <c r="DX97" i="1"/>
  <c r="EA107" i="1"/>
  <c r="AJ65" i="1"/>
  <c r="J113" i="1"/>
  <c r="EF102" i="1"/>
  <c r="BJ84" i="1"/>
  <c r="J110" i="1"/>
  <c r="H73" i="1"/>
  <c r="DA32" i="1"/>
  <c r="DA76" i="1"/>
  <c r="CB95" i="1"/>
  <c r="K109" i="1"/>
  <c r="DA67" i="1"/>
  <c r="AI113" i="1"/>
  <c r="EF7" i="1"/>
  <c r="EA76" i="1"/>
  <c r="AK89" i="1"/>
  <c r="DZ57" i="1"/>
  <c r="CJ85" i="1"/>
  <c r="AA19" i="12"/>
  <c r="BD95" i="1"/>
  <c r="CG80" i="1"/>
  <c r="AD102" i="1"/>
  <c r="O79" i="1"/>
  <c r="DG42" i="1"/>
  <c r="M77" i="1"/>
  <c r="AF107" i="1"/>
  <c r="AI77" i="1"/>
  <c r="BD70" i="1"/>
  <c r="BL52" i="1"/>
  <c r="E77" i="1"/>
  <c r="DZ7" i="1"/>
  <c r="G92" i="1"/>
  <c r="BF90" i="1"/>
  <c r="M65" i="1"/>
  <c r="EF27" i="1"/>
  <c r="CD102" i="1"/>
  <c r="CW87" i="1"/>
  <c r="CE75" i="1"/>
  <c r="BK88" i="1"/>
  <c r="DC104" i="1"/>
  <c r="C106" i="1"/>
  <c r="AC105" i="1"/>
  <c r="AH86" i="1"/>
  <c r="CX87" i="1"/>
  <c r="H115" i="1"/>
  <c r="AC92" i="1"/>
  <c r="DH97" i="1"/>
  <c r="DG72" i="1"/>
  <c r="CV25" i="1"/>
  <c r="CI80" i="1"/>
  <c r="I83" i="1"/>
  <c r="EC77" i="1"/>
  <c r="ED111" i="1"/>
  <c r="CW72" i="1"/>
  <c r="CZ76" i="1"/>
  <c r="AA24" i="12"/>
  <c r="DW94" i="1"/>
  <c r="AF39" i="1"/>
  <c r="BX7" i="1"/>
  <c r="CJ77" i="1"/>
  <c r="O112" i="1"/>
  <c r="EC84" i="1"/>
  <c r="H31" i="9"/>
  <c r="M115" i="1"/>
  <c r="DA57" i="1"/>
  <c r="CJ92" i="1"/>
  <c r="H15" i="9"/>
  <c r="BZ114" i="1"/>
  <c r="BW92" i="1"/>
  <c r="AZ109" i="1"/>
  <c r="CV26" i="1"/>
  <c r="DB80" i="1"/>
  <c r="DG80" i="1"/>
  <c r="EF68" i="1"/>
  <c r="AK68" i="1"/>
  <c r="CY38" i="1"/>
  <c r="AD68" i="1"/>
  <c r="DZ71" i="1"/>
  <c r="P89" i="1"/>
  <c r="DH90" i="1"/>
  <c r="EA84" i="1"/>
  <c r="EC75" i="1"/>
  <c r="AZ24" i="1"/>
  <c r="AH105" i="1"/>
  <c r="BF93" i="1"/>
  <c r="DY37" i="1"/>
  <c r="AG72" i="1"/>
  <c r="DH52" i="1"/>
  <c r="EF36" i="1"/>
  <c r="DB67" i="1"/>
  <c r="BL74" i="1"/>
  <c r="DB13" i="1"/>
  <c r="AB69" i="1"/>
  <c r="DD44" i="1"/>
  <c r="BH71" i="1"/>
  <c r="P66" i="1"/>
  <c r="DD11" i="1"/>
  <c r="BD49" i="1"/>
  <c r="BI89" i="1"/>
  <c r="AA76" i="1"/>
  <c r="DY13" i="1"/>
  <c r="EF66" i="1"/>
  <c r="AC106" i="1"/>
  <c r="DA25" i="1"/>
  <c r="BG67" i="1"/>
  <c r="BI87" i="1"/>
  <c r="EB98" i="1"/>
  <c r="BL83" i="1"/>
  <c r="BF85" i="1"/>
  <c r="ED110" i="1"/>
  <c r="DF96" i="1"/>
  <c r="EF67" i="1"/>
  <c r="DX11" i="1"/>
  <c r="BE75" i="1"/>
  <c r="DG95" i="1"/>
  <c r="DG68" i="1"/>
  <c r="EE39" i="1"/>
  <c r="DH95" i="1"/>
  <c r="CD92" i="1"/>
  <c r="CZ72" i="1"/>
  <c r="EA90" i="1"/>
  <c r="AK92" i="1"/>
  <c r="EA75" i="1"/>
  <c r="CY111" i="1"/>
  <c r="CY26" i="1"/>
  <c r="DA84" i="1"/>
  <c r="CB84" i="1"/>
  <c r="CH98" i="1"/>
  <c r="BG112" i="1"/>
  <c r="EA113" i="1"/>
  <c r="DY65" i="1"/>
  <c r="EA112" i="1"/>
  <c r="H22" i="12"/>
  <c r="CY43" i="1"/>
  <c r="ED52" i="1"/>
  <c r="AH96" i="1"/>
  <c r="EB88" i="1"/>
  <c r="BI79" i="1"/>
  <c r="AJ115" i="1"/>
  <c r="DA101" i="1"/>
  <c r="DD67" i="1"/>
  <c r="DY92" i="1"/>
  <c r="DE97" i="1"/>
  <c r="CX85" i="1"/>
  <c r="CA73" i="1"/>
  <c r="CF68" i="1"/>
  <c r="DH111" i="1"/>
  <c r="H35" i="9"/>
  <c r="CY68" i="1"/>
  <c r="CA88" i="1"/>
  <c r="CV72" i="1"/>
  <c r="BX34" i="1"/>
  <c r="CX67" i="1"/>
  <c r="BW112" i="1"/>
  <c r="BG96" i="1"/>
  <c r="BD68" i="1"/>
  <c r="DC76" i="1"/>
  <c r="DG78" i="1"/>
  <c r="AA73" i="1"/>
  <c r="EB96" i="1"/>
  <c r="CE104" i="1"/>
  <c r="DA98" i="1"/>
  <c r="CU71" i="1"/>
  <c r="CG65" i="1"/>
  <c r="CJ115" i="1"/>
  <c r="CC92" i="1"/>
  <c r="DY93" i="1"/>
  <c r="EA109" i="1"/>
  <c r="AE111" i="1"/>
  <c r="DD66" i="1"/>
  <c r="CU105" i="1"/>
  <c r="CW36" i="1"/>
  <c r="BW55" i="1"/>
  <c r="DW26" i="1"/>
  <c r="BZ19" i="1"/>
  <c r="CA37" i="1"/>
  <c r="AF26" i="1"/>
  <c r="CW50" i="1"/>
  <c r="BW72" i="1"/>
  <c r="AY46" i="1"/>
  <c r="DB90" i="1"/>
  <c r="DE83" i="1"/>
  <c r="EA98" i="1"/>
  <c r="CD73" i="1"/>
  <c r="EE98" i="1"/>
  <c r="AE71" i="1"/>
  <c r="H23" i="12"/>
  <c r="CW57" i="1"/>
  <c r="BY115" i="1"/>
  <c r="BH76" i="1"/>
  <c r="G77" i="1"/>
  <c r="E89" i="1"/>
  <c r="EB87" i="1"/>
  <c r="CC104" i="1"/>
  <c r="EA69" i="1"/>
  <c r="M35" i="9"/>
  <c r="CU85" i="1"/>
  <c r="CX25" i="1"/>
  <c r="BX56" i="1"/>
  <c r="DG45" i="1"/>
  <c r="AK109" i="1"/>
  <c r="BE79" i="1"/>
  <c r="EB17" i="1"/>
  <c r="CE98" i="1"/>
  <c r="CD113" i="1"/>
  <c r="AA30" i="12"/>
  <c r="BL97" i="1"/>
  <c r="AA112" i="1"/>
  <c r="DE57" i="1"/>
  <c r="DF26" i="1"/>
  <c r="EA36" i="1"/>
  <c r="EF43" i="1"/>
  <c r="DF51" i="1"/>
  <c r="ED9" i="1"/>
  <c r="K79" i="1"/>
  <c r="EE26" i="1"/>
  <c r="BH80" i="1"/>
  <c r="AK83" i="1"/>
  <c r="CE74" i="1"/>
  <c r="EB37" i="1"/>
  <c r="CH112" i="1"/>
  <c r="D108" i="1"/>
  <c r="P96" i="1"/>
  <c r="BJ55" i="1"/>
  <c r="K85" i="1"/>
  <c r="P95" i="1"/>
  <c r="DF73" i="1"/>
  <c r="BG104" i="1"/>
  <c r="DC91" i="1"/>
  <c r="M27" i="9"/>
  <c r="EE42" i="1"/>
  <c r="DD56" i="1"/>
  <c r="EB11" i="1"/>
  <c r="BL66" i="1"/>
  <c r="BJ89" i="1"/>
  <c r="CH75" i="1"/>
  <c r="DC95" i="1"/>
  <c r="BE111" i="1"/>
  <c r="AB72" i="1"/>
  <c r="H91" i="1"/>
  <c r="AL67" i="1"/>
  <c r="DA42" i="1"/>
  <c r="CB72" i="1"/>
  <c r="EC28" i="1"/>
  <c r="EE38" i="1"/>
  <c r="BK68" i="1"/>
  <c r="CZ69" i="1"/>
  <c r="AI80" i="1"/>
  <c r="EA106" i="1"/>
  <c r="AD88" i="1"/>
  <c r="DY107" i="1"/>
  <c r="N116" i="1"/>
  <c r="O91" i="1"/>
  <c r="C108" i="1"/>
  <c r="EB78" i="1"/>
  <c r="ED24" i="1"/>
  <c r="AM97" i="1"/>
  <c r="DY75" i="1"/>
  <c r="DE86" i="1"/>
  <c r="M22" i="9"/>
  <c r="CC71" i="1"/>
  <c r="L115" i="1"/>
  <c r="AF112" i="1"/>
  <c r="AN77" i="1"/>
  <c r="I86" i="1"/>
  <c r="BJ79" i="1"/>
  <c r="EB112" i="1"/>
  <c r="ED69" i="1"/>
  <c r="DZ113" i="1"/>
  <c r="DY110" i="1"/>
  <c r="CZ114" i="1"/>
  <c r="CV108" i="1"/>
  <c r="CU21" i="1"/>
  <c r="DZ87" i="1"/>
  <c r="BE115" i="1"/>
  <c r="BE85" i="1"/>
  <c r="CH114" i="1"/>
  <c r="BD43" i="1"/>
  <c r="BE109" i="1"/>
  <c r="EC101" i="1"/>
  <c r="AA25" i="12"/>
  <c r="CY37" i="1"/>
  <c r="AG88" i="1"/>
  <c r="I92" i="1"/>
  <c r="CC114" i="1"/>
  <c r="DX92" i="1"/>
  <c r="DB89" i="1"/>
  <c r="EC115" i="1"/>
  <c r="CB111" i="1"/>
  <c r="DZ108" i="1"/>
  <c r="M29" i="9"/>
  <c r="CU80" i="1"/>
  <c r="AY102" i="1"/>
  <c r="DG89" i="1"/>
  <c r="EA116" i="1"/>
  <c r="H13" i="9"/>
  <c r="CV65" i="1"/>
  <c r="BY35" i="1"/>
  <c r="CX50" i="1"/>
  <c r="BA91" i="1"/>
  <c r="CX56" i="1"/>
  <c r="BW70" i="1"/>
  <c r="AI70" i="1"/>
  <c r="DZ69" i="1"/>
  <c r="BE66" i="1"/>
  <c r="BF107" i="1"/>
  <c r="DC116" i="1"/>
  <c r="DX113" i="1"/>
  <c r="EA103" i="1"/>
  <c r="M15" i="9"/>
  <c r="CW67" i="1"/>
  <c r="DD79" i="1"/>
  <c r="EE46" i="1"/>
  <c r="CG73" i="1"/>
  <c r="DZ88" i="1"/>
  <c r="CC66" i="1"/>
  <c r="BI49" i="1"/>
  <c r="M30" i="9"/>
  <c r="CW95" i="1"/>
  <c r="CW34" i="1"/>
  <c r="BX51" i="1"/>
  <c r="BW109" i="1"/>
  <c r="CA12" i="1"/>
  <c r="BW28" i="1"/>
  <c r="CW109" i="1"/>
  <c r="CW48" i="1"/>
  <c r="BX68" i="1"/>
  <c r="DW9" i="1"/>
  <c r="AB88" i="1"/>
  <c r="EB94" i="1"/>
  <c r="CH84" i="1"/>
  <c r="ED104" i="1"/>
  <c r="CI91" i="1"/>
  <c r="CJ110" i="1"/>
  <c r="AA15" i="12"/>
  <c r="CW55" i="1"/>
  <c r="BY17" i="1"/>
  <c r="D85" i="1"/>
  <c r="EE86" i="1"/>
  <c r="BK71" i="1"/>
  <c r="DB68" i="1"/>
  <c r="DB71" i="1"/>
  <c r="DD97" i="1"/>
  <c r="M34" i="9"/>
  <c r="CU83" i="1"/>
  <c r="CW16" i="1"/>
  <c r="CA51" i="1"/>
  <c r="AA114" i="1"/>
  <c r="AB111" i="1"/>
  <c r="BI88" i="1"/>
  <c r="AI96" i="1"/>
  <c r="CE111" i="1"/>
  <c r="DG113" i="1"/>
  <c r="DE69" i="1"/>
  <c r="AE66" i="1"/>
  <c r="H25" i="9"/>
  <c r="CU79" i="1"/>
  <c r="CX10" i="1"/>
  <c r="BW48" i="1"/>
  <c r="D79" i="1"/>
  <c r="AF71" i="1"/>
  <c r="CF111" i="1"/>
  <c r="DA43" i="1"/>
  <c r="DZ17" i="1"/>
  <c r="AK112" i="1"/>
  <c r="AH76" i="1"/>
  <c r="H18" i="12"/>
  <c r="CW77" i="1"/>
  <c r="BY110" i="1"/>
  <c r="BZ25" i="1"/>
  <c r="DE111" i="1"/>
  <c r="BH89" i="1"/>
  <c r="DX88" i="1"/>
  <c r="DZ31" i="1"/>
  <c r="EE113" i="1"/>
  <c r="EC110" i="1"/>
  <c r="BJ42" i="1"/>
  <c r="CZ112" i="1"/>
  <c r="BK74" i="1"/>
  <c r="EA74" i="1"/>
  <c r="EF77" i="1"/>
  <c r="AA28" i="12"/>
  <c r="CW75" i="1"/>
  <c r="CA107" i="1"/>
  <c r="AY73" i="1"/>
  <c r="AH71" i="1"/>
  <c r="DX24" i="1"/>
  <c r="CE85" i="1"/>
  <c r="AM98" i="1"/>
  <c r="DH77" i="1"/>
  <c r="K114" i="1"/>
  <c r="DH74" i="1"/>
  <c r="BI80" i="1"/>
  <c r="EF107" i="1"/>
  <c r="EC94" i="1"/>
  <c r="DZ116" i="1"/>
  <c r="CY114" i="1"/>
  <c r="CY49" i="1"/>
  <c r="BX104" i="1"/>
  <c r="AY53" i="1"/>
  <c r="DH37" i="1"/>
  <c r="CE102" i="1"/>
  <c r="CF95" i="1"/>
  <c r="BL53" i="1"/>
  <c r="CZ89" i="1"/>
  <c r="H20" i="9"/>
  <c r="F95" i="1"/>
  <c r="DX87" i="1"/>
  <c r="DZ102" i="1"/>
  <c r="CD78" i="1"/>
  <c r="F105" i="1"/>
  <c r="CY112" i="1"/>
  <c r="CV46" i="1"/>
  <c r="CA98" i="1"/>
  <c r="BA30" i="1"/>
  <c r="AK65" i="1"/>
  <c r="CI72" i="1"/>
  <c r="BK93" i="1"/>
  <c r="BK45" i="1"/>
  <c r="EC112" i="1"/>
  <c r="CV114" i="1"/>
  <c r="DG105" i="1"/>
  <c r="H20" i="12"/>
  <c r="CY52" i="1"/>
  <c r="BA79" i="1"/>
  <c r="DD101" i="1"/>
  <c r="CH110" i="1"/>
  <c r="DF85" i="1"/>
  <c r="DY109" i="1"/>
  <c r="DF72" i="1"/>
  <c r="DZ110" i="1"/>
  <c r="M23" i="9"/>
  <c r="CU73" i="1"/>
  <c r="CA54" i="1"/>
  <c r="BG56" i="1"/>
  <c r="D96" i="1"/>
  <c r="EA95" i="1"/>
  <c r="CG88" i="1"/>
  <c r="CE88" i="1"/>
  <c r="DZ80" i="1"/>
  <c r="DD94" i="1"/>
  <c r="CC89" i="1"/>
  <c r="CY109" i="1"/>
  <c r="CU30" i="1"/>
  <c r="EB76" i="1"/>
  <c r="ED79" i="1"/>
  <c r="ED93" i="1"/>
  <c r="CU93" i="1"/>
  <c r="CW13" i="1"/>
  <c r="CW96" i="1"/>
  <c r="CX17" i="1"/>
  <c r="CY91" i="1"/>
  <c r="CU17" i="1"/>
  <c r="CI89" i="1"/>
  <c r="AE113" i="1"/>
  <c r="DX42" i="1"/>
  <c r="BH47" i="1"/>
  <c r="CC87" i="1"/>
  <c r="BJ68" i="1"/>
  <c r="DE67" i="1"/>
  <c r="DF90" i="1"/>
  <c r="CV95" i="1"/>
  <c r="DT57" i="1"/>
  <c r="CC77" i="1"/>
  <c r="CC109" i="1"/>
  <c r="EC111" i="1"/>
  <c r="DF88" i="1"/>
  <c r="AD106" i="1"/>
  <c r="DE113" i="1"/>
  <c r="CX110" i="1"/>
  <c r="CU46" i="1"/>
  <c r="CA93" i="1"/>
  <c r="BA37" i="1"/>
  <c r="BX53" i="1"/>
  <c r="CU11" i="1"/>
  <c r="AA20" i="12"/>
  <c r="CX57" i="1"/>
  <c r="CA108" i="1"/>
  <c r="AY97" i="1"/>
  <c r="BI67" i="1"/>
  <c r="CC75" i="1"/>
  <c r="EA70" i="1"/>
  <c r="DB93" i="1"/>
  <c r="CG106" i="1"/>
  <c r="DY84" i="1"/>
  <c r="H30" i="9"/>
  <c r="CX77" i="1"/>
  <c r="CY10" i="1"/>
  <c r="AN113" i="1"/>
  <c r="EE70" i="1"/>
  <c r="DH88" i="1"/>
  <c r="DC88" i="1"/>
  <c r="EB93" i="1"/>
  <c r="DC102" i="1"/>
  <c r="DD88" i="1"/>
  <c r="CY110" i="1"/>
  <c r="CV44" i="1"/>
  <c r="BW80" i="1"/>
  <c r="BC11" i="1"/>
  <c r="DF33" i="1"/>
  <c r="G115" i="1"/>
  <c r="AF114" i="1"/>
  <c r="DF111" i="1"/>
  <c r="EA73" i="1"/>
  <c r="CY69" i="1"/>
  <c r="CH105" i="1"/>
  <c r="CI102" i="1"/>
  <c r="DH27" i="1"/>
  <c r="BI54" i="1"/>
  <c r="CG104" i="1"/>
  <c r="DX66" i="1"/>
  <c r="C80" i="1"/>
  <c r="DY46" i="1"/>
  <c r="AB83" i="1"/>
  <c r="E114" i="1"/>
  <c r="K98" i="1"/>
  <c r="G87" i="1"/>
  <c r="AB75" i="1"/>
  <c r="AJ112" i="1"/>
  <c r="AN111" i="1"/>
  <c r="DG32" i="1"/>
  <c r="AL92" i="1"/>
  <c r="EE29" i="1"/>
  <c r="DE76" i="1"/>
  <c r="DH48" i="1"/>
  <c r="EC53" i="1"/>
  <c r="DZ55" i="1"/>
  <c r="CF86" i="1"/>
  <c r="DG53" i="1"/>
  <c r="P86" i="1"/>
  <c r="E102" i="1"/>
  <c r="DA89" i="1"/>
  <c r="BJ54" i="1"/>
  <c r="DH101" i="1"/>
  <c r="DY96" i="1"/>
  <c r="BX92" i="1"/>
  <c r="EA53" i="1"/>
  <c r="AB107" i="1"/>
  <c r="P93" i="1"/>
  <c r="DY45" i="1"/>
  <c r="CJ69" i="1"/>
  <c r="DG13" i="1"/>
  <c r="CC73" i="1"/>
  <c r="L86" i="1"/>
  <c r="AE110" i="1"/>
  <c r="DD27" i="1"/>
  <c r="O111" i="1"/>
  <c r="EB49" i="1"/>
  <c r="DD68" i="1"/>
  <c r="J109" i="1"/>
  <c r="AE80" i="1"/>
  <c r="DE116" i="1"/>
  <c r="CI92" i="1"/>
  <c r="BL45" i="1"/>
  <c r="CG86" i="1"/>
  <c r="EA26" i="1"/>
  <c r="BD90" i="1"/>
  <c r="P71" i="1"/>
  <c r="M102" i="1"/>
  <c r="AG116" i="1"/>
  <c r="DF101" i="1"/>
  <c r="CB94" i="1"/>
  <c r="DF69" i="1"/>
  <c r="DC94" i="1"/>
  <c r="DX79" i="1"/>
  <c r="CX9" i="1"/>
  <c r="CB74" i="1"/>
  <c r="DH87" i="1"/>
  <c r="AK97" i="1"/>
  <c r="BE52" i="1"/>
  <c r="CH109" i="1"/>
  <c r="O69" i="1"/>
  <c r="CE94" i="1"/>
  <c r="CB98" i="1"/>
  <c r="DC112" i="1"/>
  <c r="DX65" i="1"/>
  <c r="AA17" i="12"/>
  <c r="CY48" i="1"/>
  <c r="AZ34" i="1"/>
  <c r="EE107" i="1"/>
  <c r="DB78" i="1"/>
  <c r="AN68" i="1"/>
  <c r="AC86" i="1"/>
  <c r="AA104" i="1"/>
  <c r="DA107" i="1"/>
  <c r="H11" i="9"/>
  <c r="CU69" i="1"/>
  <c r="EC88" i="1"/>
  <c r="BD108" i="1"/>
  <c r="BE67" i="1"/>
  <c r="BD85" i="1"/>
  <c r="DF15" i="1"/>
  <c r="BH70" i="1"/>
  <c r="EB85" i="1"/>
  <c r="DZ93" i="1"/>
  <c r="EC66" i="1"/>
  <c r="CV106" i="1"/>
  <c r="CX13" i="1"/>
  <c r="DZ78" i="1"/>
  <c r="DH93" i="1"/>
  <c r="EC73" i="1"/>
  <c r="CW89" i="1"/>
  <c r="CW7" i="1"/>
  <c r="CY79" i="1"/>
  <c r="CA102" i="1"/>
  <c r="CY87" i="1"/>
  <c r="CU12" i="1"/>
  <c r="DB57" i="1"/>
  <c r="AI65" i="1"/>
  <c r="CJ71" i="1"/>
  <c r="G93" i="1"/>
  <c r="AK86" i="1"/>
  <c r="DB101" i="1"/>
  <c r="DF75" i="1"/>
  <c r="DA114" i="1"/>
  <c r="CX78" i="1"/>
  <c r="K67" i="1"/>
  <c r="DD106" i="1"/>
  <c r="DZ76" i="1"/>
  <c r="EB89" i="1"/>
  <c r="DB116" i="1"/>
  <c r="CZ83" i="1"/>
  <c r="EC102" i="1"/>
  <c r="CX108" i="1"/>
  <c r="CU42" i="1"/>
  <c r="BW89" i="1"/>
  <c r="DW71" i="1"/>
  <c r="BW45" i="1"/>
  <c r="CY8" i="1"/>
  <c r="AA22" i="12"/>
  <c r="CU54" i="1"/>
  <c r="BW101" i="1"/>
  <c r="AZ88" i="1"/>
  <c r="DB87" i="1"/>
  <c r="BH56" i="1"/>
  <c r="CF88" i="1"/>
  <c r="CE115" i="1"/>
  <c r="DB72" i="1"/>
  <c r="DY114" i="1"/>
  <c r="H12" i="12"/>
  <c r="CX75" i="1"/>
  <c r="CW8" i="1"/>
  <c r="BL48" i="1"/>
  <c r="CB102" i="1"/>
  <c r="H78" i="1"/>
  <c r="CI106" i="1"/>
  <c r="CE92" i="1"/>
  <c r="DC115" i="1"/>
  <c r="DX69" i="1"/>
  <c r="CV109" i="1"/>
  <c r="CX29" i="1"/>
  <c r="CA71" i="1"/>
  <c r="DT103" i="1"/>
  <c r="AJ103" i="1"/>
  <c r="AN73" i="1"/>
  <c r="N95" i="1"/>
  <c r="J84" i="1"/>
  <c r="AD108" i="1"/>
  <c r="CU31" i="1"/>
  <c r="M28" i="9"/>
  <c r="J70" i="1"/>
  <c r="G74" i="1"/>
  <c r="AD109" i="1"/>
  <c r="ED8" i="1"/>
  <c r="M104" i="1"/>
  <c r="O76" i="1"/>
  <c r="AM88" i="1"/>
  <c r="E91" i="1"/>
  <c r="AI86" i="1"/>
  <c r="BH110" i="1"/>
  <c r="AE108" i="1"/>
  <c r="DF86" i="1"/>
  <c r="BF104" i="1"/>
  <c r="BL50" i="1"/>
  <c r="DB51" i="1"/>
  <c r="DF46" i="1"/>
  <c r="EA102" i="1"/>
  <c r="DC20" i="1"/>
  <c r="BG103" i="1"/>
  <c r="AD86" i="1"/>
  <c r="EE77" i="1"/>
  <c r="BK97" i="1"/>
  <c r="AM115" i="1"/>
  <c r="DE88" i="1"/>
  <c r="BY21" i="1"/>
  <c r="DB19" i="1"/>
  <c r="EA30" i="1"/>
  <c r="BJ97" i="1"/>
  <c r="F73" i="1"/>
  <c r="BF106" i="1"/>
  <c r="AL78" i="1"/>
  <c r="ED45" i="1"/>
  <c r="CE110" i="1"/>
  <c r="L98" i="1"/>
  <c r="AE88" i="1"/>
  <c r="AE84" i="1"/>
  <c r="I90" i="1"/>
  <c r="DX34" i="1"/>
  <c r="D116" i="1"/>
  <c r="AC103" i="1"/>
  <c r="CZ86" i="1"/>
  <c r="H106" i="1"/>
  <c r="DC92" i="1"/>
  <c r="DZ47" i="1"/>
  <c r="AI111" i="1"/>
  <c r="DC31" i="1"/>
  <c r="EB109" i="1"/>
  <c r="DY57" i="1"/>
  <c r="H116" i="1"/>
  <c r="DB46" i="1"/>
  <c r="DY21" i="1"/>
  <c r="DG103" i="1"/>
  <c r="CD107" i="1"/>
  <c r="DG106" i="1"/>
  <c r="EE45" i="1"/>
  <c r="O103" i="1"/>
  <c r="DG86" i="1"/>
  <c r="DA69" i="1"/>
  <c r="EA37" i="1"/>
  <c r="CI76" i="1"/>
  <c r="CG93" i="1"/>
  <c r="DF87" i="1"/>
  <c r="EC86" i="1"/>
  <c r="EB106" i="1"/>
  <c r="BF86" i="1"/>
  <c r="AA13" i="12"/>
  <c r="CV45" i="1"/>
  <c r="EF101" i="1"/>
  <c r="AF83" i="1"/>
  <c r="DY26" i="1"/>
  <c r="BE101" i="1"/>
  <c r="DF109" i="1"/>
  <c r="DX90" i="1"/>
  <c r="DC71" i="1"/>
  <c r="H28" i="9"/>
  <c r="CW65" i="1"/>
  <c r="EC80" i="1"/>
  <c r="AI85" i="1"/>
  <c r="CZ70" i="1"/>
  <c r="AJ76" i="1"/>
  <c r="I109" i="1"/>
  <c r="CI104" i="1"/>
  <c r="ED77" i="1"/>
  <c r="G116" i="1"/>
  <c r="CZ101" i="1"/>
  <c r="CX89" i="1"/>
  <c r="BW106" i="1"/>
  <c r="DH115" i="1"/>
  <c r="DF97" i="1"/>
  <c r="M32" i="9"/>
  <c r="CW85" i="1"/>
  <c r="BX114" i="1"/>
  <c r="CY75" i="1"/>
  <c r="BW50" i="1"/>
  <c r="CV84" i="1"/>
  <c r="CV7" i="1"/>
  <c r="N77" i="1"/>
  <c r="DH79" i="1"/>
  <c r="AK111" i="1"/>
  <c r="DA74" i="1"/>
  <c r="EA91" i="1"/>
  <c r="DD90" i="1"/>
  <c r="DH94" i="1"/>
  <c r="CZ108" i="1"/>
  <c r="CX74" i="1"/>
  <c r="F92" i="1"/>
  <c r="AN115" i="1"/>
  <c r="BK84" i="1"/>
  <c r="DH104" i="1"/>
  <c r="AF108" i="1"/>
  <c r="DG74" i="1"/>
  <c r="DH89" i="1"/>
  <c r="CU107" i="1"/>
  <c r="CW38" i="1"/>
  <c r="BX70" i="1"/>
  <c r="DS37" i="1"/>
  <c r="BW39" i="1"/>
  <c r="BY111" i="1"/>
  <c r="AF34" i="1"/>
  <c r="CU52" i="1"/>
  <c r="BX80" i="1"/>
  <c r="AZ73" i="1"/>
  <c r="EC105" i="1"/>
  <c r="DA66" i="1"/>
  <c r="DX112" i="1"/>
  <c r="DY94" i="1"/>
  <c r="DY74" i="1"/>
  <c r="DF98" i="1"/>
  <c r="H21" i="12"/>
  <c r="CU68" i="1"/>
  <c r="CV6" i="1"/>
  <c r="DA92" i="1"/>
  <c r="DY85" i="1"/>
  <c r="DG27" i="1"/>
  <c r="EE72" i="1"/>
  <c r="DX68" i="1"/>
  <c r="BG44" i="1"/>
  <c r="DC73" i="1"/>
  <c r="CX88" i="1"/>
  <c r="CX27" i="1"/>
  <c r="BW67" i="1"/>
  <c r="AD80" i="1"/>
  <c r="BF71" i="1"/>
  <c r="K91" i="1"/>
  <c r="AN116" i="1"/>
  <c r="EB86" i="1"/>
  <c r="DZ101" i="1"/>
  <c r="BW113" i="1"/>
  <c r="BB11" i="1"/>
  <c r="CU101" i="1"/>
  <c r="CY74" i="1"/>
  <c r="CW44" i="1"/>
  <c r="CY13" i="1"/>
  <c r="BX94" i="1"/>
  <c r="CA70" i="1"/>
  <c r="CA43" i="1"/>
  <c r="AZ116" i="1"/>
  <c r="DT88" i="1"/>
  <c r="BW11" i="1"/>
  <c r="BB10" i="1"/>
  <c r="DS85" i="1"/>
  <c r="BX93" i="1"/>
  <c r="CA69" i="1"/>
  <c r="CA42" i="1"/>
  <c r="BY12" i="1"/>
  <c r="AZ93" i="1"/>
  <c r="AZ39" i="1"/>
  <c r="AF31" i="1"/>
  <c r="CW90" i="1"/>
  <c r="CU57" i="1"/>
  <c r="CW29" i="1"/>
  <c r="CY6" i="1"/>
  <c r="BC114" i="1"/>
  <c r="CW113" i="1"/>
  <c r="CY84" i="1"/>
  <c r="CW52" i="1"/>
  <c r="CY21" i="1"/>
  <c r="BX103" i="1"/>
  <c r="CA77" i="1"/>
  <c r="CA50" i="1"/>
  <c r="AZ95" i="1"/>
  <c r="DU17" i="1"/>
  <c r="CC115" i="1"/>
  <c r="AM106" i="1"/>
  <c r="AI105" i="1"/>
  <c r="CE112" i="1"/>
  <c r="DY87" i="1"/>
  <c r="DH114" i="1"/>
  <c r="BE53" i="1"/>
  <c r="EA97" i="1"/>
  <c r="AC109" i="1"/>
  <c r="CY98" i="1"/>
  <c r="CW28" i="1"/>
  <c r="CF102" i="1"/>
  <c r="DG108" i="1"/>
  <c r="CC116" i="1"/>
  <c r="G71" i="1"/>
  <c r="ED112" i="1"/>
  <c r="CF105" i="1"/>
  <c r="DY78" i="1"/>
  <c r="CC80" i="1"/>
  <c r="DY88" i="1"/>
  <c r="CH83" i="1"/>
  <c r="EA80" i="1"/>
  <c r="AA18" i="12"/>
  <c r="CY80" i="1"/>
  <c r="CU44" i="1"/>
  <c r="BX110" i="1"/>
  <c r="CA66" i="1"/>
  <c r="AY80" i="1"/>
  <c r="BX102" i="1"/>
  <c r="CA49" i="1"/>
  <c r="CY18" i="1"/>
  <c r="CA105" i="1"/>
  <c r="DS10" i="1"/>
  <c r="CW107" i="1"/>
  <c r="CU56" i="1"/>
  <c r="CV24" i="1"/>
  <c r="CA76" i="1"/>
  <c r="BC115" i="1"/>
  <c r="AA78" i="1"/>
  <c r="BJ46" i="1"/>
  <c r="DB77" i="1"/>
  <c r="AE69" i="1"/>
  <c r="DD78" i="1"/>
  <c r="DZ107" i="1"/>
  <c r="DE98" i="1"/>
  <c r="E106" i="1"/>
  <c r="DX86" i="1"/>
  <c r="DG94" i="1"/>
  <c r="DX98" i="1"/>
  <c r="H14" i="9"/>
  <c r="CY97" i="1"/>
  <c r="CW66" i="1"/>
  <c r="CX14" i="1"/>
  <c r="BC113" i="1"/>
  <c r="AF69" i="1"/>
  <c r="H113" i="1"/>
  <c r="EF116" i="1"/>
  <c r="AN101" i="1"/>
  <c r="DC101" i="1"/>
  <c r="CD111" i="1"/>
  <c r="BF51" i="1"/>
  <c r="EE88" i="1"/>
  <c r="EA67" i="1"/>
  <c r="EE115" i="1"/>
  <c r="CH97" i="1"/>
  <c r="AA21" i="12"/>
  <c r="CX86" i="1"/>
  <c r="CV48" i="1"/>
  <c r="CW14" i="1"/>
  <c r="BX75" i="1"/>
  <c r="BB113" i="1"/>
  <c r="EC45" i="1"/>
  <c r="DF48" i="1"/>
  <c r="CH79" i="1"/>
  <c r="DB108" i="1"/>
  <c r="BI53" i="1"/>
  <c r="BD83" i="1"/>
  <c r="H65" i="1"/>
  <c r="L76" i="1"/>
  <c r="AA91" i="1"/>
  <c r="EA72" i="1"/>
  <c r="EC97" i="1"/>
  <c r="DD107" i="1"/>
  <c r="CF94" i="1"/>
  <c r="DE84" i="1"/>
  <c r="EF115" i="1"/>
  <c r="BF54" i="1"/>
  <c r="DD115" i="1"/>
  <c r="H26" i="9"/>
  <c r="CX101" i="1"/>
  <c r="CY67" i="1"/>
  <c r="CU29" i="1"/>
  <c r="CA35" i="1"/>
  <c r="AF35" i="1"/>
  <c r="CY96" i="1"/>
  <c r="CX72" i="1"/>
  <c r="CV42" i="1"/>
  <c r="CX12" i="1"/>
  <c r="CA92" i="1"/>
  <c r="BW69" i="1"/>
  <c r="BX32" i="1"/>
  <c r="BA114" i="1"/>
  <c r="DV79" i="1"/>
  <c r="BZ8" i="1"/>
  <c r="DS56" i="1"/>
  <c r="DV75" i="1"/>
  <c r="CA91" i="1"/>
  <c r="BW68" i="1"/>
  <c r="CA38" i="1"/>
  <c r="BX10" i="1"/>
  <c r="AZ90" i="1"/>
  <c r="AY36" i="1"/>
  <c r="CY115" i="1"/>
  <c r="CV88" i="1"/>
  <c r="CY54" i="1"/>
  <c r="CV27" i="1"/>
  <c r="BY116" i="1"/>
  <c r="BA105" i="1"/>
  <c r="CV111" i="1"/>
  <c r="CX80" i="1"/>
  <c r="CV50" i="1"/>
  <c r="CX19" i="1"/>
  <c r="CA101" i="1"/>
  <c r="BW76" i="1"/>
  <c r="CA45" i="1"/>
  <c r="AZ83" i="1"/>
  <c r="AN95" i="1"/>
  <c r="BG109" i="1"/>
  <c r="AG67" i="1"/>
  <c r="AK66" i="1"/>
  <c r="K96" i="1"/>
  <c r="AM101" i="1"/>
  <c r="CD106" i="1"/>
  <c r="EC95" i="1"/>
  <c r="ED67" i="1"/>
  <c r="CC85" i="1"/>
  <c r="BL94" i="1"/>
  <c r="ED80" i="1"/>
  <c r="DD83" i="1"/>
  <c r="DG112" i="1"/>
  <c r="EB92" i="1"/>
  <c r="H36" i="12"/>
  <c r="CX97" i="1"/>
  <c r="CY65" i="1"/>
  <c r="CW27" i="1"/>
  <c r="CA31" i="1"/>
  <c r="CX116" i="1"/>
  <c r="CX94" i="1"/>
  <c r="CW71" i="1"/>
  <c r="CY35" i="1"/>
  <c r="CX7" i="1"/>
  <c r="BX89" i="1"/>
  <c r="BX67" i="1"/>
  <c r="BX28" i="1"/>
  <c r="AZ112" i="1"/>
  <c r="DU57" i="1"/>
  <c r="BY6" i="1"/>
  <c r="CA24" i="1"/>
  <c r="DU68" i="1"/>
  <c r="BX88" i="1"/>
  <c r="BX66" i="1"/>
  <c r="BX35" i="1"/>
  <c r="BY8" i="1"/>
  <c r="BA83" i="1"/>
  <c r="BA32" i="1"/>
  <c r="CW112" i="1"/>
  <c r="CU86" i="1"/>
  <c r="CW51" i="1"/>
  <c r="CU25" i="1"/>
  <c r="BW114" i="1"/>
  <c r="BC8" i="1"/>
  <c r="CY106" i="1"/>
  <c r="CW79" i="1"/>
  <c r="CY45" i="1"/>
  <c r="CW18" i="1"/>
  <c r="BX96" i="1"/>
  <c r="BX74" i="1"/>
  <c r="BW44" i="1"/>
  <c r="AY78" i="1"/>
  <c r="CF76" i="1"/>
  <c r="AF92" i="1"/>
  <c r="CB67" i="1"/>
  <c r="BK77" i="1"/>
  <c r="N65" i="1"/>
  <c r="CD67" i="1"/>
  <c r="CG97" i="1"/>
  <c r="AC89" i="1"/>
  <c r="DB112" i="1"/>
  <c r="CH88" i="1"/>
  <c r="BK47" i="1"/>
  <c r="DD86" i="1"/>
  <c r="CD75" i="1"/>
  <c r="DB115" i="1"/>
  <c r="EC65" i="1"/>
  <c r="H29" i="12"/>
  <c r="CX95" i="1"/>
  <c r="CV57" i="1"/>
  <c r="CW25" i="1"/>
  <c r="BW9" i="1"/>
  <c r="CW115" i="1"/>
  <c r="CW93" i="1"/>
  <c r="CV69" i="1"/>
  <c r="CX33" i="1"/>
  <c r="BZ113" i="1"/>
  <c r="CA87" i="1"/>
  <c r="CA65" i="1"/>
  <c r="BW26" i="1"/>
  <c r="AZ102" i="1"/>
  <c r="DV11" i="1"/>
  <c r="BB115" i="1"/>
  <c r="CA18" i="1"/>
  <c r="BW110" i="1"/>
  <c r="CA86" i="1"/>
  <c r="CA57" i="1"/>
  <c r="BX33" i="1"/>
  <c r="BX6" i="1"/>
  <c r="AZ78" i="1"/>
  <c r="AZ29" i="1"/>
  <c r="CV110" i="1"/>
  <c r="CY83" i="1"/>
  <c r="CV49" i="1"/>
  <c r="CY20" i="1"/>
  <c r="CA112" i="1"/>
  <c r="DT113" i="1"/>
  <c r="CX104" i="1"/>
  <c r="CV77" i="1"/>
  <c r="CX43" i="1"/>
  <c r="CV16" i="1"/>
  <c r="CA94" i="1"/>
  <c r="CA72" i="1"/>
  <c r="BZ26" i="1"/>
  <c r="BA57" i="1"/>
  <c r="CZ116" i="1"/>
  <c r="CB71" i="1"/>
  <c r="H13" i="12"/>
  <c r="CU94" i="1"/>
  <c r="CV55" i="1"/>
  <c r="CW21" i="1"/>
  <c r="AY105" i="1"/>
  <c r="CV113" i="1"/>
  <c r="CV91" i="1"/>
  <c r="CY57" i="1"/>
  <c r="CW32" i="1"/>
  <c r="BW108" i="1"/>
  <c r="BW86" i="1"/>
  <c r="BX55" i="1"/>
  <c r="BX24" i="1"/>
  <c r="AY95" i="1"/>
  <c r="BY29" i="1"/>
  <c r="BA106" i="1"/>
  <c r="CA14" i="1"/>
  <c r="BW107" i="1"/>
  <c r="BW85" i="1"/>
  <c r="BX54" i="1"/>
  <c r="BW31" i="1"/>
  <c r="AZ113" i="1"/>
  <c r="AY75" i="1"/>
  <c r="AZ20" i="1"/>
  <c r="CU108" i="1"/>
  <c r="CW78" i="1"/>
  <c r="CU47" i="1"/>
  <c r="CW17" i="1"/>
  <c r="BX111" i="1"/>
  <c r="DS98" i="1"/>
  <c r="CW103" i="1"/>
  <c r="CY72" i="1"/>
  <c r="CW42" i="1"/>
  <c r="CX11" i="1"/>
  <c r="BW93" i="1"/>
  <c r="BX69" i="1"/>
  <c r="BY24" i="1"/>
  <c r="AZ54" i="1"/>
  <c r="EC113" i="1"/>
  <c r="CJ72" i="1"/>
  <c r="EB103" i="1"/>
  <c r="EC78" i="1"/>
  <c r="AM93" i="1"/>
  <c r="CC101" i="1"/>
  <c r="CG116" i="1"/>
  <c r="DH107" i="1"/>
  <c r="DF112" i="1"/>
  <c r="AA16" i="12"/>
  <c r="CU92" i="1"/>
  <c r="CV53" i="1"/>
  <c r="CV12" i="1"/>
  <c r="BA94" i="1"/>
  <c r="CU111" i="1"/>
  <c r="CU89" i="1"/>
  <c r="CX55" i="1"/>
  <c r="CV30" i="1"/>
  <c r="BX106" i="1"/>
  <c r="BX84" i="1"/>
  <c r="CA53" i="1"/>
  <c r="BW20" i="1"/>
  <c r="AY92" i="1"/>
  <c r="BX27" i="1"/>
  <c r="AY104" i="1"/>
  <c r="AY111" i="1"/>
  <c r="BX105" i="1"/>
  <c r="BX83" i="1"/>
  <c r="CA52" i="1"/>
  <c r="BX29" i="1"/>
  <c r="BB110" i="1"/>
  <c r="BA71" i="1"/>
  <c r="BB14" i="1"/>
  <c r="CY105" i="1"/>
  <c r="CV76" i="1"/>
  <c r="CY44" i="1"/>
  <c r="CV15" i="1"/>
  <c r="BX42" i="1"/>
  <c r="DT91" i="1"/>
  <c r="CV101" i="1"/>
  <c r="CX70" i="1"/>
  <c r="CV38" i="1"/>
  <c r="CX6" i="1"/>
  <c r="BX91" i="1"/>
  <c r="CA67" i="1"/>
  <c r="BW14" i="1"/>
  <c r="AY39" i="1"/>
  <c r="EF113" i="1"/>
  <c r="CI87" i="1"/>
  <c r="BH87" i="1"/>
  <c r="EE105" i="1"/>
  <c r="DA77" i="1"/>
  <c r="DX72" i="1"/>
  <c r="DG104" i="1"/>
  <c r="DZ105" i="1"/>
  <c r="DC84" i="1"/>
  <c r="DY77" i="1"/>
  <c r="AA23" i="12"/>
  <c r="CU90" i="1"/>
  <c r="CX38" i="1"/>
  <c r="CU10" i="1"/>
  <c r="AY85" i="1"/>
  <c r="CY108" i="1"/>
  <c r="CY86" i="1"/>
  <c r="CW54" i="1"/>
  <c r="CY25" i="1"/>
  <c r="CA104" i="1"/>
  <c r="BW79" i="1"/>
  <c r="BW52" i="1"/>
  <c r="BW16" i="1"/>
  <c r="BB17" i="1"/>
  <c r="BX21" i="1"/>
  <c r="BA101" i="1"/>
  <c r="AY9" i="1"/>
  <c r="CA103" i="1"/>
  <c r="BW78" i="1"/>
  <c r="BW51" i="1"/>
  <c r="BZ24" i="1"/>
  <c r="AZ108" i="1"/>
  <c r="AY65" i="1"/>
  <c r="DU75" i="1"/>
  <c r="CW102" i="1"/>
  <c r="CU74" i="1"/>
  <c r="CW39" i="1"/>
  <c r="CU13" i="1"/>
  <c r="BZ36" i="1"/>
  <c r="DW84" i="1"/>
  <c r="CY94" i="1"/>
  <c r="CW69" i="1"/>
  <c r="CY33" i="1"/>
  <c r="BY112" i="1"/>
  <c r="BW88" i="1"/>
  <c r="BW66" i="1"/>
  <c r="BX12" i="1"/>
  <c r="BA35" i="1"/>
  <c r="EF84" i="1"/>
  <c r="AG111" i="1"/>
  <c r="DE34" i="1"/>
  <c r="AA85" i="1"/>
  <c r="BG114" i="1"/>
  <c r="EE80" i="1"/>
  <c r="EE73" i="1"/>
  <c r="DX108" i="1"/>
  <c r="CJ97" i="1"/>
  <c r="EE9" i="1"/>
  <c r="DA88" i="1"/>
  <c r="DC87" i="1"/>
  <c r="H31" i="12"/>
  <c r="CU103" i="1"/>
  <c r="CX51" i="1"/>
  <c r="CY17" i="1"/>
  <c r="BX85" i="1"/>
  <c r="BZ31" i="1"/>
  <c r="DW116" i="1"/>
  <c r="BX73" i="1"/>
  <c r="AZ66" i="1"/>
  <c r="CU7" i="1"/>
  <c r="AZ56" i="1"/>
  <c r="CU115" i="1"/>
  <c r="CV83" i="1"/>
  <c r="CY31" i="1"/>
  <c r="BX95" i="1"/>
  <c r="CA44" i="1"/>
  <c r="AY31" i="1"/>
  <c r="AL87" i="1"/>
  <c r="ED86" i="1"/>
  <c r="AN72" i="1"/>
  <c r="AA79" i="1"/>
  <c r="DX103" i="1"/>
  <c r="AH74" i="1"/>
  <c r="EC68" i="1"/>
  <c r="CG113" i="1"/>
  <c r="DH71" i="1"/>
  <c r="DE115" i="1"/>
  <c r="DE80" i="1"/>
  <c r="AF33" i="1"/>
  <c r="CX73" i="1"/>
  <c r="CV35" i="1"/>
  <c r="BX113" i="1"/>
  <c r="H66" i="1"/>
  <c r="DA54" i="1"/>
  <c r="DX76" i="1"/>
  <c r="AK104" i="1"/>
  <c r="EF110" i="1"/>
  <c r="EB70" i="1"/>
  <c r="DD85" i="1"/>
  <c r="DC67" i="1"/>
  <c r="DG92" i="1"/>
  <c r="BH93" i="1"/>
  <c r="DE77" i="1"/>
  <c r="H27" i="9"/>
  <c r="CV107" i="1"/>
  <c r="CW73" i="1"/>
  <c r="CU24" i="1"/>
  <c r="BW94" i="1"/>
  <c r="BX43" i="1"/>
  <c r="DW78" i="1"/>
  <c r="EB68" i="1"/>
  <c r="DG10" i="1"/>
  <c r="BJ71" i="1"/>
  <c r="J105" i="1"/>
  <c r="CB69" i="1"/>
  <c r="AN69" i="1"/>
  <c r="DH80" i="1"/>
  <c r="DX94" i="1"/>
  <c r="DZ85" i="1"/>
  <c r="AF89" i="1"/>
  <c r="DA108" i="1"/>
  <c r="DY106" i="1"/>
  <c r="DB113" i="1"/>
  <c r="BK98" i="1"/>
  <c r="EE75" i="1"/>
  <c r="DH103" i="1"/>
  <c r="EB69" i="1"/>
  <c r="AB8" i="1"/>
  <c r="CW88" i="1"/>
  <c r="CX36" i="1"/>
  <c r="CV8" i="1"/>
  <c r="AY70" i="1"/>
  <c r="CX106" i="1"/>
  <c r="CX84" i="1"/>
  <c r="CV52" i="1"/>
  <c r="CX21" i="1"/>
  <c r="BW103" i="1"/>
  <c r="BX77" i="1"/>
  <c r="BX50" i="1"/>
  <c r="BZ13" i="1"/>
  <c r="AY6" i="1"/>
  <c r="BW19" i="1"/>
  <c r="BA96" i="1"/>
  <c r="DW113" i="1"/>
  <c r="BW102" i="1"/>
  <c r="BX76" i="1"/>
  <c r="BX49" i="1"/>
  <c r="BW21" i="1"/>
  <c r="AZ106" i="1"/>
  <c r="BA54" i="1"/>
  <c r="DW53" i="1"/>
  <c r="CV98" i="1"/>
  <c r="CY71" i="1"/>
  <c r="CV37" i="1"/>
  <c r="CY11" i="1"/>
  <c r="BZ34" i="1"/>
  <c r="DW67" i="1"/>
  <c r="CX92" i="1"/>
  <c r="CV67" i="1"/>
  <c r="CX31" i="1"/>
  <c r="CA109" i="1"/>
  <c r="BX86" i="1"/>
  <c r="BX57" i="1"/>
  <c r="BB114" i="1"/>
  <c r="AY20" i="1"/>
  <c r="EF90" i="1"/>
  <c r="CC107" i="1"/>
  <c r="E67" i="1"/>
  <c r="DX80" i="1"/>
  <c r="N115" i="1"/>
  <c r="DC108" i="1"/>
  <c r="EF104" i="1"/>
  <c r="DE104" i="1"/>
  <c r="AJ92" i="1"/>
  <c r="AA31" i="12"/>
  <c r="CY39" i="1"/>
  <c r="AM95" i="1"/>
  <c r="BH88" i="1"/>
  <c r="DD37" i="1"/>
  <c r="DE74" i="1"/>
  <c r="DF79" i="1"/>
  <c r="CE103" i="1"/>
  <c r="ED72" i="1"/>
  <c r="DX84" i="1"/>
  <c r="CD74" i="1"/>
  <c r="CD76" i="1"/>
  <c r="ED108" i="1"/>
  <c r="H24" i="12"/>
  <c r="CW101" i="1"/>
  <c r="CX49" i="1"/>
  <c r="CY15" i="1"/>
  <c r="CA78" i="1"/>
  <c r="BX15" i="1"/>
  <c r="DT26" i="1"/>
  <c r="CA68" i="1"/>
  <c r="AZ46" i="1"/>
  <c r="CA115" i="1"/>
  <c r="AY34" i="1"/>
  <c r="CU113" i="1"/>
  <c r="CX68" i="1"/>
  <c r="CY29" i="1"/>
  <c r="CA90" i="1"/>
  <c r="BZ37" i="1"/>
  <c r="AZ17" i="1"/>
  <c r="BK78" i="1"/>
  <c r="DZ70" i="1"/>
  <c r="DX52" i="1"/>
  <c r="AB85" i="1"/>
  <c r="CB112" i="1"/>
  <c r="DC74" i="1"/>
  <c r="DE109" i="1"/>
  <c r="CI68" i="1"/>
  <c r="ED106" i="1"/>
  <c r="EF92" i="1"/>
  <c r="M13" i="9"/>
  <c r="CW116" i="1"/>
  <c r="CU72" i="1"/>
  <c r="CV33" i="1"/>
  <c r="CA110" i="1"/>
  <c r="EF112" i="1"/>
  <c r="EF42" i="1"/>
  <c r="AC96" i="1"/>
  <c r="EF83" i="1"/>
  <c r="CG75" i="1"/>
  <c r="DC93" i="1"/>
  <c r="EA96" i="1"/>
  <c r="AJ116" i="1"/>
  <c r="DE87" i="1"/>
  <c r="DH109" i="1"/>
  <c r="EB104" i="1"/>
  <c r="H32" i="12"/>
  <c r="CV105" i="1"/>
  <c r="CY53" i="1"/>
  <c r="CU20" i="1"/>
  <c r="BX90" i="1"/>
  <c r="BY37" i="1"/>
  <c r="DS38" i="1"/>
  <c r="DF66" i="1"/>
  <c r="CE114" i="1"/>
  <c r="AM85" i="1"/>
  <c r="DY19" i="1"/>
  <c r="BF65" i="1"/>
  <c r="DG88" i="1"/>
  <c r="DX71" i="1"/>
  <c r="D110" i="1"/>
  <c r="CJ114" i="1"/>
  <c r="DC83" i="1"/>
  <c r="DC105" i="1"/>
  <c r="EC107" i="1"/>
  <c r="DX111" i="1"/>
  <c r="AF66" i="1"/>
  <c r="AF93" i="1"/>
  <c r="ED74" i="1"/>
  <c r="M19" i="9"/>
  <c r="AF32" i="1"/>
  <c r="CW86" i="1"/>
  <c r="CX34" i="1"/>
  <c r="CU6" i="1"/>
  <c r="BA42" i="1"/>
  <c r="CW105" i="1"/>
  <c r="CW83" i="1"/>
  <c r="CY47" i="1"/>
  <c r="CW20" i="1"/>
  <c r="CA97" i="1"/>
  <c r="CA75" i="1"/>
  <c r="BW47" i="1"/>
  <c r="BY11" i="1"/>
  <c r="DW103" i="1"/>
  <c r="BX17" i="1"/>
  <c r="AZ91" i="1"/>
  <c r="DS107" i="1"/>
  <c r="CA96" i="1"/>
  <c r="CA74" i="1"/>
  <c r="BW46" i="1"/>
  <c r="BZ18" i="1"/>
  <c r="BA98" i="1"/>
  <c r="AZ51" i="1"/>
  <c r="DS32" i="1"/>
  <c r="CU96" i="1"/>
  <c r="CW68" i="1"/>
  <c r="CU35" i="1"/>
  <c r="CV9" i="1"/>
  <c r="CA30" i="1"/>
  <c r="CY116" i="1"/>
  <c r="CW91" i="1"/>
  <c r="CY55" i="1"/>
  <c r="CW30" i="1"/>
  <c r="CA106" i="1"/>
  <c r="CA84" i="1"/>
  <c r="BW54" i="1"/>
  <c r="BA112" i="1"/>
  <c r="AZ14" i="1"/>
  <c r="DY101" i="1"/>
  <c r="AI92" i="1"/>
  <c r="BJ91" i="1"/>
  <c r="CE66" i="1"/>
  <c r="AB93" i="1"/>
  <c r="ED27" i="1"/>
  <c r="DA105" i="1"/>
  <c r="DZ72" i="1"/>
  <c r="CB89" i="1"/>
  <c r="DF71" i="1"/>
  <c r="DH96" i="1"/>
  <c r="AF38" i="1"/>
  <c r="CV36" i="1"/>
  <c r="AB91" i="1"/>
  <c r="BK76" i="1"/>
  <c r="DG114" i="1"/>
  <c r="ED101" i="1"/>
  <c r="EF71" i="1"/>
  <c r="BK115" i="1"/>
  <c r="AB113" i="1"/>
  <c r="CH93" i="1"/>
  <c r="EC90" i="1"/>
  <c r="EB110" i="1"/>
  <c r="CF112" i="1"/>
  <c r="AA32" i="12"/>
  <c r="CW97" i="1"/>
  <c r="CX47" i="1"/>
  <c r="CV14" i="1"/>
  <c r="BW75" i="1"/>
  <c r="CA8" i="1"/>
  <c r="CA111" i="1"/>
  <c r="BW65" i="1"/>
  <c r="AY24" i="1"/>
  <c r="BY113" i="1"/>
  <c r="DS110" i="1"/>
  <c r="CW111" i="1"/>
  <c r="CX66" i="1"/>
  <c r="CY27" i="1"/>
  <c r="BW87" i="1"/>
  <c r="BY33" i="1"/>
  <c r="DS79" i="1"/>
  <c r="EB66" i="1"/>
  <c r="K116" i="1"/>
  <c r="EA87" i="1"/>
  <c r="BL73" i="1"/>
  <c r="ED102" i="1"/>
  <c r="EF72" i="1"/>
  <c r="ED66" i="1"/>
  <c r="CJ108" i="1"/>
  <c r="BI42" i="1"/>
  <c r="ED103" i="1"/>
  <c r="M25" i="9"/>
  <c r="CY103" i="1"/>
  <c r="CU70" i="1"/>
  <c r="CV31" i="1"/>
  <c r="CA25" i="1"/>
  <c r="EC104" i="1"/>
  <c r="BE76" i="1"/>
  <c r="DH69" i="1"/>
  <c r="EC87" i="1"/>
  <c r="BD104" i="1"/>
  <c r="CE83" i="1"/>
  <c r="CZ91" i="1"/>
  <c r="EE87" i="1"/>
  <c r="DC103" i="1"/>
  <c r="EE67" i="1"/>
  <c r="EA68" i="1"/>
  <c r="H34" i="12"/>
  <c r="CX90" i="1"/>
  <c r="CY51" i="1"/>
  <c r="CU18" i="1"/>
  <c r="CA85" i="1"/>
  <c r="BW32" i="1"/>
  <c r="AA65" i="1"/>
  <c r="EE112" i="1"/>
  <c r="AM73" i="1"/>
  <c r="AD92" i="1"/>
  <c r="CC70" i="1"/>
  <c r="CC91" i="1"/>
  <c r="BF76" i="1"/>
  <c r="DH70" i="1"/>
  <c r="EF70" i="1"/>
  <c r="K94" i="1"/>
  <c r="L114" i="1"/>
  <c r="DZ84" i="1"/>
  <c r="DZ74" i="1"/>
  <c r="DD114" i="1"/>
  <c r="EC83" i="1"/>
  <c r="AL70" i="1"/>
  <c r="AE116" i="1"/>
  <c r="M31" i="9"/>
  <c r="CV116" i="1"/>
  <c r="CW84" i="1"/>
  <c r="CU33" i="1"/>
  <c r="CA114" i="1"/>
  <c r="BA27" i="1"/>
  <c r="CV103" i="1"/>
  <c r="CV79" i="1"/>
  <c r="CX45" i="1"/>
  <c r="CV18" i="1"/>
  <c r="BW96" i="1"/>
  <c r="BW74" i="1"/>
  <c r="BX45" i="1"/>
  <c r="BZ9" i="1"/>
  <c r="DS95" i="1"/>
  <c r="BW15" i="1"/>
  <c r="AZ16" i="1"/>
  <c r="DT98" i="1"/>
  <c r="BW95" i="1"/>
  <c r="BW73" i="1"/>
  <c r="BX44" i="1"/>
  <c r="BY16" i="1"/>
  <c r="AZ96" i="1"/>
  <c r="AY48" i="1"/>
  <c r="DV17" i="1"/>
  <c r="CY93" i="1"/>
  <c r="CV66" i="1"/>
  <c r="CY32" i="1"/>
  <c r="CU8" i="1"/>
  <c r="CA26" i="1"/>
  <c r="CX114" i="1"/>
  <c r="CV89" i="1"/>
  <c r="CX53" i="1"/>
  <c r="CV28" i="1"/>
  <c r="BW105" i="1"/>
  <c r="BW83" i="1"/>
  <c r="BX52" i="1"/>
  <c r="AZ98" i="1"/>
  <c r="DW31" i="1"/>
  <c r="DY86" i="1"/>
  <c r="AA27" i="12"/>
  <c r="CW104" i="1"/>
  <c r="CW80" i="1"/>
  <c r="CW53" i="1"/>
  <c r="CW31" i="1"/>
  <c r="CV10" i="1"/>
  <c r="BW38" i="1"/>
  <c r="DT83" i="1"/>
  <c r="BY102" i="1"/>
  <c r="BY90" i="1"/>
  <c r="BY78" i="1"/>
  <c r="BY68" i="1"/>
  <c r="BY51" i="1"/>
  <c r="BW37" i="1"/>
  <c r="BZ21" i="1"/>
  <c r="BX9" i="1"/>
  <c r="BA102" i="1"/>
  <c r="AY84" i="1"/>
  <c r="AZ65" i="1"/>
  <c r="BA39" i="1"/>
  <c r="BA20" i="1"/>
  <c r="DS27" i="1"/>
  <c r="AZ74" i="1"/>
  <c r="BA50" i="1"/>
  <c r="AY32" i="1"/>
  <c r="DS112" i="1"/>
  <c r="DS70" i="1"/>
  <c r="CA27" i="1"/>
  <c r="DS83" i="1"/>
  <c r="BZ112" i="1"/>
  <c r="BZ102" i="1"/>
  <c r="BZ90" i="1"/>
  <c r="BZ78" i="1"/>
  <c r="BZ68" i="1"/>
  <c r="BZ51" i="1"/>
  <c r="BX37" i="1"/>
  <c r="BZ20" i="1"/>
  <c r="BX8" i="1"/>
  <c r="AY103" i="1"/>
  <c r="AZ84" i="1"/>
  <c r="BA65" i="1"/>
  <c r="AY42" i="1"/>
  <c r="AZ21" i="1"/>
  <c r="DV51" i="1"/>
  <c r="BC15" i="1"/>
  <c r="BB95" i="1"/>
  <c r="BB77" i="1"/>
  <c r="BB54" i="1"/>
  <c r="BB34" i="1"/>
  <c r="BC10" i="1"/>
  <c r="DS92" i="1"/>
  <c r="AY21" i="1"/>
  <c r="DW97" i="1"/>
  <c r="DU44" i="1"/>
  <c r="DS49" i="1"/>
  <c r="BC105" i="1"/>
  <c r="BC87" i="1"/>
  <c r="BC67" i="1"/>
  <c r="BC44" i="1"/>
  <c r="BC26" i="1"/>
  <c r="DT104" i="1"/>
  <c r="DW54" i="1"/>
  <c r="DT54" i="1"/>
  <c r="BA12" i="1"/>
  <c r="DU95" i="1"/>
  <c r="DV16" i="1"/>
  <c r="DV97" i="1"/>
  <c r="DW49" i="1"/>
  <c r="DV46" i="1"/>
  <c r="EV9" i="1"/>
  <c r="FE8" i="1"/>
  <c r="FE16" i="1"/>
  <c r="FB29" i="1"/>
  <c r="FE26" i="1"/>
  <c r="ES18" i="1"/>
  <c r="EY46" i="1"/>
  <c r="EZ7" i="1"/>
  <c r="EX46" i="1"/>
  <c r="ES46" i="1"/>
  <c r="ER26" i="1"/>
  <c r="ET33" i="1"/>
  <c r="FA14" i="1"/>
  <c r="AA33" i="12"/>
  <c r="CV102" i="1"/>
  <c r="CV78" i="1"/>
  <c r="CV51" i="1"/>
  <c r="CV29" i="1"/>
  <c r="CU9" i="1"/>
  <c r="BY36" i="1"/>
  <c r="DV66" i="1"/>
  <c r="BY101" i="1"/>
  <c r="BY89" i="1"/>
  <c r="BY77" i="1"/>
  <c r="BY67" i="1"/>
  <c r="BY50" i="1"/>
  <c r="CA34" i="1"/>
  <c r="BY20" i="1"/>
  <c r="BW8" i="1"/>
  <c r="AY101" i="1"/>
  <c r="AZ80" i="1"/>
  <c r="BA56" i="1"/>
  <c r="AY38" i="1"/>
  <c r="BC17" i="1"/>
  <c r="DW18" i="1"/>
  <c r="BA72" i="1"/>
  <c r="AY49" i="1"/>
  <c r="AZ30" i="1"/>
  <c r="DW108" i="1"/>
  <c r="DU66" i="1"/>
  <c r="CA20" i="1"/>
  <c r="DU77" i="1"/>
  <c r="BZ111" i="1"/>
  <c r="BZ101" i="1"/>
  <c r="BZ89" i="1"/>
  <c r="BZ77" i="1"/>
  <c r="BZ67" i="1"/>
  <c r="BZ50" i="1"/>
  <c r="BW35" i="1"/>
  <c r="BY19" i="1"/>
  <c r="BW7" i="1"/>
  <c r="AZ101" i="1"/>
  <c r="BA80" i="1"/>
  <c r="AY57" i="1"/>
  <c r="AZ38" i="1"/>
  <c r="BC18" i="1"/>
  <c r="BX38" i="1"/>
  <c r="AY10" i="1"/>
  <c r="BB94" i="1"/>
  <c r="BB74" i="1"/>
  <c r="BB53" i="1"/>
  <c r="BB33" i="1"/>
  <c r="DW115" i="1"/>
  <c r="DT90" i="1"/>
  <c r="AY17" i="1"/>
  <c r="DW92" i="1"/>
  <c r="DW20" i="1"/>
  <c r="DW39" i="1"/>
  <c r="BC102" i="1"/>
  <c r="BC86" i="1"/>
  <c r="BC66" i="1"/>
  <c r="BC39" i="1"/>
  <c r="BC25" i="1"/>
  <c r="DW102" i="1"/>
  <c r="DT46" i="1"/>
  <c r="DU50" i="1"/>
  <c r="BA10" i="1"/>
  <c r="DU92" i="1"/>
  <c r="DU69" i="1"/>
  <c r="DV90" i="1"/>
  <c r="DS34" i="1"/>
  <c r="DV37" i="1"/>
  <c r="FA13" i="1"/>
  <c r="FA36" i="1"/>
  <c r="ER13" i="1"/>
  <c r="FC7" i="1"/>
  <c r="EV45" i="1"/>
  <c r="EZ35" i="1"/>
  <c r="EU20" i="1"/>
  <c r="EY7" i="1"/>
  <c r="ET43" i="1"/>
  <c r="EX17" i="1"/>
  <c r="FE27" i="1"/>
  <c r="ES47" i="1"/>
  <c r="EW16" i="1"/>
  <c r="BW33" i="1"/>
  <c r="BW10" i="1"/>
  <c r="AY93" i="1"/>
  <c r="AY51" i="1"/>
  <c r="BB8" i="1"/>
  <c r="CZ104" i="1"/>
  <c r="CI112" i="1"/>
  <c r="M18" i="9"/>
  <c r="BD31" i="1"/>
  <c r="CU98" i="1"/>
  <c r="CU76" i="1"/>
  <c r="CU49" i="1"/>
  <c r="CU27" i="1"/>
  <c r="CY7" i="1"/>
  <c r="BY34" i="1"/>
  <c r="DS52" i="1"/>
  <c r="BY98" i="1"/>
  <c r="BY88" i="1"/>
  <c r="BY76" i="1"/>
  <c r="BY66" i="1"/>
  <c r="BY49" i="1"/>
  <c r="BZ33" i="1"/>
  <c r="BX19" i="1"/>
  <c r="BZ6" i="1"/>
  <c r="AZ97" i="1"/>
  <c r="BA78" i="1"/>
  <c r="AY55" i="1"/>
  <c r="AZ36" i="1"/>
  <c r="AY12" i="1"/>
  <c r="BA89" i="1"/>
  <c r="AY71" i="1"/>
  <c r="AZ47" i="1"/>
  <c r="BA28" i="1"/>
  <c r="DT105" i="1"/>
  <c r="DW47" i="1"/>
  <c r="CA15" i="1"/>
  <c r="DU73" i="1"/>
  <c r="BZ110" i="1"/>
  <c r="BZ98" i="1"/>
  <c r="BZ88" i="1"/>
  <c r="BZ76" i="1"/>
  <c r="BZ66" i="1"/>
  <c r="BZ49" i="1"/>
  <c r="BZ32" i="1"/>
  <c r="BX18" i="1"/>
  <c r="BB116" i="1"/>
  <c r="BA97" i="1"/>
  <c r="AY79" i="1"/>
  <c r="AZ55" i="1"/>
  <c r="BA36" i="1"/>
  <c r="AY13" i="1"/>
  <c r="BW36" i="1"/>
  <c r="DT73" i="1"/>
  <c r="BB93" i="1"/>
  <c r="BB73" i="1"/>
  <c r="BB50" i="1"/>
  <c r="BB32" i="1"/>
  <c r="DS114" i="1"/>
  <c r="DT85" i="1"/>
  <c r="BB15" i="1"/>
  <c r="DS91" i="1"/>
  <c r="AY14" i="1"/>
  <c r="DW36" i="1"/>
  <c r="BC101" i="1"/>
  <c r="BC83" i="1"/>
  <c r="BC65" i="1"/>
  <c r="BC38" i="1"/>
  <c r="BC20" i="1"/>
  <c r="DS101" i="1"/>
  <c r="DW43" i="1"/>
  <c r="DT36" i="1"/>
  <c r="BA6" i="1"/>
  <c r="DU89" i="1"/>
  <c r="DW55" i="1"/>
  <c r="DV87" i="1"/>
  <c r="DS29" i="1"/>
  <c r="DV34" i="1"/>
  <c r="EU10" i="1"/>
  <c r="FC14" i="1"/>
  <c r="EX13" i="1"/>
  <c r="ER33" i="1"/>
  <c r="FA6" i="1"/>
  <c r="ET25" i="1"/>
  <c r="ES34" i="1"/>
  <c r="EX19" i="1"/>
  <c r="EW46" i="1"/>
  <c r="ES27" i="1"/>
  <c r="ER39" i="1"/>
  <c r="FB8" i="1"/>
  <c r="FA12" i="1"/>
  <c r="BZ30" i="1"/>
  <c r="BZ7" i="1"/>
  <c r="AY90" i="1"/>
  <c r="BA47" i="1"/>
  <c r="DT75" i="1"/>
  <c r="DX93" i="1"/>
  <c r="CD94" i="1"/>
  <c r="M12" i="9"/>
  <c r="AF30" i="1"/>
  <c r="CY95" i="1"/>
  <c r="CY73" i="1"/>
  <c r="CY46" i="1"/>
  <c r="CY24" i="1"/>
  <c r="CW6" i="1"/>
  <c r="CA17" i="1"/>
  <c r="DT43" i="1"/>
  <c r="BY97" i="1"/>
  <c r="BY87" i="1"/>
  <c r="BY75" i="1"/>
  <c r="BY65" i="1"/>
  <c r="BY48" i="1"/>
  <c r="BY32" i="1"/>
  <c r="BW18" i="1"/>
  <c r="BA116" i="1"/>
  <c r="BA95" i="1"/>
  <c r="AY77" i="1"/>
  <c r="AZ53" i="1"/>
  <c r="BA34" i="1"/>
  <c r="DV68" i="1"/>
  <c r="AY88" i="1"/>
  <c r="AZ69" i="1"/>
  <c r="BA45" i="1"/>
  <c r="AY27" i="1"/>
  <c r="DS102" i="1"/>
  <c r="DT24" i="1"/>
  <c r="CA10" i="1"/>
  <c r="DW51" i="1"/>
  <c r="BZ109" i="1"/>
  <c r="BZ97" i="1"/>
  <c r="BZ87" i="1"/>
  <c r="BZ75" i="1"/>
  <c r="BZ65" i="1"/>
  <c r="BZ48" i="1"/>
  <c r="BY31" i="1"/>
  <c r="BW17" i="1"/>
  <c r="BA115" i="1"/>
  <c r="AY96" i="1"/>
  <c r="AZ77" i="1"/>
  <c r="BA53" i="1"/>
  <c r="AY35" i="1"/>
  <c r="AZ7" i="1"/>
  <c r="CA33" i="1"/>
  <c r="DS42" i="1"/>
  <c r="BB92" i="1"/>
  <c r="BB72" i="1"/>
  <c r="BB47" i="1"/>
  <c r="BB31" i="1"/>
  <c r="DT112" i="1"/>
  <c r="DW77" i="1"/>
  <c r="BC12" i="1"/>
  <c r="DT89" i="1"/>
  <c r="AZ8" i="1"/>
  <c r="DW33" i="1"/>
  <c r="BC98" i="1"/>
  <c r="BC78" i="1"/>
  <c r="BC57" i="1"/>
  <c r="BC37" i="1"/>
  <c r="AZ15" i="1"/>
  <c r="DT97" i="1"/>
  <c r="DV19" i="1"/>
  <c r="DS28" i="1"/>
  <c r="DU114" i="1"/>
  <c r="DU85" i="1"/>
  <c r="DS43" i="1"/>
  <c r="DS76" i="1"/>
  <c r="DU39" i="1"/>
  <c r="DV27" i="1"/>
  <c r="FB25" i="1"/>
  <c r="EU35" i="1"/>
  <c r="EX26" i="1"/>
  <c r="EU53" i="1"/>
  <c r="FD30" i="1"/>
  <c r="ET31" i="1"/>
  <c r="EX53" i="1"/>
  <c r="EZ15" i="1"/>
  <c r="FB52" i="1"/>
  <c r="EX55" i="1"/>
  <c r="FA43" i="1"/>
  <c r="EW33" i="1"/>
  <c r="EW36" i="1"/>
  <c r="CU77" i="1"/>
  <c r="CU50" i="1"/>
  <c r="CU28" i="1"/>
  <c r="BX112" i="1"/>
  <c r="BW91" i="1"/>
  <c r="BX72" i="1"/>
  <c r="CA48" i="1"/>
  <c r="BZ17" i="1"/>
  <c r="AY98" i="1"/>
  <c r="DS72" i="1"/>
  <c r="BZ12" i="1"/>
  <c r="BA93" i="1"/>
  <c r="BC14" i="1"/>
  <c r="BY108" i="1"/>
  <c r="BW90" i="1"/>
  <c r="BX71" i="1"/>
  <c r="CA47" i="1"/>
  <c r="BW27" i="1"/>
  <c r="AY115" i="1"/>
  <c r="AY87" i="1"/>
  <c r="BA44" i="1"/>
  <c r="DS45" i="1"/>
  <c r="CX103" i="1"/>
  <c r="CX79" i="1"/>
  <c r="CX52" i="1"/>
  <c r="CX30" i="1"/>
  <c r="CW10" i="1"/>
  <c r="BZ38" i="1"/>
  <c r="DW106" i="1"/>
  <c r="CU109" i="1"/>
  <c r="CU87" i="1"/>
  <c r="CU65" i="1"/>
  <c r="CU36" i="1"/>
  <c r="CU14" i="1"/>
  <c r="BW98" i="1"/>
  <c r="BX79" i="1"/>
  <c r="CA55" i="1"/>
  <c r="BY28" i="1"/>
  <c r="BW6" i="1"/>
  <c r="BA86" i="1"/>
  <c r="AZ44" i="1"/>
  <c r="DW44" i="1"/>
  <c r="CE105" i="1"/>
  <c r="DB91" i="1"/>
  <c r="H22" i="9"/>
  <c r="CX115" i="1"/>
  <c r="CX93" i="1"/>
  <c r="CX71" i="1"/>
  <c r="CX44" i="1"/>
  <c r="CX20" i="1"/>
  <c r="BX116" i="1"/>
  <c r="CA13" i="1"/>
  <c r="DS30" i="1"/>
  <c r="BY96" i="1"/>
  <c r="BY86" i="1"/>
  <c r="BY74" i="1"/>
  <c r="BY57" i="1"/>
  <c r="BY47" i="1"/>
  <c r="BX31" i="1"/>
  <c r="BZ16" i="1"/>
  <c r="AZ115" i="1"/>
  <c r="AY94" i="1"/>
  <c r="AZ75" i="1"/>
  <c r="BA51" i="1"/>
  <c r="AY33" i="1"/>
  <c r="DV57" i="1"/>
  <c r="AZ86" i="1"/>
  <c r="BA67" i="1"/>
  <c r="AY44" i="1"/>
  <c r="AZ25" i="1"/>
  <c r="DW96" i="1"/>
  <c r="DT15" i="1"/>
  <c r="BC116" i="1"/>
  <c r="DU47" i="1"/>
  <c r="BZ108" i="1"/>
  <c r="BZ96" i="1"/>
  <c r="BZ86" i="1"/>
  <c r="BZ74" i="1"/>
  <c r="BZ57" i="1"/>
  <c r="BZ47" i="1"/>
  <c r="BX30" i="1"/>
  <c r="BZ15" i="1"/>
  <c r="AZ114" i="1"/>
  <c r="AZ94" i="1"/>
  <c r="BA75" i="1"/>
  <c r="AY52" i="1"/>
  <c r="AZ33" i="1"/>
  <c r="DT108" i="1"/>
  <c r="CA28" i="1"/>
  <c r="DW34" i="1"/>
  <c r="BB89" i="1"/>
  <c r="BB71" i="1"/>
  <c r="BB46" i="1"/>
  <c r="BB28" i="1"/>
  <c r="DW110" i="1"/>
  <c r="DT76" i="1"/>
  <c r="DT116" i="1"/>
  <c r="DW87" i="1"/>
  <c r="DV78" i="1"/>
  <c r="DT25" i="1"/>
  <c r="BC97" i="1"/>
  <c r="BC77" i="1"/>
  <c r="BC54" i="1"/>
  <c r="BC36" i="1"/>
  <c r="AY11" i="1"/>
  <c r="DT92" i="1"/>
  <c r="AY18" i="1"/>
  <c r="DS25" i="1"/>
  <c r="DU113" i="1"/>
  <c r="DS78" i="1"/>
  <c r="DS36" i="1"/>
  <c r="DU70" i="1"/>
  <c r="DU36" i="1"/>
  <c r="DU21" i="1"/>
  <c r="EW47" i="1"/>
  <c r="EV29" i="1"/>
  <c r="EY54" i="1"/>
  <c r="EY45" i="1"/>
  <c r="FE38" i="1"/>
  <c r="EU30" i="1"/>
  <c r="ET12" i="1"/>
  <c r="FA24" i="1"/>
  <c r="ET6" i="1"/>
  <c r="ER6" i="1"/>
  <c r="EY56" i="1"/>
  <c r="ET32" i="1"/>
  <c r="EX29" i="1"/>
  <c r="H34" i="9"/>
  <c r="CW114" i="1"/>
  <c r="CW92" i="1"/>
  <c r="CW70" i="1"/>
  <c r="CW43" i="1"/>
  <c r="CW19" i="1"/>
  <c r="BW115" i="1"/>
  <c r="CA9" i="1"/>
  <c r="BY107" i="1"/>
  <c r="BY95" i="1"/>
  <c r="BY85" i="1"/>
  <c r="BY73" i="1"/>
  <c r="BY56" i="1"/>
  <c r="BY46" i="1"/>
  <c r="BW30" i="1"/>
  <c r="BY15" i="1"/>
  <c r="AY114" i="1"/>
  <c r="AZ92" i="1"/>
  <c r="BA73" i="1"/>
  <c r="AY50" i="1"/>
  <c r="AZ31" i="1"/>
  <c r="DS54" i="1"/>
  <c r="BA84" i="1"/>
  <c r="AY66" i="1"/>
  <c r="AZ42" i="1"/>
  <c r="BA21" i="1"/>
  <c r="DT93" i="1"/>
  <c r="BZ42" i="1"/>
  <c r="BB111" i="1"/>
  <c r="DT42" i="1"/>
  <c r="BZ107" i="1"/>
  <c r="BZ95" i="1"/>
  <c r="BZ85" i="1"/>
  <c r="BZ73" i="1"/>
  <c r="BZ56" i="1"/>
  <c r="BZ46" i="1"/>
  <c r="BW29" i="1"/>
  <c r="BY14" i="1"/>
  <c r="AY113" i="1"/>
  <c r="BA92" i="1"/>
  <c r="AY74" i="1"/>
  <c r="AZ50" i="1"/>
  <c r="BA31" i="1"/>
  <c r="DT96" i="1"/>
  <c r="CA21" i="1"/>
  <c r="DW28" i="1"/>
  <c r="BB86" i="1"/>
  <c r="BB70" i="1"/>
  <c r="BB45" i="1"/>
  <c r="BB25" i="1"/>
  <c r="DS109" i="1"/>
  <c r="DT74" i="1"/>
  <c r="DT111" i="1"/>
  <c r="DS86" i="1"/>
  <c r="DV76" i="1"/>
  <c r="DV9" i="1"/>
  <c r="BC96" i="1"/>
  <c r="BC76" i="1"/>
  <c r="BC51" i="1"/>
  <c r="BC35" i="1"/>
  <c r="BB9" i="1"/>
  <c r="DT87" i="1"/>
  <c r="BB16" i="1"/>
  <c r="DS12" i="1"/>
  <c r="DU111" i="1"/>
  <c r="DU72" i="1"/>
  <c r="DS15" i="1"/>
  <c r="DW45" i="1"/>
  <c r="DU29" i="1"/>
  <c r="DS7" i="1"/>
  <c r="FA29" i="1"/>
  <c r="FE20" i="1"/>
  <c r="FD12" i="1"/>
  <c r="EZ8" i="1"/>
  <c r="EZ44" i="1"/>
  <c r="EU52" i="1"/>
  <c r="FC30" i="1"/>
  <c r="FC27" i="1"/>
  <c r="ER32" i="1"/>
  <c r="FC15" i="1"/>
  <c r="EX48" i="1"/>
  <c r="EZ11" i="1"/>
  <c r="FC35" i="1"/>
  <c r="EC106" i="1"/>
  <c r="H23" i="9"/>
  <c r="CV112" i="1"/>
  <c r="CV90" i="1"/>
  <c r="CV68" i="1"/>
  <c r="CV39" i="1"/>
  <c r="CV17" i="1"/>
  <c r="CA113" i="1"/>
  <c r="BB109" i="1"/>
  <c r="BY106" i="1"/>
  <c r="BY94" i="1"/>
  <c r="BY84" i="1"/>
  <c r="BY72" i="1"/>
  <c r="BY55" i="1"/>
  <c r="BY45" i="1"/>
  <c r="BZ28" i="1"/>
  <c r="BX14" i="1"/>
  <c r="BB112" i="1"/>
  <c r="BA90" i="1"/>
  <c r="AY72" i="1"/>
  <c r="AZ48" i="1"/>
  <c r="BA29" i="1"/>
  <c r="DT50" i="1"/>
  <c r="AY83" i="1"/>
  <c r="AZ57" i="1"/>
  <c r="BA38" i="1"/>
  <c r="AY19" i="1"/>
  <c r="DS90" i="1"/>
  <c r="BY38" i="1"/>
  <c r="AY109" i="1"/>
  <c r="DS35" i="1"/>
  <c r="BZ106" i="1"/>
  <c r="BZ94" i="1"/>
  <c r="BZ84" i="1"/>
  <c r="BZ72" i="1"/>
  <c r="BZ55" i="1"/>
  <c r="BZ45" i="1"/>
  <c r="BZ27" i="1"/>
  <c r="BX13" i="1"/>
  <c r="AZ110" i="1"/>
  <c r="AY91" i="1"/>
  <c r="AZ72" i="1"/>
  <c r="BA48" i="1"/>
  <c r="AY30" i="1"/>
  <c r="DS93" i="1"/>
  <c r="CA6" i="1"/>
  <c r="DS21" i="1"/>
  <c r="BB85" i="1"/>
  <c r="BB67" i="1"/>
  <c r="BB44" i="1"/>
  <c r="BB24" i="1"/>
  <c r="DS104" i="1"/>
  <c r="DT72" i="1"/>
  <c r="DW109" i="1"/>
  <c r="DV67" i="1"/>
  <c r="DV74" i="1"/>
  <c r="BC111" i="1"/>
  <c r="BC93" i="1"/>
  <c r="BC75" i="1"/>
  <c r="BC50" i="1"/>
  <c r="BC32" i="1"/>
  <c r="BC6" i="1"/>
  <c r="DW85" i="1"/>
  <c r="AY8" i="1"/>
  <c r="DU8" i="1"/>
  <c r="DU107" i="1"/>
  <c r="DV56" i="1"/>
  <c r="DU9" i="1"/>
  <c r="DS20" i="1"/>
  <c r="DU26" i="1"/>
  <c r="DS18" i="1"/>
  <c r="EW51" i="1"/>
  <c r="EV15" i="1"/>
  <c r="EW56" i="1"/>
  <c r="FA16" i="1"/>
  <c r="FC47" i="1"/>
  <c r="FD56" i="1"/>
  <c r="EV49" i="1"/>
  <c r="FD28" i="1"/>
  <c r="EY32" i="1"/>
  <c r="ET7" i="1"/>
  <c r="FB57" i="1"/>
  <c r="ER21" i="1"/>
  <c r="ER31" i="1"/>
  <c r="BX20" i="1"/>
  <c r="BA110" i="1"/>
  <c r="BA74" i="1"/>
  <c r="AZ32" i="1"/>
  <c r="CB93" i="1"/>
  <c r="ED71" i="1"/>
  <c r="CG112" i="1"/>
  <c r="H25" i="12"/>
  <c r="CU110" i="1"/>
  <c r="CU88" i="1"/>
  <c r="CU66" i="1"/>
  <c r="CU37" i="1"/>
  <c r="CU15" i="1"/>
  <c r="BW111" i="1"/>
  <c r="BB107" i="1"/>
  <c r="BY105" i="1"/>
  <c r="BY93" i="1"/>
  <c r="BY83" i="1"/>
  <c r="BY71" i="1"/>
  <c r="BY54" i="1"/>
  <c r="BY44" i="1"/>
  <c r="BY27" i="1"/>
  <c r="BW13" i="1"/>
  <c r="AY110" i="1"/>
  <c r="AY89" i="1"/>
  <c r="AZ70" i="1"/>
  <c r="BA46" i="1"/>
  <c r="AY28" i="1"/>
  <c r="DT45" i="1"/>
  <c r="AZ79" i="1"/>
  <c r="BA55" i="1"/>
  <c r="AY37" i="1"/>
  <c r="AZ13" i="1"/>
  <c r="DW86" i="1"/>
  <c r="BX36" i="1"/>
  <c r="BA107" i="1"/>
  <c r="DW29" i="1"/>
  <c r="BZ105" i="1"/>
  <c r="BZ93" i="1"/>
  <c r="BZ83" i="1"/>
  <c r="BZ71" i="1"/>
  <c r="BZ54" i="1"/>
  <c r="BZ44" i="1"/>
  <c r="BY26" i="1"/>
  <c r="BW12" i="1"/>
  <c r="BB108" i="1"/>
  <c r="AZ89" i="1"/>
  <c r="BA70" i="1"/>
  <c r="AY47" i="1"/>
  <c r="AZ28" i="1"/>
  <c r="DW89" i="1"/>
  <c r="AZ107" i="1"/>
  <c r="DW13" i="1"/>
  <c r="BB84" i="1"/>
  <c r="BB57" i="1"/>
  <c r="BB43" i="1"/>
  <c r="BB21" i="1"/>
  <c r="DS97" i="1"/>
  <c r="DV52" i="1"/>
  <c r="DS108" i="1"/>
  <c r="DS55" i="1"/>
  <c r="DS73" i="1"/>
  <c r="BC110" i="1"/>
  <c r="BC90" i="1"/>
  <c r="BC74" i="1"/>
  <c r="BC49" i="1"/>
  <c r="BC29" i="1"/>
  <c r="DS116" i="1"/>
  <c r="DS84" i="1"/>
  <c r="DW66" i="1"/>
  <c r="BA19" i="1"/>
  <c r="DU104" i="1"/>
  <c r="DV49" i="1"/>
  <c r="DV112" i="1"/>
  <c r="DU83" i="1"/>
  <c r="DT11" i="1"/>
  <c r="ER18" i="1"/>
  <c r="FE17" i="1"/>
  <c r="FE54" i="1"/>
  <c r="ET34" i="1"/>
  <c r="EV42" i="1"/>
  <c r="EX14" i="1"/>
  <c r="EU55" i="1"/>
  <c r="EV10" i="1"/>
  <c r="FB39" i="1"/>
  <c r="EZ12" i="1"/>
  <c r="EZ9" i="1"/>
  <c r="EW43" i="1"/>
  <c r="EW35" i="1"/>
  <c r="EZ42" i="1"/>
  <c r="BW49" i="1"/>
  <c r="BY18" i="1"/>
  <c r="AY108" i="1"/>
  <c r="AZ71" i="1"/>
  <c r="AY29" i="1"/>
  <c r="DZ109" i="1"/>
  <c r="DY108" i="1"/>
  <c r="CZ96" i="1"/>
  <c r="H19" i="12"/>
  <c r="CY107" i="1"/>
  <c r="CY85" i="1"/>
  <c r="CY56" i="1"/>
  <c r="CY34" i="1"/>
  <c r="CY12" i="1"/>
  <c r="BY109" i="1"/>
  <c r="AZ105" i="1"/>
  <c r="BY104" i="1"/>
  <c r="BY92" i="1"/>
  <c r="BY80" i="1"/>
  <c r="BY70" i="1"/>
  <c r="BY53" i="1"/>
  <c r="BY43" i="1"/>
  <c r="BX26" i="1"/>
  <c r="BZ11" i="1"/>
  <c r="BA108" i="1"/>
  <c r="AZ87" i="1"/>
  <c r="BA68" i="1"/>
  <c r="AY45" i="1"/>
  <c r="AZ26" i="1"/>
  <c r="DT38" i="1"/>
  <c r="BA77" i="1"/>
  <c r="AY54" i="1"/>
  <c r="AZ35" i="1"/>
  <c r="BB7" i="1"/>
  <c r="DV77" i="1"/>
  <c r="BW34" i="1"/>
  <c r="AY16" i="1"/>
  <c r="DV21" i="1"/>
  <c r="BZ104" i="1"/>
  <c r="BZ92" i="1"/>
  <c r="BZ80" i="1"/>
  <c r="BZ70" i="1"/>
  <c r="BZ53" i="1"/>
  <c r="BZ43" i="1"/>
  <c r="BX25" i="1"/>
  <c r="BZ10" i="1"/>
  <c r="AY106" i="1"/>
  <c r="BA87" i="1"/>
  <c r="AY69" i="1"/>
  <c r="AZ45" i="1"/>
  <c r="BA26" i="1"/>
  <c r="DT86" i="1"/>
  <c r="BB105" i="1"/>
  <c r="BB101" i="1"/>
  <c r="BB83" i="1"/>
  <c r="BB56" i="1"/>
  <c r="BB38" i="1"/>
  <c r="BB20" i="1"/>
  <c r="DT95" i="1"/>
  <c r="DW24" i="1"/>
  <c r="DT106" i="1"/>
  <c r="DS53" i="1"/>
  <c r="DU67" i="1"/>
  <c r="BC109" i="1"/>
  <c r="BC89" i="1"/>
  <c r="BC71" i="1"/>
  <c r="BC48" i="1"/>
  <c r="BC28" i="1"/>
  <c r="DS111" i="1"/>
  <c r="DS80" i="1"/>
  <c r="DT65" i="1"/>
  <c r="BA16" i="1"/>
  <c r="DU103" i="1"/>
  <c r="DT16" i="1"/>
  <c r="DV109" i="1"/>
  <c r="DW74" i="1"/>
  <c r="DV24" i="1"/>
  <c r="FB26" i="1"/>
  <c r="FD52" i="1"/>
  <c r="FE34" i="1"/>
  <c r="EY15" i="1"/>
  <c r="EV46" i="1"/>
  <c r="ER10" i="1"/>
  <c r="EX52" i="1"/>
  <c r="EU29" i="1"/>
  <c r="EX31" i="1"/>
  <c r="FC17" i="1"/>
  <c r="EU15" i="1"/>
  <c r="EY48" i="1"/>
  <c r="EU49" i="1"/>
  <c r="ER54" i="1"/>
  <c r="CU67" i="1"/>
  <c r="CU38" i="1"/>
  <c r="CU16" i="1"/>
  <c r="BX101" i="1"/>
  <c r="CA80" i="1"/>
  <c r="BW57" i="1"/>
  <c r="BY30" i="1"/>
  <c r="BY7" i="1"/>
  <c r="DT110" i="1"/>
  <c r="BY25" i="1"/>
  <c r="BA113" i="1"/>
  <c r="DT35" i="1"/>
  <c r="DW91" i="1"/>
  <c r="BX98" i="1"/>
  <c r="CA79" i="1"/>
  <c r="BW56" i="1"/>
  <c r="CA36" i="1"/>
  <c r="BZ14" i="1"/>
  <c r="BA103" i="1"/>
  <c r="AZ68" i="1"/>
  <c r="AY26" i="1"/>
  <c r="CX113" i="1"/>
  <c r="CX91" i="1"/>
  <c r="CX69" i="1"/>
  <c r="CX42" i="1"/>
  <c r="CX18" i="1"/>
  <c r="BX115" i="1"/>
  <c r="CA7" i="1"/>
  <c r="AF36" i="1"/>
  <c r="CU97" i="1"/>
  <c r="CU75" i="1"/>
  <c r="CU48" i="1"/>
  <c r="CU26" i="1"/>
  <c r="BX108" i="1"/>
  <c r="CA89" i="1"/>
  <c r="BW71" i="1"/>
  <c r="BX47" i="1"/>
  <c r="BX16" i="1"/>
  <c r="AZ103" i="1"/>
  <c r="AY68" i="1"/>
  <c r="BA25" i="1"/>
  <c r="DH85" i="1"/>
  <c r="CJ90" i="1"/>
  <c r="DG102" i="1"/>
  <c r="AA12" i="12"/>
  <c r="CX105" i="1"/>
  <c r="CX83" i="1"/>
  <c r="CX54" i="1"/>
  <c r="CX32" i="1"/>
  <c r="CW11" i="1"/>
  <c r="BW42" i="1"/>
  <c r="BC7" i="1"/>
  <c r="BY103" i="1"/>
  <c r="BY91" i="1"/>
  <c r="BY79" i="1"/>
  <c r="BY69" i="1"/>
  <c r="BY52" i="1"/>
  <c r="BX39" i="1"/>
  <c r="BW25" i="1"/>
  <c r="BY10" i="1"/>
  <c r="AZ104" i="1"/>
  <c r="BA85" i="1"/>
  <c r="AY67" i="1"/>
  <c r="AZ43" i="1"/>
  <c r="BA24" i="1"/>
  <c r="DS33" i="1"/>
  <c r="AY76" i="1"/>
  <c r="AZ52" i="1"/>
  <c r="BA33" i="1"/>
  <c r="DT115" i="1"/>
  <c r="DS74" i="1"/>
  <c r="CA32" i="1"/>
  <c r="AZ10" i="1"/>
  <c r="DU6" i="1"/>
  <c r="BZ103" i="1"/>
  <c r="BZ91" i="1"/>
  <c r="BZ79" i="1"/>
  <c r="BZ69" i="1"/>
  <c r="BZ52" i="1"/>
  <c r="BY39" i="1"/>
  <c r="BW24" i="1"/>
  <c r="BY9" i="1"/>
  <c r="BA104" i="1"/>
  <c r="AY86" i="1"/>
  <c r="AZ67" i="1"/>
  <c r="BA43" i="1"/>
  <c r="AY25" i="1"/>
  <c r="DW69" i="1"/>
  <c r="BB18" i="1"/>
  <c r="BB96" i="1"/>
  <c r="BB80" i="1"/>
  <c r="BB55" i="1"/>
  <c r="BB35" i="1"/>
  <c r="AZ19" i="1"/>
  <c r="DW93" i="1"/>
  <c r="DW11" i="1"/>
  <c r="DW104" i="1"/>
  <c r="DU46" i="1"/>
  <c r="DW50" i="1"/>
  <c r="BC108" i="1"/>
  <c r="BC88" i="1"/>
  <c r="BC68" i="1"/>
  <c r="BC47" i="1"/>
  <c r="BC27" i="1"/>
  <c r="DS106" i="1"/>
  <c r="DU78" i="1"/>
  <c r="DT56" i="1"/>
  <c r="BA13" i="1"/>
  <c r="DU101" i="1"/>
  <c r="DV7" i="1"/>
  <c r="DV102" i="1"/>
  <c r="DU54" i="1"/>
  <c r="DT8" i="1"/>
  <c r="EW31" i="1"/>
  <c r="EZ34" i="1"/>
  <c r="FA54" i="1"/>
  <c r="FB13" i="1"/>
  <c r="FA10" i="1"/>
  <c r="EX12" i="1"/>
  <c r="EU46" i="1"/>
  <c r="DS6" i="1"/>
  <c r="FD51" i="1"/>
  <c r="FB35" i="1"/>
  <c r="ER38" i="1"/>
  <c r="EY9" i="1"/>
  <c r="ES10" i="1"/>
  <c r="EU54" i="1"/>
  <c r="DV8" i="1"/>
  <c r="DS75" i="1"/>
  <c r="DS50" i="1"/>
  <c r="DT29" i="1"/>
  <c r="DV115" i="1"/>
  <c r="DV105" i="1"/>
  <c r="DV93" i="1"/>
  <c r="DV83" i="1"/>
  <c r="DV54" i="1"/>
  <c r="DW12" i="1"/>
  <c r="DS67" i="1"/>
  <c r="DS39" i="1"/>
  <c r="DW19" i="1"/>
  <c r="DU32" i="1"/>
  <c r="DW17" i="1"/>
  <c r="DW14" i="1"/>
  <c r="DV42" i="1"/>
  <c r="DV30" i="1"/>
  <c r="DV13" i="1"/>
  <c r="DT10" i="1"/>
  <c r="EV25" i="1"/>
  <c r="ET20" i="1"/>
  <c r="FD35" i="1"/>
  <c r="EW34" i="1"/>
  <c r="FD9" i="1"/>
  <c r="ES51" i="1"/>
  <c r="FA52" i="1"/>
  <c r="FC24" i="1"/>
  <c r="FD54" i="1"/>
  <c r="FA9" i="1"/>
  <c r="FB11" i="1"/>
  <c r="FE6" i="1"/>
  <c r="FB38" i="1"/>
  <c r="EU34" i="1"/>
  <c r="ET42" i="1"/>
  <c r="EZ25" i="1"/>
  <c r="FE18" i="1"/>
  <c r="ET37" i="1"/>
  <c r="FB48" i="1"/>
  <c r="FC33" i="1"/>
  <c r="FE7" i="1"/>
  <c r="EZ28" i="1"/>
  <c r="FD13" i="1"/>
  <c r="FD43" i="1"/>
  <c r="FA17" i="1"/>
  <c r="EW13" i="1"/>
  <c r="EV24" i="1"/>
  <c r="EY39" i="1"/>
  <c r="EW30" i="1"/>
  <c r="FC57" i="1"/>
  <c r="EV57" i="1"/>
  <c r="EU12" i="1"/>
  <c r="EZ47" i="1"/>
  <c r="ES28" i="1"/>
  <c r="FC10" i="1"/>
  <c r="ER44" i="1"/>
  <c r="EZ17" i="1"/>
  <c r="FE9" i="1"/>
  <c r="EX39" i="1"/>
  <c r="EV28" i="1"/>
  <c r="ER50" i="1"/>
  <c r="ET49" i="1"/>
  <c r="FB43" i="1"/>
  <c r="ER11" i="1"/>
  <c r="ET47" i="1"/>
  <c r="FA30" i="1"/>
  <c r="FC20" i="1"/>
  <c r="FE35" i="1"/>
  <c r="EV18" i="1"/>
  <c r="EV20" i="1"/>
  <c r="EZ39" i="1"/>
  <c r="EX28" i="1"/>
  <c r="EY27" i="1"/>
  <c r="FA45" i="1"/>
  <c r="ES54" i="1"/>
  <c r="FD10" i="1"/>
  <c r="EY51" i="1"/>
  <c r="EV16" i="1"/>
  <c r="FB45" i="1"/>
  <c r="ET29" i="1"/>
  <c r="ET21" i="1"/>
  <c r="FD17" i="1"/>
  <c r="FB7" i="1"/>
  <c r="ET30" i="1"/>
  <c r="EV34" i="1"/>
  <c r="ER55" i="1"/>
  <c r="ES57" i="1"/>
  <c r="DS105" i="1"/>
  <c r="DS14" i="1"/>
  <c r="BC112" i="1"/>
  <c r="DU51" i="1"/>
  <c r="BB98" i="1"/>
  <c r="BB88" i="1"/>
  <c r="BB76" i="1"/>
  <c r="BB66" i="1"/>
  <c r="BB49" i="1"/>
  <c r="BB37" i="1"/>
  <c r="BB27" i="1"/>
  <c r="AZ9" i="1"/>
  <c r="DT102" i="1"/>
  <c r="DW83" i="1"/>
  <c r="DU19" i="1"/>
  <c r="DW114" i="1"/>
  <c r="DS96" i="1"/>
  <c r="DV65" i="1"/>
  <c r="BB12" i="1"/>
  <c r="DU65" i="1"/>
  <c r="DT17" i="1"/>
  <c r="BC104" i="1"/>
  <c r="BC92" i="1"/>
  <c r="BC80" i="1"/>
  <c r="BC70" i="1"/>
  <c r="BC53" i="1"/>
  <c r="BC43" i="1"/>
  <c r="BC31" i="1"/>
  <c r="BB19" i="1"/>
  <c r="DT109" i="1"/>
  <c r="DW90" i="1"/>
  <c r="DW52" i="1"/>
  <c r="DW70" i="1"/>
  <c r="DT33" i="1"/>
  <c r="BA15" i="1"/>
  <c r="DU116" i="1"/>
  <c r="DU106" i="1"/>
  <c r="DU94" i="1"/>
  <c r="DU84" i="1"/>
  <c r="DU55" i="1"/>
  <c r="DV6" i="1"/>
  <c r="DW72" i="1"/>
  <c r="DW48" i="1"/>
  <c r="DW27" i="1"/>
  <c r="DV114" i="1"/>
  <c r="DV104" i="1"/>
  <c r="DV92" i="1"/>
  <c r="DU80" i="1"/>
  <c r="DU53" i="1"/>
  <c r="DW10" i="1"/>
  <c r="DW57" i="1"/>
  <c r="DT37" i="1"/>
  <c r="DT7" i="1"/>
  <c r="DU31" i="1"/>
  <c r="DV15" i="1"/>
  <c r="DV12" i="1"/>
  <c r="DV39" i="1"/>
  <c r="DV29" i="1"/>
  <c r="DU11" i="1"/>
  <c r="DS8" i="1"/>
  <c r="FE56" i="1"/>
  <c r="FE12" i="1"/>
  <c r="ET28" i="1"/>
  <c r="FA35" i="1"/>
  <c r="FC34" i="1"/>
  <c r="EV12" i="1"/>
  <c r="FA7" i="1"/>
  <c r="EX34" i="1"/>
  <c r="ES49" i="1"/>
  <c r="ER24" i="1"/>
  <c r="FB32" i="1"/>
  <c r="FB14" i="1"/>
  <c r="EY26" i="1"/>
  <c r="EX36" i="1"/>
  <c r="EZ56" i="1"/>
  <c r="FC51" i="1"/>
  <c r="ET16" i="1"/>
  <c r="ES26" i="1"/>
  <c r="FD15" i="1"/>
  <c r="FC25" i="1"/>
  <c r="EU8" i="1"/>
  <c r="FC56" i="1"/>
  <c r="FE15" i="1"/>
  <c r="EU45" i="1"/>
  <c r="EX15" i="1"/>
  <c r="EZ19" i="1"/>
  <c r="EU39" i="1"/>
  <c r="EU25" i="1"/>
  <c r="FC26" i="1"/>
  <c r="FA57" i="1"/>
  <c r="EW53" i="1"/>
  <c r="EY12" i="1"/>
  <c r="EV54" i="1"/>
  <c r="EZ30" i="1"/>
  <c r="FC16" i="1"/>
  <c r="FD47" i="1"/>
  <c r="ES16" i="1"/>
  <c r="EW18" i="1"/>
  <c r="EY30" i="1"/>
  <c r="FD33" i="1"/>
  <c r="EU47" i="1"/>
  <c r="FD44" i="1"/>
  <c r="EW54" i="1"/>
  <c r="ES13" i="1"/>
  <c r="EV50" i="1"/>
  <c r="EW32" i="1"/>
  <c r="ER19" i="1"/>
  <c r="FC31" i="1"/>
  <c r="EX10" i="1"/>
  <c r="FB16" i="1"/>
  <c r="EW27" i="1"/>
  <c r="EY36" i="1"/>
  <c r="FA42" i="1"/>
  <c r="FA55" i="1"/>
  <c r="EY50" i="1"/>
  <c r="ET18" i="1"/>
  <c r="FB44" i="1"/>
  <c r="ES24" i="1"/>
  <c r="FD48" i="1"/>
  <c r="FE30" i="1"/>
  <c r="FC19" i="1"/>
  <c r="ET15" i="1"/>
  <c r="EW24" i="1"/>
  <c r="EW26" i="1"/>
  <c r="FB30" i="1"/>
  <c r="EZ43" i="1"/>
  <c r="EU44" i="1"/>
  <c r="DW101" i="1"/>
  <c r="BY42" i="1"/>
  <c r="BA111" i="1"/>
  <c r="DW46" i="1"/>
  <c r="BB97" i="1"/>
  <c r="BB87" i="1"/>
  <c r="BB75" i="1"/>
  <c r="BB65" i="1"/>
  <c r="BB48" i="1"/>
  <c r="BB36" i="1"/>
  <c r="BB26" i="1"/>
  <c r="AZ6" i="1"/>
  <c r="DW98" i="1"/>
  <c r="DW79" i="1"/>
  <c r="DU15" i="1"/>
  <c r="DS113" i="1"/>
  <c r="DT94" i="1"/>
  <c r="DS57" i="1"/>
  <c r="BC9" i="1"/>
  <c r="DU56" i="1"/>
  <c r="DT13" i="1"/>
  <c r="BC103" i="1"/>
  <c r="BC91" i="1"/>
  <c r="BC79" i="1"/>
  <c r="BC69" i="1"/>
  <c r="BC52" i="1"/>
  <c r="BC42" i="1"/>
  <c r="BC30" i="1"/>
  <c r="BC16" i="1"/>
  <c r="DW107" i="1"/>
  <c r="DS89" i="1"/>
  <c r="DV50" i="1"/>
  <c r="DW68" i="1"/>
  <c r="DT30" i="1"/>
  <c r="BA14" i="1"/>
  <c r="DU115" i="1"/>
  <c r="DU105" i="1"/>
  <c r="DU93" i="1"/>
  <c r="DT80" i="1"/>
  <c r="DT53" i="1"/>
  <c r="DT6" i="1"/>
  <c r="DV70" i="1"/>
  <c r="DT47" i="1"/>
  <c r="DS26" i="1"/>
  <c r="DV113" i="1"/>
  <c r="DV103" i="1"/>
  <c r="DV91" i="1"/>
  <c r="DT78" i="1"/>
  <c r="DU48" i="1"/>
  <c r="DW8" i="1"/>
  <c r="DV55" i="1"/>
  <c r="DW35" i="1"/>
  <c r="DU42" i="1"/>
  <c r="DU30" i="1"/>
  <c r="DU13" i="1"/>
  <c r="DU10" i="1"/>
  <c r="DV38" i="1"/>
  <c r="DV28" i="1"/>
  <c r="DT9" i="1"/>
  <c r="DW6" i="1"/>
  <c r="FB15" i="1"/>
  <c r="FE13" i="1"/>
  <c r="FC36" i="1"/>
  <c r="EV36" i="1"/>
  <c r="ES55" i="1"/>
  <c r="EW17" i="1"/>
  <c r="ET14" i="1"/>
  <c r="FD34" i="1"/>
  <c r="EW9" i="1"/>
  <c r="FC28" i="1"/>
  <c r="ES30" i="1"/>
  <c r="FA19" i="1"/>
  <c r="ES35" i="1"/>
  <c r="ET53" i="1"/>
  <c r="ER15" i="1"/>
  <c r="FE49" i="1"/>
  <c r="FD18" i="1"/>
  <c r="ET52" i="1"/>
  <c r="EV8" i="1"/>
  <c r="ES36" i="1"/>
  <c r="FB10" i="1"/>
  <c r="FB50" i="1"/>
  <c r="ET38" i="1"/>
  <c r="FE43" i="1"/>
  <c r="FB9" i="1"/>
  <c r="ER16" i="1"/>
  <c r="EV35" i="1"/>
  <c r="EX35" i="1"/>
  <c r="EU42" i="1"/>
  <c r="FC52" i="1"/>
  <c r="FC49" i="1"/>
  <c r="FB21" i="1"/>
  <c r="FA51" i="1"/>
  <c r="FA38" i="1"/>
  <c r="FE21" i="1"/>
  <c r="EU51" i="1"/>
  <c r="EX11" i="1"/>
  <c r="ET19" i="1"/>
  <c r="EU26" i="1"/>
  <c r="EY34" i="1"/>
  <c r="ES45" i="1"/>
  <c r="FB56" i="1"/>
  <c r="EY53" i="1"/>
  <c r="FE29" i="1"/>
  <c r="EW48" i="1"/>
  <c r="EX25" i="1"/>
  <c r="EW8" i="1"/>
  <c r="EY42" i="1"/>
  <c r="FB18" i="1"/>
  <c r="ET13" i="1"/>
  <c r="FC38" i="1"/>
  <c r="FD31" i="1"/>
  <c r="EX42" i="1"/>
  <c r="FA56" i="1"/>
  <c r="FE46" i="1"/>
  <c r="EX7" i="1"/>
  <c r="FB46" i="1"/>
  <c r="EZ31" i="1"/>
  <c r="ER48" i="1"/>
  <c r="ES25" i="1"/>
  <c r="FD16" i="1"/>
  <c r="FE19" i="1"/>
  <c r="EV39" i="1"/>
  <c r="FA26" i="1"/>
  <c r="ET27" i="1"/>
  <c r="EY43" i="1"/>
  <c r="FB53" i="1"/>
  <c r="ET50" i="1"/>
  <c r="DU91" i="1"/>
  <c r="DW75" i="1"/>
  <c r="DT48" i="1"/>
  <c r="DV20" i="1"/>
  <c r="DT67" i="1"/>
  <c r="DT39" i="1"/>
  <c r="DS13" i="1"/>
  <c r="DV111" i="1"/>
  <c r="DV101" i="1"/>
  <c r="DV89" i="1"/>
  <c r="DW73" i="1"/>
  <c r="DT44" i="1"/>
  <c r="DT79" i="1"/>
  <c r="DT52" i="1"/>
  <c r="DT32" i="1"/>
  <c r="DU38" i="1"/>
  <c r="DU28" i="1"/>
  <c r="DS9" i="1"/>
  <c r="DV48" i="1"/>
  <c r="DV36" i="1"/>
  <c r="DV26" i="1"/>
  <c r="DU24" i="1"/>
  <c r="FA15" i="1"/>
  <c r="EU33" i="1"/>
  <c r="EY18" i="1"/>
  <c r="EX56" i="1"/>
  <c r="ES56" i="1"/>
  <c r="EZ20" i="1"/>
  <c r="ET46" i="1"/>
  <c r="EU6" i="1"/>
  <c r="FD26" i="1"/>
  <c r="FB34" i="1"/>
  <c r="ES15" i="1"/>
  <c r="EW50" i="1"/>
  <c r="EU19" i="1"/>
  <c r="EW44" i="1"/>
  <c r="FC32" i="1"/>
  <c r="ER27" i="1"/>
  <c r="FC9" i="1"/>
  <c r="EZ10" i="1"/>
  <c r="FC53" i="1"/>
  <c r="EZ13" i="1"/>
  <c r="FC50" i="1"/>
  <c r="FB12" i="1"/>
  <c r="ER46" i="1"/>
  <c r="EV30" i="1"/>
  <c r="EW52" i="1"/>
  <c r="ES21" i="1"/>
  <c r="FD8" i="1"/>
  <c r="ET35" i="1"/>
  <c r="EU27" i="1"/>
  <c r="FE47" i="1"/>
  <c r="FB47" i="1"/>
  <c r="FD49" i="1"/>
  <c r="EX24" i="1"/>
  <c r="FC44" i="1"/>
  <c r="ER25" i="1"/>
  <c r="EW12" i="1"/>
  <c r="FD6" i="1"/>
  <c r="EY21" i="1"/>
  <c r="ER12" i="1"/>
  <c r="FB27" i="1"/>
  <c r="EZ38" i="1"/>
  <c r="EV43" i="1"/>
  <c r="ER52" i="1"/>
  <c r="ET54" i="1"/>
  <c r="EW39" i="1"/>
  <c r="EY17" i="1"/>
  <c r="FD42" i="1"/>
  <c r="EY19" i="1"/>
  <c r="EV44" i="1"/>
  <c r="EW15" i="1"/>
  <c r="EU16" i="1"/>
  <c r="FC29" i="1"/>
  <c r="EX32" i="1"/>
  <c r="EZ57" i="1"/>
  <c r="EY44" i="1"/>
  <c r="FD57" i="1"/>
  <c r="FD38" i="1"/>
  <c r="FD55" i="1"/>
  <c r="FE32" i="1"/>
  <c r="EU7" i="1"/>
  <c r="ET51" i="1"/>
  <c r="EZ16" i="1"/>
  <c r="FC12" i="1"/>
  <c r="ER37" i="1"/>
  <c r="EY31" i="1"/>
  <c r="ES42" i="1"/>
  <c r="FE55" i="1"/>
  <c r="EZ46" i="1"/>
  <c r="BA11" i="1"/>
  <c r="DU112" i="1"/>
  <c r="DU102" i="1"/>
  <c r="DU90" i="1"/>
  <c r="DV73" i="1"/>
  <c r="DS44" i="1"/>
  <c r="DV18" i="1"/>
  <c r="DS65" i="1"/>
  <c r="DW37" i="1"/>
  <c r="DS11" i="1"/>
  <c r="DV110" i="1"/>
  <c r="DV98" i="1"/>
  <c r="DV88" i="1"/>
  <c r="DV71" i="1"/>
  <c r="DS24" i="1"/>
  <c r="DS77" i="1"/>
  <c r="DS51" i="1"/>
  <c r="DW30" i="1"/>
  <c r="DU37" i="1"/>
  <c r="DU27" i="1"/>
  <c r="DW7" i="1"/>
  <c r="DV47" i="1"/>
  <c r="DV35" i="1"/>
  <c r="DV25" i="1"/>
  <c r="DT20" i="1"/>
  <c r="EW28" i="1"/>
  <c r="ES43" i="1"/>
  <c r="EV21" i="1"/>
  <c r="EX51" i="1"/>
  <c r="EY57" i="1"/>
  <c r="FB36" i="1"/>
  <c r="ER53" i="1"/>
  <c r="EW20" i="1"/>
  <c r="ET36" i="1"/>
  <c r="ER47" i="1"/>
  <c r="ES12" i="1"/>
  <c r="EZ6" i="1"/>
  <c r="ET8" i="1"/>
  <c r="EW49" i="1"/>
  <c r="EZ33" i="1"/>
  <c r="FE57" i="1"/>
  <c r="EY24" i="1"/>
  <c r="EY38" i="1"/>
  <c r="FC48" i="1"/>
  <c r="EZ14" i="1"/>
  <c r="ES52" i="1"/>
  <c r="FE39" i="1"/>
  <c r="EZ51" i="1"/>
  <c r="FA28" i="1"/>
  <c r="FC46" i="1"/>
  <c r="EV14" i="1"/>
  <c r="FA21" i="1"/>
  <c r="ES29" i="1"/>
  <c r="EZ29" i="1"/>
  <c r="EX50" i="1"/>
  <c r="FC43" i="1"/>
  <c r="ES44" i="1"/>
  <c r="EV32" i="1"/>
  <c r="FD11" i="1"/>
  <c r="FA48" i="1"/>
  <c r="FA39" i="1"/>
  <c r="EX9" i="1"/>
  <c r="EV19" i="1"/>
  <c r="EX8" i="1"/>
  <c r="FE31" i="1"/>
  <c r="ER35" i="1"/>
  <c r="EW55" i="1"/>
  <c r="ER45" i="1"/>
  <c r="EU56" i="1"/>
  <c r="ET39" i="1"/>
  <c r="FB20" i="1"/>
  <c r="FC45" i="1"/>
  <c r="EZ24" i="1"/>
  <c r="ET55" i="1"/>
  <c r="ES11" i="1"/>
  <c r="FC18" i="1"/>
  <c r="FD25" i="1"/>
  <c r="ES33" i="1"/>
  <c r="ET57" i="1"/>
  <c r="EV55" i="1"/>
  <c r="ET48" i="1"/>
  <c r="FA27" i="1"/>
  <c r="EW6" i="1"/>
  <c r="EW37" i="1"/>
  <c r="FD7" i="1"/>
  <c r="ES50" i="1"/>
  <c r="EV13" i="1"/>
  <c r="EU9" i="1"/>
  <c r="EZ36" i="1"/>
  <c r="EZ27" i="1"/>
  <c r="EZ53" i="1"/>
  <c r="ES48" i="1"/>
  <c r="ER43" i="1"/>
  <c r="ET44" i="1"/>
  <c r="BA9" i="1"/>
  <c r="DU110" i="1"/>
  <c r="DU98" i="1"/>
  <c r="DU88" i="1"/>
  <c r="DT70" i="1"/>
  <c r="DT14" i="1"/>
  <c r="DV80" i="1"/>
  <c r="DV53" i="1"/>
  <c r="DT34" i="1"/>
  <c r="DU7" i="1"/>
  <c r="DV108" i="1"/>
  <c r="DV96" i="1"/>
  <c r="DV86" i="1"/>
  <c r="DT68" i="1"/>
  <c r="DU18" i="1"/>
  <c r="DV72" i="1"/>
  <c r="DS47" i="1"/>
  <c r="DT27" i="1"/>
  <c r="DU35" i="1"/>
  <c r="DU25" i="1"/>
  <c r="DU20" i="1"/>
  <c r="DV45" i="1"/>
  <c r="DV33" i="1"/>
  <c r="DT19" i="1"/>
  <c r="DW16" i="1"/>
  <c r="EV48" i="1"/>
  <c r="EU24" i="1"/>
  <c r="EX37" i="1"/>
  <c r="EZ54" i="1"/>
  <c r="EZ55" i="1"/>
  <c r="EY16" i="1"/>
  <c r="FD24" i="1"/>
  <c r="ER8" i="1"/>
  <c r="EV53" i="1"/>
  <c r="ER28" i="1"/>
  <c r="FD32" i="1"/>
  <c r="EW11" i="1"/>
  <c r="ES37" i="1"/>
  <c r="EY49" i="1"/>
  <c r="FA8" i="1"/>
  <c r="EU11" i="1"/>
  <c r="FE11" i="1"/>
  <c r="FE36" i="1"/>
  <c r="FE48" i="1"/>
  <c r="FB24" i="1"/>
  <c r="FA49" i="1"/>
  <c r="FB31" i="1"/>
  <c r="EY11" i="1"/>
  <c r="ER42" i="1"/>
  <c r="EV6" i="1"/>
  <c r="ES19" i="1"/>
  <c r="EY14" i="1"/>
  <c r="ES38" i="1"/>
  <c r="EZ37" i="1"/>
  <c r="ER49" i="1"/>
  <c r="EV56" i="1"/>
  <c r="FA46" i="1"/>
  <c r="EV33" i="1"/>
  <c r="EW21" i="1"/>
  <c r="EZ50" i="1"/>
  <c r="FE37" i="1"/>
  <c r="FB19" i="1"/>
  <c r="FA20" i="1"/>
  <c r="FC37" i="1"/>
  <c r="FD29" i="1"/>
  <c r="FD27" i="1"/>
  <c r="EX47" i="1"/>
  <c r="EX54" i="1"/>
  <c r="EY10" i="1"/>
  <c r="FB54" i="1"/>
  <c r="FD19" i="1"/>
  <c r="EZ45" i="1"/>
  <c r="EZ26" i="1"/>
  <c r="EY6" i="1"/>
  <c r="ES20" i="1"/>
  <c r="FA11" i="1"/>
  <c r="FE25" i="1"/>
  <c r="EU38" i="1"/>
  <c r="FC55" i="1"/>
  <c r="EV51" i="1"/>
  <c r="EV52" i="1"/>
  <c r="EW29" i="1"/>
  <c r="EX20" i="1"/>
  <c r="EY52" i="1"/>
  <c r="EY20" i="1"/>
  <c r="FA47" i="1"/>
  <c r="EW10" i="1"/>
  <c r="EX18" i="1"/>
  <c r="EY25" i="1"/>
  <c r="FA31" i="1"/>
  <c r="FB49" i="1"/>
  <c r="FD53" i="1"/>
  <c r="DS115" i="1"/>
  <c r="DT66" i="1"/>
  <c r="CA16" i="1"/>
  <c r="DW80" i="1"/>
  <c r="BB103" i="1"/>
  <c r="BB91" i="1"/>
  <c r="BB79" i="1"/>
  <c r="BB69" i="1"/>
  <c r="BB52" i="1"/>
  <c r="BB42" i="1"/>
  <c r="BB30" i="1"/>
  <c r="AY15" i="1"/>
  <c r="DT107" i="1"/>
  <c r="DW88" i="1"/>
  <c r="DS48" i="1"/>
  <c r="AZ11" i="1"/>
  <c r="DS103" i="1"/>
  <c r="DT84" i="1"/>
  <c r="BC19" i="1"/>
  <c r="DS71" i="1"/>
  <c r="DT31" i="1"/>
  <c r="BC107" i="1"/>
  <c r="BC95" i="1"/>
  <c r="BC85" i="1"/>
  <c r="BC73" i="1"/>
  <c r="BC56" i="1"/>
  <c r="BC46" i="1"/>
  <c r="BC34" i="1"/>
  <c r="BC24" i="1"/>
  <c r="DT114" i="1"/>
  <c r="DW95" i="1"/>
  <c r="DU76" i="1"/>
  <c r="BC13" i="1"/>
  <c r="DU43" i="1"/>
  <c r="BA18" i="1"/>
  <c r="BA8" i="1"/>
  <c r="DU109" i="1"/>
  <c r="DU97" i="1"/>
  <c r="DU87" i="1"/>
  <c r="DS68" i="1"/>
  <c r="DT12" i="1"/>
  <c r="DU79" i="1"/>
  <c r="DU52" i="1"/>
  <c r="DW32" i="1"/>
  <c r="BB6" i="1"/>
  <c r="DV107" i="1"/>
  <c r="DV95" i="1"/>
  <c r="DV85" i="1"/>
  <c r="DS66" i="1"/>
  <c r="DU16" i="1"/>
  <c r="DU71" i="1"/>
  <c r="DU45" i="1"/>
  <c r="DW25" i="1"/>
  <c r="DU34" i="1"/>
  <c r="DT21" i="1"/>
  <c r="DT18" i="1"/>
  <c r="DV44" i="1"/>
  <c r="DV32" i="1"/>
  <c r="DS17" i="1"/>
  <c r="DV14" i="1"/>
  <c r="ER9" i="1"/>
  <c r="EX30" i="1"/>
  <c r="FB28" i="1"/>
  <c r="FB42" i="1"/>
  <c r="EX49" i="1"/>
  <c r="FB17" i="1"/>
  <c r="EX38" i="1"/>
  <c r="EY8" i="1"/>
  <c r="ET56" i="1"/>
  <c r="FE42" i="1"/>
  <c r="ER51" i="1"/>
  <c r="EV31" i="1"/>
  <c r="FB33" i="1"/>
  <c r="FD45" i="1"/>
  <c r="FE14" i="1"/>
  <c r="ER17" i="1"/>
  <c r="ES6" i="1"/>
  <c r="EV37" i="1"/>
  <c r="EZ48" i="1"/>
  <c r="EY29" i="1"/>
  <c r="FE51" i="1"/>
  <c r="ER29" i="1"/>
  <c r="FC11" i="1"/>
  <c r="FD46" i="1"/>
  <c r="EX6" i="1"/>
  <c r="EU17" i="1"/>
  <c r="FE10" i="1"/>
  <c r="EW38" i="1"/>
  <c r="EY37" i="1"/>
  <c r="FB55" i="1"/>
  <c r="EU50" i="1"/>
  <c r="FB51" i="1"/>
  <c r="ES39" i="1"/>
  <c r="ES7" i="1"/>
  <c r="ES53" i="1"/>
  <c r="EU36" i="1"/>
  <c r="ET11" i="1"/>
  <c r="ES17" i="1"/>
  <c r="FB37" i="1"/>
  <c r="EU37" i="1"/>
  <c r="EW42" i="1"/>
  <c r="EX57" i="1"/>
  <c r="FD50" i="1"/>
  <c r="EU18" i="1"/>
  <c r="FE53" i="1"/>
  <c r="FE24" i="1"/>
  <c r="EU48" i="1"/>
  <c r="FA32" i="1"/>
  <c r="EV7" i="1"/>
  <c r="EZ18" i="1"/>
  <c r="ES8" i="1"/>
  <c r="EU31" i="1"/>
  <c r="FA34" i="1"/>
  <c r="EU57" i="1"/>
  <c r="EU43" i="1"/>
  <c r="EW14" i="1"/>
  <c r="ER34" i="1"/>
  <c r="ES9" i="1"/>
  <c r="EZ52" i="1"/>
  <c r="FC8" i="1"/>
  <c r="FB6" i="1"/>
  <c r="EU21" i="1"/>
  <c r="FD14" i="1"/>
  <c r="FD39" i="1"/>
  <c r="EV38" i="1"/>
  <c r="FE52" i="1"/>
  <c r="ER57" i="1"/>
  <c r="DW111" i="1"/>
  <c r="DT55" i="1"/>
  <c r="CA11" i="1"/>
  <c r="DW76" i="1"/>
  <c r="BB102" i="1"/>
  <c r="BB90" i="1"/>
  <c r="BB78" i="1"/>
  <c r="BB68" i="1"/>
  <c r="BB51" i="1"/>
  <c r="BB39" i="1"/>
  <c r="BB29" i="1"/>
  <c r="BB13" i="1"/>
  <c r="DW105" i="1"/>
  <c r="DS87" i="1"/>
  <c r="DS46" i="1"/>
  <c r="AY7" i="1"/>
  <c r="DT101" i="1"/>
  <c r="DV69" i="1"/>
  <c r="AZ18" i="1"/>
  <c r="DS69" i="1"/>
  <c r="DT28" i="1"/>
  <c r="BC106" i="1"/>
  <c r="BC94" i="1"/>
  <c r="BC84" i="1"/>
  <c r="BC72" i="1"/>
  <c r="BC55" i="1"/>
  <c r="BC45" i="1"/>
  <c r="BC33" i="1"/>
  <c r="BC21" i="1"/>
  <c r="DW112" i="1"/>
  <c r="DS94" i="1"/>
  <c r="DU74" i="1"/>
  <c r="AZ12" i="1"/>
  <c r="DW38" i="1"/>
  <c r="BA17" i="1"/>
  <c r="BA7" i="1"/>
  <c r="DU108" i="1"/>
  <c r="DU96" i="1"/>
  <c r="DU86" i="1"/>
  <c r="DW65" i="1"/>
  <c r="DV10" i="1"/>
  <c r="DT77" i="1"/>
  <c r="DT51" i="1"/>
  <c r="DS31" i="1"/>
  <c r="DV116" i="1"/>
  <c r="DV106" i="1"/>
  <c r="DV94" i="1"/>
  <c r="DV84" i="1"/>
  <c r="DW56" i="1"/>
  <c r="DU14" i="1"/>
  <c r="DT69" i="1"/>
  <c r="DW42" i="1"/>
  <c r="DW21" i="1"/>
  <c r="DU33" i="1"/>
  <c r="DS19" i="1"/>
  <c r="DS16" i="1"/>
  <c r="DV43" i="1"/>
  <c r="DV31" i="1"/>
  <c r="DW15" i="1"/>
  <c r="DU12" i="1"/>
  <c r="ER7" i="1"/>
  <c r="FC54" i="1"/>
  <c r="EY35" i="1"/>
  <c r="EX16" i="1"/>
  <c r="EU13" i="1"/>
  <c r="FA33" i="1"/>
  <c r="ER30" i="1"/>
  <c r="FC13" i="1"/>
  <c r="EZ49" i="1"/>
  <c r="EX43" i="1"/>
  <c r="ET10" i="1"/>
  <c r="FD36" i="1"/>
  <c r="EX33" i="1"/>
  <c r="FC21" i="1"/>
  <c r="ER36" i="1"/>
  <c r="EY33" i="1"/>
  <c r="ER14" i="1"/>
  <c r="ET26" i="1"/>
  <c r="FE45" i="1"/>
  <c r="ES32" i="1"/>
  <c r="ES14" i="1"/>
  <c r="FA37" i="1"/>
  <c r="ER20" i="1"/>
  <c r="EX45" i="1"/>
  <c r="EW19" i="1"/>
  <c r="ET17" i="1"/>
  <c r="EW7" i="1"/>
  <c r="EV27" i="1"/>
  <c r="FE33" i="1"/>
  <c r="FA53" i="1"/>
  <c r="ER56" i="1"/>
  <c r="ET45" i="1"/>
  <c r="FE28" i="1"/>
  <c r="ET9" i="1"/>
  <c r="EY55" i="1"/>
  <c r="EU28" i="1"/>
  <c r="FD20" i="1"/>
  <c r="EY13" i="1"/>
  <c r="FA25" i="1"/>
  <c r="EU32" i="1"/>
  <c r="FC42" i="1"/>
  <c r="EW57" i="1"/>
  <c r="EV47" i="1"/>
  <c r="EX21" i="1"/>
  <c r="EY47" i="1"/>
  <c r="EY28" i="1"/>
  <c r="EX44" i="1"/>
  <c r="EZ32" i="1"/>
  <c r="EZ21" i="1"/>
  <c r="EV17" i="1"/>
  <c r="ET24" i="1"/>
  <c r="EX27" i="1"/>
  <c r="ES31" i="1"/>
  <c r="EW45" i="1"/>
  <c r="FE44" i="1"/>
  <c r="FD21" i="1"/>
  <c r="EW25" i="1"/>
  <c r="EU14" i="1"/>
  <c r="FA50" i="1"/>
  <c r="EV26" i="1"/>
  <c r="FC6" i="1"/>
  <c r="FA18" i="1"/>
  <c r="EV11" i="1"/>
  <c r="FC39" i="1"/>
  <c r="FD37" i="1"/>
  <c r="FA44" i="1"/>
  <c r="FE50" i="1"/>
  <c r="I26" i="12" a="1"/>
  <c r="U26" i="12" a="1"/>
  <c r="R26" i="12" a="1"/>
  <c r="O26" i="12" a="1"/>
  <c r="L26" i="12" a="1"/>
  <c r="AH29" i="12" a="1"/>
  <c r="AE29" i="12" a="1"/>
  <c r="AK29" i="12" a="1"/>
  <c r="AB29" i="12" a="1"/>
  <c r="AN29" i="12" a="1"/>
  <c r="AE35" i="12" a="1"/>
  <c r="AN35" i="12" a="1"/>
  <c r="AB35" i="12" a="1"/>
  <c r="AK35" i="12" a="1"/>
  <c r="AH35" i="12" a="1"/>
  <c r="AB24" i="12" a="1"/>
  <c r="AN24" i="12" a="1"/>
  <c r="AK24" i="12" a="1"/>
  <c r="AH24" i="12" a="1"/>
  <c r="AE24" i="12" a="1"/>
  <c r="AH30" i="12" a="1"/>
  <c r="AB30" i="12" a="1"/>
  <c r="AK30" i="12" a="1"/>
  <c r="AE30" i="12" a="1"/>
  <c r="AN30" i="12" a="1"/>
  <c r="AB20" i="12" a="1"/>
  <c r="AE20" i="12" a="1"/>
  <c r="AN20" i="12" a="1"/>
  <c r="AH20" i="12" a="1"/>
  <c r="AK20" i="12" a="1"/>
  <c r="AH13" i="12" a="1"/>
  <c r="AK13" i="12" a="1"/>
  <c r="AN13" i="12" a="1"/>
  <c r="AE13" i="12" a="1"/>
  <c r="AB13" i="12" a="1"/>
  <c r="AH31" i="12" a="1"/>
  <c r="AN31" i="12" a="1"/>
  <c r="AK31" i="12" a="1"/>
  <c r="AE31" i="12" a="1"/>
  <c r="AB31" i="12" a="1"/>
  <c r="AB33" i="12" a="1"/>
  <c r="AH33" i="12" a="1"/>
  <c r="AE33" i="12" a="1"/>
  <c r="AK33" i="12" a="1"/>
  <c r="AN33" i="12" a="1"/>
  <c r="AN34" i="12" a="1"/>
  <c r="AK34" i="12" a="1"/>
  <c r="AE34" i="12" a="1"/>
  <c r="AH34" i="12" a="1"/>
  <c r="AB34" i="12" a="1"/>
  <c r="I21" i="12" a="1"/>
  <c r="O21" i="12" a="1"/>
  <c r="R21" i="12" a="1"/>
  <c r="L21" i="12" a="1"/>
  <c r="U21" i="12" a="1"/>
  <c r="O30" i="12" a="1"/>
  <c r="R30" i="12" a="1"/>
  <c r="I30" i="12" a="1"/>
  <c r="L30" i="12" a="1"/>
  <c r="U30" i="12" a="1"/>
  <c r="U23" i="12" a="1"/>
  <c r="O23" i="12" a="1"/>
  <c r="R23" i="12" a="1"/>
  <c r="L23" i="12" a="1"/>
  <c r="I23" i="12" a="1"/>
  <c r="O18" i="12" a="1"/>
  <c r="R18" i="12" a="1"/>
  <c r="U18" i="12" a="1"/>
  <c r="L18" i="12" a="1"/>
  <c r="I18" i="12" a="1"/>
  <c r="AK17" i="12" a="1"/>
  <c r="AH17" i="12" a="1"/>
  <c r="AN17" i="12" a="1"/>
  <c r="AB17" i="12" a="1"/>
  <c r="AE17" i="12" a="1"/>
  <c r="U29" i="12" a="1"/>
  <c r="I29" i="12" a="1"/>
  <c r="R29" i="12" a="1"/>
  <c r="O29" i="12" a="1"/>
  <c r="L29" i="12" a="1"/>
  <c r="L13" i="12" a="1"/>
  <c r="I13" i="12" a="1"/>
  <c r="U13" i="12" a="1"/>
  <c r="R13" i="12" a="1"/>
  <c r="O13" i="12" a="1"/>
  <c r="AE12" i="12" a="1"/>
  <c r="AK12" i="12" a="1"/>
  <c r="AN12" i="12" a="1"/>
  <c r="AH12" i="12" a="1"/>
  <c r="AB12" i="12" a="1"/>
  <c r="U16" i="12" a="1"/>
  <c r="O16" i="12" a="1"/>
  <c r="R16" i="12" a="1"/>
  <c r="L16" i="12" a="1"/>
  <c r="I16" i="12" a="1"/>
  <c r="AB21" i="12" a="1"/>
  <c r="AE21" i="12" a="1"/>
  <c r="AK21" i="12" a="1"/>
  <c r="AH21" i="12" a="1"/>
  <c r="AN21" i="12" a="1"/>
  <c r="R19" i="12" a="1"/>
  <c r="I19" i="12" a="1"/>
  <c r="O19" i="12" a="1"/>
  <c r="L19" i="12" a="1"/>
  <c r="U19" i="12" a="1"/>
  <c r="AE32" i="12" a="1"/>
  <c r="AB32" i="12" a="1"/>
  <c r="AK32" i="12" a="1"/>
  <c r="AN32" i="12" a="1"/>
  <c r="AH32" i="12" a="1"/>
  <c r="AK19" i="12" a="1"/>
  <c r="AE19" i="12" a="1"/>
  <c r="AN19" i="12" a="1"/>
  <c r="AB19" i="12" a="1"/>
  <c r="AH19" i="12" a="1"/>
  <c r="L24" i="12" a="1"/>
  <c r="I24" i="12" a="1"/>
  <c r="U24" i="12" a="1"/>
  <c r="O24" i="12" a="1"/>
  <c r="R24" i="12" a="1"/>
  <c r="O25" i="12" a="1"/>
  <c r="U25" i="12" a="1"/>
  <c r="L25" i="12" a="1"/>
  <c r="R25" i="12" a="1"/>
  <c r="I25" i="12" a="1"/>
  <c r="R35" i="12" a="1"/>
  <c r="O35" i="12" a="1"/>
  <c r="U35" i="12" a="1"/>
  <c r="L35" i="12" a="1"/>
  <c r="I35" i="12" a="1"/>
  <c r="AN22" i="12" a="1"/>
  <c r="AK22" i="12" a="1"/>
  <c r="AH22" i="12" a="1"/>
  <c r="AB22" i="12" a="1"/>
  <c r="AE22" i="12" a="1"/>
  <c r="I12" i="12" a="1"/>
  <c r="R12" i="12" a="1"/>
  <c r="L12" i="12" a="1"/>
  <c r="U12" i="12" a="1"/>
  <c r="O12" i="12" a="1"/>
  <c r="O27" i="12" a="1"/>
  <c r="R27" i="12" a="1"/>
  <c r="U27" i="12" a="1"/>
  <c r="I27" i="12" a="1"/>
  <c r="L27" i="12" a="1"/>
  <c r="U28" i="12" a="1"/>
  <c r="I28" i="12" a="1"/>
  <c r="O28" i="12" a="1"/>
  <c r="L28" i="12" a="1"/>
  <c r="R28" i="12" a="1"/>
  <c r="O14" i="12" a="1"/>
  <c r="U14" i="12" a="1"/>
  <c r="I14" i="12" a="1"/>
  <c r="R14" i="12" a="1"/>
  <c r="L14" i="12" a="1"/>
  <c r="AN25" i="12" a="1"/>
  <c r="AH25" i="12" a="1"/>
  <c r="AE25" i="12" a="1"/>
  <c r="AB25" i="12" a="1"/>
  <c r="AK25" i="12" a="1"/>
  <c r="R34" i="12" a="1"/>
  <c r="U34" i="12" a="1"/>
  <c r="I34" i="12" a="1"/>
  <c r="L34" i="12" a="1"/>
  <c r="O34" i="12" a="1"/>
  <c r="U15" i="12" a="1"/>
  <c r="L15" i="12" a="1"/>
  <c r="R15" i="12" a="1"/>
  <c r="I15" i="12" a="1"/>
  <c r="O15" i="12" a="1"/>
  <c r="AK28" i="12" a="1"/>
  <c r="AE28" i="12" a="1"/>
  <c r="AN28" i="12" a="1"/>
  <c r="AB28" i="12" a="1"/>
  <c r="AH28" i="12" a="1"/>
  <c r="AB23" i="12" a="1"/>
  <c r="AH23" i="12" a="1"/>
  <c r="AN23" i="12" a="1"/>
  <c r="AK23" i="12" a="1"/>
  <c r="AE23" i="12" a="1"/>
  <c r="U31" i="12" a="1"/>
  <c r="L31" i="12" a="1"/>
  <c r="R31" i="12" a="1"/>
  <c r="O31" i="12" a="1"/>
  <c r="I31" i="12" a="1"/>
  <c r="L32" i="12" a="1"/>
  <c r="O32" i="12" a="1"/>
  <c r="I32" i="12" a="1"/>
  <c r="R32" i="12" a="1"/>
  <c r="U32" i="12" a="1"/>
  <c r="I17" i="12" a="1"/>
  <c r="O17" i="12" a="1"/>
  <c r="U17" i="12" a="1"/>
  <c r="L17" i="12" a="1"/>
  <c r="R17" i="12" a="1"/>
  <c r="AH14" i="12" a="1"/>
  <c r="AB14" i="12" a="1"/>
  <c r="AK14" i="12" a="1"/>
  <c r="AN14" i="12" a="1"/>
  <c r="AE14" i="12" a="1"/>
  <c r="AK36" i="12" a="1"/>
  <c r="AB36" i="12" a="1"/>
  <c r="AN36" i="12" a="1"/>
  <c r="AH36" i="12" a="1"/>
  <c r="AE36" i="12" a="1"/>
  <c r="U22" i="12" a="1"/>
  <c r="R22" i="12" a="1"/>
  <c r="O22" i="12" a="1"/>
  <c r="I22" i="12" a="1"/>
  <c r="L22" i="12" a="1"/>
  <c r="U20" i="12" a="1"/>
  <c r="I20" i="12" a="1"/>
  <c r="O20" i="12" a="1"/>
  <c r="L20" i="12" a="1"/>
  <c r="R20" i="12" a="1"/>
  <c r="R33" i="12" a="1"/>
  <c r="I33" i="12" a="1"/>
  <c r="L33" i="12" a="1"/>
  <c r="O33" i="12" a="1"/>
  <c r="U33" i="12" a="1"/>
  <c r="AN26" i="12" a="1"/>
  <c r="AB26" i="12" a="1"/>
  <c r="AE26" i="12" a="1"/>
  <c r="AK26" i="12" a="1"/>
  <c r="AH26" i="12" a="1"/>
  <c r="R36" i="12" a="1"/>
  <c r="O36" i="12" a="1"/>
  <c r="I36" i="12" a="1"/>
  <c r="L36" i="12" a="1"/>
  <c r="U36" i="12" a="1"/>
  <c r="AB16" i="12" a="1"/>
  <c r="AK16" i="12" a="1"/>
  <c r="AE16" i="12" a="1"/>
  <c r="AN16" i="12" a="1"/>
  <c r="AH16" i="12" a="1"/>
  <c r="AK27" i="12" a="1"/>
  <c r="AB27" i="12" a="1"/>
  <c r="AH27" i="12" a="1"/>
  <c r="AE27" i="12" a="1"/>
  <c r="AN27" i="12" a="1"/>
  <c r="AK15" i="12" a="1"/>
  <c r="AE15" i="12" a="1"/>
  <c r="AH15" i="12" a="1"/>
  <c r="AN15" i="12" a="1"/>
  <c r="AB15" i="12" a="1"/>
  <c r="AE18" i="12" a="1"/>
  <c r="AK18" i="12" a="1"/>
  <c r="AH18" i="12" a="1"/>
  <c r="AN18" i="12" a="1"/>
  <c r="AB18" i="12" a="1"/>
  <c r="AB18" i="12" l="1"/>
  <c r="AD18" i="12" s="1"/>
  <c r="AN18" i="12"/>
  <c r="AP18" i="12" s="1"/>
  <c r="AH18" i="12"/>
  <c r="AJ18" i="12" s="1"/>
  <c r="AK18" i="12"/>
  <c r="AM18" i="12" s="1"/>
  <c r="AE18" i="12"/>
  <c r="AG18" i="12" s="1"/>
  <c r="AB15" i="12"/>
  <c r="AD15" i="12" s="1"/>
  <c r="AN15" i="12"/>
  <c r="AP15" i="12" s="1"/>
  <c r="AH15" i="12"/>
  <c r="AJ15" i="12" s="1"/>
  <c r="AE15" i="12"/>
  <c r="AG15" i="12" s="1"/>
  <c r="AK15" i="12"/>
  <c r="AM15" i="12" s="1"/>
  <c r="AN27" i="12"/>
  <c r="AP27" i="12" s="1"/>
  <c r="AE27" i="12"/>
  <c r="AG27" i="12" s="1"/>
  <c r="AH27" i="12"/>
  <c r="AJ27" i="12" s="1"/>
  <c r="AB27" i="12"/>
  <c r="AD27" i="12" s="1"/>
  <c r="AK27" i="12"/>
  <c r="AM27" i="12" s="1"/>
  <c r="AH16" i="12"/>
  <c r="AJ16" i="12" s="1"/>
  <c r="AN16" i="12"/>
  <c r="AP16" i="12" s="1"/>
  <c r="AE16" i="12"/>
  <c r="AG16" i="12" s="1"/>
  <c r="AK16" i="12"/>
  <c r="AM16" i="12" s="1"/>
  <c r="AB16" i="12"/>
  <c r="AD16" i="12" s="1"/>
  <c r="U36" i="12"/>
  <c r="W36" i="12" s="1"/>
  <c r="L36" i="12"/>
  <c r="N36" i="12" s="1"/>
  <c r="I36" i="12"/>
  <c r="K36" i="12" s="1"/>
  <c r="O36" i="12"/>
  <c r="Q36" i="12" s="1"/>
  <c r="R36" i="12"/>
  <c r="T36" i="12" s="1"/>
  <c r="AH26" i="12"/>
  <c r="AJ26" i="12" s="1"/>
  <c r="AK26" i="12"/>
  <c r="AM26" i="12" s="1"/>
  <c r="AE26" i="12"/>
  <c r="AG26" i="12" s="1"/>
  <c r="AB26" i="12"/>
  <c r="AD26" i="12" s="1"/>
  <c r="AN26" i="12"/>
  <c r="AP26" i="12" s="1"/>
  <c r="U33" i="12"/>
  <c r="W33" i="12" s="1"/>
  <c r="O33" i="12"/>
  <c r="Q33" i="12" s="1"/>
  <c r="L33" i="12"/>
  <c r="N33" i="12" s="1"/>
  <c r="I33" i="12"/>
  <c r="K33" i="12" s="1"/>
  <c r="R33" i="12"/>
  <c r="T33" i="12" s="1"/>
  <c r="R20" i="12"/>
  <c r="T20" i="12" s="1"/>
  <c r="L20" i="12"/>
  <c r="N20" i="12" s="1"/>
  <c r="O20" i="12"/>
  <c r="Q20" i="12" s="1"/>
  <c r="I20" i="12"/>
  <c r="K20" i="12" s="1"/>
  <c r="U20" i="12"/>
  <c r="W20" i="12" s="1"/>
  <c r="L22" i="12"/>
  <c r="N22" i="12" s="1"/>
  <c r="I22" i="12"/>
  <c r="K22" i="12" s="1"/>
  <c r="O22" i="12"/>
  <c r="Q22" i="12" s="1"/>
  <c r="R22" i="12"/>
  <c r="T22" i="12" s="1"/>
  <c r="U22" i="12"/>
  <c r="W22" i="12" s="1"/>
  <c r="AE36" i="12"/>
  <c r="AG36" i="12" s="1"/>
  <c r="AH36" i="12"/>
  <c r="AJ36" i="12" s="1"/>
  <c r="AN36" i="12"/>
  <c r="AP36" i="12" s="1"/>
  <c r="AB36" i="12"/>
  <c r="AD36" i="12" s="1"/>
  <c r="AK36" i="12"/>
  <c r="AM36" i="12" s="1"/>
  <c r="AE14" i="12"/>
  <c r="AG14" i="12" s="1"/>
  <c r="AN14" i="12"/>
  <c r="AP14" i="12" s="1"/>
  <c r="AK14" i="12"/>
  <c r="AM14" i="12" s="1"/>
  <c r="AB14" i="12"/>
  <c r="AD14" i="12" s="1"/>
  <c r="AH14" i="12"/>
  <c r="AJ14" i="12" s="1"/>
  <c r="R17" i="12"/>
  <c r="T17" i="12" s="1"/>
  <c r="L17" i="12"/>
  <c r="N17" i="12" s="1"/>
  <c r="U17" i="12"/>
  <c r="W17" i="12" s="1"/>
  <c r="O17" i="12"/>
  <c r="Q17" i="12" s="1"/>
  <c r="I17" i="12"/>
  <c r="K17" i="12" s="1"/>
  <c r="U32" i="12"/>
  <c r="W32" i="12" s="1"/>
  <c r="R32" i="12"/>
  <c r="T32" i="12" s="1"/>
  <c r="I32" i="12"/>
  <c r="K32" i="12" s="1"/>
  <c r="O32" i="12"/>
  <c r="Q32" i="12" s="1"/>
  <c r="L32" i="12"/>
  <c r="N32" i="12" s="1"/>
  <c r="I31" i="12"/>
  <c r="K31" i="12" s="1"/>
  <c r="O31" i="12"/>
  <c r="Q31" i="12" s="1"/>
  <c r="R31" i="12"/>
  <c r="T31" i="12" s="1"/>
  <c r="L31" i="12"/>
  <c r="N31" i="12" s="1"/>
  <c r="U31" i="12"/>
  <c r="W31" i="12" s="1"/>
  <c r="AE23" i="12"/>
  <c r="AG23" i="12" s="1"/>
  <c r="AK23" i="12"/>
  <c r="AM23" i="12" s="1"/>
  <c r="AN23" i="12"/>
  <c r="AP23" i="12" s="1"/>
  <c r="AH23" i="12"/>
  <c r="AJ23" i="12" s="1"/>
  <c r="AB23" i="12"/>
  <c r="AD23" i="12" s="1"/>
  <c r="AH28" i="12"/>
  <c r="AJ28" i="12" s="1"/>
  <c r="AB28" i="12"/>
  <c r="AD28" i="12" s="1"/>
  <c r="AN28" i="12"/>
  <c r="AP28" i="12" s="1"/>
  <c r="AE28" i="12"/>
  <c r="AG28" i="12" s="1"/>
  <c r="AK28" i="12"/>
  <c r="AM28" i="12" s="1"/>
  <c r="O15" i="12"/>
  <c r="Q15" i="12" s="1"/>
  <c r="I15" i="12"/>
  <c r="K15" i="12" s="1"/>
  <c r="R15" i="12"/>
  <c r="T15" i="12" s="1"/>
  <c r="L15" i="12"/>
  <c r="N15" i="12" s="1"/>
  <c r="U15" i="12"/>
  <c r="W15" i="12" s="1"/>
  <c r="O34" i="12"/>
  <c r="Q34" i="12" s="1"/>
  <c r="L34" i="12"/>
  <c r="N34" i="12" s="1"/>
  <c r="I34" i="12"/>
  <c r="K34" i="12" s="1"/>
  <c r="U34" i="12"/>
  <c r="W34" i="12" s="1"/>
  <c r="R34" i="12"/>
  <c r="T34" i="12" s="1"/>
  <c r="AK25" i="12"/>
  <c r="AM25" i="12" s="1"/>
  <c r="AB25" i="12"/>
  <c r="AD25" i="12" s="1"/>
  <c r="AE25" i="12"/>
  <c r="AG25" i="12" s="1"/>
  <c r="AH25" i="12"/>
  <c r="AJ25" i="12" s="1"/>
  <c r="AN25" i="12"/>
  <c r="AP25" i="12" s="1"/>
  <c r="L14" i="12"/>
  <c r="N14" i="12" s="1"/>
  <c r="R14" i="12"/>
  <c r="T14" i="12" s="1"/>
  <c r="I14" i="12"/>
  <c r="K14" i="12" s="1"/>
  <c r="U14" i="12"/>
  <c r="W14" i="12" s="1"/>
  <c r="O14" i="12"/>
  <c r="Q14" i="12" s="1"/>
  <c r="R28" i="12"/>
  <c r="T28" i="12" s="1"/>
  <c r="L28" i="12"/>
  <c r="N28" i="12" s="1"/>
  <c r="O28" i="12"/>
  <c r="Q28" i="12" s="1"/>
  <c r="I28" i="12"/>
  <c r="K28" i="12" s="1"/>
  <c r="U28" i="12"/>
  <c r="W28" i="12" s="1"/>
  <c r="L27" i="12"/>
  <c r="N27" i="12" s="1"/>
  <c r="I27" i="12"/>
  <c r="K27" i="12" s="1"/>
  <c r="U27" i="12"/>
  <c r="W27" i="12" s="1"/>
  <c r="R27" i="12"/>
  <c r="T27" i="12" s="1"/>
  <c r="O27" i="12"/>
  <c r="Q27" i="12" s="1"/>
  <c r="O12" i="12"/>
  <c r="Q12" i="12" s="1"/>
  <c r="U12" i="12"/>
  <c r="W12" i="12" s="1"/>
  <c r="L12" i="12"/>
  <c r="N12" i="12" s="1"/>
  <c r="R12" i="12"/>
  <c r="T12" i="12" s="1"/>
  <c r="I12" i="12"/>
  <c r="K12" i="12" s="1"/>
  <c r="AE22" i="12"/>
  <c r="AG22" i="12" s="1"/>
  <c r="AB22" i="12"/>
  <c r="AD22" i="12" s="1"/>
  <c r="AH22" i="12"/>
  <c r="AJ22" i="12" s="1"/>
  <c r="AK22" i="12"/>
  <c r="AM22" i="12" s="1"/>
  <c r="AN22" i="12"/>
  <c r="AP22" i="12" s="1"/>
  <c r="I35" i="12"/>
  <c r="K35" i="12" s="1"/>
  <c r="L35" i="12"/>
  <c r="N35" i="12" s="1"/>
  <c r="U35" i="12"/>
  <c r="W35" i="12" s="1"/>
  <c r="O35" i="12"/>
  <c r="Q35" i="12" s="1"/>
  <c r="R35" i="12"/>
  <c r="T35" i="12" s="1"/>
  <c r="I25" i="12"/>
  <c r="K25" i="12" s="1"/>
  <c r="R25" i="12"/>
  <c r="T25" i="12" s="1"/>
  <c r="L25" i="12"/>
  <c r="N25" i="12" s="1"/>
  <c r="U25" i="12"/>
  <c r="W25" i="12" s="1"/>
  <c r="O25" i="12"/>
  <c r="Q25" i="12" s="1"/>
  <c r="R24" i="12"/>
  <c r="T24" i="12" s="1"/>
  <c r="O24" i="12"/>
  <c r="Q24" i="12" s="1"/>
  <c r="U24" i="12"/>
  <c r="W24" i="12" s="1"/>
  <c r="I24" i="12"/>
  <c r="K24" i="12" s="1"/>
  <c r="L24" i="12"/>
  <c r="N24" i="12" s="1"/>
  <c r="AH19" i="12"/>
  <c r="AJ19" i="12" s="1"/>
  <c r="AB19" i="12"/>
  <c r="AD19" i="12" s="1"/>
  <c r="AN19" i="12"/>
  <c r="AP19" i="12" s="1"/>
  <c r="AE19" i="12"/>
  <c r="AG19" i="12" s="1"/>
  <c r="AK19" i="12"/>
  <c r="AM19" i="12" s="1"/>
  <c r="AH32" i="12"/>
  <c r="AJ32" i="12" s="1"/>
  <c r="AN32" i="12"/>
  <c r="AP32" i="12" s="1"/>
  <c r="AK32" i="12"/>
  <c r="AM32" i="12" s="1"/>
  <c r="AB32" i="12"/>
  <c r="AD32" i="12" s="1"/>
  <c r="AE32" i="12"/>
  <c r="AG32" i="12" s="1"/>
  <c r="U19" i="12"/>
  <c r="W19" i="12" s="1"/>
  <c r="L19" i="12"/>
  <c r="N19" i="12" s="1"/>
  <c r="O19" i="12"/>
  <c r="Q19" i="12" s="1"/>
  <c r="I19" i="12"/>
  <c r="K19" i="12" s="1"/>
  <c r="R19" i="12"/>
  <c r="T19" i="12" s="1"/>
  <c r="AN21" i="12"/>
  <c r="AP21" i="12" s="1"/>
  <c r="AH21" i="12"/>
  <c r="AJ21" i="12" s="1"/>
  <c r="AK21" i="12"/>
  <c r="AM21" i="12" s="1"/>
  <c r="AE21" i="12"/>
  <c r="AG21" i="12" s="1"/>
  <c r="AB21" i="12"/>
  <c r="AD21" i="12" s="1"/>
  <c r="I16" i="12"/>
  <c r="K16" i="12" s="1"/>
  <c r="L16" i="12"/>
  <c r="N16" i="12" s="1"/>
  <c r="R16" i="12"/>
  <c r="T16" i="12" s="1"/>
  <c r="O16" i="12"/>
  <c r="Q16" i="12" s="1"/>
  <c r="U16" i="12"/>
  <c r="W16" i="12" s="1"/>
  <c r="AB12" i="12"/>
  <c r="AD12" i="12" s="1"/>
  <c r="AH12" i="12"/>
  <c r="AJ12" i="12" s="1"/>
  <c r="AN12" i="12"/>
  <c r="AP12" i="12" s="1"/>
  <c r="AK12" i="12"/>
  <c r="AM12" i="12" s="1"/>
  <c r="AE12" i="12"/>
  <c r="AG12" i="12" s="1"/>
  <c r="O13" i="12"/>
  <c r="Q13" i="12" s="1"/>
  <c r="R13" i="12"/>
  <c r="T13" i="12" s="1"/>
  <c r="U13" i="12"/>
  <c r="W13" i="12" s="1"/>
  <c r="I13" i="12"/>
  <c r="K13" i="12" s="1"/>
  <c r="L13" i="12"/>
  <c r="N13" i="12" s="1"/>
  <c r="L29" i="12"/>
  <c r="N29" i="12" s="1"/>
  <c r="O29" i="12"/>
  <c r="Q29" i="12" s="1"/>
  <c r="R29" i="12"/>
  <c r="T29" i="12" s="1"/>
  <c r="I29" i="12"/>
  <c r="K29" i="12" s="1"/>
  <c r="U29" i="12"/>
  <c r="W29" i="12" s="1"/>
  <c r="AE17" i="12"/>
  <c r="AG17" i="12" s="1"/>
  <c r="AB17" i="12"/>
  <c r="AD17" i="12" s="1"/>
  <c r="AN17" i="12"/>
  <c r="AP17" i="12" s="1"/>
  <c r="AH17" i="12"/>
  <c r="AJ17" i="12" s="1"/>
  <c r="AK17" i="12"/>
  <c r="AM17" i="12" s="1"/>
  <c r="I18" i="12"/>
  <c r="K18" i="12" s="1"/>
  <c r="L18" i="12"/>
  <c r="N18" i="12" s="1"/>
  <c r="U18" i="12"/>
  <c r="W18" i="12" s="1"/>
  <c r="R18" i="12"/>
  <c r="T18" i="12" s="1"/>
  <c r="O18" i="12"/>
  <c r="Q18" i="12" s="1"/>
  <c r="I23" i="12"/>
  <c r="K23" i="12" s="1"/>
  <c r="L23" i="12"/>
  <c r="N23" i="12" s="1"/>
  <c r="R23" i="12"/>
  <c r="T23" i="12" s="1"/>
  <c r="O23" i="12"/>
  <c r="Q23" i="12" s="1"/>
  <c r="U23" i="12"/>
  <c r="W23" i="12" s="1"/>
  <c r="U30" i="12"/>
  <c r="W30" i="12" s="1"/>
  <c r="L30" i="12"/>
  <c r="N30" i="12" s="1"/>
  <c r="I30" i="12"/>
  <c r="K30" i="12" s="1"/>
  <c r="R30" i="12"/>
  <c r="T30" i="12" s="1"/>
  <c r="O30" i="12"/>
  <c r="Q30" i="12" s="1"/>
  <c r="U21" i="12"/>
  <c r="W21" i="12" s="1"/>
  <c r="L21" i="12"/>
  <c r="N21" i="12" s="1"/>
  <c r="R21" i="12"/>
  <c r="T21" i="12" s="1"/>
  <c r="O21" i="12"/>
  <c r="Q21" i="12" s="1"/>
  <c r="I21" i="12"/>
  <c r="K21" i="12" s="1"/>
  <c r="AB34" i="12"/>
  <c r="AD34" i="12" s="1"/>
  <c r="AH34" i="12"/>
  <c r="AJ34" i="12" s="1"/>
  <c r="AE34" i="12"/>
  <c r="AG34" i="12" s="1"/>
  <c r="AK34" i="12"/>
  <c r="AM34" i="12" s="1"/>
  <c r="AN34" i="12"/>
  <c r="AP34" i="12" s="1"/>
  <c r="AN33" i="12"/>
  <c r="AP33" i="12" s="1"/>
  <c r="AK33" i="12"/>
  <c r="AM33" i="12" s="1"/>
  <c r="AE33" i="12"/>
  <c r="AG33" i="12" s="1"/>
  <c r="AH33" i="12"/>
  <c r="AJ33" i="12" s="1"/>
  <c r="AB33" i="12"/>
  <c r="AD33" i="12" s="1"/>
  <c r="AB31" i="12"/>
  <c r="AD31" i="12" s="1"/>
  <c r="AE31" i="12"/>
  <c r="AG31" i="12" s="1"/>
  <c r="AK31" i="12"/>
  <c r="AM31" i="12" s="1"/>
  <c r="AN31" i="12"/>
  <c r="AP31" i="12" s="1"/>
  <c r="AH31" i="12"/>
  <c r="AJ31" i="12" s="1"/>
  <c r="AB13" i="12"/>
  <c r="AD13" i="12" s="1"/>
  <c r="AE13" i="12"/>
  <c r="AG13" i="12" s="1"/>
  <c r="AN13" i="12"/>
  <c r="AP13" i="12" s="1"/>
  <c r="AK13" i="12"/>
  <c r="AM13" i="12" s="1"/>
  <c r="AH13" i="12"/>
  <c r="AJ13" i="12" s="1"/>
  <c r="AK20" i="12"/>
  <c r="AM20" i="12" s="1"/>
  <c r="AH20" i="12"/>
  <c r="AJ20" i="12" s="1"/>
  <c r="AN20" i="12"/>
  <c r="AP20" i="12" s="1"/>
  <c r="AE20" i="12"/>
  <c r="AG20" i="12" s="1"/>
  <c r="AB20" i="12"/>
  <c r="AD20" i="12" s="1"/>
  <c r="AN30" i="12"/>
  <c r="AP30" i="12" s="1"/>
  <c r="AE30" i="12"/>
  <c r="AG30" i="12" s="1"/>
  <c r="AK30" i="12"/>
  <c r="AM30" i="12" s="1"/>
  <c r="AB30" i="12"/>
  <c r="AD30" i="12" s="1"/>
  <c r="AH30" i="12"/>
  <c r="AJ30" i="12" s="1"/>
  <c r="AE24" i="12"/>
  <c r="AG24" i="12" s="1"/>
  <c r="AH24" i="12"/>
  <c r="AJ24" i="12" s="1"/>
  <c r="AK24" i="12"/>
  <c r="AM24" i="12" s="1"/>
  <c r="AN24" i="12"/>
  <c r="AP24" i="12" s="1"/>
  <c r="AB24" i="12"/>
  <c r="AD24" i="12" s="1"/>
  <c r="AH35" i="12"/>
  <c r="AJ35" i="12" s="1"/>
  <c r="AK35" i="12"/>
  <c r="AM35" i="12" s="1"/>
  <c r="AB35" i="12"/>
  <c r="AD35" i="12" s="1"/>
  <c r="AN35" i="12"/>
  <c r="AP35" i="12" s="1"/>
  <c r="AE35" i="12"/>
  <c r="AG35" i="12" s="1"/>
  <c r="AN29" i="12"/>
  <c r="AP29" i="12" s="1"/>
  <c r="AB29" i="12"/>
  <c r="AD29" i="12" s="1"/>
  <c r="AK29" i="12"/>
  <c r="AM29" i="12" s="1"/>
  <c r="AE29" i="12"/>
  <c r="AG29" i="12" s="1"/>
  <c r="AH29" i="12"/>
  <c r="AJ29" i="12" s="1"/>
  <c r="L26" i="12"/>
  <c r="N26" i="12" s="1"/>
  <c r="O26" i="12"/>
  <c r="Q26" i="12" s="1"/>
  <c r="R26" i="12"/>
  <c r="T26" i="12" s="1"/>
  <c r="U26" i="12"/>
  <c r="W26" i="12" s="1"/>
  <c r="I26" i="12"/>
  <c r="K2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<sst xmlns="http://schemas.openxmlformats.org/spreadsheetml/2006/main" count="262" uniqueCount="81">
  <si>
    <t>K</t>
  </si>
  <si>
    <t>r</t>
  </si>
  <si>
    <t>vol</t>
  </si>
  <si>
    <t>CALL</t>
  </si>
  <si>
    <t>CALL OPTION</t>
  </si>
  <si>
    <t>PRICE</t>
  </si>
  <si>
    <t>PUT OPTION</t>
  </si>
  <si>
    <t>DELTA</t>
  </si>
  <si>
    <t>THETA</t>
  </si>
  <si>
    <t>GAMMA</t>
  </si>
  <si>
    <t>VEGA</t>
  </si>
  <si>
    <t>RHO</t>
  </si>
  <si>
    <t>VBA code source:</t>
  </si>
  <si>
    <t>https://investexcel.net/black-scholes-greeks-vba/</t>
  </si>
  <si>
    <t>https://sites.google.com/view/vinegarhill-financelabs/black-scholes-merton/implied-volatility</t>
  </si>
  <si>
    <t>VBA source code: (modified)</t>
  </si>
  <si>
    <t>ZALANDO SE</t>
  </si>
  <si>
    <t>Expiry</t>
  </si>
  <si>
    <t>Strike</t>
  </si>
  <si>
    <t>15-May-26</t>
  </si>
  <si>
    <t>19-Jun-26</t>
  </si>
  <si>
    <t>18-Sep-26</t>
  </si>
  <si>
    <t>18-Dec-26</t>
  </si>
  <si>
    <t>ImVol</t>
  </si>
  <si>
    <t>EURIBOR RATES</t>
  </si>
  <si>
    <t>https://www.euribor-rates.eu/it/tassi-euribor-aggiornati/4/euribor-tasso-12-mesi/</t>
  </si>
  <si>
    <t>1 month</t>
  </si>
  <si>
    <t>3 months</t>
  </si>
  <si>
    <t>6 months</t>
  </si>
  <si>
    <t>12 months</t>
  </si>
  <si>
    <t>S0</t>
  </si>
  <si>
    <t>Mid</t>
  </si>
  <si>
    <t>PUT</t>
  </si>
  <si>
    <t xml:space="preserve"> Bid</t>
  </si>
  <si>
    <t xml:space="preserve"> Ask</t>
  </si>
  <si>
    <t xml:space="preserve"> IV (%) refinitiv</t>
  </si>
  <si>
    <t>maturity</t>
  </si>
  <si>
    <t>strike</t>
  </si>
  <si>
    <t>CALL IV</t>
  </si>
  <si>
    <t>PUT IV</t>
  </si>
  <si>
    <t>use interpolation for interest rates of different maturities</t>
  </si>
  <si>
    <t xml:space="preserve"> Delta refinitiv</t>
  </si>
  <si>
    <t xml:space="preserve"> Gamma refinitiv</t>
  </si>
  <si>
    <t xml:space="preserve"> Vega refinitiv</t>
  </si>
  <si>
    <t xml:space="preserve"> Theta refinitiv</t>
  </si>
  <si>
    <t xml:space="preserve"> Rho refinitiv</t>
  </si>
  <si>
    <t>Gamma</t>
  </si>
  <si>
    <t>Vega</t>
  </si>
  <si>
    <t>Theta</t>
  </si>
  <si>
    <t>Rho</t>
  </si>
  <si>
    <t>Delta</t>
  </si>
  <si>
    <t>refinitiv</t>
  </si>
  <si>
    <t>computed</t>
  </si>
  <si>
    <t>T (months)</t>
  </si>
  <si>
    <t>tot</t>
  </si>
  <si>
    <t>r (higher)</t>
  </si>
  <si>
    <t>Totale complessivo</t>
  </si>
  <si>
    <t>Call Delta</t>
  </si>
  <si>
    <t>T</t>
  </si>
  <si>
    <t>Call Gamma</t>
  </si>
  <si>
    <t>Call Vega</t>
  </si>
  <si>
    <t>Call Theta</t>
  </si>
  <si>
    <t>Call Rho</t>
  </si>
  <si>
    <t>rel error D C</t>
  </si>
  <si>
    <t>rel error G C</t>
  </si>
  <si>
    <t>rel error V C</t>
  </si>
  <si>
    <t>rel error T C</t>
  </si>
  <si>
    <t>rel error R C</t>
  </si>
  <si>
    <t>rel error D P</t>
  </si>
  <si>
    <t>rel error G P</t>
  </si>
  <si>
    <t>rel error V P</t>
  </si>
  <si>
    <t>rel error T P</t>
  </si>
  <si>
    <t>rel error R P</t>
  </si>
  <si>
    <t>K = 24</t>
  </si>
  <si>
    <t>ATM RELATIVE ERRORS</t>
  </si>
  <si>
    <t>Put Delta</t>
  </si>
  <si>
    <t>Put Gamma</t>
  </si>
  <si>
    <t>Put Vega</t>
  </si>
  <si>
    <t>Put Theta</t>
  </si>
  <si>
    <t>Put Rho</t>
  </si>
  <si>
    <t>RHO (higher 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</si>
</sst>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E+00"/>
    <numFmt numFmtId="165" formatCode="0.000%"/>
    <numFmt numFmtId="166" formatCode="dd/mm/yyyy;@"/>
    <numFmt numFmtId="167" formatCode="0.0000"/>
    <numFmt numFmtId="168" formatCode="0.0%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u/>
      <sz val="11"/>
      <color theme="1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FB92"/>
        <bgColor indexed="64"/>
      </patternFill>
    </fill>
    <fill>
      <patternFill patternType="solid">
        <fgColor rgb="FF73FDD6"/>
        <bgColor indexed="64"/>
      </patternFill>
    </fill>
    <fill>
      <patternFill patternType="solid">
        <fgColor rgb="FFFF2F92"/>
        <bgColor indexed="64"/>
      </patternFill>
    </fill>
    <fill>
      <patternFill patternType="solid">
        <fgColor rgb="FFFF8AD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47">
    <xf numFmtId="0" fontId="0" fillId="0" borderId="0" xfId="0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0" fillId="0" borderId="1" xfId="0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2" fontId="0" fillId="3" borderId="9" xfId="1" applyNumberFormat="1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4" borderId="0" xfId="0" applyFill="1"/>
    <xf numFmtId="0" fontId="3" fillId="4" borderId="0" xfId="0" applyFont="1" applyFill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2" fontId="0" fillId="6" borderId="9" xfId="1" applyNumberFormat="1" applyFont="1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2" fontId="0" fillId="8" borderId="9" xfId="1" applyNumberFormat="1" applyFont="1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0" xfId="0" applyFill="1" applyBorder="1"/>
    <xf numFmtId="2" fontId="0" fillId="10" borderId="9" xfId="1" applyNumberFormat="1" applyFont="1" applyFill="1" applyBorder="1"/>
    <xf numFmtId="0" fontId="0" fillId="12" borderId="8" xfId="0" applyFill="1" applyBorder="1"/>
    <xf numFmtId="0" fontId="0" fillId="12" borderId="9" xfId="0" applyFill="1" applyBorder="1"/>
    <xf numFmtId="0" fontId="0" fillId="12" borderId="10" xfId="0" applyFill="1" applyBorder="1"/>
    <xf numFmtId="2" fontId="0" fillId="12" borderId="9" xfId="1" applyNumberFormat="1" applyFont="1" applyFill="1" applyBorder="1"/>
    <xf numFmtId="0" fontId="0" fillId="14" borderId="8" xfId="0" applyFill="1" applyBorder="1"/>
    <xf numFmtId="0" fontId="0" fillId="14" borderId="9" xfId="0" applyFill="1" applyBorder="1"/>
    <xf numFmtId="0" fontId="0" fillId="14" borderId="10" xfId="0" applyFill="1" applyBorder="1"/>
    <xf numFmtId="2" fontId="0" fillId="14" borderId="9" xfId="1" applyNumberFormat="1" applyFont="1" applyFill="1" applyBorder="1"/>
    <xf numFmtId="16" fontId="0" fillId="0" borderId="0" xfId="0" applyNumberFormat="1"/>
    <xf numFmtId="0" fontId="4" fillId="0" borderId="0" xfId="0" applyFont="1"/>
    <xf numFmtId="165" fontId="0" fillId="0" borderId="0" xfId="1" applyNumberFormat="1" applyFont="1"/>
    <xf numFmtId="165" fontId="0" fillId="0" borderId="0" xfId="0" applyNumberFormat="1"/>
    <xf numFmtId="0" fontId="7" fillId="0" borderId="0" xfId="0" applyFont="1"/>
    <xf numFmtId="15" fontId="5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right"/>
    </xf>
    <xf numFmtId="10" fontId="4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5" fillId="0" borderId="12" xfId="0" applyFont="1" applyBorder="1"/>
    <xf numFmtId="0" fontId="5" fillId="0" borderId="1" xfId="0" applyFont="1" applyBorder="1"/>
    <xf numFmtId="166" fontId="5" fillId="0" borderId="1" xfId="0" applyNumberFormat="1" applyFont="1" applyBorder="1"/>
    <xf numFmtId="15" fontId="5" fillId="0" borderId="1" xfId="0" applyNumberFormat="1" applyFont="1" applyBorder="1" applyAlignment="1">
      <alignment horizontal="left"/>
    </xf>
    <xf numFmtId="15" fontId="5" fillId="0" borderId="15" xfId="0" applyNumberFormat="1" applyFont="1" applyBorder="1" applyAlignment="1">
      <alignment horizontal="left"/>
    </xf>
    <xf numFmtId="1" fontId="4" fillId="0" borderId="3" xfId="0" applyNumberFormat="1" applyFont="1" applyBorder="1" applyAlignment="1">
      <alignment horizontal="right"/>
    </xf>
    <xf numFmtId="0" fontId="4" fillId="0" borderId="3" xfId="0" applyFont="1" applyBorder="1"/>
    <xf numFmtId="0" fontId="5" fillId="0" borderId="8" xfId="0" applyFont="1" applyBorder="1"/>
    <xf numFmtId="0" fontId="5" fillId="0" borderId="11" xfId="0" applyFont="1" applyBorder="1"/>
    <xf numFmtId="0" fontId="4" fillId="0" borderId="13" xfId="0" applyFont="1" applyBorder="1"/>
    <xf numFmtId="165" fontId="0" fillId="0" borderId="14" xfId="1" applyNumberFormat="1" applyFont="1" applyBorder="1"/>
    <xf numFmtId="165" fontId="0" fillId="0" borderId="2" xfId="1" applyNumberFormat="1" applyFont="1" applyBorder="1"/>
    <xf numFmtId="165" fontId="0" fillId="0" borderId="2" xfId="0" applyNumberFormat="1" applyBorder="1"/>
    <xf numFmtId="165" fontId="0" fillId="0" borderId="4" xfId="0" applyNumberFormat="1" applyBorder="1"/>
    <xf numFmtId="0" fontId="9" fillId="0" borderId="0" xfId="0" applyFont="1"/>
    <xf numFmtId="0" fontId="9" fillId="15" borderId="11" xfId="0" applyFont="1" applyFill="1" applyBorder="1"/>
    <xf numFmtId="0" fontId="5" fillId="15" borderId="11" xfId="0" applyFont="1" applyFill="1" applyBorder="1"/>
    <xf numFmtId="167" fontId="4" fillId="15" borderId="2" xfId="0" applyNumberFormat="1" applyFont="1" applyFill="1" applyBorder="1"/>
    <xf numFmtId="167" fontId="4" fillId="15" borderId="4" xfId="0" applyNumberFormat="1" applyFont="1" applyFill="1" applyBorder="1"/>
    <xf numFmtId="167" fontId="4" fillId="15" borderId="3" xfId="0" applyNumberFormat="1" applyFont="1" applyFill="1" applyBorder="1"/>
    <xf numFmtId="2" fontId="4" fillId="15" borderId="1" xfId="0" applyNumberFormat="1" applyFont="1" applyFill="1" applyBorder="1"/>
    <xf numFmtId="2" fontId="4" fillId="15" borderId="0" xfId="0" applyNumberFormat="1" applyFont="1" applyFill="1"/>
    <xf numFmtId="0" fontId="4" fillId="15" borderId="15" xfId="0" applyFont="1" applyFill="1" applyBorder="1"/>
    <xf numFmtId="0" fontId="4" fillId="15" borderId="3" xfId="0" applyFont="1" applyFill="1" applyBorder="1"/>
    <xf numFmtId="2" fontId="4" fillId="15" borderId="15" xfId="0" applyNumberFormat="1" applyFont="1" applyFill="1" applyBorder="1"/>
    <xf numFmtId="2" fontId="4" fillId="15" borderId="3" xfId="0" applyNumberFormat="1" applyFont="1" applyFill="1" applyBorder="1"/>
    <xf numFmtId="2" fontId="4" fillId="15" borderId="2" xfId="0" applyNumberFormat="1" applyFont="1" applyFill="1" applyBorder="1"/>
    <xf numFmtId="2" fontId="4" fillId="15" borderId="4" xfId="0" applyNumberFormat="1" applyFont="1" applyFill="1" applyBorder="1"/>
    <xf numFmtId="0" fontId="5" fillId="16" borderId="11" xfId="0" applyFont="1" applyFill="1" applyBorder="1"/>
    <xf numFmtId="2" fontId="4" fillId="16" borderId="0" xfId="0" applyNumberFormat="1" applyFont="1" applyFill="1"/>
    <xf numFmtId="2" fontId="4" fillId="16" borderId="0" xfId="1" applyNumberFormat="1" applyFont="1" applyFill="1" applyBorder="1"/>
    <xf numFmtId="2" fontId="4" fillId="16" borderId="3" xfId="0" applyNumberFormat="1" applyFont="1" applyFill="1" applyBorder="1"/>
    <xf numFmtId="2" fontId="4" fillId="16" borderId="3" xfId="1" applyNumberFormat="1" applyFont="1" applyFill="1" applyBorder="1"/>
    <xf numFmtId="167" fontId="4" fillId="16" borderId="3" xfId="0" applyNumberFormat="1" applyFont="1" applyFill="1" applyBorder="1"/>
    <xf numFmtId="167" fontId="4" fillId="15" borderId="0" xfId="0" applyNumberFormat="1" applyFont="1" applyFill="1"/>
    <xf numFmtId="0" fontId="5" fillId="15" borderId="5" xfId="0" applyFont="1" applyFill="1" applyBorder="1"/>
    <xf numFmtId="0" fontId="5" fillId="0" borderId="5" xfId="0" applyFont="1" applyBorder="1"/>
    <xf numFmtId="168" fontId="4" fillId="0" borderId="0" xfId="1" applyNumberFormat="1" applyFont="1" applyFill="1" applyBorder="1"/>
    <xf numFmtId="0" fontId="5" fillId="16" borderId="5" xfId="0" applyFont="1" applyFill="1" applyBorder="1"/>
    <xf numFmtId="2" fontId="4" fillId="15" borderId="12" xfId="0" applyNumberFormat="1" applyFont="1" applyFill="1" applyBorder="1"/>
    <xf numFmtId="2" fontId="4" fillId="15" borderId="13" xfId="0" applyNumberFormat="1" applyFont="1" applyFill="1" applyBorder="1"/>
    <xf numFmtId="2" fontId="4" fillId="16" borderId="13" xfId="0" applyNumberFormat="1" applyFont="1" applyFill="1" applyBorder="1"/>
    <xf numFmtId="167" fontId="4" fillId="16" borderId="13" xfId="0" applyNumberFormat="1" applyFont="1" applyFill="1" applyBorder="1"/>
    <xf numFmtId="167" fontId="4" fillId="15" borderId="13" xfId="0" applyNumberFormat="1" applyFont="1" applyFill="1" applyBorder="1"/>
    <xf numFmtId="168" fontId="4" fillId="0" borderId="13" xfId="1" applyNumberFormat="1" applyFont="1" applyFill="1" applyBorder="1"/>
    <xf numFmtId="167" fontId="4" fillId="15" borderId="14" xfId="0" applyNumberFormat="1" applyFont="1" applyFill="1" applyBorder="1"/>
    <xf numFmtId="168" fontId="4" fillId="0" borderId="14" xfId="1" applyNumberFormat="1" applyFont="1" applyFill="1" applyBorder="1"/>
    <xf numFmtId="167" fontId="4" fillId="16" borderId="0" xfId="0" applyNumberFormat="1" applyFont="1" applyFill="1"/>
    <xf numFmtId="168" fontId="4" fillId="0" borderId="2" xfId="1" applyNumberFormat="1" applyFont="1" applyFill="1" applyBorder="1"/>
    <xf numFmtId="168" fontId="4" fillId="0" borderId="3" xfId="1" applyNumberFormat="1" applyFont="1" applyFill="1" applyBorder="1"/>
    <xf numFmtId="168" fontId="4" fillId="0" borderId="4" xfId="1" applyNumberFormat="1" applyFont="1" applyFill="1" applyBorder="1"/>
    <xf numFmtId="0" fontId="5" fillId="16" borderId="14" xfId="0" applyFont="1" applyFill="1" applyBorder="1"/>
    <xf numFmtId="2" fontId="4" fillId="16" borderId="14" xfId="0" applyNumberFormat="1" applyFont="1" applyFill="1" applyBorder="1"/>
    <xf numFmtId="2" fontId="4" fillId="16" borderId="2" xfId="0" applyNumberFormat="1" applyFont="1" applyFill="1" applyBorder="1"/>
    <xf numFmtId="0" fontId="4" fillId="16" borderId="4" xfId="0" applyFont="1" applyFill="1" applyBorder="1"/>
    <xf numFmtId="0" fontId="5" fillId="16" borderId="13" xfId="0" applyFont="1" applyFill="1" applyBorder="1"/>
    <xf numFmtId="167" fontId="4" fillId="16" borderId="12" xfId="0" applyNumberFormat="1" applyFont="1" applyFill="1" applyBorder="1"/>
    <xf numFmtId="167" fontId="4" fillId="16" borderId="1" xfId="0" applyNumberFormat="1" applyFont="1" applyFill="1" applyBorder="1"/>
    <xf numFmtId="167" fontId="4" fillId="16" borderId="15" xfId="0" applyNumberFormat="1" applyFont="1" applyFill="1" applyBorder="1"/>
    <xf numFmtId="0" fontId="5" fillId="16" borderId="12" xfId="0" applyFont="1" applyFill="1" applyBorder="1"/>
    <xf numFmtId="167" fontId="4" fillId="16" borderId="5" xfId="0" applyNumberFormat="1" applyFont="1" applyFill="1" applyBorder="1"/>
    <xf numFmtId="167" fontId="4" fillId="16" borderId="6" xfId="0" applyNumberFormat="1" applyFont="1" applyFill="1" applyBorder="1"/>
    <xf numFmtId="167" fontId="4" fillId="16" borderId="7" xfId="0" applyNumberFormat="1" applyFont="1" applyFill="1" applyBorder="1"/>
    <xf numFmtId="167" fontId="0" fillId="0" borderId="0" xfId="0" applyNumberFormat="1"/>
    <xf numFmtId="0" fontId="0" fillId="0" borderId="15" xfId="0" applyBorder="1"/>
    <xf numFmtId="10" fontId="0" fillId="0" borderId="1" xfId="1" applyNumberFormat="1" applyFont="1" applyBorder="1"/>
    <xf numFmtId="10" fontId="0" fillId="0" borderId="0" xfId="1" applyNumberFormat="1" applyFont="1" applyBorder="1"/>
    <xf numFmtId="10" fontId="0" fillId="0" borderId="2" xfId="1" applyNumberFormat="1" applyFont="1" applyBorder="1"/>
    <xf numFmtId="10" fontId="0" fillId="0" borderId="15" xfId="1" applyNumberFormat="1" applyFont="1" applyBorder="1"/>
    <xf numFmtId="10" fontId="0" fillId="0" borderId="3" xfId="1" applyNumberFormat="1" applyFont="1" applyBorder="1"/>
    <xf numFmtId="10" fontId="0" fillId="0" borderId="4" xfId="1" applyNumberFormat="1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2" applyAlignment="1">
      <alignment horizontal="center"/>
    </xf>
    <xf numFmtId="0" fontId="0" fillId="0" borderId="11" xfId="0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2" fillId="13" borderId="5" xfId="0" applyFont="1" applyFill="1" applyBorder="1" applyAlignment="1">
      <alignment horizontal="center" vertical="center" textRotation="90"/>
    </xf>
    <xf numFmtId="0" fontId="2" fillId="13" borderId="6" xfId="0" applyFont="1" applyFill="1" applyBorder="1" applyAlignment="1">
      <alignment horizontal="center" vertical="center" textRotation="90"/>
    </xf>
    <xf numFmtId="0" fontId="2" fillId="13" borderId="7" xfId="0" applyFont="1" applyFill="1" applyBorder="1" applyAlignment="1">
      <alignment horizontal="center" vertical="center" textRotation="90"/>
    </xf>
    <xf numFmtId="0" fontId="2" fillId="2" borderId="5" xfId="0" applyFont="1" applyFill="1" applyBorder="1" applyAlignment="1">
      <alignment horizontal="center" vertical="center" textRotation="90"/>
    </xf>
    <xf numFmtId="0" fontId="2" fillId="2" borderId="6" xfId="0" applyFont="1" applyFill="1" applyBorder="1" applyAlignment="1">
      <alignment horizontal="center" vertical="center" textRotation="90"/>
    </xf>
    <xf numFmtId="0" fontId="2" fillId="2" borderId="7" xfId="0" applyFont="1" applyFill="1" applyBorder="1" applyAlignment="1">
      <alignment horizontal="center" vertical="center" textRotation="90"/>
    </xf>
    <xf numFmtId="0" fontId="2" fillId="5" borderId="5" xfId="0" applyFont="1" applyFill="1" applyBorder="1" applyAlignment="1">
      <alignment horizontal="center" vertical="center" textRotation="90"/>
    </xf>
    <xf numFmtId="0" fontId="2" fillId="5" borderId="6" xfId="0" applyFont="1" applyFill="1" applyBorder="1" applyAlignment="1">
      <alignment horizontal="center" vertical="center" textRotation="90"/>
    </xf>
    <xf numFmtId="0" fontId="2" fillId="5" borderId="7" xfId="0" applyFont="1" applyFill="1" applyBorder="1" applyAlignment="1">
      <alignment horizontal="center" vertical="center" textRotation="90"/>
    </xf>
    <xf numFmtId="0" fontId="2" fillId="7" borderId="5" xfId="0" applyFont="1" applyFill="1" applyBorder="1" applyAlignment="1">
      <alignment horizontal="center" vertical="center" textRotation="90"/>
    </xf>
    <xf numFmtId="0" fontId="2" fillId="7" borderId="6" xfId="0" applyFont="1" applyFill="1" applyBorder="1" applyAlignment="1">
      <alignment horizontal="center" vertical="center" textRotation="90"/>
    </xf>
    <xf numFmtId="0" fontId="2" fillId="7" borderId="7" xfId="0" applyFont="1" applyFill="1" applyBorder="1" applyAlignment="1">
      <alignment horizontal="center" vertical="center" textRotation="90"/>
    </xf>
    <xf numFmtId="0" fontId="2" fillId="9" borderId="5" xfId="0" applyFont="1" applyFill="1" applyBorder="1" applyAlignment="1">
      <alignment horizontal="center" vertical="center" textRotation="90"/>
    </xf>
    <xf numFmtId="0" fontId="2" fillId="9" borderId="6" xfId="0" applyFont="1" applyFill="1" applyBorder="1" applyAlignment="1">
      <alignment horizontal="center" vertical="center" textRotation="90"/>
    </xf>
    <xf numFmtId="0" fontId="2" fillId="9" borderId="7" xfId="0" applyFont="1" applyFill="1" applyBorder="1" applyAlignment="1">
      <alignment horizontal="center" vertical="center" textRotation="90"/>
    </xf>
    <xf numFmtId="0" fontId="2" fillId="11" borderId="5" xfId="0" applyFont="1" applyFill="1" applyBorder="1" applyAlignment="1">
      <alignment horizontal="center" vertical="center" textRotation="90"/>
    </xf>
    <xf numFmtId="0" fontId="2" fillId="11" borderId="6" xfId="0" applyFont="1" applyFill="1" applyBorder="1" applyAlignment="1">
      <alignment horizontal="center" vertical="center" textRotation="90"/>
    </xf>
    <xf numFmtId="0" fontId="2" fillId="11" borderId="7" xfId="0" applyFont="1" applyFill="1" applyBorder="1" applyAlignment="1">
      <alignment horizontal="center" vertical="center" textRotation="90"/>
    </xf>
  </cellXfs>
  <cellStyles count="3">
    <cellStyle name="Collegamento ipertestuale" xfId="2" builtinId="8"/>
    <cellStyle name="Normale" xfId="0" builtinId="0"/>
    <cellStyle name="Percentuale" xfId="1" builtinId="5"/>
  </cellStyles>
  <dxfs count="0"/>
  <tableStyles count="0" defaultTableStyle="TableStyleMedium2" defaultPivotStyle="PivotStyleLight16"/>
  <colors>
    <mruColors>
      <color rgb="FFFF8AD8"/>
      <color rgb="FFFF2F92"/>
      <color rgb="FF73FDD6"/>
      <color rgb="FF00FB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pivotCacheDefinition" Target="pivotCache/pivotCacheDefinition8.xml"/><Relationship Id="rId5" Type="http://schemas.openxmlformats.org/officeDocument/2006/relationships/pivotCacheDefinition" Target="pivotCache/pivotCacheDefinition2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7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sharedStrings" Target="sharedStrings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price,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1'!$C$5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6">
                  <a:tint val="40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1'!$C$6:$C$21</c:f>
              <c:numCache>
                <c:formatCode>0.0E+00</c:formatCode>
                <c:ptCount val="16"/>
                <c:pt idx="0">
                  <c:v>2.2304490506969554E-16</c:v>
                </c:pt>
                <c:pt idx="1">
                  <c:v>3.8877845312123772E-12</c:v>
                </c:pt>
                <c:pt idx="2">
                  <c:v>8.3004997426498993E-9</c:v>
                </c:pt>
                <c:pt idx="3">
                  <c:v>3.2330322265967178E-6</c:v>
                </c:pt>
                <c:pt idx="4">
                  <c:v>3.1457930161798292E-4</c:v>
                </c:pt>
                <c:pt idx="5">
                  <c:v>9.8692301452762976E-3</c:v>
                </c:pt>
                <c:pt idx="6">
                  <c:v>0.1236889706183808</c:v>
                </c:pt>
                <c:pt idx="7">
                  <c:v>0.74669402199779711</c:v>
                </c:pt>
                <c:pt idx="8">
                  <c:v>2.5717414155455174</c:v>
                </c:pt>
                <c:pt idx="9">
                  <c:v>5.8960063992511209</c:v>
                </c:pt>
                <c:pt idx="10">
                  <c:v>10.284308052956504</c:v>
                </c:pt>
                <c:pt idx="11">
                  <c:v>15.130727142303371</c:v>
                </c:pt>
                <c:pt idx="12">
                  <c:v>20.103717887420927</c:v>
                </c:pt>
                <c:pt idx="13">
                  <c:v>25.10029648237672</c:v>
                </c:pt>
                <c:pt idx="14">
                  <c:v>30.099974576805963</c:v>
                </c:pt>
                <c:pt idx="15">
                  <c:v>35.099951393809917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0-1E40-9DA9-423DB5B274C6}"/>
            </c:ext>
          </c:extLst>
        </c:ser>
        <c:ser>
          <c:idx val="1"/>
          <c:order val="1"/>
          <c:tx>
            <c:strRef>
              <c:f>'PART 1'!$D$5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6">
                  <a:tint val="49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1'!$D$6:$D$21</c:f>
              <c:numCache>
                <c:formatCode>0.0E+00</c:formatCode>
                <c:ptCount val="16"/>
                <c:pt idx="0">
                  <c:v>7.3538008423880733E-9</c:v>
                </c:pt>
                <c:pt idx="1">
                  <c:v>1.1386378740025482E-6</c:v>
                </c:pt>
                <c:pt idx="2">
                  <c:v>6.2183582667875697E-5</c:v>
                </c:pt>
                <c:pt idx="3">
                  <c:v>1.4643121360787409E-3</c:v>
                </c:pt>
                <c:pt idx="4">
                  <c:v>1.7423711064306957E-2</c:v>
                </c:pt>
                <c:pt idx="5">
                  <c:v>0.11910197852861426</c:v>
                </c:pt>
                <c:pt idx="6">
                  <c:v>0.52017717534734409</c:v>
                </c:pt>
                <c:pt idx="7">
                  <c:v>1.5884118610443743</c:v>
                </c:pt>
                <c:pt idx="8">
                  <c:v>3.6642859878086398</c:v>
                </c:pt>
                <c:pt idx="9">
                  <c:v>6.8256189768511177</c:v>
                </c:pt>
                <c:pt idx="10">
                  <c:v>10.857890232991323</c:v>
                </c:pt>
                <c:pt idx="11">
                  <c:v>15.430362576705761</c:v>
                </c:pt>
                <c:pt idx="12">
                  <c:v>20.270255991753984</c:v>
                </c:pt>
                <c:pt idx="13">
                  <c:v>25.218765299172134</c:v>
                </c:pt>
                <c:pt idx="14">
                  <c:v>30.204345382971994</c:v>
                </c:pt>
                <c:pt idx="15">
                  <c:v>35.20078048387073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70-1E40-9DA9-423DB5B274C6}"/>
            </c:ext>
          </c:extLst>
        </c:ser>
        <c:ser>
          <c:idx val="2"/>
          <c:order val="2"/>
          <c:tx>
            <c:strRef>
              <c:f>'PART 1'!$E$5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6">
                  <a:tint val="5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1'!$E$6:$E$21</c:f>
              <c:numCache>
                <c:formatCode>0.0E+00</c:formatCode>
                <c:ptCount val="16"/>
                <c:pt idx="0">
                  <c:v>2.9959877791228948E-6</c:v>
                </c:pt>
                <c:pt idx="1">
                  <c:v>9.5434049698821591E-5</c:v>
                </c:pt>
                <c:pt idx="2">
                  <c:v>1.5220997632125546E-3</c:v>
                </c:pt>
                <c:pt idx="3">
                  <c:v>1.3903223194689229E-2</c:v>
                </c:pt>
                <c:pt idx="4">
                  <c:v>8.085306853909846E-2</c:v>
                </c:pt>
                <c:pt idx="5">
                  <c:v>0.32597746648906689</c:v>
                </c:pt>
                <c:pt idx="6">
                  <c:v>0.9771159895446857</c:v>
                </c:pt>
                <c:pt idx="7">
                  <c:v>2.308194235452433</c:v>
                </c:pt>
                <c:pt idx="8">
                  <c:v>4.5128764488089885</c:v>
                </c:pt>
                <c:pt idx="9">
                  <c:v>7.6103516644556919</c:v>
                </c:pt>
                <c:pt idx="10">
                  <c:v>11.456028605834689</c:v>
                </c:pt>
                <c:pt idx="11">
                  <c:v>15.829371553917809</c:v>
                </c:pt>
                <c:pt idx="12">
                  <c:v>20.522869427969269</c:v>
                </c:pt>
                <c:pt idx="13">
                  <c:v>25.386675479156366</c:v>
                </c:pt>
                <c:pt idx="14">
                  <c:v>30.331214205428751</c:v>
                </c:pt>
                <c:pt idx="15">
                  <c:v>35.31033895908763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70-1E40-9DA9-423DB5B274C6}"/>
            </c:ext>
          </c:extLst>
        </c:ser>
        <c:ser>
          <c:idx val="3"/>
          <c:order val="3"/>
          <c:tx>
            <c:strRef>
              <c:f>'PART 1'!$F$5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6">
                  <a:tint val="6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1'!$F$6:$F$21</c:f>
              <c:numCache>
                <c:formatCode>0.0E+00</c:formatCode>
                <c:ptCount val="16"/>
                <c:pt idx="0">
                  <c:v>6.7667326194035312E-5</c:v>
                </c:pt>
                <c:pt idx="1">
                  <c:v>9.7373460393569006E-4</c:v>
                </c:pt>
                <c:pt idx="2">
                  <c:v>8.3502433446597524E-3</c:v>
                </c:pt>
                <c:pt idx="3">
                  <c:v>4.7202753755267945E-2</c:v>
                </c:pt>
                <c:pt idx="4">
                  <c:v>0.19040690284720441</c:v>
                </c:pt>
                <c:pt idx="5">
                  <c:v>0.58403533729902968</c:v>
                </c:pt>
                <c:pt idx="6">
                  <c:v>1.4345509417355302</c:v>
                </c:pt>
                <c:pt idx="7">
                  <c:v>2.9448552913943615</c:v>
                </c:pt>
                <c:pt idx="8">
                  <c:v>5.2349506082500952</c:v>
                </c:pt>
                <c:pt idx="9">
                  <c:v>8.3006595793812679</c:v>
                </c:pt>
                <c:pt idx="10">
                  <c:v>12.031005161573347</c:v>
                </c:pt>
                <c:pt idx="11">
                  <c:v>16.261836077079636</c:v>
                </c:pt>
                <c:pt idx="12">
                  <c:v>20.829462019286737</c:v>
                </c:pt>
                <c:pt idx="13">
                  <c:v>25.602551296420927</c:v>
                </c:pt>
                <c:pt idx="14">
                  <c:v>30.490676721950678</c:v>
                </c:pt>
                <c:pt idx="15">
                  <c:v>35.438541362674115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70-1E40-9DA9-423DB5B274C6}"/>
            </c:ext>
          </c:extLst>
        </c:ser>
        <c:ser>
          <c:idx val="4"/>
          <c:order val="4"/>
          <c:tx>
            <c:strRef>
              <c:f>'PART 1'!$G$5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6">
                  <a:tint val="77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1'!$G$6:$G$21</c:f>
              <c:numCache>
                <c:formatCode>0.0E+00</c:formatCode>
                <c:ptCount val="16"/>
                <c:pt idx="0">
                  <c:v>4.6864522509331916E-4</c:v>
                </c:pt>
                <c:pt idx="1">
                  <c:v>4.1752870736835174E-3</c:v>
                </c:pt>
                <c:pt idx="2">
                  <c:v>2.4594855938378291E-2</c:v>
                </c:pt>
                <c:pt idx="3">
                  <c:v>0.10384164538844409</c:v>
                </c:pt>
                <c:pt idx="4">
                  <c:v>0.33478201423465759</c:v>
                </c:pt>
                <c:pt idx="5">
                  <c:v>0.86690110761376005</c:v>
                </c:pt>
                <c:pt idx="6">
                  <c:v>1.8784010844529355</c:v>
                </c:pt>
                <c:pt idx="7">
                  <c:v>3.5221603342742469</c:v>
                </c:pt>
                <c:pt idx="8">
                  <c:v>5.8760242338276072</c:v>
                </c:pt>
                <c:pt idx="9">
                  <c:v>8.9246226223116736</c:v>
                </c:pt>
                <c:pt idx="10">
                  <c:v>12.576659970926983</c:v>
                </c:pt>
                <c:pt idx="11">
                  <c:v>16.70153287894945</c:v>
                </c:pt>
                <c:pt idx="12">
                  <c:v>21.165193914802728</c:v>
                </c:pt>
                <c:pt idx="13">
                  <c:v>25.853393383544216</c:v>
                </c:pt>
                <c:pt idx="14">
                  <c:v>30.680612592238447</c:v>
                </c:pt>
                <c:pt idx="15">
                  <c:v>35.588920775371363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70-1E40-9DA9-423DB5B274C6}"/>
            </c:ext>
          </c:extLst>
        </c:ser>
        <c:ser>
          <c:idx val="5"/>
          <c:order val="5"/>
          <c:tx>
            <c:strRef>
              <c:f>'PART 1'!$H$5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6">
                  <a:tint val="8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1'!$H$6:$H$21</c:f>
              <c:numCache>
                <c:formatCode>0.0E+00</c:formatCode>
                <c:ptCount val="16"/>
                <c:pt idx="0">
                  <c:v>1.7756647257560002E-3</c:v>
                </c:pt>
                <c:pt idx="1">
                  <c:v>1.147020467830176E-2</c:v>
                </c:pt>
                <c:pt idx="2">
                  <c:v>5.2483668198078481E-2</c:v>
                </c:pt>
                <c:pt idx="3">
                  <c:v>0.18193776278121643</c:v>
                </c:pt>
                <c:pt idx="4">
                  <c:v>0.50365162527732199</c:v>
                </c:pt>
                <c:pt idx="5">
                  <c:v>1.1610534243582951</c:v>
                </c:pt>
                <c:pt idx="6">
                  <c:v>2.3056378685753991</c:v>
                </c:pt>
                <c:pt idx="7">
                  <c:v>4.0546116464770634</c:v>
                </c:pt>
                <c:pt idx="8">
                  <c:v>6.4594540100983693</c:v>
                </c:pt>
                <c:pt idx="9">
                  <c:v>9.498876690102847</c:v>
                </c:pt>
                <c:pt idx="10">
                  <c:v>13.094522467834977</c:v>
                </c:pt>
                <c:pt idx="11">
                  <c:v>17.137797886029318</c:v>
                </c:pt>
                <c:pt idx="12">
                  <c:v>21.51558315913033</c:v>
                </c:pt>
                <c:pt idx="13">
                  <c:v>26.127733617540741</c:v>
                </c:pt>
                <c:pt idx="14">
                  <c:v>30.895099786680717</c:v>
                </c:pt>
                <c:pt idx="15">
                  <c:v>35.760323683939575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70-1E40-9DA9-423DB5B274C6}"/>
            </c:ext>
          </c:extLst>
        </c:ser>
        <c:ser>
          <c:idx val="6"/>
          <c:order val="6"/>
          <c:tx>
            <c:strRef>
              <c:f>'PART 1'!$I$5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6">
                  <a:tint val="9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1'!$I$6:$I$21</c:f>
              <c:numCache>
                <c:formatCode>0.0E+00</c:formatCode>
                <c:ptCount val="16"/>
                <c:pt idx="0">
                  <c:v>4.7343479923354914E-3</c:v>
                </c:pt>
                <c:pt idx="1">
                  <c:v>2.4273203323521619E-2</c:v>
                </c:pt>
                <c:pt idx="2">
                  <c:v>9.2579767870508922E-2</c:v>
                </c:pt>
                <c:pt idx="3">
                  <c:v>0.27825828726258672</c:v>
                </c:pt>
                <c:pt idx="4">
                  <c:v>0.68941698631189574</c:v>
                </c:pt>
                <c:pt idx="5">
                  <c:v>1.4593471090752406</c:v>
                </c:pt>
                <c:pt idx="6">
                  <c:v>2.7163991578052737</c:v>
                </c:pt>
                <c:pt idx="7">
                  <c:v>4.5516844257199054</c:v>
                </c:pt>
                <c:pt idx="8">
                  <c:v>6.99912275895948</c:v>
                </c:pt>
                <c:pt idx="9">
                  <c:v>10.03413062553583</c:v>
                </c:pt>
                <c:pt idx="10">
                  <c:v>13.587528771876677</c:v>
                </c:pt>
                <c:pt idx="11">
                  <c:v>17.566179355368746</c:v>
                </c:pt>
                <c:pt idx="12">
                  <c:v>21.872353367721374</c:v>
                </c:pt>
                <c:pt idx="13">
                  <c:v>26.417318631446406</c:v>
                </c:pt>
                <c:pt idx="14">
                  <c:v>31.128251905467465</c:v>
                </c:pt>
                <c:pt idx="15">
                  <c:v>35.949815583401403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70-1E40-9DA9-423DB5B274C6}"/>
            </c:ext>
          </c:extLst>
        </c:ser>
        <c:ser>
          <c:idx val="7"/>
          <c:order val="7"/>
          <c:tx>
            <c:strRef>
              <c:f>'PART 1'!$J$5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1'!$J$6:$J$21</c:f>
              <c:numCache>
                <c:formatCode>0.0E+00</c:formatCode>
                <c:ptCount val="16"/>
                <c:pt idx="0">
                  <c:v>1.0091999448092415E-2</c:v>
                </c:pt>
                <c:pt idx="1">
                  <c:v>4.346324645500943E-2</c:v>
                </c:pt>
                <c:pt idx="2">
                  <c:v>0.144438741357098</c:v>
                </c:pt>
                <c:pt idx="3">
                  <c:v>0.38953533002924434</c:v>
                </c:pt>
                <c:pt idx="4">
                  <c:v>0.88674153621204965</c:v>
                </c:pt>
                <c:pt idx="5">
                  <c:v>1.7578686125174023</c:v>
                </c:pt>
                <c:pt idx="6">
                  <c:v>3.1117589961858805</c:v>
                </c:pt>
                <c:pt idx="7">
                  <c:v>5.0199398592842854</c:v>
                </c:pt>
                <c:pt idx="8">
                  <c:v>7.5040810218846374</c:v>
                </c:pt>
                <c:pt idx="9">
                  <c:v>10.537733085958052</c:v>
                </c:pt>
                <c:pt idx="10">
                  <c:v>14.058586652485516</c:v>
                </c:pt>
                <c:pt idx="11">
                  <c:v>17.98491172590991</c:v>
                </c:pt>
                <c:pt idx="12">
                  <c:v>22.230695484605391</c:v>
                </c:pt>
                <c:pt idx="13">
                  <c:v>26.716469582164876</c:v>
                </c:pt>
                <c:pt idx="14">
                  <c:v>31.375208747988921</c:v>
                </c:pt>
                <c:pt idx="15">
                  <c:v>36.154171030681326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70-1E40-9DA9-423DB5B274C6}"/>
            </c:ext>
          </c:extLst>
        </c:ser>
        <c:ser>
          <c:idx val="8"/>
          <c:order val="8"/>
          <c:tx>
            <c:strRef>
              <c:f>'PART 1'!$K$5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6">
                  <a:shade val="8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1'!$K$6:$K$21</c:f>
              <c:numCache>
                <c:formatCode>0.0E+00</c:formatCode>
                <c:ptCount val="16"/>
                <c:pt idx="0">
                  <c:v>1.8481177013845107E-2</c:v>
                </c:pt>
                <c:pt idx="1">
                  <c:v>6.944067387296049E-2</c:v>
                </c:pt>
                <c:pt idx="2">
                  <c:v>0.20712487180069639</c:v>
                </c:pt>
                <c:pt idx="3">
                  <c:v>0.51289961235516035</c:v>
                </c:pt>
                <c:pt idx="4">
                  <c:v>1.091894273903721</c:v>
                </c:pt>
                <c:pt idx="5">
                  <c:v>2.0544240863797469</c:v>
                </c:pt>
                <c:pt idx="6">
                  <c:v>3.4930071621937735</c:v>
                </c:pt>
                <c:pt idx="7">
                  <c:v>5.4641337149314566</c:v>
                </c:pt>
                <c:pt idx="8">
                  <c:v>7.9806188789340027</c:v>
                </c:pt>
                <c:pt idx="9">
                  <c:v>11.014978139204246</c:v>
                </c:pt>
                <c:pt idx="10">
                  <c:v>14.510253423752133</c:v>
                </c:pt>
                <c:pt idx="11">
                  <c:v>18.393461652041879</c:v>
                </c:pt>
                <c:pt idx="12">
                  <c:v>22.587767456319014</c:v>
                </c:pt>
                <c:pt idx="13">
                  <c:v>27.021299844803551</c:v>
                </c:pt>
                <c:pt idx="14">
                  <c:v>31.632190856769014</c:v>
                </c:pt>
                <c:pt idx="15">
                  <c:v>36.370444839775416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70-1E40-9DA9-423DB5B274C6}"/>
            </c:ext>
          </c:extLst>
        </c:ser>
        <c:ser>
          <c:idx val="9"/>
          <c:order val="9"/>
          <c:tx>
            <c:strRef>
              <c:f>'PART 1'!$L$5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6">
                  <a:shade val="7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1'!$L$6:$L$21</c:f>
              <c:numCache>
                <c:formatCode>0.0E+00</c:formatCode>
                <c:ptCount val="16"/>
                <c:pt idx="0">
                  <c:v>3.0373595562479816E-2</c:v>
                </c:pt>
                <c:pt idx="1">
                  <c:v>0.10225335189392948</c:v>
                </c:pt>
                <c:pt idx="2">
                  <c:v>0.27952126691005486</c:v>
                </c:pt>
                <c:pt idx="3">
                  <c:v>0.64596386383471938</c:v>
                </c:pt>
                <c:pt idx="4">
                  <c:v>1.3022453387096355</c:v>
                </c:pt>
                <c:pt idx="5">
                  <c:v>2.3477772643563313</c:v>
                </c:pt>
                <c:pt idx="6">
                  <c:v>3.8614041422311409</c:v>
                </c:pt>
                <c:pt idx="7">
                  <c:v>5.8878398856106102</c:v>
                </c:pt>
                <c:pt idx="8">
                  <c:v>8.4333186901096084</c:v>
                </c:pt>
                <c:pt idx="9">
                  <c:v>11.46982663466212</c:v>
                </c:pt>
                <c:pt idx="10">
                  <c:v>14.944704023535394</c:v>
                </c:pt>
                <c:pt idx="11">
                  <c:v>18.79187861070001</c:v>
                </c:pt>
                <c:pt idx="12">
                  <c:v>22.941876553071737</c:v>
                </c:pt>
                <c:pt idx="13">
                  <c:v>27.329133115031794</c:v>
                </c:pt>
                <c:pt idx="14">
                  <c:v>31.896318617624189</c:v>
                </c:pt>
                <c:pt idx="15">
                  <c:v>36.596131943215326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670-1E40-9DA9-423DB5B274C6}"/>
            </c:ext>
          </c:extLst>
        </c:ser>
        <c:ser>
          <c:idx val="10"/>
          <c:order val="10"/>
          <c:tx>
            <c:strRef>
              <c:f>'PART 1'!$M$5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6">
                  <a:shade val="67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1'!$M$6:$M$21</c:f>
              <c:numCache>
                <c:formatCode>0.0E+00</c:formatCode>
                <c:ptCount val="16"/>
                <c:pt idx="0">
                  <c:v>0.36103660596338738</c:v>
                </c:pt>
                <c:pt idx="1">
                  <c:v>0.73168283516570831</c:v>
                </c:pt>
                <c:pt idx="2">
                  <c:v>1.3317351009523826</c:v>
                </c:pt>
                <c:pt idx="3">
                  <c:v>2.2214267534534624</c:v>
                </c:pt>
                <c:pt idx="4">
                  <c:v>3.449793680595775</c:v>
                </c:pt>
                <c:pt idx="5">
                  <c:v>5.049879529139492</c:v>
                </c:pt>
                <c:pt idx="6">
                  <c:v>7.0370180671372466</c:v>
                </c:pt>
                <c:pt idx="7">
                  <c:v>9.4097692125126571</c:v>
                </c:pt>
                <c:pt idx="8">
                  <c:v>12.152651798446094</c:v>
                </c:pt>
                <c:pt idx="9">
                  <c:v>15.239754150008267</c:v>
                </c:pt>
                <c:pt idx="10">
                  <c:v>18.638467503817758</c:v>
                </c:pt>
                <c:pt idx="11">
                  <c:v>22.31283720766902</c:v>
                </c:pt>
                <c:pt idx="12">
                  <c:v>26.226268118087461</c:v>
                </c:pt>
                <c:pt idx="13">
                  <c:v>30.343507631673518</c:v>
                </c:pt>
                <c:pt idx="14">
                  <c:v>34.631951243921151</c:v>
                </c:pt>
                <c:pt idx="15">
                  <c:v>39.062379588186559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670-1E40-9DA9-423DB5B274C6}"/>
            </c:ext>
          </c:extLst>
        </c:ser>
        <c:ser>
          <c:idx val="11"/>
          <c:order val="11"/>
          <c:tx>
            <c:strRef>
              <c:f>'PART 1'!$N$5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shade val="5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1'!$N$6:$N$21</c:f>
              <c:numCache>
                <c:formatCode>0.0E+00</c:formatCode>
                <c:ptCount val="16"/>
                <c:pt idx="0">
                  <c:v>0.98463486335617389</c:v>
                </c:pt>
                <c:pt idx="1">
                  <c:v>1.6680855007928859</c:v>
                </c:pt>
                <c:pt idx="2">
                  <c:v>2.6236494340253564</c:v>
                </c:pt>
                <c:pt idx="3">
                  <c:v>3.8839955285072065</c:v>
                </c:pt>
                <c:pt idx="4">
                  <c:v>5.4695105911263582</c:v>
                </c:pt>
                <c:pt idx="5">
                  <c:v>7.388375250264879</c:v>
                </c:pt>
                <c:pt idx="6">
                  <c:v>9.6378752962655838</c:v>
                </c:pt>
                <c:pt idx="7">
                  <c:v>12.206411899851027</c:v>
                </c:pt>
                <c:pt idx="8">
                  <c:v>15.075760936614984</c:v>
                </c:pt>
                <c:pt idx="9">
                  <c:v>18.223261683458325</c:v>
                </c:pt>
                <c:pt idx="10">
                  <c:v>21.62374235413597</c:v>
                </c:pt>
                <c:pt idx="11">
                  <c:v>25.251092468784414</c:v>
                </c:pt>
                <c:pt idx="12">
                  <c:v>29.079464118384848</c:v>
                </c:pt>
                <c:pt idx="13">
                  <c:v>33.084128579527288</c:v>
                </c:pt>
                <c:pt idx="14">
                  <c:v>37.242037644355804</c:v>
                </c:pt>
                <c:pt idx="15">
                  <c:v>41.532147062540659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670-1E40-9DA9-423DB5B274C6}"/>
            </c:ext>
          </c:extLst>
        </c:ser>
        <c:ser>
          <c:idx val="12"/>
          <c:order val="12"/>
          <c:tx>
            <c:strRef>
              <c:f>'PART 1'!$O$5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6">
                  <a:shade val="4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1'!$O$6:$O$21</c:f>
              <c:numCache>
                <c:formatCode>0.0E+00</c:formatCode>
                <c:ptCount val="16"/>
                <c:pt idx="0">
                  <c:v>1.7618351785889246</c:v>
                </c:pt>
                <c:pt idx="1">
                  <c:v>2.7168342277186781</c:v>
                </c:pt>
                <c:pt idx="2">
                  <c:v>3.9546115368892121</c:v>
                </c:pt>
                <c:pt idx="3">
                  <c:v>5.4905638539372461</c:v>
                </c:pt>
                <c:pt idx="4">
                  <c:v>7.3302941770499785</c:v>
                </c:pt>
                <c:pt idx="5">
                  <c:v>9.4709407284928595</c:v>
                </c:pt>
                <c:pt idx="6">
                  <c:v>11.902855651874731</c:v>
                </c:pt>
                <c:pt idx="7">
                  <c:v>14.611345192162659</c:v>
                </c:pt>
                <c:pt idx="8">
                  <c:v>17.578286805283774</c:v>
                </c:pt>
                <c:pt idx="9">
                  <c:v>20.783523683250181</c:v>
                </c:pt>
                <c:pt idx="10">
                  <c:v>24.205998562655545</c:v>
                </c:pt>
                <c:pt idx="11">
                  <c:v>27.82462840198945</c:v>
                </c:pt>
                <c:pt idx="12">
                  <c:v>31.618944208067404</c:v>
                </c:pt>
                <c:pt idx="13">
                  <c:v>35.569530918253264</c:v>
                </c:pt>
                <c:pt idx="14">
                  <c:v>39.658305038903933</c:v>
                </c:pt>
                <c:pt idx="15">
                  <c:v>43.868665917220454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670-1E40-9DA9-423DB5B274C6}"/>
            </c:ext>
          </c:extLst>
        </c:ser>
        <c:ser>
          <c:idx val="13"/>
          <c:order val="13"/>
          <c:tx>
            <c:strRef>
              <c:f>'PART 1'!$P$5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6">
                  <a:shade val="39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1'!$P$6:$P$21</c:f>
              <c:numCache>
                <c:formatCode>0.0E+00</c:formatCode>
                <c:ptCount val="16"/>
                <c:pt idx="0">
                  <c:v>2.6132921028055698</c:v>
                </c:pt>
                <c:pt idx="1">
                  <c:v>3.7995183932571717</c:v>
                </c:pt>
                <c:pt idx="2">
                  <c:v>5.2667416950154369</c:v>
                </c:pt>
                <c:pt idx="3">
                  <c:v>7.0196785554364141</c:v>
                </c:pt>
                <c:pt idx="4">
                  <c:v>9.055723905424145</c:v>
                </c:pt>
                <c:pt idx="5">
                  <c:v>11.366479610382292</c:v>
                </c:pt>
                <c:pt idx="6">
                  <c:v>13.93926234288984</c:v>
                </c:pt>
                <c:pt idx="7">
                  <c:v>16.758463453486556</c:v>
                </c:pt>
                <c:pt idx="8">
                  <c:v>19.806700731831192</c:v>
                </c:pt>
                <c:pt idx="9">
                  <c:v>23.065746435577864</c:v>
                </c:pt>
                <c:pt idx="10">
                  <c:v>26.517242511260875</c:v>
                </c:pt>
                <c:pt idx="11">
                  <c:v>30.143227709632356</c:v>
                </c:pt>
                <c:pt idx="12">
                  <c:v>33.926506695725308</c:v>
                </c:pt>
                <c:pt idx="13">
                  <c:v>37.850891577119825</c:v>
                </c:pt>
                <c:pt idx="14">
                  <c:v>41.901343822397052</c:v>
                </c:pt>
                <c:pt idx="15">
                  <c:v>46.064040815200016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670-1E40-9DA9-423DB5B274C6}"/>
            </c:ext>
          </c:extLst>
        </c:ser>
        <c:bandFmts>
          <c:bandFmt>
            <c:idx val="0"/>
            <c:spPr>
              <a:ln w="9525" cap="rnd">
                <a:solidFill>
                  <a:schemeClr val="accent6">
                    <a:tint val="42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6">
                    <a:tint val="54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6">
                    <a:tint val="65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6">
                    <a:tint val="77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6">
                    <a:tint val="89000"/>
                  </a:schemeClr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6">
                    <a:shade val="88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6">
                    <a:shade val="76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6">
                    <a:shade val="65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6">
                    <a:shade val="53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6">
                    <a:shade val="41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shade val="41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6">
                    <a:shade val="41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6">
                    <a:shade val="41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6">
                    <a:shade val="41000"/>
                  </a:schemeClr>
                </a:solidFill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price,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1'!$C$24:$C$39</c:f>
              <c:numCache>
                <c:formatCode>0.0E+00</c:formatCode>
                <c:ptCount val="16"/>
                <c:pt idx="0">
                  <c:v>4.9426514593253982E-8</c:v>
                </c:pt>
                <c:pt idx="1">
                  <c:v>4.5686725366950501E-6</c:v>
                </c:pt>
                <c:pt idx="2">
                  <c:v>1.6727630636436015E-4</c:v>
                </c:pt>
                <c:pt idx="3">
                  <c:v>2.9011531714796257E-3</c:v>
                </c:pt>
                <c:pt idx="4">
                  <c:v>2.7446643264595227E-2</c:v>
                </c:pt>
                <c:pt idx="5">
                  <c:v>0.15874438401722912</c:v>
                </c:pt>
                <c:pt idx="6">
                  <c:v>0.61674345362130545</c:v>
                </c:pt>
                <c:pt idx="7">
                  <c:v>1.742550253016006</c:v>
                </c:pt>
                <c:pt idx="8">
                  <c:v>3.831574231402854</c:v>
                </c:pt>
                <c:pt idx="9">
                  <c:v>6.9473170778706503</c:v>
                </c:pt>
                <c:pt idx="10">
                  <c:v>10.904232987098837</c:v>
                </c:pt>
                <c:pt idx="11">
                  <c:v>15.408909383531551</c:v>
                </c:pt>
                <c:pt idx="12">
                  <c:v>20.205372347696084</c:v>
                </c:pt>
                <c:pt idx="13">
                  <c:v>25.132174079099357</c:v>
                </c:pt>
                <c:pt idx="14">
                  <c:v>30.108854893724384</c:v>
                </c:pt>
                <c:pt idx="15">
                  <c:v>35.102195315765016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73-FA4A-A31A-BF66FC02F49B}"/>
            </c:ext>
          </c:extLst>
        </c:ser>
        <c:ser>
          <c:idx val="1"/>
          <c:order val="1"/>
          <c:tx>
            <c:strRef>
              <c:f>'PART 1'!$D$5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1'!$D$24:$D$39</c:f>
              <c:numCache>
                <c:formatCode>0.0E+00</c:formatCode>
                <c:ptCount val="16"/>
                <c:pt idx="0">
                  <c:v>1.8204658076036162E-4</c:v>
                </c:pt>
                <c:pt idx="1">
                  <c:v>2.0279598776542021E-3</c:v>
                </c:pt>
                <c:pt idx="2">
                  <c:v>1.4249451403573032E-2</c:v>
                </c:pt>
                <c:pt idx="3">
                  <c:v>6.9085257409289724E-2</c:v>
                </c:pt>
                <c:pt idx="4">
                  <c:v>0.24798699406452318</c:v>
                </c:pt>
                <c:pt idx="5">
                  <c:v>0.69727950119550108</c:v>
                </c:pt>
                <c:pt idx="6">
                  <c:v>1.6077014427800016</c:v>
                </c:pt>
                <c:pt idx="7">
                  <c:v>3.156300906729264</c:v>
                </c:pt>
                <c:pt idx="8">
                  <c:v>5.4435105954847174</c:v>
                </c:pt>
                <c:pt idx="9">
                  <c:v>8.4637651281421924</c:v>
                </c:pt>
                <c:pt idx="10">
                  <c:v>12.121128415518015</c:v>
                </c:pt>
                <c:pt idx="11">
                  <c:v>16.27207424826868</c:v>
                </c:pt>
                <c:pt idx="12">
                  <c:v>20.769033566902849</c:v>
                </c:pt>
                <c:pt idx="13">
                  <c:v>25.488309491781067</c:v>
                </c:pt>
                <c:pt idx="14">
                  <c:v>30.339944955501139</c:v>
                </c:pt>
                <c:pt idx="15">
                  <c:v>35.265291948469894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73-FA4A-A31A-BF66FC02F49B}"/>
            </c:ext>
          </c:extLst>
        </c:ser>
        <c:ser>
          <c:idx val="2"/>
          <c:order val="2"/>
          <c:tx>
            <c:strRef>
              <c:f>'PART 1'!$E$5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1'!$E$24:$E$39</c:f>
              <c:numCache>
                <c:formatCode>0.0E+00</c:formatCode>
                <c:ptCount val="16"/>
                <c:pt idx="0">
                  <c:v>3.5044680915570087E-3</c:v>
                </c:pt>
                <c:pt idx="1">
                  <c:v>1.9100841058150242E-2</c:v>
                </c:pt>
                <c:pt idx="2">
                  <c:v>7.6533790879082186E-2</c:v>
                </c:pt>
                <c:pt idx="3">
                  <c:v>0.23934029970543369</c:v>
                </c:pt>
                <c:pt idx="4">
                  <c:v>0.6121600953629045</c:v>
                </c:pt>
                <c:pt idx="5">
                  <c:v>1.329102992353361</c:v>
                </c:pt>
                <c:pt idx="6">
                  <c:v>2.5241688673926532</c:v>
                </c:pt>
                <c:pt idx="7">
                  <c:v>4.296856922828205</c:v>
                </c:pt>
                <c:pt idx="8">
                  <c:v>6.6889786056810578</c:v>
                </c:pt>
                <c:pt idx="9">
                  <c:v>9.6809109631195014</c:v>
                </c:pt>
                <c:pt idx="10">
                  <c:v>13.204813936063033</c:v>
                </c:pt>
                <c:pt idx="11">
                  <c:v>17.166041816268432</c:v>
                </c:pt>
                <c:pt idx="12">
                  <c:v>21.463892582468333</c:v>
                </c:pt>
                <c:pt idx="13">
                  <c:v>26.006437508288911</c:v>
                </c:pt>
                <c:pt idx="14">
                  <c:v>30.718188738276297</c:v>
                </c:pt>
                <c:pt idx="15">
                  <c:v>35.541946403818145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73-FA4A-A31A-BF66FC02F49B}"/>
            </c:ext>
          </c:extLst>
        </c:ser>
        <c:ser>
          <c:idx val="3"/>
          <c:order val="3"/>
          <c:tx>
            <c:strRef>
              <c:f>'PART 1'!$F$5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1'!$F$24:$F$39</c:f>
              <c:numCache>
                <c:formatCode>0.0E+00</c:formatCode>
                <c:ptCount val="16"/>
                <c:pt idx="0">
                  <c:v>1.7013676964837188E-2</c:v>
                </c:pt>
                <c:pt idx="1">
                  <c:v>6.4534051213704591E-2</c:v>
                </c:pt>
                <c:pt idx="2">
                  <c:v>0.19412706258723977</c:v>
                </c:pt>
                <c:pt idx="3">
                  <c:v>0.48437482567875456</c:v>
                </c:pt>
                <c:pt idx="4">
                  <c:v>1.0381906578172906</c:v>
                </c:pt>
                <c:pt idx="5">
                  <c:v>1.9652388838322032</c:v>
                </c:pt>
                <c:pt idx="6">
                  <c:v>3.3593885969065198</c:v>
                </c:pt>
                <c:pt idx="7">
                  <c:v>5.2801628762447521</c:v>
                </c:pt>
                <c:pt idx="8">
                  <c:v>7.7442445174313264</c:v>
                </c:pt>
                <c:pt idx="9">
                  <c:v>10.727900761762115</c:v>
                </c:pt>
                <c:pt idx="10">
                  <c:v>14.177103145874099</c:v>
                </c:pt>
                <c:pt idx="11">
                  <c:v>18.020657423036525</c:v>
                </c:pt>
                <c:pt idx="12">
                  <c:v>22.182404402392308</c:v>
                </c:pt>
                <c:pt idx="13">
                  <c:v>26.590278186160873</c:v>
                </c:pt>
                <c:pt idx="14">
                  <c:v>31.181660292572587</c:v>
                </c:pt>
                <c:pt idx="15">
                  <c:v>35.905539485060018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73-FA4A-A31A-BF66FC02F49B}"/>
            </c:ext>
          </c:extLst>
        </c:ser>
        <c:ser>
          <c:idx val="4"/>
          <c:order val="4"/>
          <c:tx>
            <c:strRef>
              <c:f>'PART 1'!$G$5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1'!$G$24:$G$39</c:f>
              <c:numCache>
                <c:formatCode>0.0E+00</c:formatCode>
                <c:ptCount val="16"/>
                <c:pt idx="0">
                  <c:v>4.6503549885821505E-2</c:v>
                </c:pt>
                <c:pt idx="1">
                  <c:v>0.1414677730352405</c:v>
                </c:pt>
                <c:pt idx="2">
                  <c:v>0.35706922285665232</c:v>
                </c:pt>
                <c:pt idx="3">
                  <c:v>0.7751262659992566</c:v>
                </c:pt>
                <c:pt idx="4">
                  <c:v>1.4882093860808698</c:v>
                </c:pt>
                <c:pt idx="5">
                  <c:v>2.5836202743209391</c:v>
                </c:pt>
                <c:pt idx="6">
                  <c:v>4.128125544870759</c:v>
                </c:pt>
                <c:pt idx="7">
                  <c:v>6.15820230879158</c:v>
                </c:pt>
                <c:pt idx="8">
                  <c:v>8.6776455623360036</c:v>
                </c:pt>
                <c:pt idx="9">
                  <c:v>11.661565489177896</c:v>
                </c:pt>
                <c:pt idx="10">
                  <c:v>15.064238906089493</c:v>
                </c:pt>
                <c:pt idx="11">
                  <c:v>18.828090048531578</c:v>
                </c:pt>
                <c:pt idx="12">
                  <c:v>22.89176090679311</c:v>
                </c:pt>
                <c:pt idx="13">
                  <c:v>27.196190947300906</c:v>
                </c:pt>
                <c:pt idx="14">
                  <c:v>31.688451596380276</c:v>
                </c:pt>
                <c:pt idx="15">
                  <c:v>36.323607026580689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73-FA4A-A31A-BF66FC02F49B}"/>
            </c:ext>
          </c:extLst>
        </c:ser>
        <c:ser>
          <c:idx val="5"/>
          <c:order val="5"/>
          <c:tx>
            <c:strRef>
              <c:f>'PART 1'!$H$5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1'!$H$24:$H$39</c:f>
              <c:numCache>
                <c:formatCode>0.0E+00</c:formatCode>
                <c:ptCount val="16"/>
                <c:pt idx="0">
                  <c:v>9.4317305256830464E-2</c:v>
                </c:pt>
                <c:pt idx="1">
                  <c:v>0.24716190228057133</c:v>
                </c:pt>
                <c:pt idx="2">
                  <c:v>0.55373237849992929</c:v>
                </c:pt>
                <c:pt idx="3">
                  <c:v>1.0928579514381411</c:v>
                </c:pt>
                <c:pt idx="4">
                  <c:v>1.9448923403821556</c:v>
                </c:pt>
                <c:pt idx="5">
                  <c:v>3.1789709323163429</c:v>
                </c:pt>
                <c:pt idx="6">
                  <c:v>4.8431180669831591</c:v>
                </c:pt>
                <c:pt idx="7">
                  <c:v>6.9593992902347495</c:v>
                </c:pt>
                <c:pt idx="8">
                  <c:v>9.5242598421598075</c:v>
                </c:pt>
                <c:pt idx="9">
                  <c:v>12.512741692296608</c:v>
                </c:pt>
                <c:pt idx="10">
                  <c:v>15.884723247593477</c:v>
                </c:pt>
                <c:pt idx="11">
                  <c:v>19.591493840660419</c:v>
                </c:pt>
                <c:pt idx="12">
                  <c:v>23.58150439512923</c:v>
                </c:pt>
                <c:pt idx="13">
                  <c:v>27.80472034380729</c:v>
                </c:pt>
                <c:pt idx="14">
                  <c:v>32.215467453901169</c:v>
                </c:pt>
                <c:pt idx="15">
                  <c:v>36.773949632765962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73-FA4A-A31A-BF66FC02F49B}"/>
            </c:ext>
          </c:extLst>
        </c:ser>
        <c:ser>
          <c:idx val="6"/>
          <c:order val="6"/>
          <c:tx>
            <c:strRef>
              <c:f>'PART 1'!$I$5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1'!$I$24:$I$39</c:f>
              <c:numCache>
                <c:formatCode>0.0E+00</c:formatCode>
                <c:ptCount val="16"/>
                <c:pt idx="0">
                  <c:v>0.16031948325424228</c:v>
                </c:pt>
                <c:pt idx="1">
                  <c:v>0.37710987478499725</c:v>
                </c:pt>
                <c:pt idx="2">
                  <c:v>0.77468828582224347</c:v>
                </c:pt>
                <c:pt idx="3">
                  <c:v>1.4260727901033441</c:v>
                </c:pt>
                <c:pt idx="4">
                  <c:v>2.3999272802671996</c:v>
                </c:pt>
                <c:pt idx="5">
                  <c:v>3.7510043526486179</c:v>
                </c:pt>
                <c:pt idx="6">
                  <c:v>5.5139531103084636</c:v>
                </c:pt>
                <c:pt idx="7">
                  <c:v>7.7012798336696235</c:v>
                </c:pt>
                <c:pt idx="8">
                  <c:v>10.304943338408442</c:v>
                </c:pt>
                <c:pt idx="9">
                  <c:v>13.300360975006797</c:v>
                </c:pt>
                <c:pt idx="10">
                  <c:v>16.651479057598031</c:v>
                </c:pt>
                <c:pt idx="11">
                  <c:v>20.315813190960839</c:v>
                </c:pt>
                <c:pt idx="12">
                  <c:v>24.248760172424369</c:v>
                </c:pt>
                <c:pt idx="13">
                  <c:v>28.406862085182695</c:v>
                </c:pt>
                <c:pt idx="14">
                  <c:v>32.749985987409346</c:v>
                </c:pt>
                <c:pt idx="15">
                  <c:v>37.24255287557709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73-FA4A-A31A-BF66FC02F49B}"/>
            </c:ext>
          </c:extLst>
        </c:ser>
        <c:ser>
          <c:idx val="7"/>
          <c:order val="7"/>
          <c:tx>
            <c:strRef>
              <c:f>'PART 1'!$J$5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1'!$J$24:$J$39</c:f>
              <c:numCache>
                <c:formatCode>0.0E+00</c:formatCode>
                <c:ptCount val="16"/>
                <c:pt idx="0">
                  <c:v>0.24312118668361693</c:v>
                </c:pt>
                <c:pt idx="1">
                  <c:v>0.5268100445486068</c:v>
                </c:pt>
                <c:pt idx="2">
                  <c:v>1.0129244015707828</c:v>
                </c:pt>
                <c:pt idx="3">
                  <c:v>1.7676483490871444</c:v>
                </c:pt>
                <c:pt idx="4">
                  <c:v>2.8492160408490435</c:v>
                </c:pt>
                <c:pt idx="5">
                  <c:v>4.3009967958314661</c:v>
                </c:pt>
                <c:pt idx="6">
                  <c:v>6.1478141431660447</c:v>
                </c:pt>
                <c:pt idx="7">
                  <c:v>8.3955492537295342</c:v>
                </c:pt>
                <c:pt idx="8">
                  <c:v>11.03329655837895</c:v>
                </c:pt>
                <c:pt idx="9">
                  <c:v>14.037032132187676</c:v>
                </c:pt>
                <c:pt idx="10">
                  <c:v>17.373812271670815</c:v>
                </c:pt>
                <c:pt idx="11">
                  <c:v>21.00576861685883</c:v>
                </c:pt>
                <c:pt idx="12">
                  <c:v>24.893462612657999</c:v>
                </c:pt>
                <c:pt idx="13">
                  <c:v>28.998418797050377</c:v>
                </c:pt>
                <c:pt idx="14">
                  <c:v>33.284838173014563</c:v>
                </c:pt>
                <c:pt idx="15">
                  <c:v>37.720598727937812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73-FA4A-A31A-BF66FC02F49B}"/>
            </c:ext>
          </c:extLst>
        </c:ser>
        <c:ser>
          <c:idx val="8"/>
          <c:order val="8"/>
          <c:tx>
            <c:strRef>
              <c:f>'PART 1'!$K$5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1'!$K$24:$K$39</c:f>
              <c:numCache>
                <c:formatCode>0.0E+00</c:formatCode>
                <c:ptCount val="16"/>
                <c:pt idx="0">
                  <c:v>0.34085663597582139</c:v>
                </c:pt>
                <c:pt idx="1">
                  <c:v>0.69233675768175651</c:v>
                </c:pt>
                <c:pt idx="2">
                  <c:v>1.2633373341200649</c:v>
                </c:pt>
                <c:pt idx="3">
                  <c:v>2.1130845455203957</c:v>
                </c:pt>
                <c:pt idx="4">
                  <c:v>3.2907583763560311</c:v>
                </c:pt>
                <c:pt idx="5">
                  <c:v>4.8306487492021972</c:v>
                </c:pt>
                <c:pt idx="6">
                  <c:v>6.7501796415627808</c:v>
                </c:pt>
                <c:pt idx="7">
                  <c:v>9.0504843027109416</c:v>
                </c:pt>
                <c:pt idx="8">
                  <c:v>11.71877456641041</c:v>
                </c:pt>
                <c:pt idx="9">
                  <c:v>14.731653235967585</c:v>
                </c:pt>
                <c:pt idx="10">
                  <c:v>18.058645623803827</c:v>
                </c:pt>
                <c:pt idx="11">
                  <c:v>21.665446790723919</c:v>
                </c:pt>
                <c:pt idx="12">
                  <c:v>25.516604615130348</c:v>
                </c:pt>
                <c:pt idx="13">
                  <c:v>29.57753848102314</c:v>
                </c:pt>
                <c:pt idx="14">
                  <c:v>33.815914843573424</c:v>
                </c:pt>
                <c:pt idx="15">
                  <c:v>38.202469032161034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73-FA4A-A31A-BF66FC02F49B}"/>
            </c:ext>
          </c:extLst>
        </c:ser>
        <c:ser>
          <c:idx val="9"/>
          <c:order val="9"/>
          <c:tx>
            <c:strRef>
              <c:f>'PART 1'!$L$5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1'!$L$24:$L$39</c:f>
              <c:numCache>
                <c:formatCode>0.0E+00</c:formatCode>
                <c:ptCount val="16"/>
                <c:pt idx="0">
                  <c:v>0.45158758324258441</c:v>
                </c:pt>
                <c:pt idx="1">
                  <c:v>0.87044051790688481</c:v>
                </c:pt>
                <c:pt idx="2">
                  <c:v>1.5222165021656782</c:v>
                </c:pt>
                <c:pt idx="3">
                  <c:v>2.4594858167592726</c:v>
                </c:pt>
                <c:pt idx="4">
                  <c:v>3.7236496085421251</c:v>
                </c:pt>
                <c:pt idx="5">
                  <c:v>5.3416819819594537</c:v>
                </c:pt>
                <c:pt idx="6">
                  <c:v>7.3253163168065072</c:v>
                </c:pt>
                <c:pt idx="7">
                  <c:v>9.6721935015743483</c:v>
                </c:pt>
                <c:pt idx="8">
                  <c:v>12.368267463784079</c:v>
                </c:pt>
                <c:pt idx="9">
                  <c:v>15.390781746389528</c:v>
                </c:pt>
                <c:pt idx="10">
                  <c:v>18.711279045653235</c:v>
                </c:pt>
                <c:pt idx="11">
                  <c:v>22.29829273406115</c:v>
                </c:pt>
                <c:pt idx="12">
                  <c:v>26.119539700591233</c:v>
                </c:pt>
                <c:pt idx="13">
                  <c:v>30.143562712272043</c:v>
                </c:pt>
                <c:pt idx="14">
                  <c:v>34.340853976921039</c:v>
                </c:pt>
                <c:pt idx="15">
                  <c:v>38.684536434897623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73-FA4A-A31A-BF66FC02F49B}"/>
            </c:ext>
          </c:extLst>
        </c:ser>
        <c:ser>
          <c:idx val="10"/>
          <c:order val="10"/>
          <c:tx>
            <c:strRef>
              <c:f>'PART 1'!$M$5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1'!$M$24:$M$39</c:f>
              <c:numCache>
                <c:formatCode>0.0E+00</c:formatCode>
                <c:ptCount val="16"/>
                <c:pt idx="0">
                  <c:v>1.9631481246139586</c:v>
                </c:pt>
                <c:pt idx="1">
                  <c:v>2.9543707178340686</c:v>
                </c:pt>
                <c:pt idx="2">
                  <c:v>4.216574050066912</c:v>
                </c:pt>
                <c:pt idx="3">
                  <c:v>5.7616829587822522</c:v>
                </c:pt>
                <c:pt idx="4">
                  <c:v>7.5933247959000738</c:v>
                </c:pt>
                <c:pt idx="5">
                  <c:v>9.7080839320680958</c:v>
                </c:pt>
                <c:pt idx="6">
                  <c:v>12.096951406146253</c:v>
                </c:pt>
                <c:pt idx="7">
                  <c:v>14.746767976115322</c:v>
                </c:pt>
                <c:pt idx="8">
                  <c:v>17.641538042318359</c:v>
                </c:pt>
                <c:pt idx="9">
                  <c:v>20.763552697287011</c:v>
                </c:pt>
                <c:pt idx="10">
                  <c:v>24.094302140122849</c:v>
                </c:pt>
                <c:pt idx="11">
                  <c:v>27.615183942476541</c:v>
                </c:pt>
                <c:pt idx="12">
                  <c:v>31.308028143442222</c:v>
                </c:pt>
                <c:pt idx="13">
                  <c:v>35.155466565545169</c:v>
                </c:pt>
                <c:pt idx="14">
                  <c:v>39.141175032012484</c:v>
                </c:pt>
                <c:pt idx="15">
                  <c:v>43.25001548351625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73-FA4A-A31A-BF66FC02F49B}"/>
            </c:ext>
          </c:extLst>
        </c:ser>
        <c:ser>
          <c:idx val="11"/>
          <c:order val="11"/>
          <c:tx>
            <c:strRef>
              <c:f>'PART 1'!$N$5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1'!$N$24:$N$39</c:f>
              <c:numCache>
                <c:formatCode>0.0E+00</c:formatCode>
                <c:ptCount val="16"/>
                <c:pt idx="0">
                  <c:v>3.7220292064363303</c:v>
                </c:pt>
                <c:pt idx="1">
                  <c:v>5.1151848524195582</c:v>
                </c:pt>
                <c:pt idx="2">
                  <c:v>6.766954332138301</c:v>
                </c:pt>
                <c:pt idx="3">
                  <c:v>8.6745275235442172</c:v>
                </c:pt>
                <c:pt idx="4">
                  <c:v>10.83072359810836</c:v>
                </c:pt>
                <c:pt idx="5">
                  <c:v>13.225169511040644</c:v>
                </c:pt>
                <c:pt idx="6">
                  <c:v>15.84531639937201</c:v>
                </c:pt>
                <c:pt idx="7">
                  <c:v>18.677276642004124</c:v>
                </c:pt>
                <c:pt idx="8">
                  <c:v>21.706487837663204</c:v>
                </c:pt>
                <c:pt idx="9">
                  <c:v>24.918221914028287</c:v>
                </c:pt>
                <c:pt idx="10">
                  <c:v>28.297962321686285</c:v>
                </c:pt>
                <c:pt idx="11">
                  <c:v>31.831672799052541</c:v>
                </c:pt>
                <c:pt idx="12">
                  <c:v>35.505979488422838</c:v>
                </c:pt>
                <c:pt idx="13">
                  <c:v>39.308285462663235</c:v>
                </c:pt>
                <c:pt idx="14">
                  <c:v>43.22683370682855</c:v>
                </c:pt>
                <c:pt idx="15">
                  <c:v>47.250731684329665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73-FA4A-A31A-BF66FC02F49B}"/>
            </c:ext>
          </c:extLst>
        </c:ser>
        <c:ser>
          <c:idx val="12"/>
          <c:order val="12"/>
          <c:tx>
            <c:strRef>
              <c:f>'PART 1'!$O$5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1'!$O$24:$O$39</c:f>
              <c:numCache>
                <c:formatCode>0.0E+00</c:formatCode>
                <c:ptCount val="16"/>
                <c:pt idx="0">
                  <c:v>5.4790813399885288</c:v>
                </c:pt>
                <c:pt idx="1">
                  <c:v>7.1711281676700587</c:v>
                </c:pt>
                <c:pt idx="2">
                  <c:v>9.103343225223071</c:v>
                </c:pt>
                <c:pt idx="3">
                  <c:v>11.266767258977016</c:v>
                </c:pt>
                <c:pt idx="4">
                  <c:v>13.650313177035141</c:v>
                </c:pt>
                <c:pt idx="5">
                  <c:v>16.241583869687254</c:v>
                </c:pt>
                <c:pt idx="6">
                  <c:v>19.027503442043063</c:v>
                </c:pt>
                <c:pt idx="7">
                  <c:v>21.994790566990268</c:v>
                </c:pt>
                <c:pt idx="8">
                  <c:v>25.130303166609018</c:v>
                </c:pt>
                <c:pt idx="9">
                  <c:v>28.421281040458936</c:v>
                </c:pt>
                <c:pt idx="10">
                  <c:v>31.855509277140932</c:v>
                </c:pt>
                <c:pt idx="11">
                  <c:v>35.421421311159513</c:v>
                </c:pt>
                <c:pt idx="12">
                  <c:v>39.108156803070322</c:v>
                </c:pt>
                <c:pt idx="13">
                  <c:v>42.905586323033681</c:v>
                </c:pt>
                <c:pt idx="14">
                  <c:v>46.804312150550835</c:v>
                </c:pt>
                <c:pt idx="15">
                  <c:v>50.795652336517428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73-FA4A-A31A-BF66FC02F49B}"/>
            </c:ext>
          </c:extLst>
        </c:ser>
        <c:ser>
          <c:idx val="13"/>
          <c:order val="13"/>
          <c:tx>
            <c:strRef>
              <c:f>'PART 1'!$P$5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1'!$P$24:$P$39</c:f>
              <c:numCache>
                <c:formatCode>0.0E+00</c:formatCode>
                <c:ptCount val="16"/>
                <c:pt idx="0">
                  <c:v>7.1726583122430654</c:v>
                </c:pt>
                <c:pt idx="1">
                  <c:v>9.1004409991036823</c:v>
                </c:pt>
                <c:pt idx="2">
                  <c:v>11.250746267891707</c:v>
                </c:pt>
                <c:pt idx="3">
                  <c:v>13.611812496101361</c:v>
                </c:pt>
                <c:pt idx="4">
                  <c:v>16.171056434810197</c:v>
                </c:pt>
                <c:pt idx="5">
                  <c:v>18.915600108396049</c:v>
                </c:pt>
                <c:pt idx="6">
                  <c:v>21.832645321064895</c:v>
                </c:pt>
                <c:pt idx="7">
                  <c:v>24.909731659971222</c:v>
                </c:pt>
                <c:pt idx="8">
                  <c:v>28.134906993620476</c:v>
                </c:pt>
                <c:pt idx="9">
                  <c:v>31.496833244623943</c:v>
                </c:pt>
                <c:pt idx="10">
                  <c:v>34.984844992297333</c:v>
                </c:pt>
                <c:pt idx="11">
                  <c:v>38.588974248498218</c:v>
                </c:pt>
                <c:pt idx="12">
                  <c:v>42.299951438494368</c:v>
                </c:pt>
                <c:pt idx="13">
                  <c:v>46.109190058404991</c:v>
                </c:pt>
                <c:pt idx="14">
                  <c:v>50.008760524562405</c:v>
                </c:pt>
                <c:pt idx="15">
                  <c:v>53.991357248470038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73-FA4A-A31A-BF66FC02F49B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6">
                    <a:tint val="4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6">
                    <a:tint val="6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6">
                    <a:tint val="8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6">
                    <a:shade val="8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6">
                    <a:shade val="6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6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price,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1'!$C$42:$C$57</c:f>
              <c:numCache>
                <c:formatCode>0.0E+00</c:formatCode>
                <c:ptCount val="16"/>
                <c:pt idx="0">
                  <c:v>1.3444456590962219E-59</c:v>
                </c:pt>
                <c:pt idx="1">
                  <c:v>4.2041457159750459E-43</c:v>
                </c:pt>
                <c:pt idx="2">
                  <c:v>2.7600364744636217E-30</c:v>
                </c:pt>
                <c:pt idx="3">
                  <c:v>1.8261957994063713E-20</c:v>
                </c:pt>
                <c:pt idx="4">
                  <c:v>4.1538204558593016E-13</c:v>
                </c:pt>
                <c:pt idx="5">
                  <c:v>8.697171499367877E-8</c:v>
                </c:pt>
                <c:pt idx="6">
                  <c:v>3.8132963076041582E-4</c:v>
                </c:pt>
                <c:pt idx="7">
                  <c:v>7.3228148140033866E-2</c:v>
                </c:pt>
                <c:pt idx="8">
                  <c:v>1.3114886009762472</c:v>
                </c:pt>
                <c:pt idx="9">
                  <c:v>5.1798611866835529</c:v>
                </c:pt>
                <c:pt idx="10">
                  <c:v>10.101027291404066</c:v>
                </c:pt>
                <c:pt idx="11">
                  <c:v>15.099952999604795</c:v>
                </c:pt>
                <c:pt idx="12">
                  <c:v>20.09995001857159</c:v>
                </c:pt>
                <c:pt idx="13">
                  <c:v>25.099950016662831</c:v>
                </c:pt>
                <c:pt idx="14">
                  <c:v>30.099950016662504</c:v>
                </c:pt>
                <c:pt idx="15">
                  <c:v>35.099950016662504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D-AF4F-97AB-920D11ECC878}"/>
            </c:ext>
          </c:extLst>
        </c:ser>
        <c:ser>
          <c:idx val="1"/>
          <c:order val="1"/>
          <c:tx>
            <c:strRef>
              <c:f>'PART 1'!$D$5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1'!$D$42:$D$57</c:f>
              <c:numCache>
                <c:formatCode>0.0E+00</c:formatCode>
                <c:ptCount val="16"/>
                <c:pt idx="0">
                  <c:v>8.0901024177661744E-31</c:v>
                </c:pt>
                <c:pt idx="1">
                  <c:v>1.6536649773032294E-22</c:v>
                </c:pt>
                <c:pt idx="2">
                  <c:v>4.9795679087084692E-16</c:v>
                </c:pt>
                <c:pt idx="3">
                  <c:v>4.8637894515099881E-11</c:v>
                </c:pt>
                <c:pt idx="4">
                  <c:v>2.8655428366045044E-7</c:v>
                </c:pt>
                <c:pt idx="5">
                  <c:v>1.6821011338922012E-4</c:v>
                </c:pt>
                <c:pt idx="6">
                  <c:v>1.5014085317595405E-2</c:v>
                </c:pt>
                <c:pt idx="7">
                  <c:v>0.2974418463175077</c:v>
                </c:pt>
                <c:pt idx="8">
                  <c:v>1.8838749228425655</c:v>
                </c:pt>
                <c:pt idx="9">
                  <c:v>5.492344738713868</c:v>
                </c:pt>
                <c:pt idx="10">
                  <c:v>10.22431208382757</c:v>
                </c:pt>
                <c:pt idx="11">
                  <c:v>15.200791901346165</c:v>
                </c:pt>
                <c:pt idx="12">
                  <c:v>20.199820393754393</c:v>
                </c:pt>
                <c:pt idx="13">
                  <c:v>25.199800355197553</c:v>
                </c:pt>
                <c:pt idx="14">
                  <c:v>30.199800134654495</c:v>
                </c:pt>
                <c:pt idx="15">
                  <c:v>35.199800133271964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8D-AF4F-97AB-920D11ECC878}"/>
            </c:ext>
          </c:extLst>
        </c:ser>
        <c:ser>
          <c:idx val="2"/>
          <c:order val="2"/>
          <c:tx>
            <c:strRef>
              <c:f>'PART 1'!$E$5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1'!$E$42:$E$57</c:f>
              <c:numCache>
                <c:formatCode>0.0E+00</c:formatCode>
                <c:ptCount val="16"/>
                <c:pt idx="0">
                  <c:v>4.0961118536044201E-21</c:v>
                </c:pt>
                <c:pt idx="1">
                  <c:v>1.5620339975239817E-15</c:v>
                </c:pt>
                <c:pt idx="2">
                  <c:v>3.6152174874581629E-11</c:v>
                </c:pt>
                <c:pt idx="3">
                  <c:v>8.6161515321586608E-8</c:v>
                </c:pt>
                <c:pt idx="4">
                  <c:v>3.2076573792578795E-5</c:v>
                </c:pt>
                <c:pt idx="5">
                  <c:v>2.6159633637791169E-3</c:v>
                </c:pt>
                <c:pt idx="6">
                  <c:v>6.2147366544919258E-2</c:v>
                </c:pt>
                <c:pt idx="7">
                  <c:v>0.55340820537417201</c:v>
                </c:pt>
                <c:pt idx="8">
                  <c:v>2.3345973433891416</c:v>
                </c:pt>
                <c:pt idx="9">
                  <c:v>5.8167900504067944</c:v>
                </c:pt>
                <c:pt idx="10">
                  <c:v>10.382469845787085</c:v>
                </c:pt>
                <c:pt idx="11">
                  <c:v>15.307958195665506</c:v>
                </c:pt>
                <c:pt idx="12">
                  <c:v>20.300103788954814</c:v>
                </c:pt>
                <c:pt idx="13">
                  <c:v>25.299574939742342</c:v>
                </c:pt>
                <c:pt idx="14">
                  <c:v>30.299551206685734</c:v>
                </c:pt>
                <c:pt idx="15">
                  <c:v>35.299550466618854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8D-AF4F-97AB-920D11ECC878}"/>
            </c:ext>
          </c:extLst>
        </c:ser>
        <c:ser>
          <c:idx val="3"/>
          <c:order val="3"/>
          <c:tx>
            <c:strRef>
              <c:f>'PART 1'!$F$5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1'!$F$42:$F$57</c:f>
              <c:numCache>
                <c:formatCode>0.0E+00</c:formatCode>
                <c:ptCount val="16"/>
                <c:pt idx="0">
                  <c:v>3.2977960165986952E-16</c:v>
                </c:pt>
                <c:pt idx="1">
                  <c:v>5.4236055610289425E-12</c:v>
                </c:pt>
                <c:pt idx="2">
                  <c:v>1.0979680995629168E-8</c:v>
                </c:pt>
                <c:pt idx="3">
                  <c:v>4.0734082753137303E-6</c:v>
                </c:pt>
                <c:pt idx="4">
                  <c:v>3.7915323047008759E-4</c:v>
                </c:pt>
                <c:pt idx="5">
                  <c:v>1.1428574340843878E-2</c:v>
                </c:pt>
                <c:pt idx="6">
                  <c:v>0.13825477573984113</c:v>
                </c:pt>
                <c:pt idx="7">
                  <c:v>0.80982796904445919</c:v>
                </c:pt>
                <c:pt idx="8">
                  <c:v>2.7223092386836854</c:v>
                </c:pt>
                <c:pt idx="9">
                  <c:v>6.1300467578078184</c:v>
                </c:pt>
                <c:pt idx="10">
                  <c:v>10.564131911922374</c:v>
                </c:pt>
                <c:pt idx="11">
                  <c:v>15.425999973197619</c:v>
                </c:pt>
                <c:pt idx="12">
                  <c:v>20.402393212349992</c:v>
                </c:pt>
                <c:pt idx="13">
                  <c:v>25.39948669570316</c:v>
                </c:pt>
                <c:pt idx="14">
                  <c:v>30.399220776623736</c:v>
                </c:pt>
                <c:pt idx="15">
                  <c:v>35.399202142153342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8D-AF4F-97AB-920D11ECC878}"/>
            </c:ext>
          </c:extLst>
        </c:ser>
        <c:ser>
          <c:idx val="4"/>
          <c:order val="4"/>
          <c:tx>
            <c:strRef>
              <c:f>'PART 1'!$G$5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1'!$G$42:$G$57</c:f>
              <c:numCache>
                <c:formatCode>0.0E+00</c:formatCode>
                <c:ptCount val="16"/>
                <c:pt idx="0">
                  <c:v>3.1141641285845824E-13</c:v>
                </c:pt>
                <c:pt idx="1">
                  <c:v>7.7581325570999865E-10</c:v>
                </c:pt>
                <c:pt idx="2">
                  <c:v>3.6345670158069736E-7</c:v>
                </c:pt>
                <c:pt idx="3">
                  <c:v>4.4062896470022875E-5</c:v>
                </c:pt>
                <c:pt idx="4">
                  <c:v>1.7788632132481053E-3</c:v>
                </c:pt>
                <c:pt idx="5">
                  <c:v>2.9351157879948131E-2</c:v>
                </c:pt>
                <c:pt idx="6">
                  <c:v>0.23500810794671967</c:v>
                </c:pt>
                <c:pt idx="7">
                  <c:v>1.0595077592404536</c:v>
                </c:pt>
                <c:pt idx="8">
                  <c:v>3.0697305092269715</c:v>
                </c:pt>
                <c:pt idx="9">
                  <c:v>6.4290215312509957</c:v>
                </c:pt>
                <c:pt idx="10">
                  <c:v>10.758973678092516</c:v>
                </c:pt>
                <c:pt idx="11">
                  <c:v>15.555259336346708</c:v>
                </c:pt>
                <c:pt idx="12">
                  <c:v>20.508409928183227</c:v>
                </c:pt>
                <c:pt idx="13">
                  <c:v>25.500075335184547</c:v>
                </c:pt>
                <c:pt idx="14">
                  <c:v>30.498900334289658</c:v>
                </c:pt>
                <c:pt idx="15">
                  <c:v>35.498765931888798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8D-AF4F-97AB-920D11ECC878}"/>
            </c:ext>
          </c:extLst>
        </c:ser>
        <c:ser>
          <c:idx val="5"/>
          <c:order val="5"/>
          <c:tx>
            <c:strRef>
              <c:f>'PART 1'!$H$5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1'!$H$42:$H$57</c:f>
              <c:numCache>
                <c:formatCode>0.0E+00</c:formatCode>
                <c:ptCount val="16"/>
                <c:pt idx="0">
                  <c:v>3.1445180517350564E-11</c:v>
                </c:pt>
                <c:pt idx="1">
                  <c:v>2.2240859832093045E-8</c:v>
                </c:pt>
                <c:pt idx="2">
                  <c:v>3.922477572798806E-6</c:v>
                </c:pt>
                <c:pt idx="3">
                  <c:v>2.2519656307245367E-4</c:v>
                </c:pt>
                <c:pt idx="4">
                  <c:v>5.1956985882170847E-3</c:v>
                </c:pt>
                <c:pt idx="5">
                  <c:v>5.7156114003749092E-2</c:v>
                </c:pt>
                <c:pt idx="6">
                  <c:v>0.34581027615383775</c:v>
                </c:pt>
                <c:pt idx="7">
                  <c:v>1.3009230973531203</c:v>
                </c:pt>
                <c:pt idx="8">
                  <c:v>3.3885137974441619</c:v>
                </c:pt>
                <c:pt idx="9">
                  <c:v>6.7144174480986862</c:v>
                </c:pt>
                <c:pt idx="10">
                  <c:v>10.960620560432176</c:v>
                </c:pt>
                <c:pt idx="11">
                  <c:v>15.694121969120502</c:v>
                </c:pt>
                <c:pt idx="12">
                  <c:v>20.619130101352113</c:v>
                </c:pt>
                <c:pt idx="13">
                  <c:v>25.602022417730069</c:v>
                </c:pt>
                <c:pt idx="14">
                  <c:v>30.598795748973828</c:v>
                </c:pt>
                <c:pt idx="15">
                  <c:v>35.598282844240472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8D-AF4F-97AB-920D11ECC878}"/>
            </c:ext>
          </c:extLst>
        </c:ser>
        <c:ser>
          <c:idx val="6"/>
          <c:order val="6"/>
          <c:tx>
            <c:strRef>
              <c:f>'PART 1'!$I$5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1'!$I$42:$I$57</c:f>
              <c:numCache>
                <c:formatCode>0.0E+00</c:formatCode>
                <c:ptCount val="16"/>
                <c:pt idx="0">
                  <c:v>8.7868848537246802E-10</c:v>
                </c:pt>
                <c:pt idx="1">
                  <c:v>2.5266097851067091E-7</c:v>
                </c:pt>
                <c:pt idx="2">
                  <c:v>2.2154006721437133E-5</c:v>
                </c:pt>
                <c:pt idx="3">
                  <c:v>7.4469179174152522E-4</c:v>
                </c:pt>
                <c:pt idx="4">
                  <c:v>1.149877860816656E-2</c:v>
                </c:pt>
                <c:pt idx="5">
                  <c:v>9.4439538427999903E-2</c:v>
                </c:pt>
                <c:pt idx="6">
                  <c:v>0.46610847446329373</c:v>
                </c:pt>
                <c:pt idx="7">
                  <c:v>1.5341524273385936</c:v>
                </c:pt>
                <c:pt idx="8">
                  <c:v>3.6855815963090848</c:v>
                </c:pt>
                <c:pt idx="9">
                  <c:v>6.9876511201993452</c:v>
                </c:pt>
                <c:pt idx="10">
                  <c:v>11.165311796073382</c:v>
                </c:pt>
                <c:pt idx="11">
                  <c:v>15.840591547504005</c:v>
                </c:pt>
                <c:pt idx="12">
                  <c:v>20.734795964519932</c:v>
                </c:pt>
                <c:pt idx="13">
                  <c:v>25.705910899567968</c:v>
                </c:pt>
                <c:pt idx="14">
                  <c:v>30.699192149733065</c:v>
                </c:pt>
                <c:pt idx="15">
                  <c:v>35.697839130743787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8D-AF4F-97AB-920D11ECC878}"/>
            </c:ext>
          </c:extLst>
        </c:ser>
        <c:ser>
          <c:idx val="7"/>
          <c:order val="7"/>
          <c:tx>
            <c:strRef>
              <c:f>'PART 1'!$J$5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1'!$J$42:$J$57</c:f>
              <c:numCache>
                <c:formatCode>0.0E+00</c:formatCode>
                <c:ptCount val="16"/>
                <c:pt idx="0">
                  <c:v>1.0951353569529932E-8</c:v>
                </c:pt>
                <c:pt idx="1">
                  <c:v>1.602306474654617E-6</c:v>
                </c:pt>
                <c:pt idx="2">
                  <c:v>8.311672066359764E-5</c:v>
                </c:pt>
                <c:pt idx="3">
                  <c:v>1.8679896275579366E-3</c:v>
                </c:pt>
                <c:pt idx="4">
                  <c:v>2.1310381194429961E-2</c:v>
                </c:pt>
                <c:pt idx="5">
                  <c:v>0.14029325104559698</c:v>
                </c:pt>
                <c:pt idx="6">
                  <c:v>0.59282461853084456</c:v>
                </c:pt>
                <c:pt idx="7">
                  <c:v>1.7597422942333374</c:v>
                </c:pt>
                <c:pt idx="8">
                  <c:v>3.965444480188097</c:v>
                </c:pt>
                <c:pt idx="9">
                  <c:v>7.2501377584647599</c:v>
                </c:pt>
                <c:pt idx="10">
                  <c:v>11.370814905674322</c:v>
                </c:pt>
                <c:pt idx="11">
                  <c:v>15.992858658984659</c:v>
                </c:pt>
                <c:pt idx="12">
                  <c:v>20.855191505654048</c:v>
                </c:pt>
                <c:pt idx="13">
                  <c:v>25.812123598888405</c:v>
                </c:pt>
                <c:pt idx="14">
                  <c:v>30.800386351936922</c:v>
                </c:pt>
                <c:pt idx="15">
                  <c:v>35.797561032003529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8D-AF4F-97AB-920D11ECC878}"/>
            </c:ext>
          </c:extLst>
        </c:ser>
        <c:ser>
          <c:idx val="8"/>
          <c:order val="8"/>
          <c:tx>
            <c:strRef>
              <c:f>'PART 1'!$K$5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1'!$K$42:$K$57</c:f>
              <c:numCache>
                <c:formatCode>0.0E+00</c:formatCode>
                <c:ptCount val="16"/>
                <c:pt idx="0">
                  <c:v>7.9441820838737225E-8</c:v>
                </c:pt>
                <c:pt idx="1">
                  <c:v>6.8690033375286091E-6</c:v>
                </c:pt>
                <c:pt idx="2">
                  <c:v>2.3672082144272216E-4</c:v>
                </c:pt>
                <c:pt idx="3">
                  <c:v>3.8864022340582005E-3</c:v>
                </c:pt>
                <c:pt idx="4">
                  <c:v>3.4994583245972377E-2</c:v>
                </c:pt>
                <c:pt idx="5">
                  <c:v>0.19367000074213525</c:v>
                </c:pt>
                <c:pt idx="6">
                  <c:v>0.72386099450195296</c:v>
                </c:pt>
                <c:pt idx="7">
                  <c:v>1.9783442885821323</c:v>
                </c:pt>
                <c:pt idx="8">
                  <c:v>4.2312356348696056</c:v>
                </c:pt>
                <c:pt idx="9">
                  <c:v>7.503126953800205</c:v>
                </c:pt>
                <c:pt idx="10">
                  <c:v>11.575788565318959</c:v>
                </c:pt>
                <c:pt idx="11">
                  <c:v>16.149435987764079</c:v>
                </c:pt>
                <c:pt idx="12">
                  <c:v>20.979874504161003</c:v>
                </c:pt>
                <c:pt idx="13">
                  <c:v>25.920846821565334</c:v>
                </c:pt>
                <c:pt idx="14">
                  <c:v>30.902635624579318</c:v>
                </c:pt>
                <c:pt idx="15">
                  <c:v>35.89759579393791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8D-AF4F-97AB-920D11ECC878}"/>
            </c:ext>
          </c:extLst>
        </c:ser>
        <c:ser>
          <c:idx val="9"/>
          <c:order val="9"/>
          <c:tx>
            <c:strRef>
              <c:f>'PART 1'!$L$5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1'!$L$42:$L$57</c:f>
              <c:numCache>
                <c:formatCode>0.0E+00</c:formatCode>
                <c:ptCount val="16"/>
                <c:pt idx="0">
                  <c:v>3.9373016997327622E-7</c:v>
                </c:pt>
                <c:pt idx="1">
                  <c:v>2.2341641923778613E-5</c:v>
                </c:pt>
                <c:pt idx="2">
                  <c:v>5.5479840936930799E-4</c:v>
                </c:pt>
                <c:pt idx="3">
                  <c:v>7.0798671445624628E-3</c:v>
                </c:pt>
                <c:pt idx="4">
                  <c:v>5.2704445187429005E-2</c:v>
                </c:pt>
                <c:pt idx="5">
                  <c:v>0.25355192754697864</c:v>
                </c:pt>
                <c:pt idx="6">
                  <c:v>0.85776605099454883</c:v>
                </c:pt>
                <c:pt idx="7">
                  <c:v>2.1905927790264172</c:v>
                </c:pt>
                <c:pt idx="8">
                  <c:v>4.485236409022086</c:v>
                </c:pt>
                <c:pt idx="9">
                  <c:v>7.7476838756725925</c:v>
                </c:pt>
                <c:pt idx="10">
                  <c:v>11.779422212446264</c:v>
                </c:pt>
                <c:pt idx="11">
                  <c:v>16.309146495814886</c:v>
                </c:pt>
                <c:pt idx="12">
                  <c:v>21.10832012113795</c:v>
                </c:pt>
                <c:pt idx="13">
                  <c:v>26.032113959994334</c:v>
                </c:pt>
                <c:pt idx="14">
                  <c:v>31.006134034601857</c:v>
                </c:pt>
                <c:pt idx="15">
                  <c:v>35.99809126174425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8D-AF4F-97AB-920D11ECC878}"/>
            </c:ext>
          </c:extLst>
        </c:ser>
        <c:ser>
          <c:idx val="10"/>
          <c:order val="10"/>
          <c:tx>
            <c:strRef>
              <c:f>'PART 1'!$M$5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1'!$M$42:$M$57</c:f>
              <c:numCache>
                <c:formatCode>0.0E+00</c:formatCode>
                <c:ptCount val="16"/>
                <c:pt idx="0">
                  <c:v>7.1090615327521964E-4</c:v>
                </c:pt>
                <c:pt idx="1">
                  <c:v>6.0039478866674156E-3</c:v>
                </c:pt>
                <c:pt idx="2">
                  <c:v>3.3706989697705692E-2</c:v>
                </c:pt>
                <c:pt idx="3">
                  <c:v>0.13630480096416431</c:v>
                </c:pt>
                <c:pt idx="4">
                  <c:v>0.4228185934526838</c:v>
                </c:pt>
                <c:pt idx="5">
                  <c:v>1.0580066178465906</c:v>
                </c:pt>
                <c:pt idx="6">
                  <c:v>2.2244139005080186</c:v>
                </c:pt>
                <c:pt idx="7">
                  <c:v>4.0629388380082148</c:v>
                </c:pt>
                <c:pt idx="8">
                  <c:v>6.6270780136147422</c:v>
                </c:pt>
                <c:pt idx="9">
                  <c:v>9.8748743873278499</c:v>
                </c:pt>
                <c:pt idx="10">
                  <c:v>13.695501303313634</c:v>
                </c:pt>
                <c:pt idx="11">
                  <c:v>17.949793682648533</c:v>
                </c:pt>
                <c:pt idx="12">
                  <c:v>22.504728900541082</c:v>
                </c:pt>
                <c:pt idx="13">
                  <c:v>27.25271432253345</c:v>
                </c:pt>
                <c:pt idx="14">
                  <c:v>32.116644051863929</c:v>
                </c:pt>
                <c:pt idx="15">
                  <c:v>37.046252755627904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8D-AF4F-97AB-920D11ECC878}"/>
            </c:ext>
          </c:extLst>
        </c:ser>
        <c:ser>
          <c:idx val="11"/>
          <c:order val="11"/>
          <c:tx>
            <c:strRef>
              <c:f>'PART 1'!$N$5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1'!$N$42:$N$57</c:f>
              <c:numCache>
                <c:formatCode>0.0E+00</c:formatCode>
                <c:ptCount val="16"/>
                <c:pt idx="0">
                  <c:v>1.0863823592524302E-2</c:v>
                </c:pt>
                <c:pt idx="1">
                  <c:v>4.8205790504016077E-2</c:v>
                </c:pt>
                <c:pt idx="2">
                  <c:v>0.16314088976241337</c:v>
                </c:pt>
                <c:pt idx="3">
                  <c:v>0.44411394728174614</c:v>
                </c:pt>
                <c:pt idx="4">
                  <c:v>1.01380175035783</c:v>
                </c:pt>
                <c:pt idx="5">
                  <c:v>2.005717037049024</c:v>
                </c:pt>
                <c:pt idx="6">
                  <c:v>3.5315335311032712</c:v>
                </c:pt>
                <c:pt idx="7">
                  <c:v>5.6543521529805929</c:v>
                </c:pt>
                <c:pt idx="8">
                  <c:v>8.3784685121103877</c:v>
                </c:pt>
                <c:pt idx="9">
                  <c:v>11.656451833925949</c:v>
                </c:pt>
                <c:pt idx="10">
                  <c:v>15.406949878796084</c:v>
                </c:pt>
                <c:pt idx="11">
                  <c:v>19.534774476222822</c:v>
                </c:pt>
                <c:pt idx="12">
                  <c:v>23.947166779424151</c:v>
                </c:pt>
                <c:pt idx="13">
                  <c:v>28.563781373607654</c:v>
                </c:pt>
                <c:pt idx="14">
                  <c:v>33.320763683248501</c:v>
                </c:pt>
                <c:pt idx="15">
                  <c:v>38.170658295654164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8D-AF4F-97AB-920D11ECC878}"/>
            </c:ext>
          </c:extLst>
        </c:ser>
        <c:ser>
          <c:idx val="12"/>
          <c:order val="12"/>
          <c:tx>
            <c:strRef>
              <c:f>'PART 1'!$O$5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1'!$O$42:$O$57</c:f>
              <c:numCache>
                <c:formatCode>0.0E+00</c:formatCode>
                <c:ptCount val="16"/>
                <c:pt idx="0">
                  <c:v>4.7197883455536993E-2</c:v>
                </c:pt>
                <c:pt idx="1">
                  <c:v>0.15111158229560351</c:v>
                </c:pt>
                <c:pt idx="2">
                  <c:v>0.39495389349549903</c:v>
                </c:pt>
                <c:pt idx="3">
                  <c:v>0.87684904884574344</c:v>
                </c:pt>
                <c:pt idx="4">
                  <c:v>1.7055733783817857</c:v>
                </c:pt>
                <c:pt idx="5">
                  <c:v>2.9785527118349719</c:v>
                </c:pt>
                <c:pt idx="6">
                  <c:v>4.7624390922162831</c:v>
                </c:pt>
                <c:pt idx="7">
                  <c:v>7.0828778832333228</c:v>
                </c:pt>
                <c:pt idx="8">
                  <c:v>9.9250537172744444</c:v>
                </c:pt>
                <c:pt idx="9">
                  <c:v>13.242348435032611</c:v>
                </c:pt>
                <c:pt idx="10">
                  <c:v>16.968678030503895</c:v>
                </c:pt>
                <c:pt idx="11">
                  <c:v>21.030548785598597</c:v>
                </c:pt>
                <c:pt idx="12">
                  <c:v>25.356437181309673</c:v>
                </c:pt>
                <c:pt idx="13">
                  <c:v>29.882704581505081</c:v>
                </c:pt>
                <c:pt idx="14">
                  <c:v>34.556362778679798</c:v>
                </c:pt>
                <c:pt idx="15">
                  <c:v>39.335521369709937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8D-AF4F-97AB-920D11ECC878}"/>
            </c:ext>
          </c:extLst>
        </c:ser>
        <c:ser>
          <c:idx val="13"/>
          <c:order val="13"/>
          <c:tx>
            <c:strRef>
              <c:f>'PART 1'!$P$5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1'!$P$42:$P$57</c:f>
              <c:numCache>
                <c:formatCode>0.0E+00</c:formatCode>
                <c:ptCount val="16"/>
                <c:pt idx="0">
                  <c:v>0.12105890918477868</c:v>
                </c:pt>
                <c:pt idx="1">
                  <c:v>0.31777682440018928</c:v>
                </c:pt>
                <c:pt idx="2">
                  <c:v>0.70907003323345119</c:v>
                </c:pt>
                <c:pt idx="3">
                  <c:v>1.388178731557927</c:v>
                </c:pt>
                <c:pt idx="4">
                  <c:v>2.4438481973260018</c:v>
                </c:pt>
                <c:pt idx="5">
                  <c:v>3.9445763503152911</c:v>
                </c:pt>
                <c:pt idx="6">
                  <c:v>5.9285443826496333</c:v>
                </c:pt>
                <c:pt idx="7">
                  <c:v>8.401109152836284</c:v>
                </c:pt>
                <c:pt idx="8">
                  <c:v>11.338789096455578</c:v>
                </c:pt>
                <c:pt idx="9">
                  <c:v>14.697111942182644</c:v>
                </c:pt>
                <c:pt idx="10">
                  <c:v>18.419561453856531</c:v>
                </c:pt>
                <c:pt idx="11">
                  <c:v>22.445595192476745</c:v>
                </c:pt>
                <c:pt idx="12">
                  <c:v>26.71668219751507</c:v>
                </c:pt>
                <c:pt idx="13">
                  <c:v>31.180127107344859</c:v>
                </c:pt>
                <c:pt idx="14">
                  <c:v>35.790956840999684</c:v>
                </c:pt>
                <c:pt idx="15">
                  <c:v>40.512366374054338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8D-AF4F-97AB-920D11ECC878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6">
                    <a:tint val="4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6">
                    <a:tint val="5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6">
                    <a:tint val="69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6">
                    <a:tint val="81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6">
                    <a:tint val="9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6">
                    <a:shade val="9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6">
                    <a:shade val="80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6">
                    <a:shade val="6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6">
                    <a:shade val="5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price,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1'!$C$65:$C$80</c:f>
              <c:numCache>
                <c:formatCode>0.0E+00</c:formatCode>
                <c:ptCount val="16"/>
                <c:pt idx="0">
                  <c:v>39.900049983337496</c:v>
                </c:pt>
                <c:pt idx="1">
                  <c:v>34.900049983341376</c:v>
                </c:pt>
                <c:pt idx="2">
                  <c:v>29.900049991637999</c:v>
                </c:pt>
                <c:pt idx="3">
                  <c:v>24.900053216369727</c:v>
                </c:pt>
                <c:pt idx="4">
                  <c:v>19.900364562639112</c:v>
                </c:pt>
                <c:pt idx="5">
                  <c:v>14.909919213482766</c:v>
                </c:pt>
                <c:pt idx="6">
                  <c:v>10.023738953955885</c:v>
                </c:pt>
                <c:pt idx="7">
                  <c:v>5.6467440053352931</c:v>
                </c:pt>
                <c:pt idx="8">
                  <c:v>2.4717913988830205</c:v>
                </c:pt>
                <c:pt idx="9">
                  <c:v>0.79605638258862399</c:v>
                </c:pt>
                <c:pt idx="10">
                  <c:v>0.18435803629399317</c:v>
                </c:pt>
                <c:pt idx="11">
                  <c:v>3.0777125640870651E-2</c:v>
                </c:pt>
                <c:pt idx="12">
                  <c:v>3.7678707584131721E-3</c:v>
                </c:pt>
                <c:pt idx="13">
                  <c:v>3.4646571421674197E-4</c:v>
                </c:pt>
                <c:pt idx="14">
                  <c:v>2.4560143471648484E-5</c:v>
                </c:pt>
                <c:pt idx="15">
                  <c:v>1.3771474023374305E-6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D-6049-8D02-963C19BB9479}"/>
            </c:ext>
          </c:extLst>
        </c:ser>
        <c:ser>
          <c:idx val="1"/>
          <c:order val="1"/>
          <c:tx>
            <c:strRef>
              <c:f>'PART 1'!$D$5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1'!$D$65:$D$80</c:f>
              <c:numCache>
                <c:formatCode>0.0E+00</c:formatCode>
                <c:ptCount val="16"/>
                <c:pt idx="0">
                  <c:v>39.800199874087106</c:v>
                </c:pt>
                <c:pt idx="1">
                  <c:v>34.800201005371179</c:v>
                </c:pt>
                <c:pt idx="2">
                  <c:v>29.800262050315979</c:v>
                </c:pt>
                <c:pt idx="3">
                  <c:v>24.801664178869387</c:v>
                </c:pt>
                <c:pt idx="4">
                  <c:v>19.817623577797619</c:v>
                </c:pt>
                <c:pt idx="5">
                  <c:v>14.919301845261913</c:v>
                </c:pt>
                <c:pt idx="6">
                  <c:v>10.320377042080651</c:v>
                </c:pt>
                <c:pt idx="7">
                  <c:v>6.3886117277776862</c:v>
                </c:pt>
                <c:pt idx="8">
                  <c:v>3.4644858545419481</c:v>
                </c:pt>
                <c:pt idx="9">
                  <c:v>1.6258188435844403</c:v>
                </c:pt>
                <c:pt idx="10">
                  <c:v>0.65809009972461574</c:v>
                </c:pt>
                <c:pt idx="11">
                  <c:v>0.23056244343906851</c:v>
                </c:pt>
                <c:pt idx="12">
                  <c:v>7.0455858487305623E-2</c:v>
                </c:pt>
                <c:pt idx="13">
                  <c:v>1.8965165905439174E-2</c:v>
                </c:pt>
                <c:pt idx="14">
                  <c:v>4.5452497053133367E-3</c:v>
                </c:pt>
                <c:pt idx="15">
                  <c:v>9.8035060404660229E-4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5D-6049-8D02-963C19BB9479}"/>
            </c:ext>
          </c:extLst>
        </c:ser>
        <c:ser>
          <c:idx val="2"/>
          <c:order val="2"/>
          <c:tx>
            <c:strRef>
              <c:f>'PART 1'!$E$5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1'!$E$65:$E$80</c:f>
              <c:numCache>
                <c:formatCode>0.0E+00</c:formatCode>
                <c:ptCount val="16"/>
                <c:pt idx="0">
                  <c:v>39.700452546325081</c:v>
                </c:pt>
                <c:pt idx="1">
                  <c:v>34.70054498438698</c:v>
                </c:pt>
                <c:pt idx="2">
                  <c:v>29.701971650100504</c:v>
                </c:pt>
                <c:pt idx="3">
                  <c:v>24.714352773531985</c:v>
                </c:pt>
                <c:pt idx="4">
                  <c:v>19.781302618876381</c:v>
                </c:pt>
                <c:pt idx="5">
                  <c:v>15.026427016826361</c:v>
                </c:pt>
                <c:pt idx="6">
                  <c:v>10.677565539881982</c:v>
                </c:pt>
                <c:pt idx="7">
                  <c:v>7.0086437857897366</c:v>
                </c:pt>
                <c:pt idx="8">
                  <c:v>4.213325999146285</c:v>
                </c:pt>
                <c:pt idx="9">
                  <c:v>2.3108012147929813</c:v>
                </c:pt>
                <c:pt idx="10">
                  <c:v>1.1564781561719926</c:v>
                </c:pt>
                <c:pt idx="11">
                  <c:v>0.52982110425509887</c:v>
                </c:pt>
                <c:pt idx="12">
                  <c:v>0.22331897830657077</c:v>
                </c:pt>
                <c:pt idx="13">
                  <c:v>8.7125029493656747E-2</c:v>
                </c:pt>
                <c:pt idx="14">
                  <c:v>3.1663755766052071E-2</c:v>
                </c:pt>
                <c:pt idx="15">
                  <c:v>1.0788509424936754E-2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5D-6049-8D02-963C19BB9479}"/>
            </c:ext>
          </c:extLst>
        </c:ser>
        <c:ser>
          <c:idx val="3"/>
          <c:order val="3"/>
          <c:tx>
            <c:strRef>
              <c:f>'PART 1'!$F$5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1'!$F$65:$F$80</c:f>
              <c:numCache>
                <c:formatCode>0.0E+00</c:formatCode>
                <c:ptCount val="16"/>
                <c:pt idx="0">
                  <c:v>39.600866601725336</c:v>
                </c:pt>
                <c:pt idx="1">
                  <c:v>34.601772669003083</c:v>
                </c:pt>
                <c:pt idx="2">
                  <c:v>29.609149177743816</c:v>
                </c:pt>
                <c:pt idx="3">
                  <c:v>24.648001688154423</c:v>
                </c:pt>
                <c:pt idx="4">
                  <c:v>19.791205837246352</c:v>
                </c:pt>
                <c:pt idx="5">
                  <c:v>15.184834271698179</c:v>
                </c:pt>
                <c:pt idx="6">
                  <c:v>11.035349876134674</c:v>
                </c:pt>
                <c:pt idx="7">
                  <c:v>7.5456542257935055</c:v>
                </c:pt>
                <c:pt idx="8">
                  <c:v>4.8357495426492463</c:v>
                </c:pt>
                <c:pt idx="9">
                  <c:v>2.901458513780419</c:v>
                </c:pt>
                <c:pt idx="10">
                  <c:v>1.6318040959725053</c:v>
                </c:pt>
                <c:pt idx="11">
                  <c:v>0.86263501147878685</c:v>
                </c:pt>
                <c:pt idx="12">
                  <c:v>0.43026095368589257</c:v>
                </c:pt>
                <c:pt idx="13">
                  <c:v>0.20335023082007542</c:v>
                </c:pt>
                <c:pt idx="14">
                  <c:v>9.147565634983823E-2</c:v>
                </c:pt>
                <c:pt idx="15">
                  <c:v>3.9340297073269026E-2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5D-6049-8D02-963C19BB9479}"/>
            </c:ext>
          </c:extLst>
        </c:ser>
        <c:ser>
          <c:idx val="4"/>
          <c:order val="4"/>
          <c:tx>
            <c:strRef>
              <c:f>'PART 1'!$G$5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1'!$G$65:$G$80</c:f>
              <c:numCache>
                <c:formatCode>0.0E+00</c:formatCode>
                <c:ptCount val="16"/>
                <c:pt idx="0">
                  <c:v>39.501716564493329</c:v>
                </c:pt>
                <c:pt idx="1">
                  <c:v>34.505423206341916</c:v>
                </c:pt>
                <c:pt idx="2">
                  <c:v>29.525842775206613</c:v>
                </c:pt>
                <c:pt idx="3">
                  <c:v>24.605089564656694</c:v>
                </c:pt>
                <c:pt idx="4">
                  <c:v>19.8360299335029</c:v>
                </c:pt>
                <c:pt idx="5">
                  <c:v>15.368149026881994</c:v>
                </c:pt>
                <c:pt idx="6">
                  <c:v>11.37964900372117</c:v>
                </c:pt>
                <c:pt idx="7">
                  <c:v>8.0234082535424847</c:v>
                </c:pt>
                <c:pt idx="8">
                  <c:v>5.3772721530958449</c:v>
                </c:pt>
                <c:pt idx="9">
                  <c:v>3.4258705415799042</c:v>
                </c:pt>
                <c:pt idx="10">
                  <c:v>2.0779078901952204</c:v>
                </c:pt>
                <c:pt idx="11">
                  <c:v>1.2027807982176935</c:v>
                </c:pt>
                <c:pt idx="12">
                  <c:v>0.66644183407096413</c:v>
                </c:pt>
                <c:pt idx="13">
                  <c:v>0.35464130281245154</c:v>
                </c:pt>
                <c:pt idx="14">
                  <c:v>0.18186051150669069</c:v>
                </c:pt>
                <c:pt idx="15">
                  <c:v>9.0168694639622737E-2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5D-6049-8D02-963C19BB9479}"/>
            </c:ext>
          </c:extLst>
        </c:ser>
        <c:ser>
          <c:idx val="5"/>
          <c:order val="5"/>
          <c:tx>
            <c:strRef>
              <c:f>'PART 1'!$H$5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1'!$H$65:$H$80</c:f>
              <c:numCache>
                <c:formatCode>0.0E+00</c:formatCode>
                <c:ptCount val="16"/>
                <c:pt idx="0">
                  <c:v>39.403572070119289</c:v>
                </c:pt>
                <c:pt idx="1">
                  <c:v>34.41326661007183</c:v>
                </c:pt>
                <c:pt idx="2">
                  <c:v>29.454280073591619</c:v>
                </c:pt>
                <c:pt idx="3">
                  <c:v>24.583734168174743</c:v>
                </c:pt>
                <c:pt idx="4">
                  <c:v>19.905448030670854</c:v>
                </c:pt>
                <c:pt idx="5">
                  <c:v>15.562849829751812</c:v>
                </c:pt>
                <c:pt idx="6">
                  <c:v>11.707434273968929</c:v>
                </c:pt>
                <c:pt idx="7">
                  <c:v>8.4564080518705893</c:v>
                </c:pt>
                <c:pt idx="8">
                  <c:v>5.8612504154918952</c:v>
                </c:pt>
                <c:pt idx="9">
                  <c:v>3.9006730954963658</c:v>
                </c:pt>
                <c:pt idx="10">
                  <c:v>2.4963188732285104</c:v>
                </c:pt>
                <c:pt idx="11">
                  <c:v>1.5395942914228655</c:v>
                </c:pt>
                <c:pt idx="12">
                  <c:v>0.91737956452385383</c:v>
                </c:pt>
                <c:pt idx="13">
                  <c:v>0.52953002293426099</c:v>
                </c:pt>
                <c:pt idx="14">
                  <c:v>0.29689619207424389</c:v>
                </c:pt>
                <c:pt idx="15">
                  <c:v>0.16212008933309985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5D-6049-8D02-963C19BB9479}"/>
            </c:ext>
          </c:extLst>
        </c:ser>
        <c:ser>
          <c:idx val="6"/>
          <c:order val="6"/>
          <c:tx>
            <c:strRef>
              <c:f>'PART 1'!$I$5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1'!$I$65:$I$80</c:f>
              <c:numCache>
                <c:formatCode>0.0E+00</c:formatCode>
                <c:ptCount val="16"/>
                <c:pt idx="0">
                  <c:v>39.307178641315836</c:v>
                </c:pt>
                <c:pt idx="1">
                  <c:v>34.326717496647035</c:v>
                </c:pt>
                <c:pt idx="2">
                  <c:v>29.395024061194022</c:v>
                </c:pt>
                <c:pt idx="3">
                  <c:v>24.580702580586092</c:v>
                </c:pt>
                <c:pt idx="4">
                  <c:v>19.991861279635387</c:v>
                </c:pt>
                <c:pt idx="5">
                  <c:v>15.761791402398742</c:v>
                </c:pt>
                <c:pt idx="6">
                  <c:v>12.018843451128767</c:v>
                </c:pt>
                <c:pt idx="7">
                  <c:v>8.854128719043409</c:v>
                </c:pt>
                <c:pt idx="8">
                  <c:v>6.3015670522829907</c:v>
                </c:pt>
                <c:pt idx="9">
                  <c:v>4.3365749188593412</c:v>
                </c:pt>
                <c:pt idx="10">
                  <c:v>2.8899730652001843</c:v>
                </c:pt>
                <c:pt idx="11">
                  <c:v>1.8686236486922461</c:v>
                </c:pt>
                <c:pt idx="12">
                  <c:v>1.1747976610448738</c:v>
                </c:pt>
                <c:pt idx="13">
                  <c:v>0.71976292476992043</c:v>
                </c:pt>
                <c:pt idx="14">
                  <c:v>0.43069619879097143</c:v>
                </c:pt>
                <c:pt idx="15">
                  <c:v>0.25225987672489092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5D-6049-8D02-963C19BB9479}"/>
            </c:ext>
          </c:extLst>
        </c:ser>
        <c:ser>
          <c:idx val="7"/>
          <c:order val="7"/>
          <c:tx>
            <c:strRef>
              <c:f>'PART 1'!$J$5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1'!$J$65:$J$80</c:f>
              <c:numCache>
                <c:formatCode>0.0E+00</c:formatCode>
                <c:ptCount val="16"/>
                <c:pt idx="0">
                  <c:v>39.213283483154157</c:v>
                </c:pt>
                <c:pt idx="1">
                  <c:v>34.246654730161083</c:v>
                </c:pt>
                <c:pt idx="2">
                  <c:v>29.34763022506317</c:v>
                </c:pt>
                <c:pt idx="3">
                  <c:v>24.592726813735311</c:v>
                </c:pt>
                <c:pt idx="4">
                  <c:v>20.089933019918107</c:v>
                </c:pt>
                <c:pt idx="5">
                  <c:v>15.961060096223463</c:v>
                </c:pt>
                <c:pt idx="6">
                  <c:v>12.314950479891948</c:v>
                </c:pt>
                <c:pt idx="7">
                  <c:v>9.2231313429903423</c:v>
                </c:pt>
                <c:pt idx="8">
                  <c:v>6.7072725055907156</c:v>
                </c:pt>
                <c:pt idx="9">
                  <c:v>4.7409245696641165</c:v>
                </c:pt>
                <c:pt idx="10">
                  <c:v>3.2617781361915732</c:v>
                </c:pt>
                <c:pt idx="11">
                  <c:v>2.1881032096159672</c:v>
                </c:pt>
                <c:pt idx="12">
                  <c:v>1.4338869683114499</c:v>
                </c:pt>
                <c:pt idx="13">
                  <c:v>0.91966106587094032</c:v>
                </c:pt>
                <c:pt idx="14">
                  <c:v>0.57840023169498078</c:v>
                </c:pt>
                <c:pt idx="15">
                  <c:v>0.35736251438737909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5D-6049-8D02-963C19BB9479}"/>
            </c:ext>
          </c:extLst>
        </c:ser>
        <c:ser>
          <c:idx val="8"/>
          <c:order val="8"/>
          <c:tx>
            <c:strRef>
              <c:f>'PART 1'!$K$5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1'!$K$65:$K$80</c:f>
              <c:numCache>
                <c:formatCode>0.0E+00</c:formatCode>
                <c:ptCount val="16"/>
                <c:pt idx="0">
                  <c:v>39.122519054302209</c:v>
                </c:pt>
                <c:pt idx="1">
                  <c:v>34.173478551161324</c:v>
                </c:pt>
                <c:pt idx="2">
                  <c:v>29.311162749089064</c:v>
                </c:pt>
                <c:pt idx="3">
                  <c:v>24.616937489643519</c:v>
                </c:pt>
                <c:pt idx="4">
                  <c:v>20.195932151192082</c:v>
                </c:pt>
                <c:pt idx="5">
                  <c:v>16.158461963668117</c:v>
                </c:pt>
                <c:pt idx="6">
                  <c:v>12.597045039482147</c:v>
                </c:pt>
                <c:pt idx="7">
                  <c:v>9.5681715922198194</c:v>
                </c:pt>
                <c:pt idx="8">
                  <c:v>7.0846567562223512</c:v>
                </c:pt>
                <c:pt idx="9">
                  <c:v>5.1190160164926013</c:v>
                </c:pt>
                <c:pt idx="10">
                  <c:v>3.6142913010404918</c:v>
                </c:pt>
                <c:pt idx="11">
                  <c:v>2.4974995293302271</c:v>
                </c:pt>
                <c:pt idx="12">
                  <c:v>1.6918053336073768</c:v>
                </c:pt>
                <c:pt idx="13">
                  <c:v>1.125337722091901</c:v>
                </c:pt>
                <c:pt idx="14">
                  <c:v>0.73622873405738787</c:v>
                </c:pt>
                <c:pt idx="15">
                  <c:v>0.47448271706380041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5D-6049-8D02-963C19BB9479}"/>
            </c:ext>
          </c:extLst>
        </c:ser>
        <c:ser>
          <c:idx val="9"/>
          <c:order val="9"/>
          <c:tx>
            <c:strRef>
              <c:f>'PART 1'!$L$5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1'!$L$65:$L$80</c:f>
              <c:numCache>
                <c:formatCode>0.0E+00</c:formatCode>
                <c:ptCount val="16"/>
                <c:pt idx="0">
                  <c:v>39.035356970479278</c:v>
                </c:pt>
                <c:pt idx="1">
                  <c:v>34.107236726810733</c:v>
                </c:pt>
                <c:pt idx="2">
                  <c:v>29.284504641826857</c:v>
                </c:pt>
                <c:pt idx="3">
                  <c:v>24.650947238751527</c:v>
                </c:pt>
                <c:pt idx="4">
                  <c:v>20.307228713626444</c:v>
                </c:pt>
                <c:pt idx="5">
                  <c:v>16.352760639273136</c:v>
                </c:pt>
                <c:pt idx="6">
                  <c:v>12.866387517147949</c:v>
                </c:pt>
                <c:pt idx="7">
                  <c:v>9.8928232605274218</c:v>
                </c:pt>
                <c:pt idx="8">
                  <c:v>7.43830206502642</c:v>
                </c:pt>
                <c:pt idx="9">
                  <c:v>5.4748100095789241</c:v>
                </c:pt>
                <c:pt idx="10">
                  <c:v>3.9496873984521805</c:v>
                </c:pt>
                <c:pt idx="11">
                  <c:v>2.7968619856168182</c:v>
                </c:pt>
                <c:pt idx="12">
                  <c:v>1.9468599279885304</c:v>
                </c:pt>
                <c:pt idx="13">
                  <c:v>1.3341164899485971</c:v>
                </c:pt>
                <c:pt idx="14">
                  <c:v>0.90130199254097576</c:v>
                </c:pt>
                <c:pt idx="15">
                  <c:v>0.60111531813212782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5D-6049-8D02-963C19BB9479}"/>
            </c:ext>
          </c:extLst>
        </c:ser>
        <c:ser>
          <c:idx val="10"/>
          <c:order val="10"/>
          <c:tx>
            <c:strRef>
              <c:f>'PART 1'!$M$5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1'!$M$65:$M$80</c:f>
              <c:numCache>
                <c:formatCode>0.0E+00</c:formatCode>
                <c:ptCount val="16"/>
                <c:pt idx="0">
                  <c:v>38.380903936638902</c:v>
                </c:pt>
                <c:pt idx="1">
                  <c:v>33.751550165841223</c:v>
                </c:pt>
                <c:pt idx="2">
                  <c:v>29.35160243162791</c:v>
                </c:pt>
                <c:pt idx="3">
                  <c:v>25.241294084128981</c:v>
                </c:pt>
                <c:pt idx="4">
                  <c:v>21.469661011271299</c:v>
                </c:pt>
                <c:pt idx="5">
                  <c:v>18.069746859815012</c:v>
                </c:pt>
                <c:pt idx="6">
                  <c:v>15.056885397812771</c:v>
                </c:pt>
                <c:pt idx="7">
                  <c:v>12.429636543188181</c:v>
                </c:pt>
                <c:pt idx="8">
                  <c:v>10.172519129121618</c:v>
                </c:pt>
                <c:pt idx="9">
                  <c:v>8.2596214806837835</c:v>
                </c:pt>
                <c:pt idx="10">
                  <c:v>6.6583348344932958</c:v>
                </c:pt>
                <c:pt idx="11">
                  <c:v>5.3327045383445473</c:v>
                </c:pt>
                <c:pt idx="12">
                  <c:v>4.2461354487629741</c:v>
                </c:pt>
                <c:pt idx="13">
                  <c:v>3.3633749623490381</c:v>
                </c:pt>
                <c:pt idx="14">
                  <c:v>2.6518185745966605</c:v>
                </c:pt>
                <c:pt idx="15">
                  <c:v>2.0822469188620847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5D-6049-8D02-963C19BB9479}"/>
            </c:ext>
          </c:extLst>
        </c:ser>
        <c:ser>
          <c:idx val="11"/>
          <c:order val="11"/>
          <c:tx>
            <c:strRef>
              <c:f>'PART 1'!$N$5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1'!$N$65:$N$80</c:f>
              <c:numCache>
                <c:formatCode>0.0E+00</c:formatCode>
                <c:ptCount val="16"/>
                <c:pt idx="0">
                  <c:v>38.029188218206997</c:v>
                </c:pt>
                <c:pt idx="1">
                  <c:v>33.712638855643704</c:v>
                </c:pt>
                <c:pt idx="2">
                  <c:v>29.668202788876179</c:v>
                </c:pt>
                <c:pt idx="3">
                  <c:v>25.928548883358026</c:v>
                </c:pt>
                <c:pt idx="4">
                  <c:v>22.514063945977171</c:v>
                </c:pt>
                <c:pt idx="5">
                  <c:v>19.432928605115691</c:v>
                </c:pt>
                <c:pt idx="6">
                  <c:v>16.682428651116403</c:v>
                </c:pt>
                <c:pt idx="7">
                  <c:v>14.250965254701846</c:v>
                </c:pt>
                <c:pt idx="8">
                  <c:v>12.120314291465803</c:v>
                </c:pt>
                <c:pt idx="9">
                  <c:v>10.267815038309145</c:v>
                </c:pt>
                <c:pt idx="10">
                  <c:v>8.6682957089867898</c:v>
                </c:pt>
                <c:pt idx="11">
                  <c:v>7.2956458236352226</c:v>
                </c:pt>
                <c:pt idx="12">
                  <c:v>6.1240174732356714</c:v>
                </c:pt>
                <c:pt idx="13">
                  <c:v>5.1286819343781112</c:v>
                </c:pt>
                <c:pt idx="14">
                  <c:v>4.2865909992066165</c:v>
                </c:pt>
                <c:pt idx="15">
                  <c:v>3.576700417391482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5D-6049-8D02-963C19BB9479}"/>
            </c:ext>
          </c:extLst>
        </c:ser>
        <c:ser>
          <c:idx val="12"/>
          <c:order val="12"/>
          <c:tx>
            <c:strRef>
              <c:f>'PART 1'!$O$5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1'!$O$65:$O$80</c:f>
              <c:numCache>
                <c:formatCode>0.0E+00</c:formatCode>
                <c:ptCount val="16"/>
                <c:pt idx="0">
                  <c:v>37.840779093821233</c:v>
                </c:pt>
                <c:pt idx="1">
                  <c:v>33.795778142950994</c:v>
                </c:pt>
                <c:pt idx="2">
                  <c:v>30.033555452121533</c:v>
                </c:pt>
                <c:pt idx="3">
                  <c:v>26.569507769169562</c:v>
                </c:pt>
                <c:pt idx="4">
                  <c:v>23.409238092282294</c:v>
                </c:pt>
                <c:pt idx="5">
                  <c:v>20.549884643725164</c:v>
                </c:pt>
                <c:pt idx="6">
                  <c:v>17.981799567107039</c:v>
                </c:pt>
                <c:pt idx="7">
                  <c:v>15.690289107394975</c:v>
                </c:pt>
                <c:pt idx="8">
                  <c:v>13.65723072051609</c:v>
                </c:pt>
                <c:pt idx="9">
                  <c:v>11.862467598482496</c:v>
                </c:pt>
                <c:pt idx="10">
                  <c:v>10.284942477887853</c:v>
                </c:pt>
                <c:pt idx="11">
                  <c:v>8.9035723172217658</c:v>
                </c:pt>
                <c:pt idx="12">
                  <c:v>7.6978881232997303</c:v>
                </c:pt>
                <c:pt idx="13">
                  <c:v>6.6484748334855865</c:v>
                </c:pt>
                <c:pt idx="14">
                  <c:v>5.7372489541362555</c:v>
                </c:pt>
                <c:pt idx="15">
                  <c:v>4.9476098324527698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5D-6049-8D02-963C19BB9479}"/>
            </c:ext>
          </c:extLst>
        </c:ser>
        <c:ser>
          <c:idx val="13"/>
          <c:order val="13"/>
          <c:tx>
            <c:strRef>
              <c:f>'PART 1'!$P$5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1'!$P$65:$P$80</c:f>
              <c:numCache>
                <c:formatCode>0.0E+00</c:formatCode>
                <c:ptCount val="16"/>
                <c:pt idx="0">
                  <c:v>37.736234552876972</c:v>
                </c:pt>
                <c:pt idx="1">
                  <c:v>33.922460843328587</c:v>
                </c:pt>
                <c:pt idx="2">
                  <c:v>30.389684145086839</c:v>
                </c:pt>
                <c:pt idx="3">
                  <c:v>27.14262100550782</c:v>
                </c:pt>
                <c:pt idx="4">
                  <c:v>24.178666355495551</c:v>
                </c:pt>
                <c:pt idx="5">
                  <c:v>21.489422060453705</c:v>
                </c:pt>
                <c:pt idx="6">
                  <c:v>19.062204792961239</c:v>
                </c:pt>
                <c:pt idx="7">
                  <c:v>16.881405903557955</c:v>
                </c:pt>
                <c:pt idx="8">
                  <c:v>14.929643181902598</c:v>
                </c:pt>
                <c:pt idx="9">
                  <c:v>13.18868888564927</c:v>
                </c:pt>
                <c:pt idx="10">
                  <c:v>11.640184961332274</c:v>
                </c:pt>
                <c:pt idx="11">
                  <c:v>10.266170159703762</c:v>
                </c:pt>
                <c:pt idx="12">
                  <c:v>9.0494491457967179</c:v>
                </c:pt>
                <c:pt idx="13">
                  <c:v>7.9738340271912342</c:v>
                </c:pt>
                <c:pt idx="14">
                  <c:v>7.024286272468462</c:v>
                </c:pt>
                <c:pt idx="15">
                  <c:v>6.1869832652714187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5D-6049-8D02-963C19BB9479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6">
                    <a:tint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6">
                    <a:tint val="5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6">
                    <a:tint val="7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6">
                    <a:tint val="8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6">
                    <a:shade val="8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6">
                    <a:shade val="7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6">
                    <a:shade val="5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price,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1'!$C$83:$C$98</c:f>
              <c:numCache>
                <c:formatCode>0.0E+00</c:formatCode>
                <c:ptCount val="16"/>
                <c:pt idx="0">
                  <c:v>39.900050032764007</c:v>
                </c:pt>
                <c:pt idx="1">
                  <c:v>34.900054552010033</c:v>
                </c:pt>
                <c:pt idx="2">
                  <c:v>29.900217259643867</c:v>
                </c:pt>
                <c:pt idx="3">
                  <c:v>24.902951136508975</c:v>
                </c:pt>
                <c:pt idx="4">
                  <c:v>19.927496626602093</c:v>
                </c:pt>
                <c:pt idx="5">
                  <c:v>15.058794367354722</c:v>
                </c:pt>
                <c:pt idx="6">
                  <c:v>10.516793436958793</c:v>
                </c:pt>
                <c:pt idx="7">
                  <c:v>6.6426002363535019</c:v>
                </c:pt>
                <c:pt idx="8">
                  <c:v>3.7316242147403571</c:v>
                </c:pt>
                <c:pt idx="9">
                  <c:v>1.8473670612081428</c:v>
                </c:pt>
                <c:pt idx="10">
                  <c:v>0.80428297043632924</c:v>
                </c:pt>
                <c:pt idx="11">
                  <c:v>0.30895936686905134</c:v>
                </c:pt>
                <c:pt idx="12">
                  <c:v>0.10542233103356891</c:v>
                </c:pt>
                <c:pt idx="13">
                  <c:v>3.2224062436847611E-2</c:v>
                </c:pt>
                <c:pt idx="14">
                  <c:v>8.9048770618881945E-3</c:v>
                </c:pt>
                <c:pt idx="15">
                  <c:v>2.2452991025169039E-3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4-2D46-A9AD-6B7D7D303C69}"/>
            </c:ext>
          </c:extLst>
        </c:ser>
        <c:ser>
          <c:idx val="1"/>
          <c:order val="1"/>
          <c:tx>
            <c:strRef>
              <c:f>'PART 1'!$D$5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1'!$D$83:$D$98</c:f>
              <c:numCache>
                <c:formatCode>0.0E+00</c:formatCode>
                <c:ptCount val="16"/>
                <c:pt idx="0">
                  <c:v>39.800381913314062</c:v>
                </c:pt>
                <c:pt idx="1">
                  <c:v>34.802227826610959</c:v>
                </c:pt>
                <c:pt idx="2">
                  <c:v>29.81444931813688</c:v>
                </c:pt>
                <c:pt idx="3">
                  <c:v>24.869285124142607</c:v>
                </c:pt>
                <c:pt idx="4">
                  <c:v>20.048186860797827</c:v>
                </c:pt>
                <c:pt idx="5">
                  <c:v>15.49747936792879</c:v>
                </c:pt>
                <c:pt idx="6">
                  <c:v>11.407901309513306</c:v>
                </c:pt>
                <c:pt idx="7">
                  <c:v>7.9565007734625794</c:v>
                </c:pt>
                <c:pt idx="8">
                  <c:v>5.2437104622180257</c:v>
                </c:pt>
                <c:pt idx="9">
                  <c:v>3.2639649948754936</c:v>
                </c:pt>
                <c:pt idx="10">
                  <c:v>1.9213282822513378</c:v>
                </c:pt>
                <c:pt idx="11">
                  <c:v>1.0722741150019957</c:v>
                </c:pt>
                <c:pt idx="12">
                  <c:v>0.56923343363616219</c:v>
                </c:pt>
                <c:pt idx="13">
                  <c:v>0.28850935851438297</c:v>
                </c:pt>
                <c:pt idx="14">
                  <c:v>0.14014482223445457</c:v>
                </c:pt>
                <c:pt idx="15">
                  <c:v>6.5491815203214454E-2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D4-2D46-A9AD-6B7D7D303C69}"/>
            </c:ext>
          </c:extLst>
        </c:ser>
        <c:ser>
          <c:idx val="2"/>
          <c:order val="2"/>
          <c:tx>
            <c:strRef>
              <c:f>'PART 1'!$E$5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1'!$E$83:$E$98</c:f>
              <c:numCache>
                <c:formatCode>0.0E+00</c:formatCode>
                <c:ptCount val="16"/>
                <c:pt idx="0">
                  <c:v>39.70395401842886</c:v>
                </c:pt>
                <c:pt idx="1">
                  <c:v>34.719550391395444</c:v>
                </c:pt>
                <c:pt idx="2">
                  <c:v>29.776983341216379</c:v>
                </c:pt>
                <c:pt idx="3">
                  <c:v>24.939789850042743</c:v>
                </c:pt>
                <c:pt idx="4">
                  <c:v>20.312609645700206</c:v>
                </c:pt>
                <c:pt idx="5">
                  <c:v>16.029552542690666</c:v>
                </c:pt>
                <c:pt idx="6">
                  <c:v>12.224618417729957</c:v>
                </c:pt>
                <c:pt idx="7">
                  <c:v>8.9973064731654873</c:v>
                </c:pt>
                <c:pt idx="8">
                  <c:v>6.3894281560183472</c:v>
                </c:pt>
                <c:pt idx="9">
                  <c:v>4.3813605134567837</c:v>
                </c:pt>
                <c:pt idx="10">
                  <c:v>2.9052634864003331</c:v>
                </c:pt>
                <c:pt idx="11">
                  <c:v>1.8664913666057323</c:v>
                </c:pt>
                <c:pt idx="12">
                  <c:v>1.1643421328056309</c:v>
                </c:pt>
                <c:pt idx="13">
                  <c:v>0.70688705862619905</c:v>
                </c:pt>
                <c:pt idx="14">
                  <c:v>0.41863828861361796</c:v>
                </c:pt>
                <c:pt idx="15">
                  <c:v>0.24239595415544546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D4-2D46-A9AD-6B7D7D303C69}"/>
            </c:ext>
          </c:extLst>
        </c:ser>
        <c:ser>
          <c:idx val="3"/>
          <c:order val="3"/>
          <c:tx>
            <c:strRef>
              <c:f>'PART 1'!$F$5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1'!$F$83:$F$98</c:f>
              <c:numCache>
                <c:formatCode>0.0E+00</c:formatCode>
                <c:ptCount val="16"/>
                <c:pt idx="0">
                  <c:v>39.617812611363995</c:v>
                </c:pt>
                <c:pt idx="1">
                  <c:v>34.665332985612864</c:v>
                </c:pt>
                <c:pt idx="2">
                  <c:v>29.794925996986393</c:v>
                </c:pt>
                <c:pt idx="3">
                  <c:v>25.085173760077907</c:v>
                </c:pt>
                <c:pt idx="4">
                  <c:v>20.638989592216447</c:v>
                </c:pt>
                <c:pt idx="5">
                  <c:v>16.566037818231351</c:v>
                </c:pt>
                <c:pt idx="6">
                  <c:v>12.960187531305678</c:v>
                </c:pt>
                <c:pt idx="7">
                  <c:v>9.8809618106439032</c:v>
                </c:pt>
                <c:pt idx="8">
                  <c:v>7.3450434518304775</c:v>
                </c:pt>
                <c:pt idx="9">
                  <c:v>5.3286996961612729</c:v>
                </c:pt>
                <c:pt idx="10">
                  <c:v>3.7779020802732362</c:v>
                </c:pt>
                <c:pt idx="11">
                  <c:v>2.6214563574356653</c:v>
                </c:pt>
                <c:pt idx="12">
                  <c:v>1.7832033367914555</c:v>
                </c:pt>
                <c:pt idx="13">
                  <c:v>1.1910771205600295</c:v>
                </c:pt>
                <c:pt idx="14">
                  <c:v>0.78245922697174919</c:v>
                </c:pt>
                <c:pt idx="15">
                  <c:v>0.50633841945918512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D4-2D46-A9AD-6B7D7D303C69}"/>
            </c:ext>
          </c:extLst>
        </c:ser>
        <c:ser>
          <c:idx val="4"/>
          <c:order val="4"/>
          <c:tx>
            <c:strRef>
              <c:f>'PART 1'!$G$5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1'!$G$83:$G$98</c:f>
              <c:numCache>
                <c:formatCode>0.0E+00</c:formatCode>
                <c:ptCount val="16"/>
                <c:pt idx="0">
                  <c:v>39.547751469154065</c:v>
                </c:pt>
                <c:pt idx="1">
                  <c:v>34.642715692303469</c:v>
                </c:pt>
                <c:pt idx="2">
                  <c:v>29.858317142124889</c:v>
                </c:pt>
                <c:pt idx="3">
                  <c:v>25.276374185267485</c:v>
                </c:pt>
                <c:pt idx="4">
                  <c:v>20.98945730534912</c:v>
                </c:pt>
                <c:pt idx="5">
                  <c:v>17.084868193589166</c:v>
                </c:pt>
                <c:pt idx="6">
                  <c:v>13.629373464138993</c:v>
                </c:pt>
                <c:pt idx="7">
                  <c:v>10.659450228059811</c:v>
                </c:pt>
                <c:pt idx="8">
                  <c:v>8.1788934816042484</c:v>
                </c:pt>
                <c:pt idx="9">
                  <c:v>6.1628134084461266</c:v>
                </c:pt>
                <c:pt idx="10">
                  <c:v>4.5654868253577305</c:v>
                </c:pt>
                <c:pt idx="11">
                  <c:v>3.3293379677998054</c:v>
                </c:pt>
                <c:pt idx="12">
                  <c:v>2.3930088260613438</c:v>
                </c:pt>
                <c:pt idx="13">
                  <c:v>1.6974388665691347</c:v>
                </c:pt>
                <c:pt idx="14">
                  <c:v>1.1896995156485204</c:v>
                </c:pt>
                <c:pt idx="15">
                  <c:v>0.8248549458489407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D4-2D46-A9AD-6B7D7D303C69}"/>
            </c:ext>
          </c:extLst>
        </c:ser>
        <c:ser>
          <c:idx val="5"/>
          <c:order val="5"/>
          <c:tx>
            <c:strRef>
              <c:f>'PART 1'!$H$5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1'!$H$83:$H$98</c:f>
              <c:numCache>
                <c:formatCode>0.0E+00</c:formatCode>
                <c:ptCount val="16"/>
                <c:pt idx="0">
                  <c:v>39.496113710650356</c:v>
                </c:pt>
                <c:pt idx="1">
                  <c:v>34.6489583076741</c:v>
                </c:pt>
                <c:pt idx="2">
                  <c:v>29.955528783893456</c:v>
                </c:pt>
                <c:pt idx="3">
                  <c:v>25.49465435683166</c:v>
                </c:pt>
                <c:pt idx="4">
                  <c:v>21.34668874577568</c:v>
                </c:pt>
                <c:pt idx="5">
                  <c:v>17.580767337709865</c:v>
                </c:pt>
                <c:pt idx="6">
                  <c:v>14.244914472376678</c:v>
                </c:pt>
                <c:pt idx="7">
                  <c:v>11.361195695628268</c:v>
                </c:pt>
                <c:pt idx="8">
                  <c:v>8.9260562475533334</c:v>
                </c:pt>
                <c:pt idx="9">
                  <c:v>6.9145380976901336</c:v>
                </c:pt>
                <c:pt idx="10">
                  <c:v>5.2865196529870069</c:v>
                </c:pt>
                <c:pt idx="11">
                  <c:v>3.9932902460539381</c:v>
                </c:pt>
                <c:pt idx="12">
                  <c:v>2.9833008005227484</c:v>
                </c:pt>
                <c:pt idx="13">
                  <c:v>2.2065167492008229</c:v>
                </c:pt>
                <c:pt idx="14">
                  <c:v>1.6172638592946953</c:v>
                </c:pt>
                <c:pt idx="15">
                  <c:v>1.17574603815949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D4-2D46-A9AD-6B7D7D303C69}"/>
            </c:ext>
          </c:extLst>
        </c:ser>
        <c:ser>
          <c:idx val="6"/>
          <c:order val="6"/>
          <c:tx>
            <c:strRef>
              <c:f>'PART 1'!$I$5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1'!$I$83:$I$98</c:f>
              <c:numCache>
                <c:formatCode>0.0E+00</c:formatCode>
                <c:ptCount val="16"/>
                <c:pt idx="0">
                  <c:v>39.462763776577752</c:v>
                </c:pt>
                <c:pt idx="1">
                  <c:v>34.679554168108503</c:v>
                </c:pt>
                <c:pt idx="2">
                  <c:v>30.077132579145754</c:v>
                </c:pt>
                <c:pt idx="3">
                  <c:v>25.728517083426851</c:v>
                </c:pt>
                <c:pt idx="4">
                  <c:v>21.702371573590717</c:v>
                </c:pt>
                <c:pt idx="5">
                  <c:v>18.053448645972118</c:v>
                </c:pt>
                <c:pt idx="6">
                  <c:v>14.816397403631967</c:v>
                </c:pt>
                <c:pt idx="7">
                  <c:v>12.00372412699312</c:v>
                </c:pt>
                <c:pt idx="8">
                  <c:v>9.6073876317319531</c:v>
                </c:pt>
                <c:pt idx="9">
                  <c:v>7.6028052683302931</c:v>
                </c:pt>
                <c:pt idx="10">
                  <c:v>5.9539233509215279</c:v>
                </c:pt>
                <c:pt idx="11">
                  <c:v>4.6182574842843422</c:v>
                </c:pt>
                <c:pt idx="12">
                  <c:v>3.5512044657478761</c:v>
                </c:pt>
                <c:pt idx="13">
                  <c:v>2.7093063785062057</c:v>
                </c:pt>
                <c:pt idx="14">
                  <c:v>2.0524302807328461</c:v>
                </c:pt>
                <c:pt idx="15">
                  <c:v>1.5449971689005846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D4-2D46-A9AD-6B7D7D303C69}"/>
            </c:ext>
          </c:extLst>
        </c:ser>
        <c:ser>
          <c:idx val="7"/>
          <c:order val="7"/>
          <c:tx>
            <c:strRef>
              <c:f>'PART 1'!$J$5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1'!$J$83:$J$98</c:f>
              <c:numCache>
                <c:formatCode>0.0E+00</c:formatCode>
                <c:ptCount val="16"/>
                <c:pt idx="0">
                  <c:v>39.446312670389688</c:v>
                </c:pt>
                <c:pt idx="1">
                  <c:v>34.730001528254668</c:v>
                </c:pt>
                <c:pt idx="2">
                  <c:v>30.216115885276849</c:v>
                </c:pt>
                <c:pt idx="3">
                  <c:v>25.970839832793203</c:v>
                </c:pt>
                <c:pt idx="4">
                  <c:v>22.052407524555107</c:v>
                </c:pt>
                <c:pt idx="5">
                  <c:v>18.504188279537523</c:v>
                </c:pt>
                <c:pt idx="6">
                  <c:v>15.351005626872109</c:v>
                </c:pt>
                <c:pt idx="7">
                  <c:v>12.598740737435598</c:v>
                </c:pt>
                <c:pt idx="8">
                  <c:v>10.236488042085007</c:v>
                </c:pt>
                <c:pt idx="9">
                  <c:v>8.2402236158937399</c:v>
                </c:pt>
                <c:pt idx="10">
                  <c:v>6.5770037553768788</c:v>
                </c:pt>
                <c:pt idx="11">
                  <c:v>5.2089601005649051</c:v>
                </c:pt>
                <c:pt idx="12">
                  <c:v>4.0966540963640661</c:v>
                </c:pt>
                <c:pt idx="13">
                  <c:v>3.2016102807564408</c:v>
                </c:pt>
                <c:pt idx="14">
                  <c:v>2.4880296567206202</c:v>
                </c:pt>
                <c:pt idx="15">
                  <c:v>1.923790211643885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D4-2D46-A9AD-6B7D7D303C69}"/>
            </c:ext>
          </c:extLst>
        </c:ser>
        <c:ser>
          <c:idx val="8"/>
          <c:order val="8"/>
          <c:tx>
            <c:strRef>
              <c:f>'PART 1'!$K$5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1'!$K$83:$K$98</c:f>
              <c:numCache>
                <c:formatCode>0.0E+00</c:formatCode>
                <c:ptCount val="16"/>
                <c:pt idx="0">
                  <c:v>39.444894513264181</c:v>
                </c:pt>
                <c:pt idx="1">
                  <c:v>34.796374634970121</c:v>
                </c:pt>
                <c:pt idx="2">
                  <c:v>30.367375211408429</c:v>
                </c:pt>
                <c:pt idx="3">
                  <c:v>26.217122422808757</c:v>
                </c:pt>
                <c:pt idx="4">
                  <c:v>22.394796253644401</c:v>
                </c:pt>
                <c:pt idx="5">
                  <c:v>18.934686626490553</c:v>
                </c:pt>
                <c:pt idx="6">
                  <c:v>15.854217518851151</c:v>
                </c:pt>
                <c:pt idx="7">
                  <c:v>13.15452217999929</c:v>
                </c:pt>
                <c:pt idx="8">
                  <c:v>10.82281244369878</c:v>
                </c:pt>
                <c:pt idx="9">
                  <c:v>8.8356911132559617</c:v>
                </c:pt>
                <c:pt idx="10">
                  <c:v>7.1626835010921823</c:v>
                </c:pt>
                <c:pt idx="11">
                  <c:v>5.7694846680122716</c:v>
                </c:pt>
                <c:pt idx="12">
                  <c:v>4.6206424924187104</c:v>
                </c:pt>
                <c:pt idx="13">
                  <c:v>3.6815763583115064</c:v>
                </c:pt>
                <c:pt idx="14">
                  <c:v>2.9199527208618008</c:v>
                </c:pt>
                <c:pt idx="15">
                  <c:v>2.3065069094494017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D4-2D46-A9AD-6B7D7D303C69}"/>
            </c:ext>
          </c:extLst>
        </c:ser>
        <c:ser>
          <c:idx val="9"/>
          <c:order val="9"/>
          <c:tx>
            <c:strRef>
              <c:f>'PART 1'!$L$5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1'!$L$83:$L$98</c:f>
              <c:numCache>
                <c:formatCode>0.0E+00</c:formatCode>
                <c:ptCount val="16"/>
                <c:pt idx="0">
                  <c:v>39.456570958159389</c:v>
                </c:pt>
                <c:pt idx="1">
                  <c:v>34.875423892823683</c:v>
                </c:pt>
                <c:pt idx="2">
                  <c:v>30.527199877082481</c:v>
                </c:pt>
                <c:pt idx="3">
                  <c:v>26.464469191676073</c:v>
                </c:pt>
                <c:pt idx="4">
                  <c:v>22.72863298345893</c:v>
                </c:pt>
                <c:pt idx="5">
                  <c:v>19.346665356876265</c:v>
                </c:pt>
                <c:pt idx="6">
                  <c:v>16.330299691723319</c:v>
                </c:pt>
                <c:pt idx="7">
                  <c:v>13.677176876491146</c:v>
                </c:pt>
                <c:pt idx="8">
                  <c:v>11.373250838700876</c:v>
                </c:pt>
                <c:pt idx="9">
                  <c:v>9.3957651213063329</c:v>
                </c:pt>
                <c:pt idx="10">
                  <c:v>7.7162624205700396</c:v>
                </c:pt>
                <c:pt idx="11">
                  <c:v>6.3032761089779541</c:v>
                </c:pt>
                <c:pt idx="12">
                  <c:v>5.1245230755080371</c:v>
                </c:pt>
                <c:pt idx="13">
                  <c:v>4.1485460871888584</c:v>
                </c:pt>
                <c:pt idx="14">
                  <c:v>3.3458373518378473</c:v>
                </c:pt>
                <c:pt idx="15">
                  <c:v>2.6895198098144153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D4-2D46-A9AD-6B7D7D303C69}"/>
            </c:ext>
          </c:extLst>
        </c:ser>
        <c:ser>
          <c:idx val="10"/>
          <c:order val="10"/>
          <c:tx>
            <c:strRef>
              <c:f>'PART 1'!$M$5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1'!$M$83:$M$98</c:f>
              <c:numCache>
                <c:formatCode>0.0E+00</c:formatCode>
                <c:ptCount val="16"/>
                <c:pt idx="0">
                  <c:v>39.983015455289475</c:v>
                </c:pt>
                <c:pt idx="1">
                  <c:v>35.974238048509598</c:v>
                </c:pt>
                <c:pt idx="2">
                  <c:v>32.236441380742441</c:v>
                </c:pt>
                <c:pt idx="3">
                  <c:v>28.781550289457776</c:v>
                </c:pt>
                <c:pt idx="4">
                  <c:v>25.613192126575598</c:v>
                </c:pt>
                <c:pt idx="5">
                  <c:v>22.727951262743616</c:v>
                </c:pt>
                <c:pt idx="6">
                  <c:v>20.11681873682177</c:v>
                </c:pt>
                <c:pt idx="7">
                  <c:v>17.766635306790839</c:v>
                </c:pt>
                <c:pt idx="8">
                  <c:v>15.661405372993883</c:v>
                </c:pt>
                <c:pt idx="9">
                  <c:v>13.783420027962549</c:v>
                </c:pt>
                <c:pt idx="10">
                  <c:v>12.11416947079838</c:v>
                </c:pt>
                <c:pt idx="11">
                  <c:v>10.635051273152062</c:v>
                </c:pt>
                <c:pt idx="12">
                  <c:v>9.3278954741177387</c:v>
                </c:pt>
                <c:pt idx="13">
                  <c:v>8.1753338962206925</c:v>
                </c:pt>
                <c:pt idx="14">
                  <c:v>7.1610423626880078</c:v>
                </c:pt>
                <c:pt idx="15">
                  <c:v>6.2698828141917851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D4-2D46-A9AD-6B7D7D303C69}"/>
            </c:ext>
          </c:extLst>
        </c:ser>
        <c:ser>
          <c:idx val="11"/>
          <c:order val="11"/>
          <c:tx>
            <c:strRef>
              <c:f>'PART 1'!$N$5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1'!$N$83:$N$98</c:f>
              <c:numCache>
                <c:formatCode>0.0E+00</c:formatCode>
                <c:ptCount val="16"/>
                <c:pt idx="0">
                  <c:v>40.766582561287159</c:v>
                </c:pt>
                <c:pt idx="1">
                  <c:v>37.159738207270372</c:v>
                </c:pt>
                <c:pt idx="2">
                  <c:v>33.811507686989124</c:v>
                </c:pt>
                <c:pt idx="3">
                  <c:v>30.71908087839504</c:v>
                </c:pt>
                <c:pt idx="4">
                  <c:v>27.875276952959176</c:v>
                </c:pt>
                <c:pt idx="5">
                  <c:v>25.26972286589146</c:v>
                </c:pt>
                <c:pt idx="6">
                  <c:v>22.889869754222829</c:v>
                </c:pt>
                <c:pt idx="7">
                  <c:v>20.72182999685495</c:v>
                </c:pt>
                <c:pt idx="8">
                  <c:v>18.75104119251403</c:v>
                </c:pt>
                <c:pt idx="9">
                  <c:v>16.962775268879099</c:v>
                </c:pt>
                <c:pt idx="10">
                  <c:v>15.342515676537104</c:v>
                </c:pt>
                <c:pt idx="11">
                  <c:v>13.876226153903353</c:v>
                </c:pt>
                <c:pt idx="12">
                  <c:v>12.550532843273661</c:v>
                </c:pt>
                <c:pt idx="13">
                  <c:v>11.352838817514051</c:v>
                </c:pt>
                <c:pt idx="14">
                  <c:v>10.271387061679363</c:v>
                </c:pt>
                <c:pt idx="15">
                  <c:v>9.2952850391804951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D4-2D46-A9AD-6B7D7D303C69}"/>
            </c:ext>
          </c:extLst>
        </c:ser>
        <c:ser>
          <c:idx val="12"/>
          <c:order val="12"/>
          <c:tx>
            <c:strRef>
              <c:f>'PART 1'!$O$5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1'!$O$83:$O$98</c:f>
              <c:numCache>
                <c:formatCode>0.0E+00</c:formatCode>
                <c:ptCount val="16"/>
                <c:pt idx="0">
                  <c:v>41.558025255220848</c:v>
                </c:pt>
                <c:pt idx="1">
                  <c:v>38.250072082902378</c:v>
                </c:pt>
                <c:pt idx="2">
                  <c:v>35.182287140455394</c:v>
                </c:pt>
                <c:pt idx="3">
                  <c:v>32.34571117420932</c:v>
                </c:pt>
                <c:pt idx="4">
                  <c:v>29.72925709226746</c:v>
                </c:pt>
                <c:pt idx="5">
                  <c:v>27.320527784919562</c:v>
                </c:pt>
                <c:pt idx="6">
                  <c:v>25.106447357275378</c:v>
                </c:pt>
                <c:pt idx="7">
                  <c:v>23.073734482222577</c:v>
                </c:pt>
                <c:pt idx="8">
                  <c:v>21.209247081841326</c:v>
                </c:pt>
                <c:pt idx="9">
                  <c:v>19.500224955691245</c:v>
                </c:pt>
                <c:pt idx="10">
                  <c:v>17.93445319237324</c:v>
                </c:pt>
                <c:pt idx="11">
                  <c:v>16.500365226391828</c:v>
                </c:pt>
                <c:pt idx="12">
                  <c:v>15.187100718302645</c:v>
                </c:pt>
                <c:pt idx="13">
                  <c:v>13.984530238265997</c:v>
                </c:pt>
                <c:pt idx="14">
                  <c:v>12.883256065783158</c:v>
                </c:pt>
                <c:pt idx="15">
                  <c:v>11.87459625174975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D4-2D46-A9AD-6B7D7D303C69}"/>
            </c:ext>
          </c:extLst>
        </c:ser>
        <c:ser>
          <c:idx val="13"/>
          <c:order val="13"/>
          <c:tx>
            <c:strRef>
              <c:f>'PART 1'!$P$5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1'!$P$83:$P$98</c:f>
              <c:numCache>
                <c:formatCode>0.0E+00</c:formatCode>
                <c:ptCount val="16"/>
                <c:pt idx="0">
                  <c:v>42.295600762314471</c:v>
                </c:pt>
                <c:pt idx="1">
                  <c:v>39.223383449175095</c:v>
                </c:pt>
                <c:pt idx="2">
                  <c:v>36.373688717963113</c:v>
                </c:pt>
                <c:pt idx="3">
                  <c:v>33.734754946172771</c:v>
                </c:pt>
                <c:pt idx="4">
                  <c:v>31.293998884881596</c:v>
                </c:pt>
                <c:pt idx="5">
                  <c:v>29.038542558467455</c:v>
                </c:pt>
                <c:pt idx="6">
                  <c:v>26.955587771136301</c:v>
                </c:pt>
                <c:pt idx="7">
                  <c:v>25.03267411004262</c:v>
                </c:pt>
                <c:pt idx="8">
                  <c:v>23.257849443691889</c:v>
                </c:pt>
                <c:pt idx="9">
                  <c:v>21.619775694695356</c:v>
                </c:pt>
                <c:pt idx="10">
                  <c:v>20.107787442368732</c:v>
                </c:pt>
                <c:pt idx="11">
                  <c:v>18.711916698569631</c:v>
                </c:pt>
                <c:pt idx="12">
                  <c:v>17.422893888565778</c:v>
                </c:pt>
                <c:pt idx="13">
                  <c:v>16.232132508476404</c:v>
                </c:pt>
                <c:pt idx="14">
                  <c:v>15.131702974633818</c:v>
                </c:pt>
                <c:pt idx="15">
                  <c:v>14.11429969854143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D4-2D46-A9AD-6B7D7D303C69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6">
                    <a:tint val="4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6">
                    <a:tint val="5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6">
                    <a:tint val="69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6">
                    <a:tint val="81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6">
                    <a:tint val="9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6">
                    <a:shade val="9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6">
                    <a:shade val="80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6">
                    <a:shade val="6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6">
                    <a:shade val="5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6">
                    <a:shade val="42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price,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1'!$C$101:$C$116</c:f>
              <c:numCache>
                <c:formatCode>0.0E+00</c:formatCode>
                <c:ptCount val="16"/>
                <c:pt idx="0">
                  <c:v>39.900049983337496</c:v>
                </c:pt>
                <c:pt idx="1">
                  <c:v>34.900049983337496</c:v>
                </c:pt>
                <c:pt idx="2">
                  <c:v>29.900049983337496</c:v>
                </c:pt>
                <c:pt idx="3">
                  <c:v>24.900049983337496</c:v>
                </c:pt>
                <c:pt idx="4">
                  <c:v>19.900049983337908</c:v>
                </c:pt>
                <c:pt idx="5">
                  <c:v>14.90005007030922</c:v>
                </c:pt>
                <c:pt idx="6">
                  <c:v>9.9004313129682515</c:v>
                </c:pt>
                <c:pt idx="7">
                  <c:v>4.9732781314775423</c:v>
                </c:pt>
                <c:pt idx="8">
                  <c:v>1.2115385843137503</c:v>
                </c:pt>
                <c:pt idx="9">
                  <c:v>7.9911170021057742E-2</c:v>
                </c:pt>
                <c:pt idx="10">
                  <c:v>1.0772747415579292E-3</c:v>
                </c:pt>
                <c:pt idx="11">
                  <c:v>2.9829422782984717E-6</c:v>
                </c:pt>
                <c:pt idx="12">
                  <c:v>1.9090813380794334E-9</c:v>
                </c:pt>
                <c:pt idx="13">
                  <c:v>3.2671288943246999E-13</c:v>
                </c:pt>
                <c:pt idx="14">
                  <c:v>1.7261945794869909E-17</c:v>
                </c:pt>
                <c:pt idx="15">
                  <c:v>3.2143074690959387E-22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D-3742-886F-6B75397CAB18}"/>
            </c:ext>
          </c:extLst>
        </c:ser>
        <c:ser>
          <c:idx val="1"/>
          <c:order val="1"/>
          <c:tx>
            <c:strRef>
              <c:f>'PART 1'!$D$5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1'!$D$101:$D$116</c:f>
              <c:numCache>
                <c:formatCode>0.0E+00</c:formatCode>
                <c:ptCount val="16"/>
                <c:pt idx="0">
                  <c:v>39.800199866733308</c:v>
                </c:pt>
                <c:pt idx="1">
                  <c:v>34.800199866733308</c:v>
                </c:pt>
                <c:pt idx="2">
                  <c:v>29.800199866733323</c:v>
                </c:pt>
                <c:pt idx="3">
                  <c:v>24.800199866781938</c:v>
                </c:pt>
                <c:pt idx="4">
                  <c:v>19.800200153287605</c:v>
                </c:pt>
                <c:pt idx="5">
                  <c:v>14.800368076846695</c:v>
                </c:pt>
                <c:pt idx="6">
                  <c:v>9.815213952050911</c:v>
                </c:pt>
                <c:pt idx="7">
                  <c:v>5.0976417130508054</c:v>
                </c:pt>
                <c:pt idx="8">
                  <c:v>1.6840747895758739</c:v>
                </c:pt>
                <c:pt idx="9">
                  <c:v>0.29254460544719052</c:v>
                </c:pt>
                <c:pt idx="10">
                  <c:v>2.4511950560876183E-2</c:v>
                </c:pt>
                <c:pt idx="11">
                  <c:v>9.917680794726963E-4</c:v>
                </c:pt>
                <c:pt idx="12">
                  <c:v>2.0260487684788629E-5</c:v>
                </c:pt>
                <c:pt idx="13">
                  <c:v>2.2193086465835179E-7</c:v>
                </c:pt>
                <c:pt idx="14">
                  <c:v>1.3878024728161291E-9</c:v>
                </c:pt>
                <c:pt idx="15">
                  <c:v>5.2593775575019861E-12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D-3742-886F-6B75397CAB18}"/>
            </c:ext>
          </c:extLst>
        </c:ser>
        <c:ser>
          <c:idx val="2"/>
          <c:order val="2"/>
          <c:tx>
            <c:strRef>
              <c:f>'PART 1'!$E$5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1'!$E$101:$E$116</c:f>
              <c:numCache>
                <c:formatCode>0.0E+00</c:formatCode>
                <c:ptCount val="16"/>
                <c:pt idx="0">
                  <c:v>39.700449550337297</c:v>
                </c:pt>
                <c:pt idx="1">
                  <c:v>34.700449550337297</c:v>
                </c:pt>
                <c:pt idx="2">
                  <c:v>29.700449550373449</c:v>
                </c:pt>
                <c:pt idx="3">
                  <c:v>24.700449636498817</c:v>
                </c:pt>
                <c:pt idx="4">
                  <c:v>19.700481626911099</c:v>
                </c:pt>
                <c:pt idx="5">
                  <c:v>14.703065513701077</c:v>
                </c:pt>
                <c:pt idx="6">
                  <c:v>9.7625969168822309</c:v>
                </c:pt>
                <c:pt idx="7">
                  <c:v>5.253857755711465</c:v>
                </c:pt>
                <c:pt idx="8">
                  <c:v>2.0350468937264381</c:v>
                </c:pt>
                <c:pt idx="9">
                  <c:v>0.51723960074409447</c:v>
                </c:pt>
                <c:pt idx="10">
                  <c:v>8.2919396124375044E-2</c:v>
                </c:pt>
                <c:pt idx="11">
                  <c:v>8.4077460028033069E-3</c:v>
                </c:pt>
                <c:pt idx="12">
                  <c:v>5.5333929210071853E-4</c:v>
                </c:pt>
                <c:pt idx="13">
                  <c:v>2.4490079642041935E-5</c:v>
                </c:pt>
                <c:pt idx="14">
                  <c:v>7.5702301980578104E-7</c:v>
                </c:pt>
                <c:pt idx="15">
                  <c:v>1.6956156868471556E-8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D-3742-886F-6B75397CAB18}"/>
            </c:ext>
          </c:extLst>
        </c:ser>
        <c:ser>
          <c:idx val="3"/>
          <c:order val="3"/>
          <c:tx>
            <c:strRef>
              <c:f>'PART 1'!$F$5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1'!$F$101:$F$116</c:f>
              <c:numCache>
                <c:formatCode>0.0E+00</c:formatCode>
                <c:ptCount val="16"/>
                <c:pt idx="0">
                  <c:v>39.600798934399151</c:v>
                </c:pt>
                <c:pt idx="1">
                  <c:v>34.60079893440458</c:v>
                </c:pt>
                <c:pt idx="2">
                  <c:v>29.600798945378827</c:v>
                </c:pt>
                <c:pt idx="3">
                  <c:v>24.600803007807414</c:v>
                </c:pt>
                <c:pt idx="4">
                  <c:v>19.60117808762962</c:v>
                </c:pt>
                <c:pt idx="5">
                  <c:v>14.612227508739991</c:v>
                </c:pt>
                <c:pt idx="6">
                  <c:v>9.7390537101389896</c:v>
                </c:pt>
                <c:pt idx="7">
                  <c:v>5.4106269034436139</c:v>
                </c:pt>
                <c:pt idx="8">
                  <c:v>2.3231081730828365</c:v>
                </c:pt>
                <c:pt idx="9">
                  <c:v>0.7308456922069837</c:v>
                </c:pt>
                <c:pt idx="10">
                  <c:v>0.1649308463215382</c:v>
                </c:pt>
                <c:pt idx="11">
                  <c:v>2.6798907596761179E-2</c:v>
                </c:pt>
                <c:pt idx="12">
                  <c:v>3.1921467491421163E-3</c:v>
                </c:pt>
                <c:pt idx="13">
                  <c:v>2.8563010230608921E-4</c:v>
                </c:pt>
                <c:pt idx="14">
                  <c:v>1.9711022864504725E-5</c:v>
                </c:pt>
                <c:pt idx="15">
                  <c:v>1.076552477737212E-6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D-3742-886F-6B75397CAB18}"/>
            </c:ext>
          </c:extLst>
        </c:ser>
        <c:ser>
          <c:idx val="4"/>
          <c:order val="4"/>
          <c:tx>
            <c:strRef>
              <c:f>'PART 1'!$G$5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1'!$G$101:$G$116</c:f>
              <c:numCache>
                <c:formatCode>0.0E+00</c:formatCode>
                <c:ptCount val="16"/>
                <c:pt idx="0">
                  <c:v>39.50124791926855</c:v>
                </c:pt>
                <c:pt idx="1">
                  <c:v>34.501247920044065</c:v>
                </c:pt>
                <c:pt idx="2">
                  <c:v>29.501248282724944</c:v>
                </c:pt>
                <c:pt idx="3">
                  <c:v>24.501291982164716</c:v>
                </c:pt>
                <c:pt idx="4">
                  <c:v>19.503026782481484</c:v>
                </c:pt>
                <c:pt idx="5">
                  <c:v>14.530599077148182</c:v>
                </c:pt>
                <c:pt idx="6">
                  <c:v>9.7362560272149494</c:v>
                </c:pt>
                <c:pt idx="7">
                  <c:v>5.5607556785086985</c:v>
                </c:pt>
                <c:pt idx="8">
                  <c:v>2.5709784284952093</c:v>
                </c:pt>
                <c:pt idx="9">
                  <c:v>0.93026945051922638</c:v>
                </c:pt>
                <c:pt idx="10">
                  <c:v>0.26022159736075601</c:v>
                </c:pt>
                <c:pt idx="11">
                  <c:v>5.6507255614942853E-2</c:v>
                </c:pt>
                <c:pt idx="12">
                  <c:v>9.657847451463919E-3</c:v>
                </c:pt>
                <c:pt idx="13">
                  <c:v>1.3232544527960743E-3</c:v>
                </c:pt>
                <c:pt idx="14">
                  <c:v>1.4825355789362636E-4</c:v>
                </c:pt>
                <c:pt idx="15">
                  <c:v>1.3851157032460548E-5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DD-3742-886F-6B75397CAB18}"/>
            </c:ext>
          </c:extLst>
        </c:ser>
        <c:ser>
          <c:idx val="5"/>
          <c:order val="5"/>
          <c:tx>
            <c:strRef>
              <c:f>'PART 1'!$H$5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1'!$H$101:$H$116</c:f>
              <c:numCache>
                <c:formatCode>0.0E+00</c:formatCode>
                <c:ptCount val="16"/>
                <c:pt idx="0">
                  <c:v>39.401796405424967</c:v>
                </c:pt>
                <c:pt idx="1">
                  <c:v>34.40179642763438</c:v>
                </c:pt>
                <c:pt idx="2">
                  <c:v>29.401800327871101</c:v>
                </c:pt>
                <c:pt idx="3">
                  <c:v>24.402021601956605</c:v>
                </c:pt>
                <c:pt idx="4">
                  <c:v>19.406992103981736</c:v>
                </c:pt>
                <c:pt idx="5">
                  <c:v>14.458952519397272</c:v>
                </c:pt>
                <c:pt idx="6">
                  <c:v>9.747606681547353</c:v>
                </c:pt>
                <c:pt idx="7">
                  <c:v>5.7027195027466462</c:v>
                </c:pt>
                <c:pt idx="8">
                  <c:v>2.7903102028376949</c:v>
                </c:pt>
                <c:pt idx="9">
                  <c:v>1.1162138534921979</c:v>
                </c:pt>
                <c:pt idx="10">
                  <c:v>0.3624169658256946</c:v>
                </c:pt>
                <c:pt idx="11">
                  <c:v>9.5918374514022187E-2</c:v>
                </c:pt>
                <c:pt idx="12">
                  <c:v>2.0926506745643558E-2</c:v>
                </c:pt>
                <c:pt idx="13">
                  <c:v>3.8188231235884718E-3</c:v>
                </c:pt>
                <c:pt idx="14">
                  <c:v>5.9215436733729351E-4</c:v>
                </c:pt>
                <c:pt idx="15">
                  <c:v>7.9249634000782415E-5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DD-3742-886F-6B75397CAB18}"/>
            </c:ext>
          </c:extLst>
        </c:ser>
        <c:ser>
          <c:idx val="6"/>
          <c:order val="6"/>
          <c:tx>
            <c:strRef>
              <c:f>'PART 1'!$I$5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6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1'!$I$101:$I$116</c:f>
              <c:numCache>
                <c:formatCode>0.0E+00</c:formatCode>
                <c:ptCount val="16"/>
                <c:pt idx="0">
                  <c:v>39.302444294202189</c:v>
                </c:pt>
                <c:pt idx="1">
                  <c:v>34.302444545984486</c:v>
                </c:pt>
                <c:pt idx="2">
                  <c:v>29.302466447330232</c:v>
                </c:pt>
                <c:pt idx="3">
                  <c:v>24.303188985115256</c:v>
                </c:pt>
                <c:pt idx="4">
                  <c:v>19.313943071931661</c:v>
                </c:pt>
                <c:pt idx="5">
                  <c:v>14.396883831751495</c:v>
                </c:pt>
                <c:pt idx="6">
                  <c:v>9.7685527677868009</c:v>
                </c:pt>
                <c:pt idx="7">
                  <c:v>5.8365967206621008</c:v>
                </c:pt>
                <c:pt idx="8">
                  <c:v>2.9880258896325955</c:v>
                </c:pt>
                <c:pt idx="9">
                  <c:v>1.2900954135228453</c:v>
                </c:pt>
                <c:pt idx="10">
                  <c:v>0.46775608939689484</c:v>
                </c:pt>
                <c:pt idx="11">
                  <c:v>0.14303584082750653</c:v>
                </c:pt>
                <c:pt idx="12">
                  <c:v>3.7240257843432767E-2</c:v>
                </c:pt>
                <c:pt idx="13">
                  <c:v>8.3551928914935014E-3</c:v>
                </c:pt>
                <c:pt idx="14">
                  <c:v>1.6364430565782018E-3</c:v>
                </c:pt>
                <c:pt idx="15">
                  <c:v>2.8342406729021594E-4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DD-3742-886F-6B75397CAB18}"/>
            </c:ext>
          </c:extLst>
        </c:ser>
        <c:ser>
          <c:idx val="7"/>
          <c:order val="7"/>
          <c:tx>
            <c:strRef>
              <c:f>'PART 1'!$J$5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1'!$J$101:$J$116</c:f>
              <c:numCache>
                <c:formatCode>0.0E+00</c:formatCode>
                <c:ptCount val="16"/>
                <c:pt idx="0">
                  <c:v>39.20319149465741</c:v>
                </c:pt>
                <c:pt idx="1">
                  <c:v>34.203193086012533</c:v>
                </c:pt>
                <c:pt idx="2">
                  <c:v>29.203274600426724</c:v>
                </c:pt>
                <c:pt idx="3">
                  <c:v>24.20505947333362</c:v>
                </c:pt>
                <c:pt idx="4">
                  <c:v>19.224501864900489</c:v>
                </c:pt>
                <c:pt idx="5">
                  <c:v>14.343484734751669</c:v>
                </c:pt>
                <c:pt idx="6">
                  <c:v>9.7960161022369192</c:v>
                </c:pt>
                <c:pt idx="7">
                  <c:v>5.9629337779394049</c:v>
                </c:pt>
                <c:pt idx="8">
                  <c:v>3.1686359638941752</c:v>
                </c:pt>
                <c:pt idx="9">
                  <c:v>1.453329242170831</c:v>
                </c:pt>
                <c:pt idx="10">
                  <c:v>0.57400638938037751</c:v>
                </c:pt>
                <c:pt idx="11">
                  <c:v>0.19605014269072374</c:v>
                </c:pt>
                <c:pt idx="12">
                  <c:v>5.8382989360118875E-2</c:v>
                </c:pt>
                <c:pt idx="13">
                  <c:v>1.5315082594449025E-2</c:v>
                </c:pt>
                <c:pt idx="14">
                  <c:v>3.5778356429950753E-3</c:v>
                </c:pt>
                <c:pt idx="15">
                  <c:v>7.525157096023305E-4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DD-3742-886F-6B75397CAB18}"/>
            </c:ext>
          </c:extLst>
        </c:ser>
        <c:ser>
          <c:idx val="8"/>
          <c:order val="8"/>
          <c:tx>
            <c:strRef>
              <c:f>'PART 1'!$K$5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1'!$K$101:$K$116</c:f>
              <c:numCache>
                <c:formatCode>0.0E+00</c:formatCode>
                <c:ptCount val="16"/>
                <c:pt idx="0">
                  <c:v>39.104037956730181</c:v>
                </c:pt>
                <c:pt idx="1">
                  <c:v>34.104044746291706</c:v>
                </c:pt>
                <c:pt idx="2">
                  <c:v>29.104274598109797</c:v>
                </c:pt>
                <c:pt idx="3">
                  <c:v>24.107924279522408</c:v>
                </c:pt>
                <c:pt idx="4">
                  <c:v>19.139032460534324</c:v>
                </c:pt>
                <c:pt idx="5">
                  <c:v>14.297707878030494</c:v>
                </c:pt>
                <c:pt idx="6">
                  <c:v>9.8278988717903246</c:v>
                </c:pt>
                <c:pt idx="7">
                  <c:v>6.0823821658704915</c:v>
                </c:pt>
                <c:pt idx="8">
                  <c:v>3.3352735121579542</c:v>
                </c:pt>
                <c:pt idx="9">
                  <c:v>1.6071648310885749</c:v>
                </c:pt>
                <c:pt idx="10">
                  <c:v>0.67982644260731284</c:v>
                </c:pt>
                <c:pt idx="11">
                  <c:v>0.25347386505244174</c:v>
                </c:pt>
                <c:pt idx="12">
                  <c:v>8.3912381449362528E-2</c:v>
                </c:pt>
                <c:pt idx="13">
                  <c:v>2.4884698853695708E-2</c:v>
                </c:pt>
                <c:pt idx="14">
                  <c:v>6.6735018676840618E-3</c:v>
                </c:pt>
                <c:pt idx="15">
                  <c:v>1.6336712262805392E-3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DD-3742-886F-6B75397CAB18}"/>
            </c:ext>
          </c:extLst>
        </c:ser>
        <c:ser>
          <c:idx val="9"/>
          <c:order val="9"/>
          <c:tx>
            <c:strRef>
              <c:f>'PART 1'!$L$5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1'!$L$101:$L$116</c:f>
              <c:numCache>
                <c:formatCode>0.0E+00</c:formatCode>
                <c:ptCount val="16"/>
                <c:pt idx="0">
                  <c:v>39.004983768646966</c:v>
                </c:pt>
                <c:pt idx="1">
                  <c:v>34.005005716558728</c:v>
                </c:pt>
                <c:pt idx="2">
                  <c:v>29.005538173326173</c:v>
                </c:pt>
                <c:pt idx="3">
                  <c:v>24.012063242061373</c:v>
                </c:pt>
                <c:pt idx="4">
                  <c:v>19.057687820104235</c:v>
                </c:pt>
                <c:pt idx="5">
                  <c:v>14.258535302463784</c:v>
                </c:pt>
                <c:pt idx="6">
                  <c:v>9.8627494259113462</c:v>
                </c:pt>
                <c:pt idx="7">
                  <c:v>6.1955761539432217</c:v>
                </c:pt>
                <c:pt idx="8">
                  <c:v>3.4902197839388904</c:v>
                </c:pt>
                <c:pt idx="9">
                  <c:v>1.7526672505894005</c:v>
                </c:pt>
                <c:pt idx="10">
                  <c:v>0.78440558736307153</c:v>
                </c:pt>
                <c:pt idx="11">
                  <c:v>0.31412987073168885</c:v>
                </c:pt>
                <c:pt idx="12">
                  <c:v>0.11330349605475254</c:v>
                </c:pt>
                <c:pt idx="13">
                  <c:v>3.7097334911136315E-2</c:v>
                </c:pt>
                <c:pt idx="14">
                  <c:v>1.1117409518677512E-2</c:v>
                </c:pt>
                <c:pt idx="15">
                  <c:v>3.0746366610608922E-3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DD-3742-886F-6B75397CAB18}"/>
            </c:ext>
          </c:extLst>
        </c:ser>
        <c:ser>
          <c:idx val="10"/>
          <c:order val="10"/>
          <c:tx>
            <c:strRef>
              <c:f>'PART 1'!$M$5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1'!$M$101:$M$116</c:f>
              <c:numCache>
                <c:formatCode>0.0E+00</c:formatCode>
                <c:ptCount val="16"/>
                <c:pt idx="0">
                  <c:v>38.020578236828797</c:v>
                </c:pt>
                <c:pt idx="1">
                  <c:v>33.025871278562192</c:v>
                </c:pt>
                <c:pt idx="2">
                  <c:v>28.05357432037323</c:v>
                </c:pt>
                <c:pt idx="3">
                  <c:v>23.156172131639678</c:v>
                </c:pt>
                <c:pt idx="4">
                  <c:v>18.442685924128199</c:v>
                </c:pt>
                <c:pt idx="5">
                  <c:v>14.077873948522111</c:v>
                </c:pt>
                <c:pt idx="6">
                  <c:v>10.244281231183535</c:v>
                </c:pt>
                <c:pt idx="7">
                  <c:v>7.0828061686837387</c:v>
                </c:pt>
                <c:pt idx="8">
                  <c:v>4.6469453442902662</c:v>
                </c:pt>
                <c:pt idx="9">
                  <c:v>2.8947417180033668</c:v>
                </c:pt>
                <c:pt idx="10">
                  <c:v>1.7153686339891649</c:v>
                </c:pt>
                <c:pt idx="11">
                  <c:v>0.96966101332405152</c:v>
                </c:pt>
                <c:pt idx="12">
                  <c:v>0.52459623121660925</c:v>
                </c:pt>
                <c:pt idx="13">
                  <c:v>0.27258165320895511</c:v>
                </c:pt>
                <c:pt idx="14">
                  <c:v>0.13651138253945838</c:v>
                </c:pt>
                <c:pt idx="15">
                  <c:v>6.6120086303427694E-2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DD-3742-886F-6B75397CAB18}"/>
            </c:ext>
          </c:extLst>
        </c:ser>
        <c:ser>
          <c:idx val="11"/>
          <c:order val="11"/>
          <c:tx>
            <c:strRef>
              <c:f>'PART 1'!$N$5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1'!$N$101:$N$116</c:f>
              <c:numCache>
                <c:formatCode>0.0E+00</c:formatCode>
                <c:ptCount val="16"/>
                <c:pt idx="0">
                  <c:v>37.055417178443342</c:v>
                </c:pt>
                <c:pt idx="1">
                  <c:v>32.092759145354833</c:v>
                </c:pt>
                <c:pt idx="2">
                  <c:v>27.207694244613236</c:v>
                </c:pt>
                <c:pt idx="3">
                  <c:v>22.488667302132569</c:v>
                </c:pt>
                <c:pt idx="4">
                  <c:v>18.058355105208648</c:v>
                </c:pt>
                <c:pt idx="5">
                  <c:v>14.050270391899851</c:v>
                </c:pt>
                <c:pt idx="6">
                  <c:v>10.576086885954084</c:v>
                </c:pt>
                <c:pt idx="7">
                  <c:v>7.6989055078314124</c:v>
                </c:pt>
                <c:pt idx="8">
                  <c:v>5.4230218669612142</c:v>
                </c:pt>
                <c:pt idx="9">
                  <c:v>3.7010051887767723</c:v>
                </c:pt>
                <c:pt idx="10">
                  <c:v>2.4515032336468963</c:v>
                </c:pt>
                <c:pt idx="11">
                  <c:v>1.5793278310736518</c:v>
                </c:pt>
                <c:pt idx="12">
                  <c:v>0.99172013427496708</c:v>
                </c:pt>
                <c:pt idx="13">
                  <c:v>0.6083347284584697</c:v>
                </c:pt>
                <c:pt idx="14">
                  <c:v>0.3653170380993318</c:v>
                </c:pt>
                <c:pt idx="15">
                  <c:v>0.21521165050498281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2DD-3742-886F-6B75397CAB18}"/>
            </c:ext>
          </c:extLst>
        </c:ser>
        <c:ser>
          <c:idx val="12"/>
          <c:order val="12"/>
          <c:tx>
            <c:strRef>
              <c:f>'PART 1'!$O$5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1'!$O$101:$O$116</c:f>
              <c:numCache>
                <c:formatCode>0.0E+00</c:formatCode>
                <c:ptCount val="16"/>
                <c:pt idx="0">
                  <c:v>36.126141798687854</c:v>
                </c:pt>
                <c:pt idx="1">
                  <c:v>31.230055497527921</c:v>
                </c:pt>
                <c:pt idx="2">
                  <c:v>26.473897808727827</c:v>
                </c:pt>
                <c:pt idx="3">
                  <c:v>21.955792964078057</c:v>
                </c:pt>
                <c:pt idx="4">
                  <c:v>17.784517293614101</c:v>
                </c:pt>
                <c:pt idx="5">
                  <c:v>14.057496627067287</c:v>
                </c:pt>
                <c:pt idx="6">
                  <c:v>10.841383007448599</c:v>
                </c:pt>
                <c:pt idx="7">
                  <c:v>8.1618217984656312</c:v>
                </c:pt>
                <c:pt idx="8">
                  <c:v>6.0039976325067599</c:v>
                </c:pt>
                <c:pt idx="9">
                  <c:v>4.3212923502649225</c:v>
                </c:pt>
                <c:pt idx="10">
                  <c:v>3.0476219457362177</c:v>
                </c:pt>
                <c:pt idx="11">
                  <c:v>2.1094927008309092</c:v>
                </c:pt>
                <c:pt idx="12">
                  <c:v>1.4353810965419846</c:v>
                </c:pt>
                <c:pt idx="13">
                  <c:v>0.96164849673740171</c:v>
                </c:pt>
                <c:pt idx="14">
                  <c:v>0.63530669391211525</c:v>
                </c:pt>
                <c:pt idx="15">
                  <c:v>0.41446528494224211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2DD-3742-886F-6B75397CAB18}"/>
            </c:ext>
          </c:extLst>
        </c:ser>
        <c:ser>
          <c:idx val="13"/>
          <c:order val="13"/>
          <c:tx>
            <c:strRef>
              <c:f>'PART 1'!$P$5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1'!$P$101:$P$116</c:f>
              <c:numCache>
                <c:formatCode>0.0E+00</c:formatCode>
                <c:ptCount val="16"/>
                <c:pt idx="0">
                  <c:v>35.244001359256181</c:v>
                </c:pt>
                <c:pt idx="1">
                  <c:v>30.440719274471597</c:v>
                </c:pt>
                <c:pt idx="2">
                  <c:v>25.832012483304851</c:v>
                </c:pt>
                <c:pt idx="3">
                  <c:v>21.511121181629328</c:v>
                </c:pt>
                <c:pt idx="4">
                  <c:v>17.566790647397397</c:v>
                </c:pt>
                <c:pt idx="5">
                  <c:v>14.067518800386694</c:v>
                </c:pt>
                <c:pt idx="6">
                  <c:v>11.051486832721032</c:v>
                </c:pt>
                <c:pt idx="7">
                  <c:v>8.52405160290769</c:v>
                </c:pt>
                <c:pt idx="8">
                  <c:v>6.461731546526984</c:v>
                </c:pt>
                <c:pt idx="9">
                  <c:v>4.8200543922540575</c:v>
                </c:pt>
                <c:pt idx="10">
                  <c:v>3.5425039039279334</c:v>
                </c:pt>
                <c:pt idx="11">
                  <c:v>2.568537642548133</c:v>
                </c:pt>
                <c:pt idx="12">
                  <c:v>1.8396246475864722</c:v>
                </c:pt>
                <c:pt idx="13">
                  <c:v>1.303069557416265</c:v>
                </c:pt>
                <c:pt idx="14">
                  <c:v>0.91389929107108436</c:v>
                </c:pt>
                <c:pt idx="15">
                  <c:v>0.63530882412573586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2DD-3742-886F-6B75397CAB18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6">
                    <a:tint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6">
                    <a:tint val="5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6">
                    <a:tint val="7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6">
                    <a:tint val="8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6">
                    <a:shade val="8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6">
                    <a:shade val="7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6">
                    <a:shade val="5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6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Delta,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1'!$AA$5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1'!$AA$6:$AA$21</c:f>
              <c:numCache>
                <c:formatCode>0.0E+00</c:formatCode>
                <c:ptCount val="16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8-FC49-8995-8450C054A54D}"/>
            </c:ext>
          </c:extLst>
        </c:ser>
        <c:ser>
          <c:idx val="1"/>
          <c:order val="1"/>
          <c:tx>
            <c:strRef>
              <c:f>'PART 1'!$AB$5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1'!$AB$6:$AB$21</c:f>
              <c:numCache>
                <c:formatCode>0.0E+00</c:formatCode>
                <c:ptCount val="16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8-FC49-8995-8450C054A54D}"/>
            </c:ext>
          </c:extLst>
        </c:ser>
        <c:ser>
          <c:idx val="2"/>
          <c:order val="2"/>
          <c:tx>
            <c:strRef>
              <c:f>'PART 1'!$AC$5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1'!$AC$6:$AC$21</c:f>
              <c:numCache>
                <c:formatCode>0.0E+00</c:formatCode>
                <c:ptCount val="16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8-FC49-8995-8450C054A54D}"/>
            </c:ext>
          </c:extLst>
        </c:ser>
        <c:ser>
          <c:idx val="3"/>
          <c:order val="3"/>
          <c:tx>
            <c:strRef>
              <c:f>'PART 1'!$AD$5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1'!$AD$6:$AD$21</c:f>
              <c:numCache>
                <c:formatCode>0.0E+00</c:formatCode>
                <c:ptCount val="16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0.68459548536557635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8-FC49-8995-8450C054A54D}"/>
            </c:ext>
          </c:extLst>
        </c:ser>
        <c:ser>
          <c:idx val="4"/>
          <c:order val="4"/>
          <c:tx>
            <c:strRef>
              <c:f>'PART 1'!$AE$5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1'!$AE$6:$AE$21</c:f>
              <c:numCache>
                <c:formatCode>0.0E+00</c:formatCode>
                <c:ptCount val="16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F8-FC49-8995-8450C054A54D}"/>
            </c:ext>
          </c:extLst>
        </c:ser>
        <c:ser>
          <c:idx val="5"/>
          <c:order val="5"/>
          <c:tx>
            <c:strRef>
              <c:f>'PART 1'!$AF$5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1'!$AF$6:$AF$21</c:f>
              <c:numCache>
                <c:formatCode>0.0E+00</c:formatCode>
                <c:ptCount val="16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F8-FC49-8995-8450C054A54D}"/>
            </c:ext>
          </c:extLst>
        </c:ser>
        <c:ser>
          <c:idx val="6"/>
          <c:order val="6"/>
          <c:tx>
            <c:strRef>
              <c:f>'PART 1'!$AG$5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1'!$AG$6:$AG$21</c:f>
              <c:numCache>
                <c:formatCode>0.0E+00</c:formatCode>
                <c:ptCount val="16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F8-FC49-8995-8450C054A54D}"/>
            </c:ext>
          </c:extLst>
        </c:ser>
        <c:ser>
          <c:idx val="7"/>
          <c:order val="7"/>
          <c:tx>
            <c:strRef>
              <c:f>'PART 1'!$AH$5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1'!$AH$6:$AH$21</c:f>
              <c:numCache>
                <c:formatCode>0.0E+00</c:formatCode>
                <c:ptCount val="16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0.13280133237005642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F8-FC49-8995-8450C054A54D}"/>
            </c:ext>
          </c:extLst>
        </c:ser>
        <c:ser>
          <c:idx val="8"/>
          <c:order val="8"/>
          <c:tx>
            <c:strRef>
              <c:f>'PART 1'!$AI$5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1'!$AI$6:$AI$21</c:f>
              <c:numCache>
                <c:formatCode>0.0E+00</c:formatCode>
                <c:ptCount val="16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0.3398047061837523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0.65521889020886748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F8-FC49-8995-8450C054A54D}"/>
            </c:ext>
          </c:extLst>
        </c:ser>
        <c:ser>
          <c:idx val="9"/>
          <c:order val="9"/>
          <c:tx>
            <c:strRef>
              <c:f>'PART 1'!$AJ$5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1'!$AJ$6:$AJ$21</c:f>
              <c:numCache>
                <c:formatCode>0.0E+00</c:formatCode>
                <c:ptCount val="16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DF8-FC49-8995-8450C054A54D}"/>
            </c:ext>
          </c:extLst>
        </c:ser>
        <c:ser>
          <c:idx val="10"/>
          <c:order val="10"/>
          <c:tx>
            <c:strRef>
              <c:f>'PART 1'!$AK$5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1'!$AK$6:$AK$21</c:f>
              <c:numCache>
                <c:formatCode>0.0E+00</c:formatCode>
                <c:ptCount val="16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DF8-FC49-8995-8450C054A54D}"/>
            </c:ext>
          </c:extLst>
        </c:ser>
        <c:ser>
          <c:idx val="11"/>
          <c:order val="11"/>
          <c:tx>
            <c:strRef>
              <c:f>'PART 1'!$AL$5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1'!$AL$6:$AL$21</c:f>
              <c:numCache>
                <c:formatCode>0.0E+00</c:formatCode>
                <c:ptCount val="16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DF8-FC49-8995-8450C054A54D}"/>
            </c:ext>
          </c:extLst>
        </c:ser>
        <c:ser>
          <c:idx val="12"/>
          <c:order val="12"/>
          <c:tx>
            <c:strRef>
              <c:f>'PART 1'!$AM$5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1'!$AM$6:$AM$21</c:f>
              <c:numCache>
                <c:formatCode>0.0E+00</c:formatCode>
                <c:ptCount val="16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DF8-FC49-8995-8450C054A54D}"/>
            </c:ext>
          </c:extLst>
        </c:ser>
        <c:ser>
          <c:idx val="13"/>
          <c:order val="13"/>
          <c:tx>
            <c:strRef>
              <c:f>'PART 1'!$AN$5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1'!$AN$6:$AN$21</c:f>
              <c:numCache>
                <c:formatCode>0.0E+00</c:formatCode>
                <c:ptCount val="16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DF8-FC49-8995-8450C054A54D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5">
                    <a:shade val="41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5">
                    <a:shade val="5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5">
                    <a:shade val="6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5">
                    <a:shade val="7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5">
                    <a:shade val="8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5">
                    <a:tint val="89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5">
                    <a:tint val="7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5">
                    <a:tint val="6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5">
                    <a:tint val="5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5">
                    <a:tint val="4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5">
                    <a:tint val="30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5">
                    <a:tint val="19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5">
                    <a:tint val="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5">
                    <a:tint val="95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Delta,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1'!$AA$5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1'!$AA$24:$AA$39</c:f>
              <c:numCache>
                <c:formatCode>0.0E+00</c:formatCode>
                <c:ptCount val="16"/>
                <c:pt idx="0">
                  <c:v>5.0034162369055407E-8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1.4675225785184831E-3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0.71642998296826488</c:v>
                </c:pt>
                <c:pt idx="10">
                  <c:v>0.85602570106502918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D-3E45-8E9E-32079886E6D0}"/>
            </c:ext>
          </c:extLst>
        </c:ser>
        <c:ser>
          <c:idx val="1"/>
          <c:order val="1"/>
          <c:tx>
            <c:strRef>
              <c:f>'PART 1'!$AB$5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1'!$AB$24:$AB$39</c:f>
              <c:numCache>
                <c:formatCode>0.0E+00</c:formatCode>
                <c:ptCount val="16"/>
                <c:pt idx="0">
                  <c:v>9.7471862538906133E-5</c:v>
                </c:pt>
                <c:pt idx="1">
                  <c:v>8.7737836912211542E-4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0.1293739652284181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D-3E45-8E9E-32079886E6D0}"/>
            </c:ext>
          </c:extLst>
        </c:ser>
        <c:ser>
          <c:idx val="2"/>
          <c:order val="2"/>
          <c:tx>
            <c:strRef>
              <c:f>'PART 1'!$AC$5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1'!$AC$24:$AC$39</c:f>
              <c:numCache>
                <c:formatCode>0.0E+00</c:formatCode>
                <c:ptCount val="16"/>
                <c:pt idx="0">
                  <c:v>1.3132659794663289E-3</c:v>
                </c:pt>
                <c:pt idx="1">
                  <c:v>5.847011044032159E-3</c:v>
                </c:pt>
                <c:pt idx="2">
                  <c:v>1.9214994632873059E-2</c:v>
                </c:pt>
                <c:pt idx="3">
                  <c:v>4.9434506570869327E-2</c:v>
                </c:pt>
                <c:pt idx="4">
                  <c:v>0.10426956463923276</c:v>
                </c:pt>
                <c:pt idx="5">
                  <c:v>0.18709751221137344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D-3E45-8E9E-32079886E6D0}"/>
            </c:ext>
          </c:extLst>
        </c:ser>
        <c:ser>
          <c:idx val="3"/>
          <c:order val="3"/>
          <c:tx>
            <c:strRef>
              <c:f>'PART 1'!$AD$5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1'!$AD$24:$AD$39</c:f>
              <c:numCache>
                <c:formatCode>0.0E+00</c:formatCode>
                <c:ptCount val="16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8.0716619021007047E-2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0.43865142750198133</c:v>
                </c:pt>
                <c:pt idx="8">
                  <c:v>0.54615398735857779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0.90182488378357173</c:v>
                </c:pt>
                <c:pt idx="14">
                  <c:v>0.93302831921275364</c:v>
                </c:pt>
                <c:pt idx="15">
                  <c:v>0.95521216048553548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D-3E45-8E9E-32079886E6D0}"/>
            </c:ext>
          </c:extLst>
        </c:ser>
        <c:ser>
          <c:idx val="4"/>
          <c:order val="4"/>
          <c:tx>
            <c:strRef>
              <c:f>'PART 1'!$AE$5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1'!$AE$24:$AE$39</c:f>
              <c:numCache>
                <c:formatCode>0.0E+00</c:formatCode>
                <c:ptCount val="16"/>
                <c:pt idx="0">
                  <c:v>1.1350817464731676E-2</c:v>
                </c:pt>
                <c:pt idx="1">
                  <c:v>2.8644857358513225E-2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D-3E45-8E9E-32079886E6D0}"/>
            </c:ext>
          </c:extLst>
        </c:ser>
        <c:ser>
          <c:idx val="5"/>
          <c:order val="5"/>
          <c:tx>
            <c:strRef>
              <c:f>'PART 1'!$AF$5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1'!$AF$24:$AF$39</c:f>
              <c:numCache>
                <c:formatCode>0.0E+00</c:formatCode>
                <c:ptCount val="16"/>
                <c:pt idx="0">
                  <c:v>1.9879978802043376E-2</c:v>
                </c:pt>
                <c:pt idx="1">
                  <c:v>4.3468137473605249E-2</c:v>
                </c:pt>
                <c:pt idx="2">
                  <c:v>8.1828768636166921E-2</c:v>
                </c:pt>
                <c:pt idx="3">
                  <c:v>0.13654438951976758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0.46862695070489663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0.86482705141973804</c:v>
                </c:pt>
                <c:pt idx="14">
                  <c:v>0.89814375452956496</c:v>
                </c:pt>
                <c:pt idx="15">
                  <c:v>0.92413592245152854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3D-3E45-8E9E-32079886E6D0}"/>
            </c:ext>
          </c:extLst>
        </c:ser>
        <c:ser>
          <c:idx val="6"/>
          <c:order val="6"/>
          <c:tx>
            <c:strRef>
              <c:f>'PART 1'!$AG$5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1'!$AG$24:$AG$39</c:f>
              <c:numCache>
                <c:formatCode>0.0E+00</c:formatCode>
                <c:ptCount val="16"/>
                <c:pt idx="0">
                  <c:v>2.9932244764737284E-2</c:v>
                </c:pt>
                <c:pt idx="1">
                  <c:v>5.9038935425869576E-2</c:v>
                </c:pt>
                <c:pt idx="2">
                  <c:v>0.10246339188434647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0.85138984659601924</c:v>
                </c:pt>
                <c:pt idx="14">
                  <c:v>0.8846722298971994</c:v>
                </c:pt>
                <c:pt idx="15">
                  <c:v>0.91133681457196536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3D-3E45-8E9E-32079886E6D0}"/>
            </c:ext>
          </c:extLst>
        </c:ser>
        <c:ser>
          <c:idx val="7"/>
          <c:order val="7"/>
          <c:tx>
            <c:strRef>
              <c:f>'PART 1'!$AH$5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1'!$AH$24:$AH$39</c:f>
              <c:numCache>
                <c:formatCode>0.0E+00</c:formatCode>
                <c:ptCount val="16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0.18189962970104834</c:v>
                </c:pt>
                <c:pt idx="4">
                  <c:v>0.25218534923298636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0.56512589389530654</c:v>
                </c:pt>
                <c:pt idx="9">
                  <c:v>0.63525669084775638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3D-3E45-8E9E-32079886E6D0}"/>
            </c:ext>
          </c:extLst>
        </c:ser>
        <c:ser>
          <c:idx val="8"/>
          <c:order val="8"/>
          <c:tx>
            <c:strRef>
              <c:f>'PART 1'!$AI$5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1'!$AI$24:$AI$39</c:f>
              <c:numCache>
                <c:formatCode>0.0E+00</c:formatCode>
                <c:ptCount val="16"/>
                <c:pt idx="0">
                  <c:v>5.2516002614189643E-2</c:v>
                </c:pt>
                <c:pt idx="1">
                  <c:v>9.0172813400075422E-2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0.27089074616784536</c:v>
                </c:pt>
                <c:pt idx="5">
                  <c:v>0.34564389568681986</c:v>
                </c:pt>
                <c:pt idx="6">
                  <c:v>0.42219791583544131</c:v>
                </c:pt>
                <c:pt idx="7">
                  <c:v>0.49748628363861275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0.74697433142683933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3D-3E45-8E9E-32079886E6D0}"/>
            </c:ext>
          </c:extLst>
        </c:ser>
        <c:ser>
          <c:idx val="9"/>
          <c:order val="9"/>
          <c:tx>
            <c:strRef>
              <c:f>'PART 1'!$AJ$5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1'!$AJ$24:$AJ$39</c:f>
              <c:numCache>
                <c:formatCode>0.0E+00</c:formatCode>
                <c:ptCount val="16"/>
                <c:pt idx="0">
                  <c:v>6.4328563178375001E-2</c:v>
                </c:pt>
                <c:pt idx="1">
                  <c:v>0.10517388780770238</c:v>
                </c:pt>
                <c:pt idx="2">
                  <c:v>0.15730806721544691</c:v>
                </c:pt>
                <c:pt idx="3">
                  <c:v>0.21899056011833215</c:v>
                </c:pt>
                <c:pt idx="4">
                  <c:v>0.28757654881407335</c:v>
                </c:pt>
                <c:pt idx="5">
                  <c:v>0.36002333083467097</c:v>
                </c:pt>
                <c:pt idx="6">
                  <c:v>0.43334341092094797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0.82307441711333762</c:v>
                </c:pt>
                <c:pt idx="14">
                  <c:v>0.85494512380940124</c:v>
                </c:pt>
                <c:pt idx="15">
                  <c:v>0.88173051157264637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3D-3E45-8E9E-32079886E6D0}"/>
            </c:ext>
          </c:extLst>
        </c:ser>
        <c:ser>
          <c:idx val="10"/>
          <c:order val="10"/>
          <c:tx>
            <c:strRef>
              <c:f>'PART 1'!$AK$5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1'!$AK$24:$AK$39</c:f>
              <c:numCache>
                <c:formatCode>0.0E+00</c:formatCode>
                <c:ptCount val="16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0.28047924339879649</c:v>
                </c:pt>
                <c:pt idx="3">
                  <c:v>0.33768091083242541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3D-3E45-8E9E-32079886E6D0}"/>
            </c:ext>
          </c:extLst>
        </c:ser>
        <c:ser>
          <c:idx val="11"/>
          <c:order val="11"/>
          <c:tx>
            <c:strRef>
              <c:f>'PART 1'!$AL$5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1'!$AL$24:$AL$39</c:f>
              <c:numCache>
                <c:formatCode>0.0E+00</c:formatCode>
                <c:ptCount val="16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0.45545241211238541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0.74806744044833073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3D-3E45-8E9E-32079886E6D0}"/>
            </c:ext>
          </c:extLst>
        </c:ser>
        <c:ser>
          <c:idx val="12"/>
          <c:order val="12"/>
          <c:tx>
            <c:strRef>
              <c:f>'PART 1'!$AM$5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1'!$AM$24:$AM$39</c:f>
              <c:numCache>
                <c:formatCode>0.0E+00</c:formatCode>
                <c:ptCount val="16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0.40990413904026235</c:v>
                </c:pt>
                <c:pt idx="3">
                  <c:v>0.45509318992994574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0.76991671192728905</c:v>
                </c:pt>
                <c:pt idx="14">
                  <c:v>0.78928431354169604</c:v>
                </c:pt>
                <c:pt idx="15">
                  <c:v>0.80698542949219532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3D-3E45-8E9E-32079886E6D0}"/>
            </c:ext>
          </c:extLst>
        </c:ser>
        <c:ser>
          <c:idx val="13"/>
          <c:order val="13"/>
          <c:tx>
            <c:strRef>
              <c:f>'PART 1'!$AN$5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1'!$AN$24:$AN$39</c:f>
              <c:numCache>
                <c:formatCode>0.0E+00</c:formatCode>
                <c:ptCount val="16"/>
                <c:pt idx="0">
                  <c:v>0.3625886029317465</c:v>
                </c:pt>
                <c:pt idx="1">
                  <c:v>0.4081806753100849</c:v>
                </c:pt>
                <c:pt idx="2">
                  <c:v>0.45154699490085998</c:v>
                </c:pt>
                <c:pt idx="3">
                  <c:v>0.49245831881467117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0.75229664733269386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3D-3E45-8E9E-32079886E6D0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Delta,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1'!$AA$5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1'!$AA$42:$AA$57</c:f>
              <c:numCache>
                <c:formatCode>0.0E+00</c:formatCode>
                <c:ptCount val="16"/>
                <c:pt idx="0">
                  <c:v>1.152199866581175E-58</c:v>
                </c:pt>
                <c:pt idx="1">
                  <c:v>2.8126612880569749E-42</c:v>
                </c:pt>
                <c:pt idx="2">
                  <c:v>1.4260381787834196E-29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5.1107517146906892E-4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0B-4540-B1EB-59E22C066516}"/>
            </c:ext>
          </c:extLst>
        </c:ser>
        <c:ser>
          <c:idx val="1"/>
          <c:order val="1"/>
          <c:tx>
            <c:strRef>
              <c:f>'PART 1'!$AB$5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1'!$AB$42:$AB$57</c:f>
              <c:numCache>
                <c:formatCode>0.0E+00</c:formatCode>
                <c:ptCount val="16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1.8057900763335621E-4</c:v>
                </c:pt>
                <c:pt idx="6">
                  <c:v>1.1044013907594808E-2</c:v>
                </c:pt>
                <c:pt idx="7">
                  <c:v>0.14009983864577802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0B-4540-B1EB-59E22C066516}"/>
            </c:ext>
          </c:extLst>
        </c:ser>
        <c:ser>
          <c:idx val="2"/>
          <c:order val="2"/>
          <c:tx>
            <c:strRef>
              <c:f>'PART 1'!$AC$5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1'!$AC$42:$AC$57</c:f>
              <c:numCache>
                <c:formatCode>0.0E+00</c:formatCode>
                <c:ptCount val="16"/>
                <c:pt idx="0">
                  <c:v>1.1850476086013734E-20</c:v>
                </c:pt>
                <c:pt idx="1">
                  <c:v>3.5461176703588084E-15</c:v>
                </c:pt>
                <c:pt idx="2">
                  <c:v>6.3883719199083708E-11</c:v>
                </c:pt>
                <c:pt idx="3">
                  <c:v>1.1693829518833768E-7</c:v>
                </c:pt>
                <c:pt idx="4">
                  <c:v>3.2777591453569817E-5</c:v>
                </c:pt>
                <c:pt idx="5">
                  <c:v>1.9569580318317646E-3</c:v>
                </c:pt>
                <c:pt idx="6">
                  <c:v>3.2777626460408021E-2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0.83470864554501079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0.99967623132709937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0B-4540-B1EB-59E22C066516}"/>
            </c:ext>
          </c:extLst>
        </c:ser>
        <c:ser>
          <c:idx val="3"/>
          <c:order val="3"/>
          <c:tx>
            <c:strRef>
              <c:f>'PART 1'!$AD$5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1'!$AD$42:$AD$57</c:f>
              <c:numCache>
                <c:formatCode>0.0E+00</c:formatCode>
                <c:ptCount val="16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6.6658842436191712E-3</c:v>
                </c:pt>
                <c:pt idx="6">
                  <c:v>5.8088107987320343E-2</c:v>
                </c:pt>
                <c:pt idx="7">
                  <c:v>0.23694940812133697</c:v>
                </c:pt>
                <c:pt idx="8">
                  <c:v>0.53779029390666466</c:v>
                </c:pt>
                <c:pt idx="9">
                  <c:v>0.80683951354982253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0B-4540-B1EB-59E22C066516}"/>
            </c:ext>
          </c:extLst>
        </c:ser>
        <c:ser>
          <c:idx val="4"/>
          <c:order val="4"/>
          <c:tx>
            <c:strRef>
              <c:f>'PART 1'!$AE$5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1'!$AE$42:$AE$57</c:f>
              <c:numCache>
                <c:formatCode>0.0E+00</c:formatCode>
                <c:ptCount val="16"/>
                <c:pt idx="0">
                  <c:v>5.4712789718468615E-13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1.4178971876106417E-2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0.78700233026770061</c:v>
                </c:pt>
                <c:pt idx="10">
                  <c:v>0.9270206788480384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540-B1EB-59E22C066516}"/>
            </c:ext>
          </c:extLst>
        </c:ser>
        <c:ser>
          <c:idx val="5"/>
          <c:order val="5"/>
          <c:tx>
            <c:strRef>
              <c:f>'PART 1'!$AF$5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1'!$AF$42:$AF$57</c:f>
              <c:numCache>
                <c:formatCode>0.0E+00</c:formatCode>
                <c:ptCount val="16"/>
                <c:pt idx="0">
                  <c:v>4.6306900470662182E-11</c:v>
                </c:pt>
                <c:pt idx="1">
                  <c:v>2.5874472084445203E-8</c:v>
                </c:pt>
                <c:pt idx="2">
                  <c:v>3.5869233961988741E-6</c:v>
                </c:pt>
                <c:pt idx="3">
                  <c:v>1.6047856986437615E-4</c:v>
                </c:pt>
                <c:pt idx="4">
                  <c:v>2.8497945838167173E-3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0.77218677368637112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0B-4540-B1EB-59E22C066516}"/>
            </c:ext>
          </c:extLst>
        </c:ser>
        <c:ser>
          <c:idx val="6"/>
          <c:order val="6"/>
          <c:tx>
            <c:strRef>
              <c:f>'PART 1'!$AG$5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1'!$AG$42:$AG$57</c:f>
              <c:numCache>
                <c:formatCode>0.0E+00</c:formatCode>
                <c:ptCount val="16"/>
                <c:pt idx="0">
                  <c:v>1.1154484392717851E-9</c:v>
                </c:pt>
                <c:pt idx="1">
                  <c:v>2.5390046836316603E-7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0.12843922086837081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0.76073008250523411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0B-4540-B1EB-59E22C066516}"/>
            </c:ext>
          </c:extLst>
        </c:ser>
        <c:ser>
          <c:idx val="7"/>
          <c:order val="7"/>
          <c:tx>
            <c:strRef>
              <c:f>'PART 1'!$AH$5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1'!$AH$42:$AH$57</c:f>
              <c:numCache>
                <c:formatCode>0.0E+00</c:formatCode>
                <c:ptCount val="16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5.820088365787128E-5</c:v>
                </c:pt>
                <c:pt idx="3">
                  <c:v>1.0273171406440292E-3</c:v>
                </c:pt>
                <c:pt idx="4">
                  <c:v>9.1213054737095019E-3</c:v>
                </c:pt>
                <c:pt idx="5">
                  <c:v>4.6201796215212594E-2</c:v>
                </c:pt>
                <c:pt idx="6">
                  <c:v>0.14828843430084723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0.98509406838389901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0B-4540-B1EB-59E22C066516}"/>
            </c:ext>
          </c:extLst>
        </c:ser>
        <c:ser>
          <c:idx val="8"/>
          <c:order val="8"/>
          <c:tx>
            <c:strRef>
              <c:f>'PART 1'!$AI$5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1'!$AI$42:$AI$57</c:f>
              <c:numCache>
                <c:formatCode>0.0E+00</c:formatCode>
                <c:ptCount val="16"/>
                <c:pt idx="0">
                  <c:v>7.9305503738124766E-8</c:v>
                </c:pt>
                <c:pt idx="1">
                  <c:v>5.4488726576165721E-6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1.3558236229164227E-2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0B-4540-B1EB-59E22C066516}"/>
            </c:ext>
          </c:extLst>
        </c:ser>
        <c:ser>
          <c:idx val="9"/>
          <c:order val="9"/>
          <c:tx>
            <c:strRef>
              <c:f>'PART 1'!$AJ$5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1'!$AJ$42:$AJ$57</c:f>
              <c:numCache>
                <c:formatCode>0.0E+00</c:formatCode>
                <c:ptCount val="16"/>
                <c:pt idx="0">
                  <c:v>3.5564355541459722E-7</c:v>
                </c:pt>
                <c:pt idx="1">
                  <c:v>1.6064307266339651E-5</c:v>
                </c:pt>
                <c:pt idx="2">
                  <c:v>3.1686788675612499E-4</c:v>
                </c:pt>
                <c:pt idx="3">
                  <c:v>3.1973886164727121E-3</c:v>
                </c:pt>
                <c:pt idx="4">
                  <c:v>1.8697030468110401E-2</c:v>
                </c:pt>
                <c:pt idx="5">
                  <c:v>7.0080829341433393E-2</c:v>
                </c:pt>
                <c:pt idx="6">
                  <c:v>0.18310240300676622</c:v>
                </c:pt>
                <c:pt idx="7">
                  <c:v>0.35832748828828459</c:v>
                </c:pt>
                <c:pt idx="8">
                  <c:v>0.5596176923702425</c:v>
                </c:pt>
                <c:pt idx="9">
                  <c:v>0.73823114549048119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0B-4540-B1EB-59E22C066516}"/>
            </c:ext>
          </c:extLst>
        </c:ser>
        <c:ser>
          <c:idx val="10"/>
          <c:order val="10"/>
          <c:tx>
            <c:strRef>
              <c:f>'PART 1'!$AK$5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1'!$AK$42:$AK$57</c:f>
              <c:numCache>
                <c:formatCode>0.0E+00</c:formatCode>
                <c:ptCount val="16"/>
                <c:pt idx="0">
                  <c:v>3.3699015309893697E-4</c:v>
                </c:pt>
                <c:pt idx="1">
                  <c:v>2.2987314592982327E-3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8.6011681908250856E-2</c:v>
                </c:pt>
                <c:pt idx="5">
                  <c:v>0.17436633291241277</c:v>
                </c:pt>
                <c:pt idx="6">
                  <c:v>0.29705856189617313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0.96327265988008681</c:v>
                </c:pt>
                <c:pt idx="14">
                  <c:v>0.9806483495408157</c:v>
                </c:pt>
                <c:pt idx="15">
                  <c:v>0.99020716359662175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0B-4540-B1EB-59E22C066516}"/>
            </c:ext>
          </c:extLst>
        </c:ser>
        <c:ser>
          <c:idx val="11"/>
          <c:order val="11"/>
          <c:tx>
            <c:strRef>
              <c:f>'PART 1'!$AL$5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1'!$AL$42:$AL$57</c:f>
              <c:numCache>
                <c:formatCode>0.0E+00</c:formatCode>
                <c:ptCount val="16"/>
                <c:pt idx="0">
                  <c:v>3.5785417129918693E-3</c:v>
                </c:pt>
                <c:pt idx="1">
                  <c:v>1.2962990657514536E-2</c:v>
                </c:pt>
                <c:pt idx="2">
                  <c:v>3.5973278929724156E-2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0.48550787950516516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0B-4540-B1EB-59E22C066516}"/>
            </c:ext>
          </c:extLst>
        </c:ser>
        <c:ser>
          <c:idx val="12"/>
          <c:order val="12"/>
          <c:tx>
            <c:strRef>
              <c:f>'PART 1'!$AM$5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1'!$AM$42:$AM$57</c:f>
              <c:numCache>
                <c:formatCode>0.0E+00</c:formatCode>
                <c:ptCount val="16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0.70676234221741052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0B-4540-B1EB-59E22C066516}"/>
            </c:ext>
          </c:extLst>
        </c:ser>
        <c:ser>
          <c:idx val="13"/>
          <c:order val="13"/>
          <c:tx>
            <c:strRef>
              <c:f>'PART 1'!$AN$5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1'!$AN$42:$AN$57</c:f>
              <c:numCache>
                <c:formatCode>0.0E+00</c:formatCode>
                <c:ptCount val="16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0.77686562090211797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0B-4540-B1EB-59E22C066516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Delta,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1'!$AA$5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1'!$AA$65:$AA$80</c:f>
              <c:numCache>
                <c:formatCode>0.0E+00</c:formatCode>
                <c:ptCount val="16"/>
                <c:pt idx="0">
                  <c:v>-0.99999999999999956</c:v>
                </c:pt>
                <c:pt idx="1">
                  <c:v>-0.99999999999328104</c:v>
                </c:pt>
                <c:pt idx="2">
                  <c:v>-0.99999998878249752</c:v>
                </c:pt>
                <c:pt idx="3">
                  <c:v>-0.99999662175436721</c:v>
                </c:pt>
                <c:pt idx="4">
                  <c:v>-0.99975001751527426</c:v>
                </c:pt>
                <c:pt idx="5">
                  <c:v>-0.99416909186209745</c:v>
                </c:pt>
                <c:pt idx="6">
                  <c:v>-0.94721845000306515</c:v>
                </c:pt>
                <c:pt idx="7">
                  <c:v>-0.77744241537585546</c:v>
                </c:pt>
                <c:pt idx="8">
                  <c:v>-0.48108360000070371</c:v>
                </c:pt>
                <c:pt idx="9">
                  <c:v>-0.20642903973843518</c:v>
                </c:pt>
                <c:pt idx="10">
                  <c:v>-6.0042081945350878E-2</c:v>
                </c:pt>
                <c:pt idx="11">
                  <c:v>-1.1995775931455177E-2</c:v>
                </c:pt>
                <c:pt idx="12">
                  <c:v>-1.6937680607602701E-3</c:v>
                </c:pt>
                <c:pt idx="13">
                  <c:v>-1.7468373585427521E-4</c:v>
                </c:pt>
                <c:pt idx="14">
                  <c:v>-1.3596859818609808E-5</c:v>
                </c:pt>
                <c:pt idx="15">
                  <c:v>-8.2356076314127336E-7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1-7A4A-90D7-FB844C3A1EB1}"/>
            </c:ext>
          </c:extLst>
        </c:ser>
        <c:ser>
          <c:idx val="1"/>
          <c:order val="1"/>
          <c:tx>
            <c:strRef>
              <c:f>'PART 1'!$AB$5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1'!$AB$65:$AB$80</c:f>
              <c:numCache>
                <c:formatCode>0.0E+00</c:formatCode>
                <c:ptCount val="16"/>
                <c:pt idx="0">
                  <c:v>-0.99999999169868692</c:v>
                </c:pt>
                <c:pt idx="1">
                  <c:v>-0.99999897897324108</c:v>
                </c:pt>
                <c:pt idx="2">
                  <c:v>-0.99995584753698585</c:v>
                </c:pt>
                <c:pt idx="3">
                  <c:v>-0.99918169321756944</c:v>
                </c:pt>
                <c:pt idx="4">
                  <c:v>-0.99240335756181086</c:v>
                </c:pt>
                <c:pt idx="5">
                  <c:v>-0.95993522017554</c:v>
                </c:pt>
                <c:pt idx="6">
                  <c:v>-0.86669093075219805</c:v>
                </c:pt>
                <c:pt idx="7">
                  <c:v>-0.6937101065655854</c:v>
                </c:pt>
                <c:pt idx="8">
                  <c:v>-0.4732581961130774</c:v>
                </c:pt>
                <c:pt idx="9">
                  <c:v>-0.27007947091758511</c:v>
                </c:pt>
                <c:pt idx="10">
                  <c:v>-0.12867385834263267</c:v>
                </c:pt>
                <c:pt idx="11">
                  <c:v>-5.1585835851565065E-2</c:v>
                </c:pt>
                <c:pt idx="12">
                  <c:v>-1.7623946568294802E-2</c:v>
                </c:pt>
                <c:pt idx="13">
                  <c:v>-5.2050226213751216E-3</c:v>
                </c:pt>
                <c:pt idx="14">
                  <c:v>-1.3481100199207452E-3</c:v>
                </c:pt>
                <c:pt idx="15">
                  <c:v>-3.1040784564706492E-4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31-7A4A-90D7-FB844C3A1EB1}"/>
            </c:ext>
          </c:extLst>
        </c:ser>
        <c:ser>
          <c:idx val="2"/>
          <c:order val="2"/>
          <c:tx>
            <c:strRef>
              <c:f>'PART 1'!$AC$5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1'!$AC$65:$AC$80</c:f>
              <c:numCache>
                <c:formatCode>0.0E+00</c:formatCode>
                <c:ptCount val="16"/>
                <c:pt idx="0">
                  <c:v>-0.99999768643466735</c:v>
                </c:pt>
                <c:pt idx="1">
                  <c:v>-0.99994102148184927</c:v>
                </c:pt>
                <c:pt idx="2">
                  <c:v>-0.99924777425081568</c:v>
                </c:pt>
                <c:pt idx="3">
                  <c:v>-0.99452056537245881</c:v>
                </c:pt>
                <c:pt idx="4">
                  <c:v>-0.97469986071626091</c:v>
                </c:pt>
                <c:pt idx="5">
                  <c:v>-0.91945718869685844</c:v>
                </c:pt>
                <c:pt idx="6">
                  <c:v>-0.81047475187222251</c:v>
                </c:pt>
                <c:pt idx="7">
                  <c:v>-0.65028247031978481</c:v>
                </c:pt>
                <c:pt idx="8">
                  <c:v>-0.46726038328732289</c:v>
                </c:pt>
                <c:pt idx="9">
                  <c:v>-0.29890598798456547</c:v>
                </c:pt>
                <c:pt idx="10">
                  <c:v>-0.17049339258313845</c:v>
                </c:pt>
                <c:pt idx="11">
                  <c:v>-8.7231124066456167E-2</c:v>
                </c:pt>
                <c:pt idx="12">
                  <c:v>-4.0360415238651415E-2</c:v>
                </c:pt>
                <c:pt idx="13">
                  <c:v>-1.7038009338831372E-2</c:v>
                </c:pt>
                <c:pt idx="14">
                  <c:v>-6.6207821485191332E-3</c:v>
                </c:pt>
                <c:pt idx="15">
                  <c:v>-2.3882986824037555E-3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31-7A4A-90D7-FB844C3A1EB1}"/>
            </c:ext>
          </c:extLst>
        </c:ser>
        <c:ser>
          <c:idx val="3"/>
          <c:order val="3"/>
          <c:tx>
            <c:strRef>
              <c:f>'PART 1'!$AD$5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1'!$AD$65:$AD$80</c:f>
              <c:numCache>
                <c:formatCode>0.0E+00</c:formatCode>
                <c:ptCount val="16"/>
                <c:pt idx="0">
                  <c:v>-0.99995986002457549</c:v>
                </c:pt>
                <c:pt idx="1">
                  <c:v>-0.99953480118587623</c:v>
                </c:pt>
                <c:pt idx="2">
                  <c:v>-0.99678390000441497</c:v>
                </c:pt>
                <c:pt idx="3">
                  <c:v>-0.98535117473071088</c:v>
                </c:pt>
                <c:pt idx="4">
                  <c:v>-0.95246472444071939</c:v>
                </c:pt>
                <c:pt idx="5">
                  <c:v>-0.88296827878765527</c:v>
                </c:pt>
                <c:pt idx="6">
                  <c:v>-0.76976698530142718</c:v>
                </c:pt>
                <c:pt idx="7">
                  <c:v>-0.62196313433435235</c:v>
                </c:pt>
                <c:pt idx="8">
                  <c:v>-0.46220970609333534</c:v>
                </c:pt>
                <c:pt idx="9">
                  <c:v>-0.31540451463442365</c:v>
                </c:pt>
                <c:pt idx="10">
                  <c:v>-0.19811834940327067</c:v>
                </c:pt>
                <c:pt idx="11">
                  <c:v>-0.11511171694608568</c:v>
                </c:pt>
                <c:pt idx="12">
                  <c:v>-6.2238931546006571E-2</c:v>
                </c:pt>
                <c:pt idx="13">
                  <c:v>-3.1515482917612858E-2</c:v>
                </c:pt>
                <c:pt idx="14">
                  <c:v>-1.5039825106780258E-2</c:v>
                </c:pt>
                <c:pt idx="15">
                  <c:v>-6.8048459046240461E-3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31-7A4A-90D7-FB844C3A1EB1}"/>
            </c:ext>
          </c:extLst>
        </c:ser>
        <c:ser>
          <c:idx val="4"/>
          <c:order val="4"/>
          <c:tx>
            <c:strRef>
              <c:f>'PART 1'!$AE$5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1'!$AE$65:$AE$80</c:f>
              <c:numCache>
                <c:formatCode>0.0E+00</c:formatCode>
                <c:ptCount val="16"/>
                <c:pt idx="0">
                  <c:v>-0.99977256658213121</c:v>
                </c:pt>
                <c:pt idx="1">
                  <c:v>-0.99835909338440354</c:v>
                </c:pt>
                <c:pt idx="2">
                  <c:v>-0.99215411365915518</c:v>
                </c:pt>
                <c:pt idx="3">
                  <c:v>-0.9730819773171373</c:v>
                </c:pt>
                <c:pt idx="4">
                  <c:v>-0.9294621704192243</c:v>
                </c:pt>
                <c:pt idx="5">
                  <c:v>-0.8515527963544558</c:v>
                </c:pt>
                <c:pt idx="6">
                  <c:v>-0.73857075243609782</c:v>
                </c:pt>
                <c:pt idx="7">
                  <c:v>-0.60126869861810672</c:v>
                </c:pt>
                <c:pt idx="8">
                  <c:v>-0.45776498668838594</c:v>
                </c:pt>
                <c:pt idx="9">
                  <c:v>-0.32597150372142969</c:v>
                </c:pt>
                <c:pt idx="10">
                  <c:v>-0.21769227036615268</c:v>
                </c:pt>
                <c:pt idx="11">
                  <c:v>-0.1369046562965619</c:v>
                </c:pt>
                <c:pt idx="12">
                  <c:v>-8.1466598279311575E-2</c:v>
                </c:pt>
                <c:pt idx="13">
                  <c:v>-4.6097676148000866E-2</c:v>
                </c:pt>
                <c:pt idx="14">
                  <c:v>-2.4924261663526792E-2</c:v>
                </c:pt>
                <c:pt idx="15">
                  <c:v>-1.2936058934507999E-2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31-7A4A-90D7-FB844C3A1EB1}"/>
            </c:ext>
          </c:extLst>
        </c:ser>
        <c:ser>
          <c:idx val="5"/>
          <c:order val="5"/>
          <c:tx>
            <c:strRef>
              <c:f>'PART 1'!$AF$5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1'!$AF$65:$AF$80</c:f>
              <c:numCache>
                <c:formatCode>0.0E+00</c:formatCode>
                <c:ptCount val="16"/>
                <c:pt idx="0">
                  <c:v>-0.99926660684650404</c:v>
                </c:pt>
                <c:pt idx="1">
                  <c:v>-0.99614488265403034</c:v>
                </c:pt>
                <c:pt idx="2">
                  <c:v>-0.98559722139706984</c:v>
                </c:pt>
                <c:pt idx="3">
                  <c:v>-0.95913982788824037</c:v>
                </c:pt>
                <c:pt idx="4">
                  <c:v>-0.90728100884537732</c:v>
                </c:pt>
                <c:pt idx="5">
                  <c:v>-0.82455533749048882</c:v>
                </c:pt>
                <c:pt idx="6">
                  <c:v>-0.71359220714545868</c:v>
                </c:pt>
                <c:pt idx="7">
                  <c:v>-0.58508019991269511</c:v>
                </c:pt>
                <c:pt idx="8">
                  <c:v>-0.45375117893531969</c:v>
                </c:pt>
                <c:pt idx="9">
                  <c:v>-0.33318741279258823</c:v>
                </c:pt>
                <c:pt idx="10">
                  <c:v>-0.23226313823370348</c:v>
                </c:pt>
                <c:pt idx="11">
                  <c:v>-0.15425607458895985</c:v>
                </c:pt>
                <c:pt idx="12">
                  <c:v>-9.7993409558041256E-2</c:v>
                </c:pt>
                <c:pt idx="13">
                  <c:v>-5.9785719848803098E-2</c:v>
                </c:pt>
                <c:pt idx="14">
                  <c:v>-3.5167783159818167E-2</c:v>
                </c:pt>
                <c:pt idx="15">
                  <c:v>-2.0019016420614544E-2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31-7A4A-90D7-FB844C3A1EB1}"/>
            </c:ext>
          </c:extLst>
        </c:ser>
        <c:ser>
          <c:idx val="6"/>
          <c:order val="6"/>
          <c:tx>
            <c:strRef>
              <c:f>'PART 1'!$AG$5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1'!$AG$65:$AG$80</c:f>
              <c:numCache>
                <c:formatCode>0.0E+00</c:formatCode>
                <c:ptCount val="16"/>
                <c:pt idx="0">
                  <c:v>-0.99829022958946334</c:v>
                </c:pt>
                <c:pt idx="1">
                  <c:v>-0.99283576290387021</c:v>
                </c:pt>
                <c:pt idx="2">
                  <c:v>-0.97757408881603791</c:v>
                </c:pt>
                <c:pt idx="3">
                  <c:v>-0.94450176292646359</c:v>
                </c:pt>
                <c:pt idx="4">
                  <c:v>-0.88648382673497528</c:v>
                </c:pt>
                <c:pt idx="5">
                  <c:v>-0.80115036351573243</c:v>
                </c:pt>
                <c:pt idx="6">
                  <c:v>-0.69292219222946605</c:v>
                </c:pt>
                <c:pt idx="7">
                  <c:v>-0.57183075677667916</c:v>
                </c:pt>
                <c:pt idx="8">
                  <c:v>-0.45006425675703965</c:v>
                </c:pt>
                <c:pt idx="9">
                  <c:v>-0.33831140787767133</c:v>
                </c:pt>
                <c:pt idx="10">
                  <c:v>-0.2435006186136095</c:v>
                </c:pt>
                <c:pt idx="11">
                  <c:v>-0.16834237110652894</c:v>
                </c:pt>
                <c:pt idx="12">
                  <c:v>-0.11216803677626297</c:v>
                </c:pt>
                <c:pt idx="13">
                  <c:v>-7.2277491513736081E-2</c:v>
                </c:pt>
                <c:pt idx="14">
                  <c:v>-4.5187263769139729E-2</c:v>
                </c:pt>
                <c:pt idx="15">
                  <c:v>-2.7494256589391308E-2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31-7A4A-90D7-FB844C3A1EB1}"/>
            </c:ext>
          </c:extLst>
        </c:ser>
        <c:ser>
          <c:idx val="7"/>
          <c:order val="7"/>
          <c:tx>
            <c:strRef>
              <c:f>'PART 1'!$AH$5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1'!$AH$65:$AH$80</c:f>
              <c:numCache>
                <c:formatCode>0.0E+00</c:formatCode>
                <c:ptCount val="16"/>
                <c:pt idx="0">
                  <c:v>-0.99675007087750611</c:v>
                </c:pt>
                <c:pt idx="1">
                  <c:v>-0.98851657476804122</c:v>
                </c:pt>
                <c:pt idx="2">
                  <c:v>-0.96853667944616317</c:v>
                </c:pt>
                <c:pt idx="3">
                  <c:v>-0.92976291941623557</c:v>
                </c:pt>
                <c:pt idx="4">
                  <c:v>-0.86719866762994358</c:v>
                </c:pt>
                <c:pt idx="5">
                  <c:v>-0.78063641017552954</c:v>
                </c:pt>
                <c:pt idx="6">
                  <c:v>-0.67538030929215342</c:v>
                </c:pt>
                <c:pt idx="7">
                  <c:v>-0.56063294575822775</c:v>
                </c:pt>
                <c:pt idx="8">
                  <c:v>-0.44663641507110596</c:v>
                </c:pt>
                <c:pt idx="9">
                  <c:v>-0.34203727030691766</c:v>
                </c:pt>
                <c:pt idx="10">
                  <c:v>-0.25239750657251647</c:v>
                </c:pt>
                <c:pt idx="11">
                  <c:v>-0.17997586012231237</c:v>
                </c:pt>
                <c:pt idx="12">
                  <c:v>-0.12437874850463737</c:v>
                </c:pt>
                <c:pt idx="13">
                  <c:v>-8.3551201402274566E-2</c:v>
                </c:pt>
                <c:pt idx="14">
                  <c:v>-5.4707853004439699E-2</c:v>
                </c:pt>
                <c:pt idx="15">
                  <c:v>-3.5008571780824504E-2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31-7A4A-90D7-FB844C3A1EB1}"/>
            </c:ext>
          </c:extLst>
        </c:ser>
        <c:ser>
          <c:idx val="8"/>
          <c:order val="8"/>
          <c:tx>
            <c:strRef>
              <c:f>'PART 1'!$AI$5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1'!$AI$65:$AI$80</c:f>
              <c:numCache>
                <c:formatCode>0.0E+00</c:formatCode>
                <c:ptCount val="16"/>
                <c:pt idx="0">
                  <c:v>-0.99461362130869291</c:v>
                </c:pt>
                <c:pt idx="1">
                  <c:v>-0.9833365493457592</c:v>
                </c:pt>
                <c:pt idx="2">
                  <c:v>-0.95885400744147464</c:v>
                </c:pt>
                <c:pt idx="3">
                  <c:v>-0.91526598820601524</c:v>
                </c:pt>
                <c:pt idx="4">
                  <c:v>-0.8493775152454146</c:v>
                </c:pt>
                <c:pt idx="5">
                  <c:v>-0.76246291657331267</c:v>
                </c:pt>
                <c:pt idx="6">
                  <c:v>-0.66019529381624764</c:v>
                </c:pt>
                <c:pt idx="7">
                  <c:v>-0.55094011572048185</c:v>
                </c:pt>
                <c:pt idx="8">
                  <c:v>-0.44342053804454018</c:v>
                </c:pt>
                <c:pt idx="9">
                  <c:v>-0.34478110979113252</c:v>
                </c:pt>
                <c:pt idx="10">
                  <c:v>-0.25958308974686217</c:v>
                </c:pt>
                <c:pt idx="11">
                  <c:v>-0.18972433093783714</c:v>
                </c:pt>
                <c:pt idx="12">
                  <c:v>-0.13496549959519877</c:v>
                </c:pt>
                <c:pt idx="13">
                  <c:v>-9.3689528830588564E-2</c:v>
                </c:pt>
                <c:pt idx="14">
                  <c:v>-6.3619125849340485E-2</c:v>
                </c:pt>
                <c:pt idx="15">
                  <c:v>-4.2354591752513771E-2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31-7A4A-90D7-FB844C3A1EB1}"/>
            </c:ext>
          </c:extLst>
        </c:ser>
        <c:ser>
          <c:idx val="9"/>
          <c:order val="9"/>
          <c:tx>
            <c:strRef>
              <c:f>'PART 1'!$AJ$5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1'!$AJ$65:$AJ$80</c:f>
              <c:numCache>
                <c:formatCode>0.0E+00</c:formatCode>
                <c:ptCount val="16"/>
                <c:pt idx="0">
                  <c:v>-0.9918944546456071</c:v>
                </c:pt>
                <c:pt idx="1">
                  <c:v>-0.97746039429844445</c:v>
                </c:pt>
                <c:pt idx="2">
                  <c:v>-0.94880489471011198</c:v>
                </c:pt>
                <c:pt idx="3">
                  <c:v>-0.9011984232382525</c:v>
                </c:pt>
                <c:pt idx="4">
                  <c:v>-0.83290728409305781</c:v>
                </c:pt>
                <c:pt idx="5">
                  <c:v>-0.7462049004262935</c:v>
                </c:pt>
                <c:pt idx="6">
                  <c:v>-0.64683983773027076</c:v>
                </c:pt>
                <c:pt idx="7">
                  <c:v>-0.54239387215072843</c:v>
                </c:pt>
                <c:pt idx="8">
                  <c:v>-0.4403823076297575</c:v>
                </c:pt>
                <c:pt idx="9">
                  <c:v>-0.34680867419920269</c:v>
                </c:pt>
                <c:pt idx="10">
                  <c:v>-0.26547683131082922</c:v>
                </c:pt>
                <c:pt idx="11">
                  <c:v>-0.19799359259378047</c:v>
                </c:pt>
                <c:pt idx="12">
                  <c:v>-0.14420688925670178</c:v>
                </c:pt>
                <c:pt idx="13">
                  <c:v>-0.10280707440266668</c:v>
                </c:pt>
                <c:pt idx="14">
                  <c:v>-7.1895089760057207E-2</c:v>
                </c:pt>
                <c:pt idx="15">
                  <c:v>-4.9418010408147417E-2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31-7A4A-90D7-FB844C3A1EB1}"/>
            </c:ext>
          </c:extLst>
        </c:ser>
        <c:ser>
          <c:idx val="10"/>
          <c:order val="10"/>
          <c:tx>
            <c:strRef>
              <c:f>'PART 1'!$AK$5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1'!$AK$65:$AK$80</c:f>
              <c:numCache>
                <c:formatCode>0.0E+00</c:formatCode>
                <c:ptCount val="16"/>
                <c:pt idx="0">
                  <c:v>-0.94452182202059942</c:v>
                </c:pt>
                <c:pt idx="1">
                  <c:v>-0.90505685531529534</c:v>
                </c:pt>
                <c:pt idx="2">
                  <c:v>-0.85288892223498691</c:v>
                </c:pt>
                <c:pt idx="3">
                  <c:v>-0.78958372202412042</c:v>
                </c:pt>
                <c:pt idx="4">
                  <c:v>-0.7179625656379226</c:v>
                </c:pt>
                <c:pt idx="5">
                  <c:v>-0.64149552812518496</c:v>
                </c:pt>
                <c:pt idx="6">
                  <c:v>-0.56370662389654669</c:v>
                </c:pt>
                <c:pt idx="7">
                  <c:v>-0.48772135767095182</c:v>
                </c:pt>
                <c:pt idx="8">
                  <c:v>-0.41600201428631822</c:v>
                </c:pt>
                <c:pt idx="9">
                  <c:v>-0.35025529522042032</c:v>
                </c:pt>
                <c:pt idx="10">
                  <c:v>-0.2914669006454369</c:v>
                </c:pt>
                <c:pt idx="11">
                  <c:v>-0.24001164001031328</c:v>
                </c:pt>
                <c:pt idx="12">
                  <c:v>-0.19579537926180235</c:v>
                </c:pt>
                <c:pt idx="13">
                  <c:v>-0.15839802446828499</c:v>
                </c:pt>
                <c:pt idx="14">
                  <c:v>-0.12719944668745575</c:v>
                </c:pt>
                <c:pt idx="15">
                  <c:v>-0.10148028157804423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731-7A4A-90D7-FB844C3A1EB1}"/>
            </c:ext>
          </c:extLst>
        </c:ser>
        <c:ser>
          <c:idx val="11"/>
          <c:order val="11"/>
          <c:tx>
            <c:strRef>
              <c:f>'PART 1'!$AL$5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1'!$AL$65:$AL$80</c:f>
              <c:numCache>
                <c:formatCode>0.0E+00</c:formatCode>
                <c:ptCount val="16"/>
                <c:pt idx="0">
                  <c:v>-0.88778242147662834</c:v>
                </c:pt>
                <c:pt idx="1">
                  <c:v>-0.83738213822355212</c:v>
                </c:pt>
                <c:pt idx="2">
                  <c:v>-0.77929792459466751</c:v>
                </c:pt>
                <c:pt idx="3">
                  <c:v>-0.7158845880678294</c:v>
                </c:pt>
                <c:pt idx="4">
                  <c:v>-0.64964133490352116</c:v>
                </c:pt>
                <c:pt idx="5">
                  <c:v>-0.58291019299022284</c:v>
                </c:pt>
                <c:pt idx="6">
                  <c:v>-0.51768409900435353</c:v>
                </c:pt>
                <c:pt idx="7">
                  <c:v>-0.45551611552615734</c:v>
                </c:pt>
                <c:pt idx="8">
                  <c:v>-0.39750608598211901</c:v>
                </c:pt>
                <c:pt idx="9">
                  <c:v>-0.3443379223573686</c:v>
                </c:pt>
                <c:pt idx="10">
                  <c:v>-0.29634414861059299</c:v>
                </c:pt>
                <c:pt idx="11">
                  <c:v>-0.25358023320856948</c:v>
                </c:pt>
                <c:pt idx="12">
                  <c:v>-0.21589724078774752</c:v>
                </c:pt>
                <c:pt idx="13">
                  <c:v>-0.18300629935642132</c:v>
                </c:pt>
                <c:pt idx="14">
                  <c:v>-0.15453199824934205</c:v>
                </c:pt>
                <c:pt idx="15">
                  <c:v>-0.13005419969363385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731-7A4A-90D7-FB844C3A1EB1}"/>
            </c:ext>
          </c:extLst>
        </c:ser>
        <c:ser>
          <c:idx val="12"/>
          <c:order val="12"/>
          <c:tx>
            <c:strRef>
              <c:f>'PART 1'!$AM$5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1'!$AM$65:$AM$80</c:f>
              <c:numCache>
                <c:formatCode>0.0E+00</c:formatCode>
                <c:ptCount val="16"/>
                <c:pt idx="0">
                  <c:v>-0.83573128027159116</c:v>
                </c:pt>
                <c:pt idx="1">
                  <c:v>-0.78140801553503314</c:v>
                </c:pt>
                <c:pt idx="2">
                  <c:v>-0.72297001881272516</c:v>
                </c:pt>
                <c:pt idx="3">
                  <c:v>-0.66246690705453493</c:v>
                </c:pt>
                <c:pt idx="4">
                  <c:v>-0.60174208889703951</c:v>
                </c:pt>
                <c:pt idx="5">
                  <c:v>-0.54232677254784156</c:v>
                </c:pt>
                <c:pt idx="6">
                  <c:v>-0.48540248571576572</c:v>
                </c:pt>
                <c:pt idx="7">
                  <c:v>-0.43181044779477695</c:v>
                </c:pt>
                <c:pt idx="8">
                  <c:v>-0.38208857781104733</c:v>
                </c:pt>
                <c:pt idx="9">
                  <c:v>-0.33652148286606043</c:v>
                </c:pt>
                <c:pt idx="10">
                  <c:v>-0.29519344894865263</c:v>
                </c:pt>
                <c:pt idx="11">
                  <c:v>-0.25803836305997996</c:v>
                </c:pt>
                <c:pt idx="12">
                  <c:v>-0.22488339146361092</c:v>
                </c:pt>
                <c:pt idx="13">
                  <c:v>-0.19548519667211639</c:v>
                </c:pt>
                <c:pt idx="14">
                  <c:v>-0.16955868613384428</c:v>
                </c:pt>
                <c:pt idx="15">
                  <c:v>-0.14679895478660199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731-7A4A-90D7-FB844C3A1EB1}"/>
            </c:ext>
          </c:extLst>
        </c:ser>
        <c:ser>
          <c:idx val="13"/>
          <c:order val="13"/>
          <c:tx>
            <c:strRef>
              <c:f>'PART 1'!$AN$5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1'!$AN$65:$AN$80</c:f>
              <c:numCache>
                <c:formatCode>0.0E+00</c:formatCode>
                <c:ptCount val="16"/>
                <c:pt idx="0">
                  <c:v>-0.79011796313899829</c:v>
                </c:pt>
                <c:pt idx="1">
                  <c:v>-0.73494879354496201</c:v>
                </c:pt>
                <c:pt idx="2">
                  <c:v>-0.67800925822604985</c:v>
                </c:pt>
                <c:pt idx="3">
                  <c:v>-0.62090803102434033</c:v>
                </c:pt>
                <c:pt idx="4">
                  <c:v>-0.5649588516263524</c:v>
                </c:pt>
                <c:pt idx="5">
                  <c:v>-0.51116620365399934</c:v>
                </c:pt>
                <c:pt idx="6">
                  <c:v>-0.46024483687683237</c:v>
                </c:pt>
                <c:pt idx="7">
                  <c:v>-0.41265721312345893</c:v>
                </c:pt>
                <c:pt idx="8">
                  <c:v>-0.36865783860820911</c:v>
                </c:pt>
                <c:pt idx="9">
                  <c:v>-0.32833755733835912</c:v>
                </c:pt>
                <c:pt idx="10">
                  <c:v>-0.29166393636753718</c:v>
                </c:pt>
                <c:pt idx="11">
                  <c:v>-0.25851595379743597</c:v>
                </c:pt>
                <c:pt idx="12">
                  <c:v>-0.22871250967264012</c:v>
                </c:pt>
                <c:pt idx="13">
                  <c:v>-0.20203503441308623</c:v>
                </c:pt>
                <c:pt idx="14">
                  <c:v>-0.17824485149296021</c:v>
                </c:pt>
                <c:pt idx="15">
                  <c:v>-0.1570960983419486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731-7A4A-90D7-FB844C3A1EB1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Delta,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1'!$AA$5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1'!$AA$83:$AA$98</c:f>
              <c:numCache>
                <c:formatCode>0.0E+00</c:formatCode>
                <c:ptCount val="16"/>
                <c:pt idx="0">
                  <c:v>-0.99999994996583763</c:v>
                </c:pt>
                <c:pt idx="1">
                  <c:v>-0.99999631780591081</c:v>
                </c:pt>
                <c:pt idx="2">
                  <c:v>-0.99989292389718487</c:v>
                </c:pt>
                <c:pt idx="3">
                  <c:v>-0.99853247742148155</c:v>
                </c:pt>
                <c:pt idx="4">
                  <c:v>-0.98910947326415422</c:v>
                </c:pt>
                <c:pt idx="5">
                  <c:v>-0.95105041176998162</c:v>
                </c:pt>
                <c:pt idx="6">
                  <c:v>-0.85374292440200006</c:v>
                </c:pt>
                <c:pt idx="7">
                  <c:v>-0.68534693429781512</c:v>
                </c:pt>
                <c:pt idx="8">
                  <c:v>-0.47688423504863664</c:v>
                </c:pt>
                <c:pt idx="9">
                  <c:v>-0.28357001703173512</c:v>
                </c:pt>
                <c:pt idx="10">
                  <c:v>-0.14397429893497082</c:v>
                </c:pt>
                <c:pt idx="11">
                  <c:v>-6.2860563865533403E-2</c:v>
                </c:pt>
                <c:pt idx="12">
                  <c:v>-2.3862270071094094E-2</c:v>
                </c:pt>
                <c:pt idx="13">
                  <c:v>-7.9737541258025901E-3</c:v>
                </c:pt>
                <c:pt idx="14">
                  <c:v>-2.3748452032597012E-3</c:v>
                </c:pt>
                <c:pt idx="15">
                  <c:v>-6.3792946107255055E-4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F-594A-B126-40538A8AF21C}"/>
            </c:ext>
          </c:extLst>
        </c:ser>
        <c:ser>
          <c:idx val="1"/>
          <c:order val="1"/>
          <c:tx>
            <c:strRef>
              <c:f>'PART 1'!$AB$5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1'!$AB$83:$AB$98</c:f>
              <c:numCache>
                <c:formatCode>0.0E+00</c:formatCode>
                <c:ptCount val="16"/>
                <c:pt idx="0">
                  <c:v>-0.99990252813746106</c:v>
                </c:pt>
                <c:pt idx="1">
                  <c:v>-0.99912262163087784</c:v>
                </c:pt>
                <c:pt idx="2">
                  <c:v>-0.99500981832634638</c:v>
                </c:pt>
                <c:pt idx="3">
                  <c:v>-0.98040881029842508</c:v>
                </c:pt>
                <c:pt idx="4">
                  <c:v>-0.94308666201370861</c:v>
                </c:pt>
                <c:pt idx="5">
                  <c:v>-0.87062603477158196</c:v>
                </c:pt>
                <c:pt idx="6">
                  <c:v>-0.75907237290923424</c:v>
                </c:pt>
                <c:pt idx="7">
                  <c:v>-0.6180366959210446</c:v>
                </c:pt>
                <c:pt idx="8">
                  <c:v>-0.46732766707817819</c:v>
                </c:pt>
                <c:pt idx="9">
                  <c:v>-0.32792519835401701</c:v>
                </c:pt>
                <c:pt idx="10">
                  <c:v>-0.21406685945973947</c:v>
                </c:pt>
                <c:pt idx="11">
                  <c:v>-0.13056736333207186</c:v>
                </c:pt>
                <c:pt idx="12">
                  <c:v>-7.4801691829901373E-2</c:v>
                </c:pt>
                <c:pt idx="13">
                  <c:v>-4.0474770416252692E-2</c:v>
                </c:pt>
                <c:pt idx="14">
                  <c:v>-2.0798132697888772E-2</c:v>
                </c:pt>
                <c:pt idx="15">
                  <c:v>-1.0201945596281514E-2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F-594A-B126-40538A8AF21C}"/>
            </c:ext>
          </c:extLst>
        </c:ser>
        <c:ser>
          <c:idx val="2"/>
          <c:order val="2"/>
          <c:tx>
            <c:strRef>
              <c:f>'PART 1'!$AC$5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1'!$AC$83:$AC$98</c:f>
              <c:numCache>
                <c:formatCode>0.0E+00</c:formatCode>
                <c:ptCount val="16"/>
                <c:pt idx="0">
                  <c:v>-0.99868673402053365</c:v>
                </c:pt>
                <c:pt idx="1">
                  <c:v>-0.99415298895596782</c:v>
                </c:pt>
                <c:pt idx="2">
                  <c:v>-0.98078500536712698</c:v>
                </c:pt>
                <c:pt idx="3">
                  <c:v>-0.95056549342913066</c:v>
                </c:pt>
                <c:pt idx="4">
                  <c:v>-0.89573043536076724</c:v>
                </c:pt>
                <c:pt idx="5">
                  <c:v>-0.81290248778862662</c:v>
                </c:pt>
                <c:pt idx="6">
                  <c:v>-0.70567310001943828</c:v>
                </c:pt>
                <c:pt idx="7">
                  <c:v>-0.58384710662090655</c:v>
                </c:pt>
                <c:pt idx="8">
                  <c:v>-0.46000711241294456</c:v>
                </c:pt>
                <c:pt idx="9">
                  <c:v>-0.34555716588791241</c:v>
                </c:pt>
                <c:pt idx="10">
                  <c:v>-0.24810817610949054</c:v>
                </c:pt>
                <c:pt idx="11">
                  <c:v>-0.17080729051251253</c:v>
                </c:pt>
                <c:pt idx="12">
                  <c:v>-0.11314146829123639</c:v>
                </c:pt>
                <c:pt idx="13">
                  <c:v>-7.236182589639506E-2</c:v>
                </c:pt>
                <c:pt idx="14">
                  <c:v>-4.4837567406159407E-2</c:v>
                </c:pt>
                <c:pt idx="15">
                  <c:v>-2.7002641924538051E-2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3F-594A-B126-40538A8AF21C}"/>
            </c:ext>
          </c:extLst>
        </c:ser>
        <c:ser>
          <c:idx val="3"/>
          <c:order val="3"/>
          <c:tx>
            <c:strRef>
              <c:f>'PART 1'!$AD$5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1'!$AD$83:$AD$98</c:f>
              <c:numCache>
                <c:formatCode>0.0E+00</c:formatCode>
                <c:ptCount val="16"/>
                <c:pt idx="0">
                  <c:v>-0.99500733996609969</c:v>
                </c:pt>
                <c:pt idx="1">
                  <c:v>-0.98439853521310394</c:v>
                </c:pt>
                <c:pt idx="2">
                  <c:v>-0.96112490376939341</c:v>
                </c:pt>
                <c:pt idx="3">
                  <c:v>-0.91928338097899298</c:v>
                </c:pt>
                <c:pt idx="4">
                  <c:v>-0.85545490352774345</c:v>
                </c:pt>
                <c:pt idx="5">
                  <c:v>-0.77053193108328744</c:v>
                </c:pt>
                <c:pt idx="6">
                  <c:v>-0.66979547949050677</c:v>
                </c:pt>
                <c:pt idx="7">
                  <c:v>-0.56134857249801873</c:v>
                </c:pt>
                <c:pt idx="8">
                  <c:v>-0.45384601264142221</c:v>
                </c:pt>
                <c:pt idx="9">
                  <c:v>-0.35453815378573783</c:v>
                </c:pt>
                <c:pt idx="10">
                  <c:v>-0.2681957426118291</c:v>
                </c:pt>
                <c:pt idx="11">
                  <c:v>-0.19695159463482959</c:v>
                </c:pt>
                <c:pt idx="12">
                  <c:v>-0.14076936184194067</c:v>
                </c:pt>
                <c:pt idx="13">
                  <c:v>-9.8175116216428271E-2</c:v>
                </c:pt>
                <c:pt idx="14">
                  <c:v>-6.6971680787246357E-2</c:v>
                </c:pt>
                <c:pt idx="15">
                  <c:v>-4.4787839514464522E-2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3F-594A-B126-40538A8AF21C}"/>
            </c:ext>
          </c:extLst>
        </c:ser>
        <c:ser>
          <c:idx val="4"/>
          <c:order val="4"/>
          <c:tx>
            <c:strRef>
              <c:f>'PART 1'!$AE$5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1'!$AE$83:$AE$98</c:f>
              <c:numCache>
                <c:formatCode>0.0E+00</c:formatCode>
                <c:ptCount val="16"/>
                <c:pt idx="0">
                  <c:v>-0.98864918253526834</c:v>
                </c:pt>
                <c:pt idx="1">
                  <c:v>-0.97135514264148681</c:v>
                </c:pt>
                <c:pt idx="2">
                  <c:v>-0.93963844251047635</c:v>
                </c:pt>
                <c:pt idx="3">
                  <c:v>-0.88999660249603174</c:v>
                </c:pt>
                <c:pt idx="4">
                  <c:v>-0.82180678459839196</c:v>
                </c:pt>
                <c:pt idx="5">
                  <c:v>-0.73776993263156676</c:v>
                </c:pt>
                <c:pt idx="6">
                  <c:v>-0.64320465993398146</c:v>
                </c:pt>
                <c:pt idx="7">
                  <c:v>-0.54465278448532417</c:v>
                </c:pt>
                <c:pt idx="8">
                  <c:v>-0.44842711362451881</c:v>
                </c:pt>
                <c:pt idx="9">
                  <c:v>-0.35955994735600627</c:v>
                </c:pt>
                <c:pt idx="10">
                  <c:v>-0.28131727903685144</c:v>
                </c:pt>
                <c:pt idx="11">
                  <c:v>-0.21520789168988552</c:v>
                </c:pt>
                <c:pt idx="12">
                  <c:v>-0.16130507751855228</c:v>
                </c:pt>
                <c:pt idx="13">
                  <c:v>-0.1186931376101773</c:v>
                </c:pt>
                <c:pt idx="14">
                  <c:v>-8.5901509738383175E-2</c:v>
                </c:pt>
                <c:pt idx="15">
                  <c:v>-6.1252647423470141E-2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3F-594A-B126-40538A8AF21C}"/>
            </c:ext>
          </c:extLst>
        </c:ser>
        <c:ser>
          <c:idx val="5"/>
          <c:order val="5"/>
          <c:tx>
            <c:strRef>
              <c:f>'PART 1'!$AF$5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1'!$AF$83:$AF$98</c:f>
              <c:numCache>
                <c:formatCode>0.0E+00</c:formatCode>
                <c:ptCount val="16"/>
                <c:pt idx="0">
                  <c:v>-0.9801200211979566</c:v>
                </c:pt>
                <c:pt idx="1">
                  <c:v>-0.95653186252639477</c:v>
                </c:pt>
                <c:pt idx="2">
                  <c:v>-0.91817123136383305</c:v>
                </c:pt>
                <c:pt idx="3">
                  <c:v>-0.86345561048023245</c:v>
                </c:pt>
                <c:pt idx="4">
                  <c:v>-0.79339207963546399</c:v>
                </c:pt>
                <c:pt idx="5">
                  <c:v>-0.71135950475813281</c:v>
                </c:pt>
                <c:pt idx="6">
                  <c:v>-0.62224795286560064</c:v>
                </c:pt>
                <c:pt idx="7">
                  <c:v>-0.53137304929510343</c:v>
                </c:pt>
                <c:pt idx="8">
                  <c:v>-0.44353629460817168</c:v>
                </c:pt>
                <c:pt idx="9">
                  <c:v>-0.3624308207054423</c:v>
                </c:pt>
                <c:pt idx="10">
                  <c:v>-0.29041967693435344</c:v>
                </c:pt>
                <c:pt idx="11">
                  <c:v>-0.22860493515588864</c:v>
                </c:pt>
                <c:pt idx="12">
                  <c:v>-0.17706804981193724</c:v>
                </c:pt>
                <c:pt idx="13">
                  <c:v>-0.13517294858026196</c:v>
                </c:pt>
                <c:pt idx="14">
                  <c:v>-0.10185624547043504</c:v>
                </c:pt>
                <c:pt idx="15">
                  <c:v>-7.5864077548471465E-2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3F-594A-B126-40538A8AF21C}"/>
            </c:ext>
          </c:extLst>
        </c:ser>
        <c:ser>
          <c:idx val="6"/>
          <c:order val="6"/>
          <c:tx>
            <c:strRef>
              <c:f>'PART 1'!$AG$5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1'!$AG$83:$AG$98</c:f>
              <c:numCache>
                <c:formatCode>0.0E+00</c:formatCode>
                <c:ptCount val="16"/>
                <c:pt idx="0">
                  <c:v>-0.97006775523526267</c:v>
                </c:pt>
                <c:pt idx="1">
                  <c:v>-0.94096106457413042</c:v>
                </c:pt>
                <c:pt idx="2">
                  <c:v>-0.8975366081156535</c:v>
                </c:pt>
                <c:pt idx="3">
                  <c:v>-0.83958778898814013</c:v>
                </c:pt>
                <c:pt idx="4">
                  <c:v>-0.76902433777372758</c:v>
                </c:pt>
                <c:pt idx="5">
                  <c:v>-0.68938336584831517</c:v>
                </c:pt>
                <c:pt idx="6">
                  <c:v>-0.60502620477444458</c:v>
                </c:pt>
                <c:pt idx="7">
                  <c:v>-0.5203251694133888</c:v>
                </c:pt>
                <c:pt idx="8">
                  <c:v>-0.43904628326616701</c:v>
                </c:pt>
                <c:pt idx="9">
                  <c:v>-0.36400558258912941</c:v>
                </c:pt>
                <c:pt idx="10">
                  <c:v>-0.29697784742910749</c:v>
                </c:pt>
                <c:pt idx="11">
                  <c:v>-0.23878616098400873</c:v>
                </c:pt>
                <c:pt idx="12">
                  <c:v>-0.18949083797813837</c:v>
                </c:pt>
                <c:pt idx="13">
                  <c:v>-0.14861015340398076</c:v>
                </c:pt>
                <c:pt idx="14">
                  <c:v>-0.1153277701028006</c:v>
                </c:pt>
                <c:pt idx="15">
                  <c:v>-8.8663185428034641E-2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3F-594A-B126-40538A8AF21C}"/>
            </c:ext>
          </c:extLst>
        </c:ser>
        <c:ser>
          <c:idx val="7"/>
          <c:order val="7"/>
          <c:tx>
            <c:strRef>
              <c:f>'PART 1'!$AH$5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1'!$AH$83:$AH$98</c:f>
              <c:numCache>
                <c:formatCode>0.0E+00</c:formatCode>
                <c:ptCount val="16"/>
                <c:pt idx="0">
                  <c:v>-0.95904909766423552</c:v>
                </c:pt>
                <c:pt idx="1">
                  <c:v>-0.92527188397817484</c:v>
                </c:pt>
                <c:pt idx="2">
                  <c:v>-0.87804528554403938</c:v>
                </c:pt>
                <c:pt idx="3">
                  <c:v>-0.81810037029895166</c:v>
                </c:pt>
                <c:pt idx="4">
                  <c:v>-0.74781465076701359</c:v>
                </c:pt>
                <c:pt idx="5">
                  <c:v>-0.67064466370442455</c:v>
                </c:pt>
                <c:pt idx="6">
                  <c:v>-0.59044006826425854</c:v>
                </c:pt>
                <c:pt idx="7">
                  <c:v>-0.51084211699665127</c:v>
                </c:pt>
                <c:pt idx="8">
                  <c:v>-0.43487410610469346</c:v>
                </c:pt>
                <c:pt idx="9">
                  <c:v>-0.36474330915224362</c:v>
                </c:pt>
                <c:pt idx="10">
                  <c:v>-0.30181817478322093</c:v>
                </c:pt>
                <c:pt idx="11">
                  <c:v>-0.24672234308969565</c:v>
                </c:pt>
                <c:pt idx="12">
                  <c:v>-0.19948822940550293</c:v>
                </c:pt>
                <c:pt idx="13">
                  <c:v>-0.15972585603915745</c:v>
                </c:pt>
                <c:pt idx="14">
                  <c:v>-0.12677851771428283</c:v>
                </c:pt>
                <c:pt idx="15">
                  <c:v>-9.9850813935310367E-2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3F-594A-B126-40538A8AF21C}"/>
            </c:ext>
          </c:extLst>
        </c:ser>
        <c:ser>
          <c:idx val="8"/>
          <c:order val="8"/>
          <c:tx>
            <c:strRef>
              <c:f>'PART 1'!$AI$5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1'!$AI$83:$AI$98</c:f>
              <c:numCache>
                <c:formatCode>0.0E+00</c:formatCode>
                <c:ptCount val="16"/>
                <c:pt idx="0">
                  <c:v>-0.94748399738581035</c:v>
                </c:pt>
                <c:pt idx="1">
                  <c:v>-0.90982718659992456</c:v>
                </c:pt>
                <c:pt idx="2">
                  <c:v>-0.85977360332933828</c:v>
                </c:pt>
                <c:pt idx="3">
                  <c:v>-0.79867181429170175</c:v>
                </c:pt>
                <c:pt idx="4">
                  <c:v>-0.72910925383215464</c:v>
                </c:pt>
                <c:pt idx="5">
                  <c:v>-0.65435610431318014</c:v>
                </c:pt>
                <c:pt idx="6">
                  <c:v>-0.57780208416455869</c:v>
                </c:pt>
                <c:pt idx="7">
                  <c:v>-0.50251371636138731</c:v>
                </c:pt>
                <c:pt idx="8">
                  <c:v>-0.43096209583856271</c:v>
                </c:pt>
                <c:pt idx="9">
                  <c:v>-0.36491321269559851</c:v>
                </c:pt>
                <c:pt idx="10">
                  <c:v>-0.30544231654306619</c:v>
                </c:pt>
                <c:pt idx="11">
                  <c:v>-0.25302566857316067</c:v>
                </c:pt>
                <c:pt idx="12">
                  <c:v>-0.20766842830901577</c:v>
                </c:pt>
                <c:pt idx="13">
                  <c:v>-0.16903849174838326</c:v>
                </c:pt>
                <c:pt idx="14">
                  <c:v>-0.13658767823312523</c:v>
                </c:pt>
                <c:pt idx="15">
                  <c:v>-0.10965117703705984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3F-594A-B126-40538A8AF21C}"/>
            </c:ext>
          </c:extLst>
        </c:ser>
        <c:ser>
          <c:idx val="9"/>
          <c:order val="9"/>
          <c:tx>
            <c:strRef>
              <c:f>'PART 1'!$AJ$5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1'!$AJ$83:$AJ$98</c:f>
              <c:numCache>
                <c:formatCode>0.0E+00</c:formatCode>
                <c:ptCount val="16"/>
                <c:pt idx="0">
                  <c:v>-0.93567143682162501</c:v>
                </c:pt>
                <c:pt idx="1">
                  <c:v>-0.89482611219229757</c:v>
                </c:pt>
                <c:pt idx="2">
                  <c:v>-0.84269193278455312</c:v>
                </c:pt>
                <c:pt idx="3">
                  <c:v>-0.78100943988166782</c:v>
                </c:pt>
                <c:pt idx="4">
                  <c:v>-0.71242345118592665</c:v>
                </c:pt>
                <c:pt idx="5">
                  <c:v>-0.63997666916532903</c:v>
                </c:pt>
                <c:pt idx="6">
                  <c:v>-0.56665658907905203</c:v>
                </c:pt>
                <c:pt idx="7">
                  <c:v>-0.49507092011561626</c:v>
                </c:pt>
                <c:pt idx="8">
                  <c:v>-0.42726824069695946</c:v>
                </c:pt>
                <c:pt idx="9">
                  <c:v>-0.36468367724410999</c:v>
                </c:pt>
                <c:pt idx="10">
                  <c:v>-0.30817362101832413</c:v>
                </c:pt>
                <c:pt idx="11">
                  <c:v>-0.25810246366170242</c:v>
                </c:pt>
                <c:pt idx="12">
                  <c:v>-0.21445103070189353</c:v>
                </c:pt>
                <c:pt idx="13">
                  <c:v>-0.17692558288666238</c:v>
                </c:pt>
                <c:pt idx="14">
                  <c:v>-0.14505487619059876</c:v>
                </c:pt>
                <c:pt idx="15">
                  <c:v>-0.11826948842735363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3F-594A-B126-40538A8AF21C}"/>
            </c:ext>
          </c:extLst>
        </c:ser>
        <c:ser>
          <c:idx val="10"/>
          <c:order val="10"/>
          <c:tx>
            <c:strRef>
              <c:f>'PART 1'!$AK$5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1'!$AK$83:$AK$98</c:f>
              <c:numCache>
                <c:formatCode>0.0E+00</c:formatCode>
                <c:ptCount val="16"/>
                <c:pt idx="0">
                  <c:v>-0.82760802885631146</c:v>
                </c:pt>
                <c:pt idx="1">
                  <c:v>-0.77520315606192436</c:v>
                </c:pt>
                <c:pt idx="2">
                  <c:v>-0.71952075660120351</c:v>
                </c:pt>
                <c:pt idx="3">
                  <c:v>-0.66231908916757454</c:v>
                </c:pt>
                <c:pt idx="4">
                  <c:v>-0.60514295751881164</c:v>
                </c:pt>
                <c:pt idx="5">
                  <c:v>-0.54925855366537546</c:v>
                </c:pt>
                <c:pt idx="6">
                  <c:v>-0.49563750571488163</c:v>
                </c:pt>
                <c:pt idx="7">
                  <c:v>-0.44497280460428268</c:v>
                </c:pt>
                <c:pt idx="8">
                  <c:v>-0.39771250319529661</c:v>
                </c:pt>
                <c:pt idx="9">
                  <c:v>-0.35410097844860078</c:v>
                </c:pt>
                <c:pt idx="10">
                  <c:v>-0.31422106223939261</c:v>
                </c:pt>
                <c:pt idx="11">
                  <c:v>-0.27803309935298359</c:v>
                </c:pt>
                <c:pt idx="12">
                  <c:v>-0.245408953933274</c:v>
                </c:pt>
                <c:pt idx="13">
                  <c:v>-0.21616027879298261</c:v>
                </c:pt>
                <c:pt idx="14">
                  <c:v>-0.19006114648737371</c:v>
                </c:pt>
                <c:pt idx="15">
                  <c:v>-0.16686556750780079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3F-594A-B126-40538A8AF21C}"/>
            </c:ext>
          </c:extLst>
        </c:ser>
        <c:ser>
          <c:idx val="11"/>
          <c:order val="11"/>
          <c:tx>
            <c:strRef>
              <c:f>'PART 1'!$AL$5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1'!$AL$83:$AL$98</c:f>
              <c:numCache>
                <c:formatCode>0.0E+00</c:formatCode>
                <c:ptCount val="16"/>
                <c:pt idx="0">
                  <c:v>-0.74714796680976803</c:v>
                </c:pt>
                <c:pt idx="1">
                  <c:v>-0.6954993169592607</c:v>
                </c:pt>
                <c:pt idx="2">
                  <c:v>-0.64389089311574621</c:v>
                </c:pt>
                <c:pt idx="3">
                  <c:v>-0.59332314529799546</c:v>
                </c:pt>
                <c:pt idx="4">
                  <c:v>-0.54454758788761459</c:v>
                </c:pt>
                <c:pt idx="5">
                  <c:v>-0.49809512869829664</c:v>
                </c:pt>
                <c:pt idx="6">
                  <c:v>-0.45431124070599771</c:v>
                </c:pt>
                <c:pt idx="7">
                  <c:v>-0.41339176139808453</c:v>
                </c:pt>
                <c:pt idx="8">
                  <c:v>-0.37541594204455841</c:v>
                </c:pt>
                <c:pt idx="9">
                  <c:v>-0.34037519782795722</c:v>
                </c:pt>
                <c:pt idx="10">
                  <c:v>-0.30819711245370862</c:v>
                </c:pt>
                <c:pt idx="11">
                  <c:v>-0.27876486598286454</c:v>
                </c:pt>
                <c:pt idx="12">
                  <c:v>-0.25193255955166927</c:v>
                </c:pt>
                <c:pt idx="13">
                  <c:v>-0.22753702816334076</c:v>
                </c:pt>
                <c:pt idx="14">
                  <c:v>-0.20540674368816236</c:v>
                </c:pt>
                <c:pt idx="15">
                  <c:v>-0.18536836561406411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3F-594A-B126-40538A8AF21C}"/>
            </c:ext>
          </c:extLst>
        </c:ser>
        <c:ser>
          <c:idx val="12"/>
          <c:order val="12"/>
          <c:tx>
            <c:strRef>
              <c:f>'PART 1'!$AM$5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1'!$AM$83:$AM$98</c:f>
              <c:numCache>
                <c:formatCode>0.0E+00</c:formatCode>
                <c:ptCount val="16"/>
                <c:pt idx="0">
                  <c:v>-0.68605874158405855</c:v>
                </c:pt>
                <c:pt idx="1">
                  <c:v>-0.63732017542195851</c:v>
                </c:pt>
                <c:pt idx="2">
                  <c:v>-0.59009586095973765</c:v>
                </c:pt>
                <c:pt idx="3">
                  <c:v>-0.54490681007005426</c:v>
                </c:pt>
                <c:pt idx="4">
                  <c:v>-0.50209014965405951</c:v>
                </c:pt>
                <c:pt idx="5">
                  <c:v>-0.46183900015825552</c:v>
                </c:pt>
                <c:pt idx="6">
                  <c:v>-0.42423701798348556</c:v>
                </c:pt>
                <c:pt idx="7">
                  <c:v>-0.38928699917989928</c:v>
                </c:pt>
                <c:pt idx="8">
                  <c:v>-0.35693383673749857</c:v>
                </c:pt>
                <c:pt idx="9">
                  <c:v>-0.32708251377171815</c:v>
                </c:pt>
                <c:pt idx="10">
                  <c:v>-0.29961193101075256</c:v>
                </c:pt>
                <c:pt idx="11">
                  <c:v>-0.27438534458062125</c:v>
                </c:pt>
                <c:pt idx="12">
                  <c:v>-0.25125810561422335</c:v>
                </c:pt>
                <c:pt idx="13">
                  <c:v>-0.23008328807271095</c:v>
                </c:pt>
                <c:pt idx="14">
                  <c:v>-0.21071568645830396</c:v>
                </c:pt>
                <c:pt idx="15">
                  <c:v>-0.19301457050780468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3F-594A-B126-40538A8AF21C}"/>
            </c:ext>
          </c:extLst>
        </c:ser>
        <c:ser>
          <c:idx val="13"/>
          <c:order val="13"/>
          <c:tx>
            <c:strRef>
              <c:f>'PART 1'!$AN$5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1'!$AN$83:$AN$98</c:f>
              <c:numCache>
                <c:formatCode>0.0E+00</c:formatCode>
                <c:ptCount val="16"/>
                <c:pt idx="0">
                  <c:v>-0.63741139706825356</c:v>
                </c:pt>
                <c:pt idx="1">
                  <c:v>-0.59181932468991505</c:v>
                </c:pt>
                <c:pt idx="2">
                  <c:v>-0.54845300509914008</c:v>
                </c:pt>
                <c:pt idx="3">
                  <c:v>-0.50754168118532883</c:v>
                </c:pt>
                <c:pt idx="4">
                  <c:v>-0.46919124044230576</c:v>
                </c:pt>
                <c:pt idx="5">
                  <c:v>-0.43341874291344296</c:v>
                </c:pt>
                <c:pt idx="6">
                  <c:v>-0.40017907667774644</c:v>
                </c:pt>
                <c:pt idx="7">
                  <c:v>-0.36938513644082593</c:v>
                </c:pt>
                <c:pt idx="8">
                  <c:v>-0.34092285507232256</c:v>
                </c:pt>
                <c:pt idx="9">
                  <c:v>-0.31466223641772739</c:v>
                </c:pt>
                <c:pt idx="10">
                  <c:v>-0.29046533054367063</c:v>
                </c:pt>
                <c:pt idx="11">
                  <c:v>-0.2681918990694907</c:v>
                </c:pt>
                <c:pt idx="12">
                  <c:v>-0.24770335266730614</c:v>
                </c:pt>
                <c:pt idx="13">
                  <c:v>-0.22886540770586983</c:v>
                </c:pt>
                <c:pt idx="14">
                  <c:v>-0.21154980187022532</c:v>
                </c:pt>
                <c:pt idx="15">
                  <c:v>-0.19563532516962057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3F-594A-B126-40538A8AF21C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Delta,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1'!$AA$5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1'!$AA$101:$AA$116</c:f>
              <c:numCache>
                <c:formatCode>0.0E+00</c:formatCode>
                <c:ptCount val="16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-0.99999999999879974</c:v>
                </c:pt>
                <c:pt idx="5">
                  <c:v>-0.99999982272133159</c:v>
                </c:pt>
                <c:pt idx="6">
                  <c:v>-0.99948892482853091</c:v>
                </c:pt>
                <c:pt idx="7">
                  <c:v>-0.94232585548392311</c:v>
                </c:pt>
                <c:pt idx="8">
                  <c:v>-0.48108360000070371</c:v>
                </c:pt>
                <c:pt idx="9">
                  <c:v>-5.5881951625111226E-2</c:v>
                </c:pt>
                <c:pt idx="10">
                  <c:v>-1.1014982272458118E-3</c:v>
                </c:pt>
                <c:pt idx="11">
                  <c:v>-3.964449127424885E-6</c:v>
                </c:pt>
                <c:pt idx="12">
                  <c:v>-3.0691061914112083E-9</c:v>
                </c:pt>
                <c:pt idx="13">
                  <c:v>-6.0662586065518553E-13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2-CE47-BA25-1CE9FFB99D73}"/>
            </c:ext>
          </c:extLst>
        </c:ser>
        <c:ser>
          <c:idx val="1"/>
          <c:order val="1"/>
          <c:tx>
            <c:strRef>
              <c:f>'PART 1'!$AB$5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1'!$AB$101:$AB$116</c:f>
              <c:numCache>
                <c:formatCode>0.0E+00</c:formatCode>
                <c:ptCount val="16"/>
                <c:pt idx="0">
                  <c:v>-1</c:v>
                </c:pt>
                <c:pt idx="1">
                  <c:v>-1</c:v>
                </c:pt>
                <c:pt idx="2">
                  <c:v>-0.99999999999999867</c:v>
                </c:pt>
                <c:pt idx="3">
                  <c:v>-0.99999999990278976</c:v>
                </c:pt>
                <c:pt idx="4">
                  <c:v>-0.99999957290199704</c:v>
                </c:pt>
                <c:pt idx="5">
                  <c:v>-0.99981942099236665</c:v>
                </c:pt>
                <c:pt idx="6">
                  <c:v>-0.9889559860924052</c:v>
                </c:pt>
                <c:pt idx="7">
                  <c:v>-0.85990016135422198</c:v>
                </c:pt>
                <c:pt idx="8">
                  <c:v>-0.4732581961130774</c:v>
                </c:pt>
                <c:pt idx="9">
                  <c:v>-0.12341910750431651</c:v>
                </c:pt>
                <c:pt idx="10">
                  <c:v>-1.3964492157249486E-2</c:v>
                </c:pt>
                <c:pt idx="11">
                  <c:v>-7.0583548483338365E-4</c:v>
                </c:pt>
                <c:pt idx="12">
                  <c:v>-1.7071243458399721E-5</c:v>
                </c:pt>
                <c:pt idx="13">
                  <c:v>-2.132604316473774E-7</c:v>
                </c:pt>
                <c:pt idx="14">
                  <c:v>-1.4806853521065477E-9</c:v>
                </c:pt>
                <c:pt idx="15">
                  <c:v>-6.1083360591851488E-12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2-CE47-BA25-1CE9FFB99D73}"/>
            </c:ext>
          </c:extLst>
        </c:ser>
        <c:ser>
          <c:idx val="2"/>
          <c:order val="2"/>
          <c:tx>
            <c:strRef>
              <c:f>'PART 1'!$AC$5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1'!$AC$101:$AC$116</c:f>
              <c:numCache>
                <c:formatCode>0.0E+00</c:formatCode>
                <c:ptCount val="16"/>
                <c:pt idx="0">
                  <c:v>-1</c:v>
                </c:pt>
                <c:pt idx="1">
                  <c:v>-0.99999999999999645</c:v>
                </c:pt>
                <c:pt idx="2">
                  <c:v>-0.99999999993611632</c:v>
                </c:pt>
                <c:pt idx="3">
                  <c:v>-0.99999988306170484</c:v>
                </c:pt>
                <c:pt idx="4">
                  <c:v>-0.99996722240854641</c:v>
                </c:pt>
                <c:pt idx="5">
                  <c:v>-0.99804304196816829</c:v>
                </c:pt>
                <c:pt idx="6">
                  <c:v>-0.96722237353959195</c:v>
                </c:pt>
                <c:pt idx="7">
                  <c:v>-0.80353746475916554</c:v>
                </c:pt>
                <c:pt idx="8">
                  <c:v>-0.46726038328732289</c:v>
                </c:pt>
                <c:pt idx="9">
                  <c:v>-0.16529135445498921</c:v>
                </c:pt>
                <c:pt idx="10">
                  <c:v>-3.420654138486845E-2</c:v>
                </c:pt>
                <c:pt idx="11">
                  <c:v>-4.22113045457706E-3</c:v>
                </c:pt>
                <c:pt idx="12">
                  <c:v>-3.2376867290062616E-4</c:v>
                </c:pt>
                <c:pt idx="13">
                  <c:v>-1.6180389819542285E-5</c:v>
                </c:pt>
                <c:pt idx="14">
                  <c:v>-5.5166492773928155E-7</c:v>
                </c:pt>
                <c:pt idx="15">
                  <c:v>-1.3389116704232151E-8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2-CE47-BA25-1CE9FFB99D73}"/>
            </c:ext>
          </c:extLst>
        </c:ser>
        <c:ser>
          <c:idx val="3"/>
          <c:order val="3"/>
          <c:tx>
            <c:strRef>
              <c:f>'PART 1'!$AD$5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1'!$AD$101:$AD$116</c:f>
              <c:numCache>
                <c:formatCode>0.0E+00</c:formatCode>
                <c:ptCount val="16"/>
                <c:pt idx="0">
                  <c:v>-0.99999999999999933</c:v>
                </c:pt>
                <c:pt idx="1">
                  <c:v>-0.99999999999068701</c:v>
                </c:pt>
                <c:pt idx="2">
                  <c:v>-0.99999998527351153</c:v>
                </c:pt>
                <c:pt idx="3">
                  <c:v>-0.9999957815132362</c:v>
                </c:pt>
                <c:pt idx="4">
                  <c:v>-0.99970190412486359</c:v>
                </c:pt>
                <c:pt idx="5">
                  <c:v>-0.99333411575638086</c:v>
                </c:pt>
                <c:pt idx="6">
                  <c:v>-0.94191189201267966</c:v>
                </c:pt>
                <c:pt idx="7">
                  <c:v>-0.76305059187866298</c:v>
                </c:pt>
                <c:pt idx="8">
                  <c:v>-0.46220970609333534</c:v>
                </c:pt>
                <c:pt idx="9">
                  <c:v>-0.19316048645017747</c:v>
                </c:pt>
                <c:pt idx="10">
                  <c:v>-5.4593883865311277E-2</c:v>
                </c:pt>
                <c:pt idx="11">
                  <c:v>-1.0591727709338028E-2</c:v>
                </c:pt>
                <c:pt idx="12">
                  <c:v>-1.4524545858777271E-3</c:v>
                </c:pt>
                <c:pt idx="13">
                  <c:v>-1.4555918115333188E-4</c:v>
                </c:pt>
                <c:pt idx="14">
                  <c:v>-1.101717495310961E-5</c:v>
                </c:pt>
                <c:pt idx="15">
                  <c:v>-6.4939633814820041E-7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F2-CE47-BA25-1CE9FFB99D73}"/>
            </c:ext>
          </c:extLst>
        </c:ser>
        <c:ser>
          <c:idx val="4"/>
          <c:order val="4"/>
          <c:tx>
            <c:strRef>
              <c:f>'PART 1'!$AE$5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1'!$AE$101:$AE$116</c:f>
              <c:numCache>
                <c:formatCode>0.0E+00</c:formatCode>
                <c:ptCount val="16"/>
                <c:pt idx="0">
                  <c:v>-0.99999999999945288</c:v>
                </c:pt>
                <c:pt idx="1">
                  <c:v>-0.99999999892549984</c:v>
                </c:pt>
                <c:pt idx="2">
                  <c:v>-0.99999960552141942</c:v>
                </c:pt>
                <c:pt idx="3">
                  <c:v>-0.99996289573776764</c:v>
                </c:pt>
                <c:pt idx="4">
                  <c:v>-0.99885449850928076</c:v>
                </c:pt>
                <c:pt idx="5">
                  <c:v>-0.98582102812389361</c:v>
                </c:pt>
                <c:pt idx="6">
                  <c:v>-0.91681414086730562</c:v>
                </c:pt>
                <c:pt idx="7">
                  <c:v>-0.73215074084786935</c:v>
                </c:pt>
                <c:pt idx="8">
                  <c:v>-0.45776498668838594</c:v>
                </c:pt>
                <c:pt idx="9">
                  <c:v>-0.21299766973229939</c:v>
                </c:pt>
                <c:pt idx="10">
                  <c:v>-7.2979321151961596E-2</c:v>
                </c:pt>
                <c:pt idx="11">
                  <c:v>-1.8643924359551423E-2</c:v>
                </c:pt>
                <c:pt idx="12">
                  <c:v>-3.6321125620839556E-3</c:v>
                </c:pt>
                <c:pt idx="13">
                  <c:v>-5.5355097682452392E-4</c:v>
                </c:pt>
                <c:pt idx="14">
                  <c:v>-6.769082007296312E-5</c:v>
                </c:pt>
                <c:pt idx="15">
                  <c:v>-6.8011094226383406E-6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CE47-BA25-1CE9FFB99D73}"/>
            </c:ext>
          </c:extLst>
        </c:ser>
        <c:ser>
          <c:idx val="5"/>
          <c:order val="5"/>
          <c:tx>
            <c:strRef>
              <c:f>'PART 1'!$AF$5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1'!$AF$101:$AF$116</c:f>
              <c:numCache>
                <c:formatCode>0.0E+00</c:formatCode>
                <c:ptCount val="16"/>
                <c:pt idx="0">
                  <c:v>-0.99999999995369315</c:v>
                </c:pt>
                <c:pt idx="1">
                  <c:v>-0.99999997412552788</c:v>
                </c:pt>
                <c:pt idx="2">
                  <c:v>-0.99999641307660381</c:v>
                </c:pt>
                <c:pt idx="3">
                  <c:v>-0.99983952143013566</c:v>
                </c:pt>
                <c:pt idx="4">
                  <c:v>-0.99715020541618327</c:v>
                </c:pt>
                <c:pt idx="5">
                  <c:v>-0.97625595044034874</c:v>
                </c:pt>
                <c:pt idx="6">
                  <c:v>-0.89325185776813143</c:v>
                </c:pt>
                <c:pt idx="7">
                  <c:v>-0.70746843461389441</c:v>
                </c:pt>
                <c:pt idx="8">
                  <c:v>-0.45375117893531969</c:v>
                </c:pt>
                <c:pt idx="9">
                  <c:v>-0.22781322631362888</c:v>
                </c:pt>
                <c:pt idx="10">
                  <c:v>-8.9048323051647005E-2</c:v>
                </c:pt>
                <c:pt idx="11">
                  <c:v>-2.7396855446360169E-2</c:v>
                </c:pt>
                <c:pt idx="12">
                  <c:v>-6.7565841192067655E-3</c:v>
                </c:pt>
                <c:pt idx="13">
                  <c:v>-1.3634308405563456E-3</c:v>
                </c:pt>
                <c:pt idx="14">
                  <c:v>-2.2976787752915229E-4</c:v>
                </c:pt>
                <c:pt idx="15">
                  <c:v>-3.2963859568746479E-5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F2-CE47-BA25-1CE9FFB99D73}"/>
            </c:ext>
          </c:extLst>
        </c:ser>
        <c:ser>
          <c:idx val="6"/>
          <c:order val="6"/>
          <c:tx>
            <c:strRef>
              <c:f>'PART 1'!$AG$5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1'!$AG$101:$AG$116</c:f>
              <c:numCache>
                <c:formatCode>0.0E+00</c:formatCode>
                <c:ptCount val="16"/>
                <c:pt idx="0">
                  <c:v>-0.9999999988845516</c:v>
                </c:pt>
                <c:pt idx="1">
                  <c:v>-0.99999974609953168</c:v>
                </c:pt>
                <c:pt idx="2">
                  <c:v>-0.9999824507459707</c:v>
                </c:pt>
                <c:pt idx="3">
                  <c:v>-0.99953842815149707</c:v>
                </c:pt>
                <c:pt idx="4">
                  <c:v>-0.99448231126656217</c:v>
                </c:pt>
                <c:pt idx="5">
                  <c:v>-0.96538943258594301</c:v>
                </c:pt>
                <c:pt idx="6">
                  <c:v>-0.87156077913162922</c:v>
                </c:pt>
                <c:pt idx="7">
                  <c:v>-0.68707388235667555</c:v>
                </c:pt>
                <c:pt idx="8">
                  <c:v>-0.45006425675703965</c:v>
                </c:pt>
                <c:pt idx="9">
                  <c:v>-0.23926991749476589</c:v>
                </c:pt>
                <c:pt idx="10">
                  <c:v>-0.1029941893437627</c:v>
                </c:pt>
                <c:pt idx="11">
                  <c:v>-3.6249348015701011E-2</c:v>
                </c:pt>
                <c:pt idx="12">
                  <c:v>-1.0592855898519771E-2</c:v>
                </c:pt>
                <c:pt idx="13">
                  <c:v>-2.6145206848648961E-3</c:v>
                </c:pt>
                <c:pt idx="14">
                  <c:v>-5.5441197797978514E-4</c:v>
                </c:pt>
                <c:pt idx="15">
                  <c:v>-1.0263741426164152E-4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F2-CE47-BA25-1CE9FFB99D73}"/>
            </c:ext>
          </c:extLst>
        </c:ser>
        <c:ser>
          <c:idx val="7"/>
          <c:order val="7"/>
          <c:tx>
            <c:strRef>
              <c:f>'PART 1'!$AH$5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1'!$AH$101:$AH$116</c:f>
              <c:numCache>
                <c:formatCode>0.0E+00</c:formatCode>
                <c:ptCount val="16"/>
                <c:pt idx="0">
                  <c:v>-0.99999998776771981</c:v>
                </c:pt>
                <c:pt idx="1">
                  <c:v>-0.99999858049035051</c:v>
                </c:pt>
                <c:pt idx="2">
                  <c:v>-0.99994179911634218</c:v>
                </c:pt>
                <c:pt idx="3">
                  <c:v>-0.99897268285935592</c:v>
                </c:pt>
                <c:pt idx="4">
                  <c:v>-0.99087869452629052</c:v>
                </c:pt>
                <c:pt idx="5">
                  <c:v>-0.95379820378478741</c:v>
                </c:pt>
                <c:pt idx="6">
                  <c:v>-0.85171156569915274</c:v>
                </c:pt>
                <c:pt idx="7">
                  <c:v>-0.66978239987143284</c:v>
                </c:pt>
                <c:pt idx="8">
                  <c:v>-0.44663641507110596</c:v>
                </c:pt>
                <c:pt idx="9">
                  <c:v>-0.24836156369458307</c:v>
                </c:pt>
                <c:pt idx="10">
                  <c:v>-0.11511544953316066</c:v>
                </c:pt>
                <c:pt idx="11">
                  <c:v>-4.4871958417935009E-2</c:v>
                </c:pt>
                <c:pt idx="12">
                  <c:v>-1.4905931616100987E-2</c:v>
                </c:pt>
                <c:pt idx="13">
                  <c:v>-4.2820091080512102E-3</c:v>
                </c:pt>
                <c:pt idx="14">
                  <c:v>-1.0793388372125623E-3</c:v>
                </c:pt>
                <c:pt idx="15">
                  <c:v>-2.4202099636327912E-4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F2-CE47-BA25-1CE9FFB99D73}"/>
            </c:ext>
          </c:extLst>
        </c:ser>
        <c:ser>
          <c:idx val="8"/>
          <c:order val="8"/>
          <c:tx>
            <c:strRef>
              <c:f>'PART 1'!$AI$5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1'!$AI$101:$AI$116</c:f>
              <c:numCache>
                <c:formatCode>0.0E+00</c:formatCode>
                <c:ptCount val="16"/>
                <c:pt idx="0">
                  <c:v>-0.99999992069449628</c:v>
                </c:pt>
                <c:pt idx="1">
                  <c:v>-0.99999455112734237</c:v>
                </c:pt>
                <c:pt idx="2">
                  <c:v>-0.99985120076411815</c:v>
                </c:pt>
                <c:pt idx="3">
                  <c:v>-0.99807460447904706</c:v>
                </c:pt>
                <c:pt idx="4">
                  <c:v>-0.98644176377083581</c:v>
                </c:pt>
                <c:pt idx="5">
                  <c:v>-0.94188514642659571</c:v>
                </c:pt>
                <c:pt idx="6">
                  <c:v>-0.83355143322926772</c:v>
                </c:pt>
                <c:pt idx="7">
                  <c:v>-0.65482358809332131</c:v>
                </c:pt>
                <c:pt idx="8">
                  <c:v>-0.44342053804454018</c:v>
                </c:pt>
                <c:pt idx="9">
                  <c:v>-0.25572036656605568</c:v>
                </c:pt>
                <c:pt idx="10">
                  <c:v>-0.12569907598544605</c:v>
                </c:pt>
                <c:pt idx="11">
                  <c:v>-5.3098771928445476E-2</c:v>
                </c:pt>
                <c:pt idx="12">
                  <c:v>-1.9502200944108816E-2</c:v>
                </c:pt>
                <c:pt idx="13">
                  <c:v>-6.3077661675613461E-3</c:v>
                </c:pt>
                <c:pt idx="14">
                  <c:v>-1.8195289047336916E-3</c:v>
                </c:pt>
                <c:pt idx="15">
                  <c:v>-4.737266396053208E-4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F2-CE47-BA25-1CE9FFB99D73}"/>
            </c:ext>
          </c:extLst>
        </c:ser>
        <c:ser>
          <c:idx val="9"/>
          <c:order val="9"/>
          <c:tx>
            <c:strRef>
              <c:f>'PART 1'!$AJ$5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1'!$AJ$101:$AJ$116</c:f>
              <c:numCache>
                <c:formatCode>0.0E+00</c:formatCode>
                <c:ptCount val="16"/>
                <c:pt idx="0">
                  <c:v>-0.99999964435644462</c:v>
                </c:pt>
                <c:pt idx="1">
                  <c:v>-0.99998393569273369</c:v>
                </c:pt>
                <c:pt idx="2">
                  <c:v>-0.99968313211324389</c:v>
                </c:pt>
                <c:pt idx="3">
                  <c:v>-0.99680261138352733</c:v>
                </c:pt>
                <c:pt idx="4">
                  <c:v>-0.98130296953188956</c:v>
                </c:pt>
                <c:pt idx="5">
                  <c:v>-0.92991917065856655</c:v>
                </c:pt>
                <c:pt idx="6">
                  <c:v>-0.81689759699323372</c:v>
                </c:pt>
                <c:pt idx="7">
                  <c:v>-0.64167251171171547</c:v>
                </c:pt>
                <c:pt idx="8">
                  <c:v>-0.4403823076297575</c:v>
                </c:pt>
                <c:pt idx="9">
                  <c:v>-0.26176885450951881</c:v>
                </c:pt>
                <c:pt idx="10">
                  <c:v>-0.13499148005453798</c:v>
                </c:pt>
                <c:pt idx="11">
                  <c:v>-6.08569760408737E-2</c:v>
                </c:pt>
                <c:pt idx="12">
                  <c:v>-2.4235503765815403E-2</c:v>
                </c:pt>
                <c:pt idx="13">
                  <c:v>-8.6226549586319035E-3</c:v>
                </c:pt>
                <c:pt idx="14">
                  <c:v>-2.7716266237037823E-3</c:v>
                </c:pt>
                <c:pt idx="15">
                  <c:v>-8.1343453919457964E-4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F2-CE47-BA25-1CE9FFB99D73}"/>
            </c:ext>
          </c:extLst>
        </c:ser>
        <c:ser>
          <c:idx val="10"/>
          <c:order val="10"/>
          <c:tx>
            <c:strRef>
              <c:f>'PART 1'!$AK$5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1'!$AK$101:$AK$116</c:f>
              <c:numCache>
                <c:formatCode>0.0E+00</c:formatCode>
                <c:ptCount val="16"/>
                <c:pt idx="0">
                  <c:v>-0.99966300984690104</c:v>
                </c:pt>
                <c:pt idx="1">
                  <c:v>-0.99770126854070174</c:v>
                </c:pt>
                <c:pt idx="2">
                  <c:v>-0.98955428078343977</c:v>
                </c:pt>
                <c:pt idx="3">
                  <c:v>-0.9657791379984273</c:v>
                </c:pt>
                <c:pt idx="4">
                  <c:v>-0.91398831809174919</c:v>
                </c:pt>
                <c:pt idx="5">
                  <c:v>-0.82563366708758723</c:v>
                </c:pt>
                <c:pt idx="6">
                  <c:v>-0.70294143810382681</c:v>
                </c:pt>
                <c:pt idx="7">
                  <c:v>-0.55984108777794528</c:v>
                </c:pt>
                <c:pt idx="8">
                  <c:v>-0.41600201428631822</c:v>
                </c:pt>
                <c:pt idx="9">
                  <c:v>-0.28871910308263193</c:v>
                </c:pt>
                <c:pt idx="10">
                  <c:v>-0.18778807755388893</c:v>
                </c:pt>
                <c:pt idx="11">
                  <c:v>-0.11499236256428202</c:v>
                </c:pt>
                <c:pt idx="12">
                  <c:v>-6.6633805759227727E-2</c:v>
                </c:pt>
                <c:pt idx="13">
                  <c:v>-3.6727340119913188E-2</c:v>
                </c:pt>
                <c:pt idx="14">
                  <c:v>-1.93516504591843E-2</c:v>
                </c:pt>
                <c:pt idx="15">
                  <c:v>-9.7928364033782467E-3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2F2-CE47-BA25-1CE9FFB99D73}"/>
            </c:ext>
          </c:extLst>
        </c:ser>
        <c:ser>
          <c:idx val="11"/>
          <c:order val="11"/>
          <c:tx>
            <c:strRef>
              <c:f>'PART 1'!$AL$5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1'!$AL$101:$AL$116</c:f>
              <c:numCache>
                <c:formatCode>0.0E+00</c:formatCode>
                <c:ptCount val="16"/>
                <c:pt idx="0">
                  <c:v>-0.99642145828700812</c:v>
                </c:pt>
                <c:pt idx="1">
                  <c:v>-0.98703700934248551</c:v>
                </c:pt>
                <c:pt idx="2">
                  <c:v>-0.96402672107027587</c:v>
                </c:pt>
                <c:pt idx="3">
                  <c:v>-0.91941174103204293</c:v>
                </c:pt>
                <c:pt idx="4">
                  <c:v>-0.84814553967118989</c:v>
                </c:pt>
                <c:pt idx="5">
                  <c:v>-0.75127132472481861</c:v>
                </c:pt>
                <c:pt idx="6">
                  <c:v>-0.6362644892772813</c:v>
                </c:pt>
                <c:pt idx="7">
                  <c:v>-0.51449212049483484</c:v>
                </c:pt>
                <c:pt idx="8">
                  <c:v>-0.39750608598211912</c:v>
                </c:pt>
                <c:pt idx="9">
                  <c:v>-0.29408226876632038</c:v>
                </c:pt>
                <c:pt idx="10">
                  <c:v>-0.20894675405446184</c:v>
                </c:pt>
                <c:pt idx="11">
                  <c:v>-0.14304833986221999</c:v>
                </c:pt>
                <c:pt idx="12">
                  <c:v>-9.468558585603748E-2</c:v>
                </c:pt>
                <c:pt idx="13">
                  <c:v>-6.07957993015249E-2</c:v>
                </c:pt>
                <c:pt idx="14">
                  <c:v>-3.7984588705097355E-2</c:v>
                </c:pt>
                <c:pt idx="15">
                  <c:v>-2.316017918913893E-2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F2-CE47-BA25-1CE9FFB99D73}"/>
            </c:ext>
          </c:extLst>
        </c:ser>
        <c:ser>
          <c:idx val="12"/>
          <c:order val="12"/>
          <c:tx>
            <c:strRef>
              <c:f>'PART 1'!$AM$5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1'!$AM$101:$AM$116</c:f>
              <c:numCache>
                <c:formatCode>0.0E+00</c:formatCode>
                <c:ptCount val="16"/>
                <c:pt idx="0">
                  <c:v>-0.98790594541152554</c:v>
                </c:pt>
                <c:pt idx="1">
                  <c:v>-0.96812430920432424</c:v>
                </c:pt>
                <c:pt idx="2">
                  <c:v>-0.93101255988538445</c:v>
                </c:pt>
                <c:pt idx="3">
                  <c:v>-0.87252541543240303</c:v>
                </c:pt>
                <c:pt idx="4">
                  <c:v>-0.79266920954781528</c:v>
                </c:pt>
                <c:pt idx="5">
                  <c:v>-0.69588255094248597</c:v>
                </c:pt>
                <c:pt idx="6">
                  <c:v>-0.5897113706196716</c:v>
                </c:pt>
                <c:pt idx="7">
                  <c:v>-0.48263811916107868</c:v>
                </c:pt>
                <c:pt idx="8">
                  <c:v>-0.38208857781104733</c:v>
                </c:pt>
                <c:pt idx="9">
                  <c:v>-0.29323765778258948</c:v>
                </c:pt>
                <c:pt idx="10">
                  <c:v>-0.21871189000521374</c:v>
                </c:pt>
                <c:pt idx="11">
                  <c:v>-0.15894344022156293</c:v>
                </c:pt>
                <c:pt idx="12">
                  <c:v>-0.11283127675234184</c:v>
                </c:pt>
                <c:pt idx="13">
                  <c:v>-7.8429078701002797E-2</c:v>
                </c:pt>
                <c:pt idx="14">
                  <c:v>-5.3500413442041594E-2</c:v>
                </c:pt>
                <c:pt idx="15">
                  <c:v>-3.5889050588990501E-2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F2-CE47-BA25-1CE9FFB99D73}"/>
            </c:ext>
          </c:extLst>
        </c:ser>
        <c:ser>
          <c:idx val="13"/>
          <c:order val="13"/>
          <c:tx>
            <c:strRef>
              <c:f>'PART 1'!$AN$5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1'!$AN$101:$AN$116</c:f>
              <c:numCache>
                <c:formatCode>0.0E+00</c:formatCode>
                <c:ptCount val="16"/>
                <c:pt idx="0">
                  <c:v>-0.974356553225038</c:v>
                </c:pt>
                <c:pt idx="1">
                  <c:v>-0.94420754055435308</c:v>
                </c:pt>
                <c:pt idx="2">
                  <c:v>-0.89610914829245725</c:v>
                </c:pt>
                <c:pt idx="3">
                  <c:v>-0.82923414186780242</c:v>
                </c:pt>
                <c:pt idx="4">
                  <c:v>-0.74618038134057052</c:v>
                </c:pt>
                <c:pt idx="5">
                  <c:v>-0.65224792947554422</c:v>
                </c:pt>
                <c:pt idx="6">
                  <c:v>-0.55400095752449929</c:v>
                </c:pt>
                <c:pt idx="7">
                  <c:v>-0.45778339645558364</c:v>
                </c:pt>
                <c:pt idx="8">
                  <c:v>-0.36865783860820911</c:v>
                </c:pt>
                <c:pt idx="9">
                  <c:v>-0.28992410745836317</c:v>
                </c:pt>
                <c:pt idx="10">
                  <c:v>-0.22313437909788203</c:v>
                </c:pt>
                <c:pt idx="11">
                  <c:v>-0.16841574919746671</c:v>
                </c:pt>
                <c:pt idx="12">
                  <c:v>-0.12491199749354731</c:v>
                </c:pt>
                <c:pt idx="13">
                  <c:v>-9.1210373067739825E-2</c:v>
                </c:pt>
                <c:pt idx="14">
                  <c:v>-6.5682765684590083E-2</c:v>
                </c:pt>
                <c:pt idx="15">
                  <c:v>-4.67205445320521E-2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F2-CE47-BA25-1CE9FFB99D73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Theta,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1'!$AY$5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2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1'!$AY$6:$AY$21</c:f>
              <c:numCache>
                <c:formatCode>0.0E+00</c:formatCode>
                <c:ptCount val="16"/>
                <c:pt idx="0">
                  <c:v>-2.066511058311062E-16</c:v>
                </c:pt>
                <c:pt idx="1">
                  <c:v>-2.6011491668502462E-12</c:v>
                </c:pt>
                <c:pt idx="2">
                  <c:v>-3.8979118376658971E-9</c:v>
                </c:pt>
                <c:pt idx="3">
                  <c:v>-1.0260620160406676E-6</c:v>
                </c:pt>
                <c:pt idx="4">
                  <c:v>-6.4144516804524036E-5</c:v>
                </c:pt>
                <c:pt idx="5">
                  <c:v>-1.2074739981059505E-3</c:v>
                </c:pt>
                <c:pt idx="6">
                  <c:v>-8.2690050019053694E-3</c:v>
                </c:pt>
                <c:pt idx="7">
                  <c:v>-2.3973076818506887E-2</c:v>
                </c:pt>
                <c:pt idx="8">
                  <c:v>-3.3173367079936102E-2</c:v>
                </c:pt>
                <c:pt idx="9">
                  <c:v>-2.383223905834371E-2</c:v>
                </c:pt>
                <c:pt idx="10">
                  <c:v>-8.8078461183024644E-3</c:v>
                </c:pt>
                <c:pt idx="11">
                  <c:v>-4.1262939438538944E-4</c:v>
                </c:pt>
                <c:pt idx="12">
                  <c:v>2.1645966900830415E-3</c:v>
                </c:pt>
                <c:pt idx="13">
                  <c:v>2.6640612540707854E-3</c:v>
                </c:pt>
                <c:pt idx="14">
                  <c:v>2.7301811418871643E-3</c:v>
                </c:pt>
                <c:pt idx="15">
                  <c:v>2.7365043100401076E-3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0-664C-BBC8-C6CF0B1B37D4}"/>
            </c:ext>
          </c:extLst>
        </c:ser>
        <c:ser>
          <c:idx val="1"/>
          <c:order val="1"/>
          <c:tx>
            <c:strRef>
              <c:f>'PART 1'!$AZ$5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2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1'!$AZ$6:$AZ$21</c:f>
              <c:numCache>
                <c:formatCode>0.0E+00</c:formatCode>
                <c:ptCount val="16"/>
                <c:pt idx="0">
                  <c:v>-1.7598718961492301E-9</c:v>
                </c:pt>
                <c:pt idx="1">
                  <c:v>-1.992357058237849E-7</c:v>
                </c:pt>
                <c:pt idx="2">
                  <c:v>-7.7747478547710122E-6</c:v>
                </c:pt>
                <c:pt idx="3">
                  <c:v>-1.2702818841167884E-4</c:v>
                </c:pt>
                <c:pt idx="4">
                  <c:v>-1.0102936364240448E-3</c:v>
                </c:pt>
                <c:pt idx="5">
                  <c:v>-4.4031768630862231E-3</c:v>
                </c:pt>
                <c:pt idx="6">
                  <c:v>-1.1553368713830581E-2</c:v>
                </c:pt>
                <c:pt idx="7">
                  <c:v>-1.9670362223235344E-2</c:v>
                </c:pt>
                <c:pt idx="8">
                  <c:v>-2.3042391243406655E-2</c:v>
                </c:pt>
                <c:pt idx="9">
                  <c:v>-1.9359217431514284E-2</c:v>
                </c:pt>
                <c:pt idx="10">
                  <c:v>-1.1826295500555216E-2</c:v>
                </c:pt>
                <c:pt idx="11">
                  <c:v>-4.8835701044258901E-3</c:v>
                </c:pt>
                <c:pt idx="12">
                  <c:v>-5.2188182581148666E-4</c:v>
                </c:pt>
                <c:pt idx="13">
                  <c:v>1.5682826585624932E-3</c:v>
                </c:pt>
                <c:pt idx="14">
                  <c:v>2.3767974083581645E-3</c:v>
                </c:pt>
                <c:pt idx="15">
                  <c:v>2.6386496439523587E-3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0-664C-BBC8-C6CF0B1B37D4}"/>
            </c:ext>
          </c:extLst>
        </c:ser>
        <c:ser>
          <c:idx val="2"/>
          <c:order val="2"/>
          <c:tx>
            <c:strRef>
              <c:f>'PART 1'!$BA$5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2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1'!$BA$6:$BA$21</c:f>
              <c:numCache>
                <c:formatCode>0.0E+00</c:formatCode>
                <c:ptCount val="16"/>
                <c:pt idx="0">
                  <c:v>-3.2833462792724949E-7</c:v>
                </c:pt>
                <c:pt idx="1">
                  <c:v>-7.727319958925261E-6</c:v>
                </c:pt>
                <c:pt idx="2">
                  <c:v>-8.9338638490647768E-5</c:v>
                </c:pt>
                <c:pt idx="3">
                  <c:v>-5.7762166326724533E-4</c:v>
                </c:pt>
                <c:pt idx="4">
                  <c:v>-2.3090252123569698E-3</c:v>
                </c:pt>
                <c:pt idx="5">
                  <c:v>-6.1746338212488499E-3</c:v>
                </c:pt>
                <c:pt idx="6">
                  <c:v>-1.1757067530058729E-2</c:v>
                </c:pt>
                <c:pt idx="7">
                  <c:v>-1.6748941905528867E-2</c:v>
                </c:pt>
                <c:pt idx="8">
                  <c:v>-1.8552066981106369E-2</c:v>
                </c:pt>
                <c:pt idx="9">
                  <c:v>-1.6422717431738766E-2</c:v>
                </c:pt>
                <c:pt idx="10">
                  <c:v>-1.176345996590113E-2</c:v>
                </c:pt>
                <c:pt idx="11">
                  <c:v>-6.6841737755640252E-3</c:v>
                </c:pt>
                <c:pt idx="12">
                  <c:v>-2.6176478416384081E-3</c:v>
                </c:pt>
                <c:pt idx="13">
                  <c:v>2.9693155843233946E-5</c:v>
                </c:pt>
                <c:pt idx="14">
                  <c:v>1.5007420548488425E-3</c:v>
                </c:pt>
                <c:pt idx="15">
                  <c:v>2.2195451185361131E-3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40-664C-BBC8-C6CF0B1B37D4}"/>
            </c:ext>
          </c:extLst>
        </c:ser>
        <c:ser>
          <c:idx val="3"/>
          <c:order val="3"/>
          <c:tx>
            <c:strRef>
              <c:f>'PART 1'!$BB$5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2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1'!$BB$6:$BB$21</c:f>
              <c:numCache>
                <c:formatCode>0.0E+00</c:formatCode>
                <c:ptCount val="16"/>
                <c:pt idx="0">
                  <c:v>-4.2883062760824116E-6</c:v>
                </c:pt>
                <c:pt idx="1">
                  <c:v>-4.6004848790606487E-5</c:v>
                </c:pt>
                <c:pt idx="2">
                  <c:v>-2.8942377704799352E-4</c:v>
                </c:pt>
                <c:pt idx="3">
                  <c:v>-1.1767585433733996E-3</c:v>
                </c:pt>
                <c:pt idx="4">
                  <c:v>-3.3336754836960285E-3</c:v>
                </c:pt>
                <c:pt idx="5">
                  <c:v>-6.9799242799310438E-3</c:v>
                </c:pt>
                <c:pt idx="6">
                  <c:v>-1.1316636772144338E-2</c:v>
                </c:pt>
                <c:pt idx="7">
                  <c:v>-1.4741066296187516E-2</c:v>
                </c:pt>
                <c:pt idx="8">
                  <c:v>-1.587416177384374E-2</c:v>
                </c:pt>
                <c:pt idx="9">
                  <c:v>-1.442479277122736E-2</c:v>
                </c:pt>
                <c:pt idx="10">
                  <c:v>-1.1177621625340653E-2</c:v>
                </c:pt>
                <c:pt idx="11">
                  <c:v>-7.3337479060625521E-3</c:v>
                </c:pt>
                <c:pt idx="12">
                  <c:v>-3.8598170564632587E-3</c:v>
                </c:pt>
                <c:pt idx="13">
                  <c:v>-1.2225265960764896E-3</c:v>
                </c:pt>
                <c:pt idx="14">
                  <c:v>5.3519491505958259E-4</c:v>
                </c:pt>
                <c:pt idx="15">
                  <c:v>1.5910380363446787E-3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40-664C-BBC8-C6CF0B1B37D4}"/>
            </c:ext>
          </c:extLst>
        </c:ser>
        <c:ser>
          <c:idx val="4"/>
          <c:order val="4"/>
          <c:tx>
            <c:strRef>
              <c:f>'PART 1'!$BC$5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2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1'!$BC$6:$BC$21</c:f>
              <c:numCache>
                <c:formatCode>0.0E+00</c:formatCode>
                <c:ptCount val="16"/>
                <c:pt idx="0">
                  <c:v>-1.9503422452077548E-5</c:v>
                </c:pt>
                <c:pt idx="1">
                  <c:v>-1.3056721507329281E-4</c:v>
                </c:pt>
                <c:pt idx="2">
                  <c:v>-5.7004360990008519E-4</c:v>
                </c:pt>
                <c:pt idx="3">
                  <c:v>-1.7542451912652512E-3</c:v>
                </c:pt>
                <c:pt idx="4">
                  <c:v>-4.0409682260484922E-3</c:v>
                </c:pt>
                <c:pt idx="5">
                  <c:v>-7.3036690888582867E-3</c:v>
                </c:pt>
                <c:pt idx="6">
                  <c:v>-1.0749742896240512E-2</c:v>
                </c:pt>
                <c:pt idx="7">
                  <c:v>-1.3267407263215751E-2</c:v>
                </c:pt>
                <c:pt idx="8">
                  <c:v>-1.4045957506476475E-2</c:v>
                </c:pt>
                <c:pt idx="9">
                  <c:v>-1.2965757469614536E-2</c:v>
                </c:pt>
                <c:pt idx="10">
                  <c:v>-1.053014103169682E-2</c:v>
                </c:pt>
                <c:pt idx="11">
                  <c:v>-7.5057152115247895E-3</c:v>
                </c:pt>
                <c:pt idx="12">
                  <c:v>-4.5676986266598345E-3</c:v>
                </c:pt>
                <c:pt idx="13">
                  <c:v>-2.122060386055215E-3</c:v>
                </c:pt>
                <c:pt idx="14">
                  <c:v>-3.0404707023068048E-4</c:v>
                </c:pt>
                <c:pt idx="15">
                  <c:v>9.3221853123520303E-4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40-664C-BBC8-C6CF0B1B37D4}"/>
            </c:ext>
          </c:extLst>
        </c:ser>
        <c:ser>
          <c:idx val="5"/>
          <c:order val="5"/>
          <c:tx>
            <c:strRef>
              <c:f>'PART 1'!$BD$5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1'!$BD$6:$BD$21</c:f>
              <c:numCache>
                <c:formatCode>0.0E+00</c:formatCode>
                <c:ptCount val="16"/>
                <c:pt idx="0">
                  <c:v>-5.2569629760454496E-5</c:v>
                </c:pt>
                <c:pt idx="1">
                  <c:v>-2.5696218406901921E-4</c:v>
                </c:pt>
                <c:pt idx="2">
                  <c:v>-8.7923652476108087E-4</c:v>
                </c:pt>
                <c:pt idx="3">
                  <c:v>-2.2468154256376528E-3</c:v>
                </c:pt>
                <c:pt idx="4">
                  <c:v>-4.5080595360641523E-3</c:v>
                </c:pt>
                <c:pt idx="5">
                  <c:v>-7.3855437895218061E-3</c:v>
                </c:pt>
                <c:pt idx="6">
                  <c:v>-1.0189552813741513E-2</c:v>
                </c:pt>
                <c:pt idx="7">
                  <c:v>-1.2130098574116573E-2</c:v>
                </c:pt>
                <c:pt idx="8">
                  <c:v>-1.2695947402017051E-2</c:v>
                </c:pt>
                <c:pt idx="9">
                  <c:v>-1.1843119778962963E-2</c:v>
                </c:pt>
                <c:pt idx="10">
                  <c:v>-9.9236947822970295E-3</c:v>
                </c:pt>
                <c:pt idx="11">
                  <c:v>-7.4664818850384666E-3</c:v>
                </c:pt>
                <c:pt idx="12">
                  <c:v>-4.9631220083336241E-3</c:v>
                </c:pt>
                <c:pt idx="13">
                  <c:v>-2.7478593365228557E-3</c:v>
                </c:pt>
                <c:pt idx="14">
                  <c:v>-9.769482367823169E-4</c:v>
                </c:pt>
                <c:pt idx="15">
                  <c:v>3.3106475916117235E-4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40-664C-BBC8-C6CF0B1B37D4}"/>
            </c:ext>
          </c:extLst>
        </c:ser>
        <c:ser>
          <c:idx val="6"/>
          <c:order val="6"/>
          <c:tx>
            <c:strRef>
              <c:f>'PART 1'!$BE$5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2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1'!$BE$6:$BE$21</c:f>
              <c:numCache>
                <c:formatCode>0.0E+00</c:formatCode>
                <c:ptCount val="16"/>
                <c:pt idx="0">
                  <c:v>-1.0533980269340913E-4</c:v>
                </c:pt>
                <c:pt idx="1">
                  <c:v>-4.1125985083875457E-4</c:v>
                </c:pt>
                <c:pt idx="2">
                  <c:v>-1.1822330573380358E-3</c:v>
                </c:pt>
                <c:pt idx="3">
                  <c:v>-2.6451566768972488E-3</c:v>
                </c:pt>
                <c:pt idx="4">
                  <c:v>-4.8081378728503472E-3</c:v>
                </c:pt>
                <c:pt idx="5">
                  <c:v>-7.3423791568755772E-3</c:v>
                </c:pt>
                <c:pt idx="6">
                  <c:v>-9.6714990209200435E-3</c:v>
                </c:pt>
                <c:pt idx="7">
                  <c:v>-1.1219144924587754E-2</c:v>
                </c:pt>
                <c:pt idx="8">
                  <c:v>-1.1646370073008503E-2</c:v>
                </c:pt>
                <c:pt idx="9">
                  <c:v>-1.0945730975247273E-2</c:v>
                </c:pt>
                <c:pt idx="10">
                  <c:v>-9.3785878765410644E-3</c:v>
                </c:pt>
                <c:pt idx="11">
                  <c:v>-7.3306692098870927E-3</c:v>
                </c:pt>
                <c:pt idx="12">
                  <c:v>-5.1732390212707521E-3</c:v>
                </c:pt>
                <c:pt idx="13">
                  <c:v>-3.1793439931051791E-3</c:v>
                </c:pt>
                <c:pt idx="14">
                  <c:v>-1.5006867432075552E-3</c:v>
                </c:pt>
                <c:pt idx="15">
                  <c:v>-1.8549651813691944E-4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40-664C-BBC8-C6CF0B1B37D4}"/>
            </c:ext>
          </c:extLst>
        </c:ser>
        <c:ser>
          <c:idx val="7"/>
          <c:order val="7"/>
          <c:tx>
            <c:strRef>
              <c:f>'PART 1'!$BF$5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2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1'!$BF$6:$BF$21</c:f>
              <c:numCache>
                <c:formatCode>0.0E+00</c:formatCode>
                <c:ptCount val="16"/>
                <c:pt idx="0">
                  <c:v>-1.7564415615483212E-4</c:v>
                </c:pt>
                <c:pt idx="1">
                  <c:v>-5.7931073146288991E-4</c:v>
                </c:pt>
                <c:pt idx="2">
                  <c:v>-1.4612340877304712E-3</c:v>
                </c:pt>
                <c:pt idx="3">
                  <c:v>-2.9589597935479389E-3</c:v>
                </c:pt>
                <c:pt idx="4">
                  <c:v>-4.993975246143912E-3</c:v>
                </c:pt>
                <c:pt idx="5">
                  <c:v>-7.2337144773406128E-3</c:v>
                </c:pt>
                <c:pt idx="6">
                  <c:v>-9.2021694308894869E-3</c:v>
                </c:pt>
                <c:pt idx="7">
                  <c:v>-1.0468662101675042E-2</c:v>
                </c:pt>
                <c:pt idx="8">
                  <c:v>-1.0800068013464793E-2</c:v>
                </c:pt>
                <c:pt idx="9">
                  <c:v>-1.0207496548281189E-2</c:v>
                </c:pt>
                <c:pt idx="10">
                  <c:v>-8.8935200133453147E-3</c:v>
                </c:pt>
                <c:pt idx="11">
                  <c:v>-7.1515529434247301E-3</c:v>
                </c:pt>
                <c:pt idx="12">
                  <c:v>-5.2706182533947942E-3</c:v>
                </c:pt>
                <c:pt idx="13">
                  <c:v>-3.4751347449318375E-3</c:v>
                </c:pt>
                <c:pt idx="14">
                  <c:v>-1.9038842568086447E-3</c:v>
                </c:pt>
                <c:pt idx="15">
                  <c:v>-6.1728826891839148E-4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40-664C-BBC8-C6CF0B1B37D4}"/>
            </c:ext>
          </c:extLst>
        </c:ser>
        <c:ser>
          <c:idx val="8"/>
          <c:order val="8"/>
          <c:tx>
            <c:strRef>
              <c:f>'PART 1'!$BG$5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2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1'!$BG$6:$BG$21</c:f>
              <c:numCache>
                <c:formatCode>0.0E+00</c:formatCode>
                <c:ptCount val="16"/>
                <c:pt idx="0">
                  <c:v>-2.593616127553257E-4</c:v>
                </c:pt>
                <c:pt idx="1">
                  <c:v>-7.5021010955624045E-4</c:v>
                </c:pt>
                <c:pt idx="2">
                  <c:v>-1.7092130869861147E-3</c:v>
                </c:pt>
                <c:pt idx="3">
                  <c:v>-3.2024292805467544E-3</c:v>
                </c:pt>
                <c:pt idx="4">
                  <c:v>-5.1014298208669597E-3</c:v>
                </c:pt>
                <c:pt idx="5">
                  <c:v>-7.0912918380343108E-3</c:v>
                </c:pt>
                <c:pt idx="6">
                  <c:v>-8.779218572911425E-3</c:v>
                </c:pt>
                <c:pt idx="7">
                  <c:v>-9.8366644562263069E-3</c:v>
                </c:pt>
                <c:pt idx="8">
                  <c:v>-1.0098861809140571E-2</c:v>
                </c:pt>
                <c:pt idx="9">
                  <c:v>-9.5864956749972287E-3</c:v>
                </c:pt>
                <c:pt idx="10">
                  <c:v>-8.4617846191900516E-3</c:v>
                </c:pt>
                <c:pt idx="11">
                  <c:v>-6.9553139399162215E-3</c:v>
                </c:pt>
                <c:pt idx="12">
                  <c:v>-5.2978374623867041E-3</c:v>
                </c:pt>
                <c:pt idx="13">
                  <c:v>-3.6757308523852018E-3</c:v>
                </c:pt>
                <c:pt idx="14">
                  <c:v>-2.2130355837407262E-3</c:v>
                </c:pt>
                <c:pt idx="15">
                  <c:v>-9.7360555662338584E-4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40-664C-BBC8-C6CF0B1B37D4}"/>
            </c:ext>
          </c:extLst>
        </c:ser>
        <c:ser>
          <c:idx val="9"/>
          <c:order val="9"/>
          <c:tx>
            <c:strRef>
              <c:f>'PART 1'!$BH$5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2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1'!$BH$6:$BH$21</c:f>
              <c:numCache>
                <c:formatCode>0.0E+00</c:formatCode>
                <c:ptCount val="16"/>
                <c:pt idx="0">
                  <c:v>-3.5200490120518426E-4</c:v>
                </c:pt>
                <c:pt idx="1">
                  <c:v>-9.1663987957427942E-4</c:v>
                </c:pt>
                <c:pt idx="2">
                  <c:v>-1.9249873127726127E-3</c:v>
                </c:pt>
                <c:pt idx="3">
                  <c:v>-3.3891681040526191E-3</c:v>
                </c:pt>
                <c:pt idx="4">
                  <c:v>-5.1546582327013793E-3</c:v>
                </c:pt>
                <c:pt idx="5">
                  <c:v>-6.9326537461691495E-3</c:v>
                </c:pt>
                <c:pt idx="6">
                  <c:v>-8.3978049743894424E-3</c:v>
                </c:pt>
                <c:pt idx="7">
                  <c:v>-9.2950280449470776E-3</c:v>
                </c:pt>
                <c:pt idx="8">
                  <c:v>-9.5055035715335429E-3</c:v>
                </c:pt>
                <c:pt idx="9">
                  <c:v>-9.0547417301934611E-3</c:v>
                </c:pt>
                <c:pt idx="10">
                  <c:v>-8.0760015707448361E-3</c:v>
                </c:pt>
                <c:pt idx="11">
                  <c:v>-6.7552639740820269E-3</c:v>
                </c:pt>
                <c:pt idx="12">
                  <c:v>-5.2806878842294354E-3</c:v>
                </c:pt>
                <c:pt idx="13">
                  <c:v>-3.8088170694130538E-3</c:v>
                </c:pt>
                <c:pt idx="14">
                  <c:v>-2.4495749530291369E-3</c:v>
                </c:pt>
                <c:pt idx="15">
                  <c:v>-1.2659209803035885E-3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40-664C-BBC8-C6CF0B1B37D4}"/>
            </c:ext>
          </c:extLst>
        </c:ser>
        <c:ser>
          <c:idx val="10"/>
          <c:order val="10"/>
          <c:tx>
            <c:strRef>
              <c:f>'PART 1'!$BI$5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2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1'!$BI$6:$BI$21</c:f>
              <c:numCache>
                <c:formatCode>0.0E+00</c:formatCode>
                <c:ptCount val="16"/>
                <c:pt idx="0">
                  <c:v>-1.2206037061217737E-3</c:v>
                </c:pt>
                <c:pt idx="1">
                  <c:v>-1.9783641324264407E-3</c:v>
                </c:pt>
                <c:pt idx="2">
                  <c:v>-2.875362386989756E-3</c:v>
                </c:pt>
                <c:pt idx="3">
                  <c:v>-3.8208188097401956E-3</c:v>
                </c:pt>
                <c:pt idx="4">
                  <c:v>-4.7117256766220882E-3</c:v>
                </c:pt>
                <c:pt idx="5">
                  <c:v>-5.4551497903741735E-3</c:v>
                </c:pt>
                <c:pt idx="6">
                  <c:v>-5.983887745624126E-3</c:v>
                </c:pt>
                <c:pt idx="7">
                  <c:v>-6.2631892850285977E-3</c:v>
                </c:pt>
                <c:pt idx="8">
                  <c:v>-6.289626983281749E-3</c:v>
                </c:pt>
                <c:pt idx="9">
                  <c:v>-6.0848427760353931E-3</c:v>
                </c:pt>
                <c:pt idx="10">
                  <c:v>-5.6870921513339726E-3</c:v>
                </c:pt>
                <c:pt idx="11">
                  <c:v>-5.1428626193629531E-3</c:v>
                </c:pt>
                <c:pt idx="12">
                  <c:v>-4.4999367223590775E-3</c:v>
                </c:pt>
                <c:pt idx="13">
                  <c:v>-3.8024576471553401E-3</c:v>
                </c:pt>
                <c:pt idx="14">
                  <c:v>-3.087985562656811E-3</c:v>
                </c:pt>
                <c:pt idx="15">
                  <c:v>-2.3862159175865325E-3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40-664C-BBC8-C6CF0B1B37D4}"/>
            </c:ext>
          </c:extLst>
        </c:ser>
        <c:ser>
          <c:idx val="11"/>
          <c:order val="11"/>
          <c:tx>
            <c:strRef>
              <c:f>'PART 1'!$BJ$5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2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1'!$BJ$6:$BJ$21</c:f>
              <c:numCache>
                <c:formatCode>0.0E+00</c:formatCode>
                <c:ptCount val="16"/>
                <c:pt idx="0">
                  <c:v>-1.6527866271508298E-3</c:v>
                </c:pt>
                <c:pt idx="1">
                  <c:v>-2.2843589815852989E-3</c:v>
                </c:pt>
                <c:pt idx="2">
                  <c:v>-2.9330977420835842E-3</c:v>
                </c:pt>
                <c:pt idx="3">
                  <c:v>-3.5442546510326229E-3</c:v>
                </c:pt>
                <c:pt idx="4">
                  <c:v>-4.0708093538036096E-3</c:v>
                </c:pt>
                <c:pt idx="5">
                  <c:v>-4.4786957567108446E-3</c:v>
                </c:pt>
                <c:pt idx="6">
                  <c:v>-4.7485545098222793E-3</c:v>
                </c:pt>
                <c:pt idx="7">
                  <c:v>-4.8748413882088101E-3</c:v>
                </c:pt>
                <c:pt idx="8">
                  <c:v>-4.8633397413118526E-3</c:v>
                </c:pt>
                <c:pt idx="9">
                  <c:v>-4.7280089168652718E-3</c:v>
                </c:pt>
                <c:pt idx="10">
                  <c:v>-4.4878437083380341E-3</c:v>
                </c:pt>
                <c:pt idx="11">
                  <c:v>-4.1641491481081904E-3</c:v>
                </c:pt>
                <c:pt idx="12">
                  <c:v>-3.7784131911190373E-3</c:v>
                </c:pt>
                <c:pt idx="13">
                  <c:v>-3.3508059294883779E-3</c:v>
                </c:pt>
                <c:pt idx="14">
                  <c:v>-2.8992429676763611E-3</c:v>
                </c:pt>
                <c:pt idx="15">
                  <c:v>-2.4389078675605622E-3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C40-664C-BBC8-C6CF0B1B37D4}"/>
            </c:ext>
          </c:extLst>
        </c:ser>
        <c:ser>
          <c:idx val="12"/>
          <c:order val="12"/>
          <c:tx>
            <c:strRef>
              <c:f>'PART 1'!$BK$5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2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1'!$BK$6:$BK$21</c:f>
              <c:numCache>
                <c:formatCode>0.0E+00</c:formatCode>
                <c:ptCount val="16"/>
                <c:pt idx="0">
                  <c:v>-1.812646125901823E-3</c:v>
                </c:pt>
                <c:pt idx="1">
                  <c:v>-2.3118992079080511E-3</c:v>
                </c:pt>
                <c:pt idx="2">
                  <c:v>-2.7882252689433377E-3</c:v>
                </c:pt>
                <c:pt idx="3">
                  <c:v>-3.2108157123672933E-3</c:v>
                </c:pt>
                <c:pt idx="4">
                  <c:v>-3.5569468968994914E-3</c:v>
                </c:pt>
                <c:pt idx="5">
                  <c:v>-3.8127123467771411E-3</c:v>
                </c:pt>
                <c:pt idx="6">
                  <c:v>-3.9724085662468768E-3</c:v>
                </c:pt>
                <c:pt idx="7">
                  <c:v>-4.0371503458012745E-3</c:v>
                </c:pt>
                <c:pt idx="8">
                  <c:v>-4.0131795155246728E-3</c:v>
                </c:pt>
                <c:pt idx="9">
                  <c:v>-3.9101855963548249E-3</c:v>
                </c:pt>
                <c:pt idx="10">
                  <c:v>-3.7398244265461323E-3</c:v>
                </c:pt>
                <c:pt idx="11">
                  <c:v>-3.5145196807035515E-3</c:v>
                </c:pt>
                <c:pt idx="12">
                  <c:v>-3.2465642122977674E-3</c:v>
                </c:pt>
                <c:pt idx="13">
                  <c:v>-2.9474980183346192E-3</c:v>
                </c:pt>
                <c:pt idx="14">
                  <c:v>-2.6277199398311449E-3</c:v>
                </c:pt>
                <c:pt idx="15">
                  <c:v>-2.2962840402778527E-3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C40-664C-BBC8-C6CF0B1B37D4}"/>
            </c:ext>
          </c:extLst>
        </c:ser>
        <c:ser>
          <c:idx val="13"/>
          <c:order val="13"/>
          <c:tx>
            <c:strRef>
              <c:f>'PART 1'!$BL$5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2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1'!$BL$6:$BL$21</c:f>
              <c:numCache>
                <c:formatCode>0.0E+00</c:formatCode>
                <c:ptCount val="16"/>
                <c:pt idx="0">
                  <c:v>-1.8445851187638676E-3</c:v>
                </c:pt>
                <c:pt idx="1">
                  <c:v>-2.2409256221649185E-3</c:v>
                </c:pt>
                <c:pt idx="2">
                  <c:v>-2.6018373118986485E-3</c:v>
                </c:pt>
                <c:pt idx="3">
                  <c:v>-2.9096894086217528E-3</c:v>
                </c:pt>
                <c:pt idx="4">
                  <c:v>-3.153042895286404E-3</c:v>
                </c:pt>
                <c:pt idx="5">
                  <c:v>-3.3262123392879157E-3</c:v>
                </c:pt>
                <c:pt idx="6">
                  <c:v>-3.4283435195212541E-3</c:v>
                </c:pt>
                <c:pt idx="7">
                  <c:v>-3.462305773002881E-3</c:v>
                </c:pt>
                <c:pt idx="8">
                  <c:v>-3.4335954354907773E-3</c:v>
                </c:pt>
                <c:pt idx="9">
                  <c:v>-3.3493617689093732E-3</c:v>
                </c:pt>
                <c:pt idx="10">
                  <c:v>-3.2176053423114254E-3</c:v>
                </c:pt>
                <c:pt idx="11">
                  <c:v>-3.0465589951343955E-3</c:v>
                </c:pt>
                <c:pt idx="12">
                  <c:v>-2.844238479630232E-3</c:v>
                </c:pt>
                <c:pt idx="13">
                  <c:v>-2.6181386315105035E-3</c:v>
                </c:pt>
                <c:pt idx="14">
                  <c:v>-2.3750472436481645E-3</c:v>
                </c:pt>
                <c:pt idx="15">
                  <c:v>-2.1209495807714023E-3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C40-664C-BBC8-C6CF0B1B37D4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2">
                    <a:tint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2">
                    <a:tint val="5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2">
                    <a:tint val="7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2">
                    <a:tint val="8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2"/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2">
                    <a:shade val="7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2">
                    <a:shade val="5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2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2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2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2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2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2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2">
                    <a:shade val="44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Theta,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1'!$AY$5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1'!$AY$24:$AY$39</c:f>
              <c:numCache>
                <c:formatCode>0.0E+00</c:formatCode>
                <c:ptCount val="16"/>
                <c:pt idx="0">
                  <c:v>-2.1388202444377854E-8</c:v>
                </c:pt>
                <c:pt idx="1">
                  <c:v>-1.4516877969213794E-6</c:v>
                </c:pt>
                <c:pt idx="2">
                  <c:v>-3.8197714763641422E-5</c:v>
                </c:pt>
                <c:pt idx="3">
                  <c:v>-4.6327047911347183E-4</c:v>
                </c:pt>
                <c:pt idx="4">
                  <c:v>-2.9616540909428806E-3</c:v>
                </c:pt>
                <c:pt idx="5">
                  <c:v>-1.109159249420536E-2</c:v>
                </c:pt>
                <c:pt idx="6">
                  <c:v>-2.6469476874618411E-2</c:v>
                </c:pt>
                <c:pt idx="7">
                  <c:v>-4.3065307711909202E-2</c:v>
                </c:pt>
                <c:pt idx="8">
                  <c:v>-5.0429914019782029E-2</c:v>
                </c:pt>
                <c:pt idx="9">
                  <c:v>-4.434447712002039E-2</c:v>
                </c:pt>
                <c:pt idx="10">
                  <c:v>-3.0145517541572544E-2</c:v>
                </c:pt>
                <c:pt idx="11">
                  <c:v>-1.5932084049782788E-2</c:v>
                </c:pt>
                <c:pt idx="12">
                  <c:v>-6.1092408940331905E-3</c:v>
                </c:pt>
                <c:pt idx="13">
                  <c:v>-8.4167040319571443E-4</c:v>
                </c:pt>
                <c:pt idx="14">
                  <c:v>1.476657402491671E-3</c:v>
                </c:pt>
                <c:pt idx="15">
                  <c:v>2.3440162297894453E-3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38-4443-8BF3-0FC571367A03}"/>
            </c:ext>
          </c:extLst>
        </c:ser>
        <c:ser>
          <c:idx val="1"/>
          <c:order val="1"/>
          <c:tx>
            <c:strRef>
              <c:f>'PART 1'!$AZ$5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1'!$AZ$24:$AZ$39</c:f>
              <c:numCache>
                <c:formatCode>0.0E+00</c:formatCode>
                <c:ptCount val="16"/>
                <c:pt idx="0">
                  <c:v>-2.1151355938947981E-5</c:v>
                </c:pt>
                <c:pt idx="1">
                  <c:v>-1.7683900083278055E-4</c:v>
                </c:pt>
                <c:pt idx="2">
                  <c:v>-9.1931964979989167E-4</c:v>
                </c:pt>
                <c:pt idx="3">
                  <c:v>-3.2406257685672554E-3</c:v>
                </c:pt>
                <c:pt idx="4">
                  <c:v>-8.2835442380334197E-3</c:v>
                </c:pt>
                <c:pt idx="5">
                  <c:v>-1.6186294067625669E-2</c:v>
                </c:pt>
                <c:pt idx="6">
                  <c:v>-2.5214471041951188E-2</c:v>
                </c:pt>
                <c:pt idx="7">
                  <c:v>-3.2383641385315652E-2</c:v>
                </c:pt>
                <c:pt idx="8">
                  <c:v>-3.5226833826804554E-2</c:v>
                </c:pt>
                <c:pt idx="9">
                  <c:v>-3.3152833020150423E-2</c:v>
                </c:pt>
                <c:pt idx="10">
                  <c:v>-2.7424254240045728E-2</c:v>
                </c:pt>
                <c:pt idx="11">
                  <c:v>-2.0129448753042394E-2</c:v>
                </c:pt>
                <c:pt idx="12">
                  <c:v>-1.310534968979812E-2</c:v>
                </c:pt>
                <c:pt idx="13">
                  <c:v>-7.4060691455719316E-3</c:v>
                </c:pt>
                <c:pt idx="14">
                  <c:v>-3.3227893551345923E-3</c:v>
                </c:pt>
                <c:pt idx="15">
                  <c:v>-6.6981552281736138E-4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38-4443-8BF3-0FC571367A03}"/>
            </c:ext>
          </c:extLst>
        </c:ser>
        <c:ser>
          <c:idx val="2"/>
          <c:order val="2"/>
          <c:tx>
            <c:strRef>
              <c:f>'PART 1'!$BA$5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1'!$BA$24:$BA$39</c:f>
              <c:numCache>
                <c:formatCode>0.0E+00</c:formatCode>
                <c:ptCount val="16"/>
                <c:pt idx="0">
                  <c:v>-1.9249725723178876E-4</c:v>
                </c:pt>
                <c:pt idx="1">
                  <c:v>-8.0056016104071382E-4</c:v>
                </c:pt>
                <c:pt idx="2">
                  <c:v>-2.423218452639615E-3</c:v>
                </c:pt>
                <c:pt idx="3">
                  <c:v>-5.6562876041215708E-3</c:v>
                </c:pt>
                <c:pt idx="4">
                  <c:v>-1.064776362079203E-2</c:v>
                </c:pt>
                <c:pt idx="5">
                  <c:v>-1.6743776366969138E-2</c:v>
                </c:pt>
                <c:pt idx="6">
                  <c:v>-2.2618182507819665E-2</c:v>
                </c:pt>
                <c:pt idx="7">
                  <c:v>-2.6840385672500421E-2</c:v>
                </c:pt>
                <c:pt idx="8">
                  <c:v>-2.8486129247863486E-2</c:v>
                </c:pt>
                <c:pt idx="9">
                  <c:v>-2.7426394828022834E-2</c:v>
                </c:pt>
                <c:pt idx="10">
                  <c:v>-2.4217245091292444E-2</c:v>
                </c:pt>
                <c:pt idx="11">
                  <c:v>-1.9758870791303805E-2</c:v>
                </c:pt>
                <c:pt idx="12">
                  <c:v>-1.4947005925677725E-2</c:v>
                </c:pt>
                <c:pt idx="13">
                  <c:v>-1.0453368483121001E-2</c:v>
                </c:pt>
                <c:pt idx="14">
                  <c:v>-6.6582397102136889E-3</c:v>
                </c:pt>
                <c:pt idx="15">
                  <c:v>-3.6891415492476595E-3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38-4443-8BF3-0FC571367A03}"/>
            </c:ext>
          </c:extLst>
        </c:ser>
        <c:ser>
          <c:idx val="3"/>
          <c:order val="3"/>
          <c:tx>
            <c:strRef>
              <c:f>'PART 1'!$BB$5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1'!$BB$24:$BB$39</c:f>
              <c:numCache>
                <c:formatCode>0.0E+00</c:formatCode>
                <c:ptCount val="16"/>
                <c:pt idx="0">
                  <c:v>-5.552636180151039E-4</c:v>
                </c:pt>
                <c:pt idx="1">
                  <c:v>-1.6284046035200219E-3</c:v>
                </c:pt>
                <c:pt idx="2">
                  <c:v>-3.7604495857503084E-3</c:v>
                </c:pt>
                <c:pt idx="3">
                  <c:v>-7.1414604264226599E-3</c:v>
                </c:pt>
                <c:pt idx="4">
                  <c:v>-1.153460687158504E-2</c:v>
                </c:pt>
                <c:pt idx="5">
                  <c:v>-1.6268689796484305E-2</c:v>
                </c:pt>
                <c:pt idx="6">
                  <c:v>-2.0461723142974224E-2</c:v>
                </c:pt>
                <c:pt idx="7">
                  <c:v>-2.3337674636357358E-2</c:v>
                </c:pt>
                <c:pt idx="8">
                  <c:v>-2.446478014111279E-2</c:v>
                </c:pt>
                <c:pt idx="9">
                  <c:v>-2.3825813962483393E-2</c:v>
                </c:pt>
                <c:pt idx="10">
                  <c:v>-2.1736859963508132E-2</c:v>
                </c:pt>
                <c:pt idx="11">
                  <c:v>-1.8690775043302178E-2</c:v>
                </c:pt>
                <c:pt idx="12">
                  <c:v>-1.5202763923008351E-2</c:v>
                </c:pt>
                <c:pt idx="13">
                  <c:v>-1.1703811603569023E-2</c:v>
                </c:pt>
                <c:pt idx="14">
                  <c:v>-8.4925940100280279E-3</c:v>
                </c:pt>
                <c:pt idx="15">
                  <c:v>-5.7339282761189481E-3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38-4443-8BF3-0FC571367A03}"/>
            </c:ext>
          </c:extLst>
        </c:ser>
        <c:ser>
          <c:idx val="4"/>
          <c:order val="4"/>
          <c:tx>
            <c:strRef>
              <c:f>'PART 1'!$BC$5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1'!$BC$24:$BC$39</c:f>
              <c:numCache>
                <c:formatCode>0.0E+00</c:formatCode>
                <c:ptCount val="16"/>
                <c:pt idx="0">
                  <c:v>-1.0204341477554112E-3</c:v>
                </c:pt>
                <c:pt idx="1">
                  <c:v>-2.4264809719316232E-3</c:v>
                </c:pt>
                <c:pt idx="2">
                  <c:v>-4.7631304299087813E-3</c:v>
                </c:pt>
                <c:pt idx="3">
                  <c:v>-7.9916234652525273E-3</c:v>
                </c:pt>
                <c:pt idx="4">
                  <c:v>-1.1773234613842614E-2</c:v>
                </c:pt>
                <c:pt idx="5">
                  <c:v>-1.5554448206504904E-2</c:v>
                </c:pt>
                <c:pt idx="6">
                  <c:v>-1.8741321936741665E-2</c:v>
                </c:pt>
                <c:pt idx="7">
                  <c:v>-2.0872029776317795E-2</c:v>
                </c:pt>
                <c:pt idx="8">
                  <c:v>-2.1718448927661036E-2</c:v>
                </c:pt>
                <c:pt idx="9">
                  <c:v>-2.1297754660577151E-2</c:v>
                </c:pt>
                <c:pt idx="10">
                  <c:v>-1.9816142944062028E-2</c:v>
                </c:pt>
                <c:pt idx="11">
                  <c:v>-1.7583026465543689E-2</c:v>
                </c:pt>
                <c:pt idx="12">
                  <c:v>-1.4929145860893642E-2</c:v>
                </c:pt>
                <c:pt idx="13">
                  <c:v>-1.214759418968365E-2</c:v>
                </c:pt>
                <c:pt idx="14">
                  <c:v>-9.4625981097802379E-3</c:v>
                </c:pt>
                <c:pt idx="15">
                  <c:v>-7.0217443309908102E-3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38-4443-8BF3-0FC571367A03}"/>
            </c:ext>
          </c:extLst>
        </c:ser>
        <c:ser>
          <c:idx val="5"/>
          <c:order val="5"/>
          <c:tx>
            <c:strRef>
              <c:f>'PART 1'!$BD$5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1'!$BD$24:$BD$39</c:f>
              <c:numCache>
                <c:formatCode>0.0E+00</c:formatCode>
                <c:ptCount val="16"/>
                <c:pt idx="0">
                  <c:v>-1.5033352373621058E-3</c:v>
                </c:pt>
                <c:pt idx="1">
                  <c:v>-3.108135752252036E-3</c:v>
                </c:pt>
                <c:pt idx="2">
                  <c:v>-5.4744475175743526E-3</c:v>
                </c:pt>
                <c:pt idx="3">
                  <c:v>-8.4562843485097329E-3</c:v>
                </c:pt>
                <c:pt idx="4">
                  <c:v>-1.171580843406738E-2</c:v>
                </c:pt>
                <c:pt idx="5">
                  <c:v>-1.4817544131084675E-2</c:v>
                </c:pt>
                <c:pt idx="6">
                  <c:v>-1.7348875213585663E-2</c:v>
                </c:pt>
                <c:pt idx="7">
                  <c:v>-1.9016171047862015E-2</c:v>
                </c:pt>
                <c:pt idx="8">
                  <c:v>-1.9689741712229928E-2</c:v>
                </c:pt>
                <c:pt idx="9">
                  <c:v>-1.9397896326821137E-2</c:v>
                </c:pt>
                <c:pt idx="10">
                  <c:v>-1.8287148465902233E-2</c:v>
                </c:pt>
                <c:pt idx="11">
                  <c:v>-1.6569651507169068E-2</c:v>
                </c:pt>
                <c:pt idx="12">
                  <c:v>-1.4474449731285272E-2</c:v>
                </c:pt>
                <c:pt idx="13">
                  <c:v>-1.2211593065403835E-2</c:v>
                </c:pt>
                <c:pt idx="14">
                  <c:v>-9.9514308016561605E-3</c:v>
                </c:pt>
                <c:pt idx="15">
                  <c:v>-7.8170885546039216E-3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38-4443-8BF3-0FC571367A03}"/>
            </c:ext>
          </c:extLst>
        </c:ser>
        <c:ser>
          <c:idx val="6"/>
          <c:order val="6"/>
          <c:tx>
            <c:strRef>
              <c:f>'PART 1'!$BE$5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1'!$BE$24:$BE$39</c:f>
              <c:numCache>
                <c:formatCode>0.0E+00</c:formatCode>
                <c:ptCount val="16"/>
                <c:pt idx="0">
                  <c:v>-1.9567228955209514E-3</c:v>
                </c:pt>
                <c:pt idx="1">
                  <c:v>-3.6606419692686992E-3</c:v>
                </c:pt>
                <c:pt idx="2">
                  <c:v>-5.9668848993974285E-3</c:v>
                </c:pt>
                <c:pt idx="3">
                  <c:v>-8.6879639954859089E-3</c:v>
                </c:pt>
                <c:pt idx="4">
                  <c:v>-1.1519676675133329E-2</c:v>
                </c:pt>
                <c:pt idx="5">
                  <c:v>-1.4121687140479549E-2</c:v>
                </c:pt>
                <c:pt idx="6">
                  <c:v>-1.6198497528522142E-2</c:v>
                </c:pt>
                <c:pt idx="7">
                  <c:v>-1.7554217253300742E-2</c:v>
                </c:pt>
                <c:pt idx="8">
                  <c:v>-1.8111936867529634E-2</c:v>
                </c:pt>
                <c:pt idx="9">
                  <c:v>-1.7902863275272088E-2</c:v>
                </c:pt>
                <c:pt idx="10">
                  <c:v>-1.7037306857940117E-2</c:v>
                </c:pt>
                <c:pt idx="11">
                  <c:v>-1.5669932082095918E-2</c:v>
                </c:pt>
                <c:pt idx="12">
                  <c:v>-1.3968310780124225E-2</c:v>
                </c:pt>
                <c:pt idx="13">
                  <c:v>-1.2089505497760973E-2</c:v>
                </c:pt>
                <c:pt idx="14">
                  <c:v>-1.0165826843404471E-2</c:v>
                </c:pt>
                <c:pt idx="15">
                  <c:v>-8.2986532041895694E-3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38-4443-8BF3-0FC571367A03}"/>
            </c:ext>
          </c:extLst>
        </c:ser>
        <c:ser>
          <c:idx val="7"/>
          <c:order val="7"/>
          <c:tx>
            <c:strRef>
              <c:f>'PART 1'!$BF$5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1'!$BF$24:$BF$39</c:f>
              <c:numCache>
                <c:formatCode>0.0E+00</c:formatCode>
                <c:ptCount val="16"/>
                <c:pt idx="0">
                  <c:v>-2.3607291154805411E-3</c:v>
                </c:pt>
                <c:pt idx="1">
                  <c:v>-4.0972529860509622E-3</c:v>
                </c:pt>
                <c:pt idx="2">
                  <c:v>-6.3012559266468499E-3</c:v>
                </c:pt>
                <c:pt idx="3">
                  <c:v>-8.7766387095171896E-3</c:v>
                </c:pt>
                <c:pt idx="4">
                  <c:v>-1.12598330327168E-2</c:v>
                </c:pt>
                <c:pt idx="5">
                  <c:v>-1.3483323123614374E-2</c:v>
                </c:pt>
                <c:pt idx="6">
                  <c:v>-1.5229846016353799E-2</c:v>
                </c:pt>
                <c:pt idx="7">
                  <c:v>-1.6363973370764433E-2</c:v>
                </c:pt>
                <c:pt idx="8">
                  <c:v>-1.6839246237944125E-2</c:v>
                </c:pt>
                <c:pt idx="9">
                  <c:v>-1.6686613131416193E-2</c:v>
                </c:pt>
                <c:pt idx="10">
                  <c:v>-1.5992657542040999E-2</c:v>
                </c:pt>
                <c:pt idx="11">
                  <c:v>-1.4875318867875248E-2</c:v>
                </c:pt>
                <c:pt idx="12">
                  <c:v>-1.3462378183588303E-2</c:v>
                </c:pt>
                <c:pt idx="13">
                  <c:v>-1.1875344186170067E-2</c:v>
                </c:pt>
                <c:pt idx="14">
                  <c:v>-1.0219307229780471E-2</c:v>
                </c:pt>
                <c:pt idx="15">
                  <c:v>-8.5780544028748063E-3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338-4443-8BF3-0FC571367A03}"/>
            </c:ext>
          </c:extLst>
        </c:ser>
        <c:ser>
          <c:idx val="8"/>
          <c:order val="8"/>
          <c:tx>
            <c:strRef>
              <c:f>'PART 1'!$BG$5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1'!$BG$24:$BG$39</c:f>
              <c:numCache>
                <c:formatCode>0.0E+00</c:formatCode>
                <c:ptCount val="16"/>
                <c:pt idx="0">
                  <c:v>-2.7104193501449247E-3</c:v>
                </c:pt>
                <c:pt idx="1">
                  <c:v>-4.4373841103313447E-3</c:v>
                </c:pt>
                <c:pt idx="2">
                  <c:v>-6.5223380471701089E-3</c:v>
                </c:pt>
                <c:pt idx="3">
                  <c:v>-8.7761457373693313E-3</c:v>
                </c:pt>
                <c:pt idx="4">
                  <c:v>-1.0973852704484669E-2</c:v>
                </c:pt>
                <c:pt idx="5">
                  <c:v>-1.2903150829012791E-2</c:v>
                </c:pt>
                <c:pt idx="6">
                  <c:v>-1.4400735852088887E-2</c:v>
                </c:pt>
                <c:pt idx="7">
                  <c:v>-1.5370448375468578E-2</c:v>
                </c:pt>
                <c:pt idx="8">
                  <c:v>-1.5784364607294689E-2</c:v>
                </c:pt>
                <c:pt idx="9">
                  <c:v>-1.5671960507313846E-2</c:v>
                </c:pt>
                <c:pt idx="10">
                  <c:v>-1.5103355869618489E-2</c:v>
                </c:pt>
                <c:pt idx="11">
                  <c:v>-1.4171623219197476E-2</c:v>
                </c:pt>
                <c:pt idx="12">
                  <c:v>-1.2977394085094992E-2</c:v>
                </c:pt>
                <c:pt idx="13">
                  <c:v>-1.1617300254076779E-2</c:v>
                </c:pt>
                <c:pt idx="14">
                  <c:v>-1.0176520887028376E-2</c:v>
                </c:pt>
                <c:pt idx="15">
                  <c:v>-8.7249424102550689E-3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38-4443-8BF3-0FC571367A03}"/>
            </c:ext>
          </c:extLst>
        </c:ser>
        <c:ser>
          <c:idx val="9"/>
          <c:order val="9"/>
          <c:tx>
            <c:strRef>
              <c:f>'PART 1'!$BH$5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1'!$BH$24:$BH$39</c:f>
              <c:numCache>
                <c:formatCode>0.0E+00</c:formatCode>
                <c:ptCount val="16"/>
                <c:pt idx="0">
                  <c:v>-3.0079450651427195E-3</c:v>
                </c:pt>
                <c:pt idx="1">
                  <c:v>-4.6996275359724215E-3</c:v>
                </c:pt>
                <c:pt idx="2">
                  <c:v>-6.6619567497588107E-3</c:v>
                </c:pt>
                <c:pt idx="3">
                  <c:v>-8.7194964417501991E-3</c:v>
                </c:pt>
                <c:pt idx="4">
                  <c:v>-1.0681171916490347E-2</c:v>
                </c:pt>
                <c:pt idx="5">
                  <c:v>-1.237672326655825E-2</c:v>
                </c:pt>
                <c:pt idx="6">
                  <c:v>-1.3681130750624887E-2</c:v>
                </c:pt>
                <c:pt idx="7">
                  <c:v>-1.452474762321824E-2</c:v>
                </c:pt>
                <c:pt idx="8">
                  <c:v>-1.4891393827865178E-2</c:v>
                </c:pt>
                <c:pt idx="9">
                  <c:v>-1.4808659655744903E-2</c:v>
                </c:pt>
                <c:pt idx="10">
                  <c:v>-1.4334729425121259E-2</c:v>
                </c:pt>
                <c:pt idx="11">
                  <c:v>-1.3545059086436483E-2</c:v>
                </c:pt>
                <c:pt idx="12">
                  <c:v>-1.2520966771419909E-2</c:v>
                </c:pt>
                <c:pt idx="13">
                  <c:v>-1.1341061644959231E-2</c:v>
                </c:pt>
                <c:pt idx="14">
                  <c:v>-1.0075623545492149E-2</c:v>
                </c:pt>
                <c:pt idx="15">
                  <c:v>-8.7835670737753113E-3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338-4443-8BF3-0FC571367A03}"/>
            </c:ext>
          </c:extLst>
        </c:ser>
        <c:ser>
          <c:idx val="10"/>
          <c:order val="10"/>
          <c:tx>
            <c:strRef>
              <c:f>'PART 1'!$BI$5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1'!$BI$24:$BI$39</c:f>
              <c:numCache>
                <c:formatCode>0.0E+00</c:formatCode>
                <c:ptCount val="16"/>
                <c:pt idx="0">
                  <c:v>-4.2221154024053515E-3</c:v>
                </c:pt>
                <c:pt idx="1">
                  <c:v>-5.3426066395957858E-3</c:v>
                </c:pt>
                <c:pt idx="2">
                  <c:v>-6.430691586480063E-3</c:v>
                </c:pt>
                <c:pt idx="3">
                  <c:v>-7.4286707718004127E-3</c:v>
                </c:pt>
                <c:pt idx="4">
                  <c:v>-8.2929479392561956E-3</c:v>
                </c:pt>
                <c:pt idx="5">
                  <c:v>-8.9950886102445633E-3</c:v>
                </c:pt>
                <c:pt idx="6">
                  <c:v>-9.5208089411699948E-3</c:v>
                </c:pt>
                <c:pt idx="7">
                  <c:v>-9.8677863597827955E-3</c:v>
                </c:pt>
                <c:pt idx="8">
                  <c:v>-1.0042987801515472E-2</c:v>
                </c:pt>
                <c:pt idx="9">
                  <c:v>-1.0059989052764239E-2</c:v>
                </c:pt>
                <c:pt idx="10">
                  <c:v>-9.9365652545404491E-3</c:v>
                </c:pt>
                <c:pt idx="11">
                  <c:v>-9.692686930245482E-3</c:v>
                </c:pt>
                <c:pt idx="12">
                  <c:v>-9.3489575952225932E-3</c:v>
                </c:pt>
                <c:pt idx="13">
                  <c:v>-8.9254695983287391E-3</c:v>
                </c:pt>
                <c:pt idx="14">
                  <c:v>-8.4410239369225315E-3</c:v>
                </c:pt>
                <c:pt idx="15">
                  <c:v>-7.9126479671477439E-3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338-4443-8BF3-0FC571367A03}"/>
            </c:ext>
          </c:extLst>
        </c:ser>
        <c:ser>
          <c:idx val="11"/>
          <c:order val="11"/>
          <c:tx>
            <c:strRef>
              <c:f>'PART 1'!$BJ$5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1'!$BJ$24:$BJ$39</c:f>
              <c:numCache>
                <c:formatCode>0.0E+00</c:formatCode>
                <c:ptCount val="16"/>
                <c:pt idx="0">
                  <c:v>-4.2374078865411793E-3</c:v>
                </c:pt>
                <c:pt idx="1">
                  <c:v>-4.9960758054153204E-3</c:v>
                </c:pt>
                <c:pt idx="2">
                  <c:v>-5.6925566441000846E-3</c:v>
                </c:pt>
                <c:pt idx="3">
                  <c:v>-6.3060789270419706E-3</c:v>
                </c:pt>
                <c:pt idx="4">
                  <c:v>-6.8236953758965754E-3</c:v>
                </c:pt>
                <c:pt idx="5">
                  <c:v>-7.239176296960549E-3</c:v>
                </c:pt>
                <c:pt idx="6">
                  <c:v>-7.5516894403615826E-3</c:v>
                </c:pt>
                <c:pt idx="7">
                  <c:v>-7.7644852947259145E-3</c:v>
                </c:pt>
                <c:pt idx="8">
                  <c:v>-7.8837089439053269E-3</c:v>
                </c:pt>
                <c:pt idx="9">
                  <c:v>-7.9173932603715542E-3</c:v>
                </c:pt>
                <c:pt idx="10">
                  <c:v>-7.8746467543464385E-3</c:v>
                </c:pt>
                <c:pt idx="11">
                  <c:v>-7.7650257703771397E-3</c:v>
                </c:pt>
                <c:pt idx="12">
                  <c:v>-7.5980689808797085E-3</c:v>
                </c:pt>
                <c:pt idx="13">
                  <c:v>-7.3829678156991279E-3</c:v>
                </c:pt>
                <c:pt idx="14">
                  <c:v>-7.1283464840293563E-3</c:v>
                </c:pt>
                <c:pt idx="15">
                  <c:v>-6.8421275437640693E-3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338-4443-8BF3-0FC571367A03}"/>
            </c:ext>
          </c:extLst>
        </c:ser>
        <c:ser>
          <c:idx val="12"/>
          <c:order val="12"/>
          <c:tx>
            <c:strRef>
              <c:f>'PART 1'!$BK$5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1'!$BK$24:$BK$39</c:f>
              <c:numCache>
                <c:formatCode>0.0E+00</c:formatCode>
                <c:ptCount val="16"/>
                <c:pt idx="0">
                  <c:v>-4.0073760431144729E-3</c:v>
                </c:pt>
                <c:pt idx="1">
                  <c:v>-4.5600802173021834E-3</c:v>
                </c:pt>
                <c:pt idx="2">
                  <c:v>-5.0545396546174855E-3</c:v>
                </c:pt>
                <c:pt idx="3">
                  <c:v>-5.4826468127928043E-3</c:v>
                </c:pt>
                <c:pt idx="4">
                  <c:v>-5.8405372096270811E-3</c:v>
                </c:pt>
                <c:pt idx="5">
                  <c:v>-6.1276487151441074E-3</c:v>
                </c:pt>
                <c:pt idx="6">
                  <c:v>-6.3458675336652819E-3</c:v>
                </c:pt>
                <c:pt idx="7">
                  <c:v>-6.4988006664126021E-3</c:v>
                </c:pt>
                <c:pt idx="8">
                  <c:v>-6.5911833409823374E-3</c:v>
                </c:pt>
                <c:pt idx="9">
                  <c:v>-6.62841328844115E-3</c:v>
                </c:pt>
                <c:pt idx="10">
                  <c:v>-6.6161961438274313E-3</c:v>
                </c:pt>
                <c:pt idx="11">
                  <c:v>-6.5602838545613827E-3</c:v>
                </c:pt>
                <c:pt idx="12">
                  <c:v>-6.4662884071539917E-3</c:v>
                </c:pt>
                <c:pt idx="13">
                  <c:v>-6.3395549713659008E-3</c:v>
                </c:pt>
                <c:pt idx="14">
                  <c:v>-6.1850808679763253E-3</c:v>
                </c:pt>
                <c:pt idx="15">
                  <c:v>-6.007469127612167E-3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338-4443-8BF3-0FC571367A03}"/>
            </c:ext>
          </c:extLst>
        </c:ser>
        <c:ser>
          <c:idx val="13"/>
          <c:order val="13"/>
          <c:tx>
            <c:strRef>
              <c:f>'PART 1'!$BL$5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1'!$BL$24:$BL$39</c:f>
              <c:numCache>
                <c:formatCode>0.0E+00</c:formatCode>
                <c:ptCount val="16"/>
                <c:pt idx="0">
                  <c:v>-3.7360733280407963E-3</c:v>
                </c:pt>
                <c:pt idx="1">
                  <c:v>-4.1614490711383047E-3</c:v>
                </c:pt>
                <c:pt idx="2">
                  <c:v>-4.5367701439203365E-3</c:v>
                </c:pt>
                <c:pt idx="3">
                  <c:v>-4.859055785348859E-3</c:v>
                </c:pt>
                <c:pt idx="4">
                  <c:v>-5.1277401270427925E-3</c:v>
                </c:pt>
                <c:pt idx="5">
                  <c:v>-5.3440161017825616E-3</c:v>
                </c:pt>
                <c:pt idx="6">
                  <c:v>-5.5102995377851287E-3</c:v>
                </c:pt>
                <c:pt idx="7">
                  <c:v>-5.6298061572505418E-3</c:v>
                </c:pt>
                <c:pt idx="8">
                  <c:v>-5.7062268288461671E-3</c:v>
                </c:pt>
                <c:pt idx="9">
                  <c:v>-5.7434844548699118E-3</c:v>
                </c:pt>
                <c:pt idx="10">
                  <c:v>-5.7455565858172165E-3</c:v>
                </c:pt>
                <c:pt idx="11">
                  <c:v>-5.7163497316359835E-3</c:v>
                </c:pt>
                <c:pt idx="12">
                  <c:v>-5.659613570313241E-3</c:v>
                </c:pt>
                <c:pt idx="13">
                  <c:v>-5.5788854348364563E-3</c:v>
                </c:pt>
                <c:pt idx="14">
                  <c:v>-5.4774574077337329E-3</c:v>
                </c:pt>
                <c:pt idx="15">
                  <c:v>-5.3583600072541846E-3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338-4443-8BF3-0FC571367A03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Theta,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1'!$AY$5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1'!$AY$42:$AY$57</c:f>
              <c:numCache>
                <c:formatCode>0.0E+00</c:formatCode>
                <c:ptCount val="16"/>
                <c:pt idx="0">
                  <c:v>-4.8229322480073432E-59</c:v>
                </c:pt>
                <c:pt idx="1">
                  <c:v>-1.0758816027387067E-42</c:v>
                </c:pt>
                <c:pt idx="2">
                  <c:v>-4.8674221922236454E-30</c:v>
                </c:pt>
                <c:pt idx="3">
                  <c:v>-2.1147119037623106E-20</c:v>
                </c:pt>
                <c:pt idx="4">
                  <c:v>-2.9463717909451377E-13</c:v>
                </c:pt>
                <c:pt idx="5">
                  <c:v>-3.4025236347435231E-8</c:v>
                </c:pt>
                <c:pt idx="6">
                  <c:v>-6.9457027299651156E-5</c:v>
                </c:pt>
                <c:pt idx="7">
                  <c:v>-4.604393935016958E-3</c:v>
                </c:pt>
                <c:pt idx="8">
                  <c:v>-1.587654101649514E-2</c:v>
                </c:pt>
                <c:pt idx="9">
                  <c:v>-2.5497239430425801E-3</c:v>
                </c:pt>
                <c:pt idx="10">
                  <c:v>2.5583191026071522E-3</c:v>
                </c:pt>
                <c:pt idx="11">
                  <c:v>2.7360522598924991E-3</c:v>
                </c:pt>
                <c:pt idx="12">
                  <c:v>2.73698670721447E-3</c:v>
                </c:pt>
                <c:pt idx="13">
                  <c:v>2.7369876705364785E-3</c:v>
                </c:pt>
                <c:pt idx="14">
                  <c:v>2.7369876707763531E-3</c:v>
                </c:pt>
                <c:pt idx="15">
                  <c:v>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73-7947-BCC6-D4AB60967E02}"/>
            </c:ext>
          </c:extLst>
        </c:ser>
        <c:ser>
          <c:idx val="1"/>
          <c:order val="1"/>
          <c:tx>
            <c:strRef>
              <c:f>'PART 1'!$AZ$5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1'!$AZ$42:$AZ$57</c:f>
              <c:numCache>
                <c:formatCode>0.0E+00</c:formatCode>
                <c:ptCount val="16"/>
                <c:pt idx="0">
                  <c:v>-7.2797748550212078E-31</c:v>
                </c:pt>
                <c:pt idx="1">
                  <c:v>-1.0646033177470248E-22</c:v>
                </c:pt>
                <c:pt idx="2">
                  <c:v>-2.2197131579323962E-16</c:v>
                </c:pt>
                <c:pt idx="3">
                  <c:v>-1.4353017789604989E-11</c:v>
                </c:pt>
                <c:pt idx="4">
                  <c:v>-5.2569916846475414E-8</c:v>
                </c:pt>
                <c:pt idx="5">
                  <c:v>-1.7518836015171496E-5</c:v>
                </c:pt>
                <c:pt idx="6">
                  <c:v>-7.7433276416402511E-4</c:v>
                </c:pt>
                <c:pt idx="7">
                  <c:v>-6.1235178933894477E-3</c:v>
                </c:pt>
                <c:pt idx="8">
                  <c:v>-1.080104881991133E-2</c:v>
                </c:pt>
                <c:pt idx="9">
                  <c:v>-4.1909072557798927E-3</c:v>
                </c:pt>
                <c:pt idx="10">
                  <c:v>1.4916852803152835E-3</c:v>
                </c:pt>
                <c:pt idx="11">
                  <c:v>2.6459147010131617E-3</c:v>
                </c:pt>
                <c:pt idx="12">
                  <c:v>2.7314576301087638E-3</c:v>
                </c:pt>
                <c:pt idx="13">
                  <c:v>2.7342085161821315E-3</c:v>
                </c:pt>
                <c:pt idx="14">
                  <c:v>2.7342516865315192E-3</c:v>
                </c:pt>
                <c:pt idx="15">
                  <c:v>2.7342520493728586E-3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73-7947-BCC6-D4AB60967E02}"/>
            </c:ext>
          </c:extLst>
        </c:ser>
        <c:ser>
          <c:idx val="2"/>
          <c:order val="2"/>
          <c:tx>
            <c:strRef>
              <c:f>'PART 1'!$BA$5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1'!$BA$42:$BA$57</c:f>
              <c:numCache>
                <c:formatCode>0.0E+00</c:formatCode>
                <c:ptCount val="16"/>
                <c:pt idx="0">
                  <c:v>-1.6433332448894664E-21</c:v>
                </c:pt>
                <c:pt idx="1">
                  <c:v>-4.4957138773605802E-16</c:v>
                </c:pt>
                <c:pt idx="2">
                  <c:v>-7.2360905546874347E-12</c:v>
                </c:pt>
                <c:pt idx="3">
                  <c:v>-1.1499994926423536E-8</c:v>
                </c:pt>
                <c:pt idx="4">
                  <c:v>-2.6951835053998341E-6</c:v>
                </c:pt>
                <c:pt idx="5">
                  <c:v>-1.2766156060127755E-4</c:v>
                </c:pt>
                <c:pt idx="6">
                  <c:v>-1.5687934898210708E-3</c:v>
                </c:pt>
                <c:pt idx="7">
                  <c:v>-6.0843492023878619E-3</c:v>
                </c:pt>
                <c:pt idx="8">
                  <c:v>-8.5483945394121096E-3</c:v>
                </c:pt>
                <c:pt idx="9">
                  <c:v>-4.2843611236363282E-3</c:v>
                </c:pt>
                <c:pt idx="10">
                  <c:v>5.400336179259464E-4</c:v>
                </c:pt>
                <c:pt idx="11">
                  <c:v>2.3604389904379242E-3</c:v>
                </c:pt>
                <c:pt idx="12">
                  <c:v>2.6948030203742938E-3</c:v>
                </c:pt>
                <c:pt idx="13">
                  <c:v>2.7292501657144811E-3</c:v>
                </c:pt>
                <c:pt idx="14">
                  <c:v>2.7314263677809853E-3</c:v>
                </c:pt>
                <c:pt idx="15">
                  <c:v>2.7315165249788167E-3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73-7947-BCC6-D4AB60967E02}"/>
            </c:ext>
          </c:extLst>
        </c:ser>
        <c:ser>
          <c:idx val="3"/>
          <c:order val="3"/>
          <c:tx>
            <c:strRef>
              <c:f>'PART 1'!$BB$5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1'!$BB$42:$BB$57</c:f>
              <c:numCache>
                <c:formatCode>0.0E+00</c:formatCode>
                <c:ptCount val="16"/>
                <c:pt idx="0">
                  <c:v>-7.4643867791599165E-17</c:v>
                </c:pt>
                <c:pt idx="1">
                  <c:v>-8.8291643741194131E-13</c:v>
                </c:pt>
                <c:pt idx="2">
                  <c:v>-1.2480500168547002E-9</c:v>
                </c:pt>
                <c:pt idx="3">
                  <c:v>-3.1077582786395914E-7</c:v>
                </c:pt>
                <c:pt idx="4">
                  <c:v>-1.8409542884615869E-5</c:v>
                </c:pt>
                <c:pt idx="5">
                  <c:v>-3.2838601198620815E-4</c:v>
                </c:pt>
                <c:pt idx="6">
                  <c:v>-2.1244323016837239E-3</c:v>
                </c:pt>
                <c:pt idx="7">
                  <c:v>-5.7574969830346164E-3</c:v>
                </c:pt>
                <c:pt idx="8">
                  <c:v>-7.2032540167636609E-3</c:v>
                </c:pt>
                <c:pt idx="9">
                  <c:v>-4.0810845440697298E-3</c:v>
                </c:pt>
                <c:pt idx="10">
                  <c:v>-7.5155342437636659E-5</c:v>
                </c:pt>
                <c:pt idx="11">
                  <c:v>1.9966955978992732E-3</c:v>
                </c:pt>
                <c:pt idx="12">
                  <c:v>2.6007701695916754E-3</c:v>
                </c:pt>
                <c:pt idx="13">
                  <c:v>2.7130406833150013E-3</c:v>
                </c:pt>
                <c:pt idx="14">
                  <c:v>2.727366308882203E-3</c:v>
                </c:pt>
                <c:pt idx="15">
                  <c:v>2.7286910338300929E-3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73-7947-BCC6-D4AB60967E02}"/>
            </c:ext>
          </c:extLst>
        </c:ser>
        <c:ser>
          <c:idx val="4"/>
          <c:order val="4"/>
          <c:tx>
            <c:strRef>
              <c:f>'PART 1'!$BC$5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1'!$BC$42:$BC$57</c:f>
              <c:numCache>
                <c:formatCode>0.0E+00</c:formatCode>
                <c:ptCount val="16"/>
                <c:pt idx="0">
                  <c:v>-4.5238891558426521E-14</c:v>
                </c:pt>
                <c:pt idx="1">
                  <c:v>-8.1251517869680539E-11</c:v>
                </c:pt>
                <c:pt idx="2">
                  <c:v>-2.6678350923263346E-8</c:v>
                </c:pt>
                <c:pt idx="3">
                  <c:v>-2.183700132075416E-6</c:v>
                </c:pt>
                <c:pt idx="4">
                  <c:v>-5.6643814792192585E-5</c:v>
                </c:pt>
                <c:pt idx="5">
                  <c:v>-5.6190406818520131E-4</c:v>
                </c:pt>
                <c:pt idx="6">
                  <c:v>-2.4708524938138994E-3</c:v>
                </c:pt>
                <c:pt idx="7">
                  <c:v>-5.3927495389022194E-3</c:v>
                </c:pt>
                <c:pt idx="8">
                  <c:v>-6.2837997868473456E-3</c:v>
                </c:pt>
                <c:pt idx="9">
                  <c:v>-3.8234406984483855E-3</c:v>
                </c:pt>
                <c:pt idx="10">
                  <c:v>-4.5526418507062271E-4</c:v>
                </c:pt>
                <c:pt idx="11">
                  <c:v>1.6495573833138029E-3</c:v>
                </c:pt>
                <c:pt idx="12">
                  <c:v>2.4612613083598617E-3</c:v>
                </c:pt>
                <c:pt idx="13">
                  <c:v>2.676844997149176E-3</c:v>
                </c:pt>
                <c:pt idx="14">
                  <c:v>2.7189105193305414E-3</c:v>
                </c:pt>
                <c:pt idx="15">
                  <c:v>2.7252248745543847E-3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73-7947-BCC6-D4AB60967E02}"/>
            </c:ext>
          </c:extLst>
        </c:ser>
        <c:ser>
          <c:idx val="5"/>
          <c:order val="5"/>
          <c:tx>
            <c:strRef>
              <c:f>'PART 1'!$BD$5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1'!$BD$42:$BD$57</c:f>
              <c:numCache>
                <c:formatCode>0.0E+00</c:formatCode>
                <c:ptCount val="16"/>
                <c:pt idx="0">
                  <c:v>-3.1806249692828647E-12</c:v>
                </c:pt>
                <c:pt idx="1">
                  <c:v>-1.6255423450036807E-9</c:v>
                </c:pt>
                <c:pt idx="2">
                  <c:v>-2.0162653067878417E-7</c:v>
                </c:pt>
                <c:pt idx="3">
                  <c:v>-7.8578622005984244E-6</c:v>
                </c:pt>
                <c:pt idx="4">
                  <c:v>-1.174809284479336E-4</c:v>
                </c:pt>
                <c:pt idx="5">
                  <c:v>-7.8761615625588517E-4</c:v>
                </c:pt>
                <c:pt idx="6">
                  <c:v>-2.6751701817311585E-3</c:v>
                </c:pt>
                <c:pt idx="7">
                  <c:v>-5.0485556385893027E-3</c:v>
                </c:pt>
                <c:pt idx="8">
                  <c:v>-5.6040379678348531E-3</c:v>
                </c:pt>
                <c:pt idx="9">
                  <c:v>-3.5709201318294931E-3</c:v>
                </c:pt>
                <c:pt idx="10">
                  <c:v>-6.8912122715647994E-4</c:v>
                </c:pt>
                <c:pt idx="11">
                  <c:v>1.3511916556137554E-3</c:v>
                </c:pt>
                <c:pt idx="12">
                  <c:v>2.2997275948049112E-3</c:v>
                </c:pt>
                <c:pt idx="13">
                  <c:v>2.6196952143021112E-3</c:v>
                </c:pt>
                <c:pt idx="14">
                  <c:v>2.7026694034965274E-3</c:v>
                </c:pt>
                <c:pt idx="15">
                  <c:v>2.719894362864737E-3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73-7947-BCC6-D4AB60967E02}"/>
            </c:ext>
          </c:extLst>
        </c:ser>
        <c:ser>
          <c:idx val="6"/>
          <c:order val="6"/>
          <c:tx>
            <c:strRef>
              <c:f>'PART 1'!$BE$5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1'!$BE$42:$BE$57</c:f>
              <c:numCache>
                <c:formatCode>0.0E+00</c:formatCode>
                <c:ptCount val="16"/>
                <c:pt idx="0">
                  <c:v>-6.5461223070391869E-11</c:v>
                </c:pt>
                <c:pt idx="1">
                  <c:v>-1.363035569191267E-8</c:v>
                </c:pt>
                <c:pt idx="2">
                  <c:v>-8.4327681216657823E-7</c:v>
                </c:pt>
                <c:pt idx="3">
                  <c:v>-1.9337425832125605E-5</c:v>
                </c:pt>
                <c:pt idx="4">
                  <c:v>-1.9496949873399735E-4</c:v>
                </c:pt>
                <c:pt idx="5">
                  <c:v>-9.87524613457769E-4</c:v>
                </c:pt>
                <c:pt idx="6">
                  <c:v>-2.7873437568231413E-3</c:v>
                </c:pt>
                <c:pt idx="7">
                  <c:v>-4.7374180240533055E-3</c:v>
                </c:pt>
                <c:pt idx="8">
                  <c:v>-5.0749448462215482E-3</c:v>
                </c:pt>
                <c:pt idx="9">
                  <c:v>-3.3385825019047973E-3</c:v>
                </c:pt>
                <c:pt idx="10">
                  <c:v>-8.3202287651568617E-4</c:v>
                </c:pt>
                <c:pt idx="11">
                  <c:v>1.1051372984933281E-3</c:v>
                </c:pt>
                <c:pt idx="12">
                  <c:v>2.1341479781971742E-3</c:v>
                </c:pt>
                <c:pt idx="13">
                  <c:v>2.5460337423489784E-3</c:v>
                </c:pt>
                <c:pt idx="14">
                  <c:v>2.6769743834106612E-3</c:v>
                </c:pt>
                <c:pt idx="15">
                  <c:v>2.711261274899718E-3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73-7947-BCC6-D4AB60967E02}"/>
            </c:ext>
          </c:extLst>
        </c:ser>
        <c:ser>
          <c:idx val="7"/>
          <c:order val="7"/>
          <c:tx>
            <c:strRef>
              <c:f>'PART 1'!$BF$5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1'!$BF$42:$BF$57</c:f>
              <c:numCache>
                <c:formatCode>0.0E+00</c:formatCode>
                <c:ptCount val="16"/>
                <c:pt idx="0">
                  <c:v>-6.2611602466551874E-10</c:v>
                </c:pt>
                <c:pt idx="1">
                  <c:v>-6.6471482671022123E-8</c:v>
                </c:pt>
                <c:pt idx="2">
                  <c:v>-2.4403147977753383E-6</c:v>
                </c:pt>
                <c:pt idx="3">
                  <c:v>-3.7585237622209033E-5</c:v>
                </c:pt>
                <c:pt idx="4">
                  <c:v>-2.819173768465175E-4</c:v>
                </c:pt>
                <c:pt idx="5">
                  <c:v>-1.1566305897684882E-3</c:v>
                </c:pt>
                <c:pt idx="6">
                  <c:v>-2.8399165646563525E-3</c:v>
                </c:pt>
                <c:pt idx="7">
                  <c:v>-4.459309455380432E-3</c:v>
                </c:pt>
                <c:pt idx="8">
                  <c:v>-4.6478483826995496E-3</c:v>
                </c:pt>
                <c:pt idx="9">
                  <c:v>-3.1288105870208253E-3</c:v>
                </c:pt>
                <c:pt idx="10">
                  <c:v>-9.1714868461760827E-4</c:v>
                </c:pt>
                <c:pt idx="11">
                  <c:v>9.0550511555693926E-4</c:v>
                </c:pt>
                <c:pt idx="12">
                  <c:v>1.9750371781977975E-3</c:v>
                </c:pt>
                <c:pt idx="13">
                  <c:v>2.4617513044746589E-3</c:v>
                </c:pt>
                <c:pt idx="14">
                  <c:v>2.6420506808531806E-3</c:v>
                </c:pt>
                <c:pt idx="15">
                  <c:v>2.6982577094780144E-3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73-7947-BCC6-D4AB60967E02}"/>
            </c:ext>
          </c:extLst>
        </c:ser>
        <c:ser>
          <c:idx val="8"/>
          <c:order val="8"/>
          <c:tx>
            <c:strRef>
              <c:f>'PART 1'!$BG$5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1'!$BG$42:$BG$57</c:f>
              <c:numCache>
                <c:formatCode>0.0E+00</c:formatCode>
                <c:ptCount val="16"/>
                <c:pt idx="0">
                  <c:v>-3.5966096256031937E-9</c:v>
                </c:pt>
                <c:pt idx="1">
                  <c:v>-2.2608869230918151E-7</c:v>
                </c:pt>
                <c:pt idx="2">
                  <c:v>-5.5300293586365474E-6</c:v>
                </c:pt>
                <c:pt idx="3">
                  <c:v>-6.24824836601744E-5</c:v>
                </c:pt>
                <c:pt idx="4">
                  <c:v>-3.7224124756949132E-4</c:v>
                </c:pt>
                <c:pt idx="5">
                  <c:v>-1.2958888070641089E-3</c:v>
                </c:pt>
                <c:pt idx="6">
                  <c:v>-2.8536457123536324E-3</c:v>
                </c:pt>
                <c:pt idx="7">
                  <c:v>-4.21087053924382E-3</c:v>
                </c:pt>
                <c:pt idx="8">
                  <c:v>-4.2935940031354793E-3</c:v>
                </c:pt>
                <c:pt idx="9">
                  <c:v>-2.9402106200932072E-3</c:v>
                </c:pt>
                <c:pt idx="10">
                  <c:v>-9.6471219031866269E-4</c:v>
                </c:pt>
                <c:pt idx="11">
                  <c:v>7.4443291706789423E-4</c:v>
                </c:pt>
                <c:pt idx="12">
                  <c:v>1.8275552626760667E-3</c:v>
                </c:pt>
                <c:pt idx="13">
                  <c:v>2.372096069216182E-3</c:v>
                </c:pt>
                <c:pt idx="14">
                  <c:v>2.5993007460876163E-3</c:v>
                </c:pt>
                <c:pt idx="15">
                  <c:v>2.6804276991071198E-3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73-7947-BCC6-D4AB60967E02}"/>
            </c:ext>
          </c:extLst>
        </c:ser>
        <c:ser>
          <c:idx val="9"/>
          <c:order val="9"/>
          <c:tx>
            <c:strRef>
              <c:f>'PART 1'!$BH$5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1'!$BH$42:$BH$57</c:f>
              <c:numCache>
                <c:formatCode>0.0E+00</c:formatCode>
                <c:ptCount val="16"/>
                <c:pt idx="0">
                  <c:v>-1.446882179480382E-8</c:v>
                </c:pt>
                <c:pt idx="1">
                  <c:v>-5.979812111969222E-7</c:v>
                </c:pt>
                <c:pt idx="2">
                  <c:v>-1.0567656736874637E-5</c:v>
                </c:pt>
                <c:pt idx="3">
                  <c:v>-9.3173479554957279E-5</c:v>
                </c:pt>
                <c:pt idx="4">
                  <c:v>-4.6155236515579769E-4</c:v>
                </c:pt>
                <c:pt idx="5">
                  <c:v>-1.4085269001649443E-3</c:v>
                </c:pt>
                <c:pt idx="6">
                  <c:v>-2.8418700888165524E-3</c:v>
                </c:pt>
                <c:pt idx="7">
                  <c:v>-3.9881870179831911E-3</c:v>
                </c:pt>
                <c:pt idx="8">
                  <c:v>-3.9935104829025292E-3</c:v>
                </c:pt>
                <c:pt idx="9">
                  <c:v>-2.7704127291370024E-3</c:v>
                </c:pt>
                <c:pt idx="10">
                  <c:v>-9.8735577700534275E-4</c:v>
                </c:pt>
                <c:pt idx="11">
                  <c:v>6.1458164504419666E-4</c:v>
                </c:pt>
                <c:pt idx="12">
                  <c:v>1.6936557432989537E-3</c:v>
                </c:pt>
                <c:pt idx="13">
                  <c:v>2.2810487318854328E-3</c:v>
                </c:pt>
                <c:pt idx="14">
                  <c:v>2.5505853413793364E-3</c:v>
                </c:pt>
                <c:pt idx="15">
                  <c:v>2.6578678244114249E-3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73-7947-BCC6-D4AB60967E02}"/>
            </c:ext>
          </c:extLst>
        </c:ser>
        <c:ser>
          <c:idx val="10"/>
          <c:order val="10"/>
          <c:tx>
            <c:strRef>
              <c:f>'PART 1'!$BI$5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1'!$BI$42:$BI$57</c:f>
              <c:numCache>
                <c:formatCode>0.0E+00</c:formatCode>
                <c:ptCount val="16"/>
                <c:pt idx="0">
                  <c:v>-6.6281800168779741E-6</c:v>
                </c:pt>
                <c:pt idx="1">
                  <c:v>-4.1360687072468178E-5</c:v>
                </c:pt>
                <c:pt idx="2">
                  <c:v>-1.6861051482168664E-4</c:v>
                </c:pt>
                <c:pt idx="3">
                  <c:v>-4.8448413083600368E-4</c:v>
                </c:pt>
                <c:pt idx="4">
                  <c:v>-1.0396279607814151E-3</c:v>
                </c:pt>
                <c:pt idx="5">
                  <c:v>-1.7404214840735762E-3</c:v>
                </c:pt>
                <c:pt idx="6">
                  <c:v>-2.3460129566491069E-3</c:v>
                </c:pt>
                <c:pt idx="7">
                  <c:v>-2.5954135802699644E-3</c:v>
                </c:pt>
                <c:pt idx="8">
                  <c:v>-2.3599053499616311E-3</c:v>
                </c:pt>
                <c:pt idx="9">
                  <c:v>-1.6986370329751519E-3</c:v>
                </c:pt>
                <c:pt idx="10">
                  <c:v>-7.9807676994680726E-4</c:v>
                </c:pt>
                <c:pt idx="11">
                  <c:v>1.3453152612770866E-4</c:v>
                </c:pt>
                <c:pt idx="12">
                  <c:v>9.4958766588929986E-4</c:v>
                </c:pt>
                <c:pt idx="13">
                  <c:v>1.5789791490491566E-3</c:v>
                </c:pt>
                <c:pt idx="14">
                  <c:v>2.0199382221646398E-3</c:v>
                </c:pt>
                <c:pt idx="15">
                  <c:v>2.3052366397097001E-3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73-7947-BCC6-D4AB60967E02}"/>
            </c:ext>
          </c:extLst>
        </c:ser>
        <c:ser>
          <c:idx val="11"/>
          <c:order val="11"/>
          <c:tx>
            <c:strRef>
              <c:f>'PART 1'!$BJ$5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1'!$BJ$42:$BJ$57</c:f>
              <c:numCache>
                <c:formatCode>0.0E+00</c:formatCode>
                <c:ptCount val="16"/>
                <c:pt idx="0">
                  <c:v>-4.529268118048049E-5</c:v>
                </c:pt>
                <c:pt idx="1">
                  <c:v>-1.4990166929791313E-4</c:v>
                </c:pt>
                <c:pt idx="2">
                  <c:v>-3.7299446871789585E-4</c:v>
                </c:pt>
                <c:pt idx="3">
                  <c:v>-7.3331171544938284E-4</c:v>
                </c:pt>
                <c:pt idx="4">
                  <c:v>-1.1822830591346784E-3</c:v>
                </c:pt>
                <c:pt idx="5">
                  <c:v>-1.6062140751324759E-3</c:v>
                </c:pt>
                <c:pt idx="6">
                  <c:v>-1.872246879909557E-3</c:v>
                </c:pt>
                <c:pt idx="7">
                  <c:v>-1.886723005232873E-3</c:v>
                </c:pt>
                <c:pt idx="8">
                  <c:v>-1.6293655512835663E-3</c:v>
                </c:pt>
                <c:pt idx="9">
                  <c:v>-1.1498048286844897E-3</c:v>
                </c:pt>
                <c:pt idx="10">
                  <c:v>-5.3799921543561168E-4</c:v>
                </c:pt>
                <c:pt idx="11">
                  <c:v>1.1063255452831992E-4</c:v>
                </c:pt>
                <c:pt idx="12">
                  <c:v>7.2010124828512316E-4</c:v>
                </c:pt>
                <c:pt idx="13">
                  <c:v>1.2440118993482618E-3</c:v>
                </c:pt>
                <c:pt idx="14">
                  <c:v>1.6639788040755373E-3</c:v>
                </c:pt>
                <c:pt idx="15">
                  <c:v>1.9819951844858145E-3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73-7947-BCC6-D4AB60967E02}"/>
            </c:ext>
          </c:extLst>
        </c:ser>
        <c:ser>
          <c:idx val="12"/>
          <c:order val="12"/>
          <c:tx>
            <c:strRef>
              <c:f>'PART 1'!$BK$5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1'!$BK$42:$BK$57</c:f>
              <c:numCache>
                <c:formatCode>0.0E+00</c:formatCode>
                <c:ptCount val="16"/>
                <c:pt idx="0">
                  <c:v>-1.1064235534244021E-4</c:v>
                </c:pt>
                <c:pt idx="1">
                  <c:v>-2.658943449115014E-4</c:v>
                </c:pt>
                <c:pt idx="2">
                  <c:v>-5.1508329576400438E-4</c:v>
                </c:pt>
                <c:pt idx="3">
                  <c:v>-8.341030260438743E-4</c:v>
                </c:pt>
                <c:pt idx="4">
                  <c:v>-1.1596270349251423E-3</c:v>
                </c:pt>
                <c:pt idx="5">
                  <c:v>-1.4100522837507414E-3</c:v>
                </c:pt>
                <c:pt idx="6">
                  <c:v>-1.5155961394824559E-3</c:v>
                </c:pt>
                <c:pt idx="7">
                  <c:v>-1.4408918049755347E-3</c:v>
                </c:pt>
                <c:pt idx="8">
                  <c:v>-1.1912565853016497E-3</c:v>
                </c:pt>
                <c:pt idx="9">
                  <c:v>-8.0420330910446975E-4</c:v>
                </c:pt>
                <c:pt idx="10">
                  <c:v>-3.3365523006058362E-4</c:v>
                </c:pt>
                <c:pt idx="11">
                  <c:v>1.6552241235183912E-4</c:v>
                </c:pt>
                <c:pt idx="12">
                  <c:v>6.4815624900885574E-4</c:v>
                </c:pt>
                <c:pt idx="13">
                  <c:v>1.0835024458855074E-3</c:v>
                </c:pt>
                <c:pt idx="14">
                  <c:v>1.4552661945767295E-3</c:v>
                </c:pt>
                <c:pt idx="15">
                  <c:v>1.7588726751749616E-3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73-7947-BCC6-D4AB60967E02}"/>
            </c:ext>
          </c:extLst>
        </c:ser>
        <c:ser>
          <c:idx val="13"/>
          <c:order val="13"/>
          <c:tx>
            <c:strRef>
              <c:f>'PART 1'!$BL$5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1'!$BL$42:$BL$57</c:f>
              <c:numCache>
                <c:formatCode>0.0E+00</c:formatCode>
                <c:ptCount val="16"/>
                <c:pt idx="0">
                  <c:v>-1.8061391491424629E-4</c:v>
                </c:pt>
                <c:pt idx="1">
                  <c:v>-3.5735096472375107E-4</c:v>
                </c:pt>
                <c:pt idx="2">
                  <c:v>-5.9398191304144328E-4</c:v>
                </c:pt>
                <c:pt idx="3">
                  <c:v>-8.5319082506419338E-4</c:v>
                </c:pt>
                <c:pt idx="4">
                  <c:v>-1.080565648235759E-3</c:v>
                </c:pt>
                <c:pt idx="5">
                  <c:v>-1.2224629570766424E-3</c:v>
                </c:pt>
                <c:pt idx="6">
                  <c:v>-1.2421253395755543E-3</c:v>
                </c:pt>
                <c:pt idx="7">
                  <c:v>-1.1277119060622385E-3</c:v>
                </c:pt>
                <c:pt idx="8">
                  <c:v>-8.912725303741679E-4</c:v>
                </c:pt>
                <c:pt idx="9">
                  <c:v>-5.6158554531547254E-4</c:v>
                </c:pt>
                <c:pt idx="10">
                  <c:v>-1.749312874260272E-4</c:v>
                </c:pt>
                <c:pt idx="11">
                  <c:v>2.3299782223387103E-4</c:v>
                </c:pt>
                <c:pt idx="12">
                  <c:v>6.3245886465487517E-4</c:v>
                </c:pt>
                <c:pt idx="13">
                  <c:v>1.0021008847770089E-3</c:v>
                </c:pt>
                <c:pt idx="14">
                  <c:v>1.3291145405376417E-3</c:v>
                </c:pt>
                <c:pt idx="15">
                  <c:v>1.6079797734797462E-3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73-7947-BCC6-D4AB60967E02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Theta,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1'!$AY$5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1'!$AY$65:$AY$80</c:f>
              <c:numCache>
                <c:formatCode>0.0E+00</c:formatCode>
                <c:ptCount val="16"/>
                <c:pt idx="0">
                  <c:v>-2.7369876707765764E-3</c:v>
                </c:pt>
                <c:pt idx="1">
                  <c:v>-2.7369876733775189E-3</c:v>
                </c:pt>
                <c:pt idx="2">
                  <c:v>-2.7369915686882079E-3</c:v>
                </c:pt>
                <c:pt idx="3">
                  <c:v>-2.7380137327924106E-3</c:v>
                </c:pt>
                <c:pt idx="4">
                  <c:v>-2.801132187580894E-3</c:v>
                </c:pt>
                <c:pt idx="5">
                  <c:v>-3.94446166888232E-3</c:v>
                </c:pt>
                <c:pt idx="6">
                  <c:v>-1.1005992672681739E-2</c:v>
                </c:pt>
                <c:pt idx="7">
                  <c:v>-2.6710064489283251E-2</c:v>
                </c:pt>
                <c:pt idx="8">
                  <c:v>-3.5910354750712477E-2</c:v>
                </c:pt>
                <c:pt idx="9">
                  <c:v>-2.6569226729120082E-2</c:v>
                </c:pt>
                <c:pt idx="10">
                  <c:v>-1.1544833789078834E-2</c:v>
                </c:pt>
                <c:pt idx="11">
                  <c:v>-3.1496170651617592E-3</c:v>
                </c:pt>
                <c:pt idx="12">
                  <c:v>-5.7239098069332851E-4</c:v>
                </c:pt>
                <c:pt idx="13">
                  <c:v>-7.2926416705584656E-5</c:v>
                </c:pt>
                <c:pt idx="14">
                  <c:v>-6.8065288892057266E-6</c:v>
                </c:pt>
                <c:pt idx="15">
                  <c:v>-4.8336073626239257E-7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D-2C47-953D-DC703EDFFCAD}"/>
            </c:ext>
          </c:extLst>
        </c:ser>
        <c:ser>
          <c:idx val="1"/>
          <c:order val="1"/>
          <c:tx>
            <c:strRef>
              <c:f>'PART 1'!$AZ$5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1'!$AZ$65:$AZ$80</c:f>
              <c:numCache>
                <c:formatCode>0.0E+00</c:formatCode>
                <c:ptCount val="16"/>
                <c:pt idx="0">
                  <c:v>-2.7342538110152748E-3</c:v>
                </c:pt>
                <c:pt idx="1">
                  <c:v>-2.7344512868492017E-3</c:v>
                </c:pt>
                <c:pt idx="2">
                  <c:v>-2.7420267989981492E-3</c:v>
                </c:pt>
                <c:pt idx="3">
                  <c:v>-2.8612802395550571E-3</c:v>
                </c:pt>
                <c:pt idx="4">
                  <c:v>-3.7445456875674229E-3</c:v>
                </c:pt>
                <c:pt idx="5">
                  <c:v>-7.1374289142296012E-3</c:v>
                </c:pt>
                <c:pt idx="6">
                  <c:v>-1.4287620764973958E-2</c:v>
                </c:pt>
                <c:pt idx="7">
                  <c:v>-2.2404614274378724E-2</c:v>
                </c:pt>
                <c:pt idx="8">
                  <c:v>-2.5776643294550032E-2</c:v>
                </c:pt>
                <c:pt idx="9">
                  <c:v>-2.2093469482657665E-2</c:v>
                </c:pt>
                <c:pt idx="10">
                  <c:v>-1.4560547551698593E-2</c:v>
                </c:pt>
                <c:pt idx="11">
                  <c:v>-7.6178221555692682E-3</c:v>
                </c:pt>
                <c:pt idx="12">
                  <c:v>-3.2561338769548651E-3</c:v>
                </c:pt>
                <c:pt idx="13">
                  <c:v>-1.1659693925808853E-3</c:v>
                </c:pt>
                <c:pt idx="14">
                  <c:v>-3.57454642785214E-4</c:v>
                </c:pt>
                <c:pt idx="15">
                  <c:v>-9.5602407191019696E-5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5D-2C47-953D-DC703EDFFCAD}"/>
            </c:ext>
          </c:extLst>
        </c:ser>
        <c:ser>
          <c:idx val="2"/>
          <c:order val="2"/>
          <c:tx>
            <c:strRef>
              <c:f>'PART 1'!$BA$5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1'!$BA$65:$BA$80</c:f>
              <c:numCache>
                <c:formatCode>0.0E+00</c:formatCode>
                <c:ptCount val="16"/>
                <c:pt idx="0">
                  <c:v>-2.731847500390593E-3</c:v>
                </c:pt>
                <c:pt idx="1">
                  <c:v>-2.7392464857215909E-3</c:v>
                </c:pt>
                <c:pt idx="2">
                  <c:v>-2.8208578042533137E-3</c:v>
                </c:pt>
                <c:pt idx="3">
                  <c:v>-3.3091408290299115E-3</c:v>
                </c:pt>
                <c:pt idx="4">
                  <c:v>-5.0405443781196355E-3</c:v>
                </c:pt>
                <c:pt idx="5">
                  <c:v>-8.9061529870115164E-3</c:v>
                </c:pt>
                <c:pt idx="6">
                  <c:v>-1.4488586695821395E-2</c:v>
                </c:pt>
                <c:pt idx="7">
                  <c:v>-1.9480461071291533E-2</c:v>
                </c:pt>
                <c:pt idx="8">
                  <c:v>-2.1283586146869034E-2</c:v>
                </c:pt>
                <c:pt idx="9">
                  <c:v>-1.9154236597501428E-2</c:v>
                </c:pt>
                <c:pt idx="10">
                  <c:v>-1.4494979131663796E-2</c:v>
                </c:pt>
                <c:pt idx="11">
                  <c:v>-9.4156929413266918E-3</c:v>
                </c:pt>
                <c:pt idx="12">
                  <c:v>-5.3491670074010738E-3</c:v>
                </c:pt>
                <c:pt idx="13">
                  <c:v>-2.7018260099194316E-3</c:v>
                </c:pt>
                <c:pt idx="14">
                  <c:v>-1.2307771109138237E-3</c:v>
                </c:pt>
                <c:pt idx="15">
                  <c:v>-5.1197404722655242E-4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5D-2C47-953D-DC703EDFFCAD}"/>
            </c:ext>
          </c:extLst>
        </c:ser>
        <c:ser>
          <c:idx val="3"/>
          <c:order val="3"/>
          <c:tx>
            <c:strRef>
              <c:f>'PART 1'!$BB$5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1'!$BB$65:$BB$80</c:f>
              <c:numCache>
                <c:formatCode>0.0E+00</c:formatCode>
                <c:ptCount val="16"/>
                <c:pt idx="0">
                  <c:v>-2.7330773181774288E-3</c:v>
                </c:pt>
                <c:pt idx="1">
                  <c:v>-2.7747938606919528E-3</c:v>
                </c:pt>
                <c:pt idx="2">
                  <c:v>-3.01821278894934E-3</c:v>
                </c:pt>
                <c:pt idx="3">
                  <c:v>-3.905547555274746E-3</c:v>
                </c:pt>
                <c:pt idx="4">
                  <c:v>-6.0624644955973748E-3</c:v>
                </c:pt>
                <c:pt idx="5">
                  <c:v>-9.7087132918323889E-3</c:v>
                </c:pt>
                <c:pt idx="6">
                  <c:v>-1.4045425784045685E-2</c:v>
                </c:pt>
                <c:pt idx="7">
                  <c:v>-1.7469855308088863E-2</c:v>
                </c:pt>
                <c:pt idx="8">
                  <c:v>-1.8602950785745084E-2</c:v>
                </c:pt>
                <c:pt idx="9">
                  <c:v>-1.7153581783128705E-2</c:v>
                </c:pt>
                <c:pt idx="10">
                  <c:v>-1.3906410637241998E-2</c:v>
                </c:pt>
                <c:pt idx="11">
                  <c:v>-1.0062536917963898E-2</c:v>
                </c:pt>
                <c:pt idx="12">
                  <c:v>-6.5886060683646051E-3</c:v>
                </c:pt>
                <c:pt idx="13">
                  <c:v>-3.951315607977836E-3</c:v>
                </c:pt>
                <c:pt idx="14">
                  <c:v>-2.1935940968417639E-3</c:v>
                </c:pt>
                <c:pt idx="15">
                  <c:v>-1.1377509755566679E-3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5D-2C47-953D-DC703EDFFCAD}"/>
            </c:ext>
          </c:extLst>
        </c:ser>
        <c:ser>
          <c:idx val="4"/>
          <c:order val="4"/>
          <c:tx>
            <c:strRef>
              <c:f>'PART 1'!$BC$5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1'!$BC$65:$BC$80</c:f>
              <c:numCache>
                <c:formatCode>0.0E+00</c:formatCode>
                <c:ptCount val="16"/>
                <c:pt idx="0">
                  <c:v>-2.7455650092813441E-3</c:v>
                </c:pt>
                <c:pt idx="1">
                  <c:v>-2.8566288019025591E-3</c:v>
                </c:pt>
                <c:pt idx="2">
                  <c:v>-3.2961051967293517E-3</c:v>
                </c:pt>
                <c:pt idx="3">
                  <c:v>-4.4803067780945175E-3</c:v>
                </c:pt>
                <c:pt idx="4">
                  <c:v>-6.7670298128777598E-3</c:v>
                </c:pt>
                <c:pt idx="5">
                  <c:v>-1.0029730675687553E-2</c:v>
                </c:pt>
                <c:pt idx="6">
                  <c:v>-1.3475804483069776E-2</c:v>
                </c:pt>
                <c:pt idx="7">
                  <c:v>-1.5993468850045021E-2</c:v>
                </c:pt>
                <c:pt idx="8">
                  <c:v>-1.6772019093305741E-2</c:v>
                </c:pt>
                <c:pt idx="9">
                  <c:v>-1.5691819056443804E-2</c:v>
                </c:pt>
                <c:pt idx="10">
                  <c:v>-1.3256202618526086E-2</c:v>
                </c:pt>
                <c:pt idx="11">
                  <c:v>-1.0231776798354056E-2</c:v>
                </c:pt>
                <c:pt idx="12">
                  <c:v>-7.2937602134891012E-3</c:v>
                </c:pt>
                <c:pt idx="13">
                  <c:v>-4.8481219728844817E-3</c:v>
                </c:pt>
                <c:pt idx="14">
                  <c:v>-3.0301086570599474E-3</c:v>
                </c:pt>
                <c:pt idx="15">
                  <c:v>-1.7938430555940637E-3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5D-2C47-953D-DC703EDFFCAD}"/>
            </c:ext>
          </c:extLst>
        </c:ser>
        <c:ser>
          <c:idx val="5"/>
          <c:order val="5"/>
          <c:tx>
            <c:strRef>
              <c:f>'PART 1'!$BD$5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1'!$BD$65:$BD$80</c:f>
              <c:numCache>
                <c:formatCode>0.0E+00</c:formatCode>
                <c:ptCount val="16"/>
                <c:pt idx="0">
                  <c:v>-2.7759065175794548E-3</c:v>
                </c:pt>
                <c:pt idx="1">
                  <c:v>-2.9802990718880199E-3</c:v>
                </c:pt>
                <c:pt idx="2">
                  <c:v>-3.6025734125800816E-3</c:v>
                </c:pt>
                <c:pt idx="3">
                  <c:v>-4.9701523134566541E-3</c:v>
                </c:pt>
                <c:pt idx="4">
                  <c:v>-7.2313964238831527E-3</c:v>
                </c:pt>
                <c:pt idx="5">
                  <c:v>-1.0108880677340807E-2</c:v>
                </c:pt>
                <c:pt idx="6">
                  <c:v>-1.2912889701560515E-2</c:v>
                </c:pt>
                <c:pt idx="7">
                  <c:v>-1.4853435461935573E-2</c:v>
                </c:pt>
                <c:pt idx="8">
                  <c:v>-1.5419284289836051E-2</c:v>
                </c:pt>
                <c:pt idx="9">
                  <c:v>-1.4566456666781963E-2</c:v>
                </c:pt>
                <c:pt idx="10">
                  <c:v>-1.264703167011603E-2</c:v>
                </c:pt>
                <c:pt idx="11">
                  <c:v>-1.0189818772857467E-2</c:v>
                </c:pt>
                <c:pt idx="12">
                  <c:v>-7.6864588961526245E-3</c:v>
                </c:pt>
                <c:pt idx="13">
                  <c:v>-5.4711962243418569E-3</c:v>
                </c:pt>
                <c:pt idx="14">
                  <c:v>-3.7002851246013173E-3</c:v>
                </c:pt>
                <c:pt idx="15">
                  <c:v>-2.3922721286578283E-3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5D-2C47-953D-DC703EDFFCAD}"/>
            </c:ext>
          </c:extLst>
        </c:ser>
        <c:ser>
          <c:idx val="6"/>
          <c:order val="6"/>
          <c:tx>
            <c:strRef>
              <c:f>'PART 1'!$BE$5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1'!$BE$65:$BE$80</c:f>
              <c:numCache>
                <c:formatCode>0.0E+00</c:formatCode>
                <c:ptCount val="16"/>
                <c:pt idx="0">
                  <c:v>-2.8259547148392593E-3</c:v>
                </c:pt>
                <c:pt idx="1">
                  <c:v>-3.1318747629846041E-3</c:v>
                </c:pt>
                <c:pt idx="2">
                  <c:v>-3.9028479694838856E-3</c:v>
                </c:pt>
                <c:pt idx="3">
                  <c:v>-5.3657715890430982E-3</c:v>
                </c:pt>
                <c:pt idx="4">
                  <c:v>-7.5287527849961971E-3</c:v>
                </c:pt>
                <c:pt idx="5">
                  <c:v>-1.0062994069021428E-2</c:v>
                </c:pt>
                <c:pt idx="6">
                  <c:v>-1.2392113933065892E-2</c:v>
                </c:pt>
                <c:pt idx="7">
                  <c:v>-1.3939759836733604E-2</c:v>
                </c:pt>
                <c:pt idx="8">
                  <c:v>-1.4366984985154352E-2</c:v>
                </c:pt>
                <c:pt idx="9">
                  <c:v>-1.3666345887393121E-2</c:v>
                </c:pt>
                <c:pt idx="10">
                  <c:v>-1.2099202788686914E-2</c:v>
                </c:pt>
                <c:pt idx="11">
                  <c:v>-1.0051284122032942E-2</c:v>
                </c:pt>
                <c:pt idx="12">
                  <c:v>-7.893853933416602E-3</c:v>
                </c:pt>
                <c:pt idx="13">
                  <c:v>-5.8999589052510281E-3</c:v>
                </c:pt>
                <c:pt idx="14">
                  <c:v>-4.2213016553534046E-3</c:v>
                </c:pt>
                <c:pt idx="15">
                  <c:v>-2.9061114302827689E-3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5D-2C47-953D-DC703EDFFCAD}"/>
            </c:ext>
          </c:extLst>
        </c:ser>
        <c:ser>
          <c:idx val="7"/>
          <c:order val="7"/>
          <c:tx>
            <c:strRef>
              <c:f>'PART 1'!$BF$5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1'!$BF$65:$BF$80</c:f>
              <c:numCache>
                <c:formatCode>0.0E+00</c:formatCode>
                <c:ptCount val="16"/>
                <c:pt idx="0">
                  <c:v>-2.8935398132426695E-3</c:v>
                </c:pt>
                <c:pt idx="1">
                  <c:v>-3.2972063885507272E-3</c:v>
                </c:pt>
                <c:pt idx="2">
                  <c:v>-4.1791297448183088E-3</c:v>
                </c:pt>
                <c:pt idx="3">
                  <c:v>-5.6768554506357767E-3</c:v>
                </c:pt>
                <c:pt idx="4">
                  <c:v>-7.7118709032317498E-3</c:v>
                </c:pt>
                <c:pt idx="5">
                  <c:v>-9.9516101344284506E-3</c:v>
                </c:pt>
                <c:pt idx="6">
                  <c:v>-1.1920065087977326E-2</c:v>
                </c:pt>
                <c:pt idx="7">
                  <c:v>-1.3186557758762879E-2</c:v>
                </c:pt>
                <c:pt idx="8">
                  <c:v>-1.3517963670552632E-2</c:v>
                </c:pt>
                <c:pt idx="9">
                  <c:v>-1.2925392205369028E-2</c:v>
                </c:pt>
                <c:pt idx="10">
                  <c:v>-1.1611415670433153E-2</c:v>
                </c:pt>
                <c:pt idx="11">
                  <c:v>-9.8694486005125679E-3</c:v>
                </c:pt>
                <c:pt idx="12">
                  <c:v>-7.9885139104826329E-3</c:v>
                </c:pt>
                <c:pt idx="13">
                  <c:v>-6.1930304020196749E-3</c:v>
                </c:pt>
                <c:pt idx="14">
                  <c:v>-4.6217799138964814E-3</c:v>
                </c:pt>
                <c:pt idx="15">
                  <c:v>-3.335183926006229E-3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5D-2C47-953D-DC703EDFFCAD}"/>
            </c:ext>
          </c:extLst>
        </c:ser>
        <c:ser>
          <c:idx val="8"/>
          <c:order val="8"/>
          <c:tx>
            <c:strRef>
              <c:f>'PART 1'!$BG$5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1'!$BG$65:$BG$80</c:f>
              <c:numCache>
                <c:formatCode>0.0E+00</c:formatCode>
                <c:ptCount val="16"/>
                <c:pt idx="0">
                  <c:v>-2.9745407326810342E-3</c:v>
                </c:pt>
                <c:pt idx="1">
                  <c:v>-3.4653892294819488E-3</c:v>
                </c:pt>
                <c:pt idx="2">
                  <c:v>-4.4243922069118237E-3</c:v>
                </c:pt>
                <c:pt idx="3">
                  <c:v>-5.9176084004724629E-3</c:v>
                </c:pt>
                <c:pt idx="4">
                  <c:v>-7.8166089407926669E-3</c:v>
                </c:pt>
                <c:pt idx="5">
                  <c:v>-9.8064709579600198E-3</c:v>
                </c:pt>
                <c:pt idx="6">
                  <c:v>-1.1494397692837135E-2</c:v>
                </c:pt>
                <c:pt idx="7">
                  <c:v>-1.2551843576152015E-2</c:v>
                </c:pt>
                <c:pt idx="8">
                  <c:v>-1.2814040929066278E-2</c:v>
                </c:pt>
                <c:pt idx="9">
                  <c:v>-1.2301674794922935E-2</c:v>
                </c:pt>
                <c:pt idx="10">
                  <c:v>-1.1176963739115761E-2</c:v>
                </c:pt>
                <c:pt idx="11">
                  <c:v>-9.6704930598419305E-3</c:v>
                </c:pt>
                <c:pt idx="12">
                  <c:v>-8.0130165823124131E-3</c:v>
                </c:pt>
                <c:pt idx="13">
                  <c:v>-6.3909099723109108E-3</c:v>
                </c:pt>
                <c:pt idx="14">
                  <c:v>-4.9282147036664344E-3</c:v>
                </c:pt>
                <c:pt idx="15">
                  <c:v>-3.6887846765490946E-3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5D-2C47-953D-DC703EDFFCAD}"/>
            </c:ext>
          </c:extLst>
        </c:ser>
        <c:ser>
          <c:idx val="9"/>
          <c:order val="9"/>
          <c:tx>
            <c:strRef>
              <c:f>'PART 1'!$BH$5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1'!$BH$65:$BH$80</c:f>
              <c:numCache>
                <c:formatCode>0.0E+00</c:formatCode>
                <c:ptCount val="16"/>
                <c:pt idx="0">
                  <c:v>-3.0644701991481109E-3</c:v>
                </c:pt>
                <c:pt idx="1">
                  <c:v>-3.6291051775172055E-3</c:v>
                </c:pt>
                <c:pt idx="2">
                  <c:v>-4.6374526107155391E-3</c:v>
                </c:pt>
                <c:pt idx="3">
                  <c:v>-6.1016334019955449E-3</c:v>
                </c:pt>
                <c:pt idx="4">
                  <c:v>-7.8671235306443047E-3</c:v>
                </c:pt>
                <c:pt idx="5">
                  <c:v>-9.6451190441120757E-3</c:v>
                </c:pt>
                <c:pt idx="6">
                  <c:v>-1.1110270272332369E-2</c:v>
                </c:pt>
                <c:pt idx="7">
                  <c:v>-1.2007493342890006E-2</c:v>
                </c:pt>
                <c:pt idx="8">
                  <c:v>-1.2217968869476467E-2</c:v>
                </c:pt>
                <c:pt idx="9">
                  <c:v>-1.1767207028136389E-2</c:v>
                </c:pt>
                <c:pt idx="10">
                  <c:v>-1.0788466868687762E-2</c:v>
                </c:pt>
                <c:pt idx="11">
                  <c:v>-9.467729272024954E-3</c:v>
                </c:pt>
                <c:pt idx="12">
                  <c:v>-7.9931531821723616E-3</c:v>
                </c:pt>
                <c:pt idx="13">
                  <c:v>-6.5212823673559805E-3</c:v>
                </c:pt>
                <c:pt idx="14">
                  <c:v>-5.1620402509720631E-3</c:v>
                </c:pt>
                <c:pt idx="15">
                  <c:v>-3.9783862782465148E-3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5D-2C47-953D-DC703EDFFCAD}"/>
            </c:ext>
          </c:extLst>
        </c:ser>
        <c:ser>
          <c:idx val="10"/>
          <c:order val="10"/>
          <c:tx>
            <c:strRef>
              <c:f>'PART 1'!$BI$5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1'!$BI$65:$BI$80</c:f>
              <c:numCache>
                <c:formatCode>0.0E+00</c:formatCode>
                <c:ptCount val="16"/>
                <c:pt idx="0">
                  <c:v>-3.9060795234005549E-3</c:v>
                </c:pt>
                <c:pt idx="1">
                  <c:v>-4.6638399497052219E-3</c:v>
                </c:pt>
                <c:pt idx="2">
                  <c:v>-5.5608382042685372E-3</c:v>
                </c:pt>
                <c:pt idx="3">
                  <c:v>-6.5062946270189768E-3</c:v>
                </c:pt>
                <c:pt idx="4">
                  <c:v>-7.3972014939008698E-3</c:v>
                </c:pt>
                <c:pt idx="5">
                  <c:v>-8.1406256076529543E-3</c:v>
                </c:pt>
                <c:pt idx="6">
                  <c:v>-8.6693635629029077E-3</c:v>
                </c:pt>
                <c:pt idx="7">
                  <c:v>-8.9486651023073793E-3</c:v>
                </c:pt>
                <c:pt idx="8">
                  <c:v>-8.9751028005605315E-3</c:v>
                </c:pt>
                <c:pt idx="9">
                  <c:v>-8.7703185933141747E-3</c:v>
                </c:pt>
                <c:pt idx="10">
                  <c:v>-8.3725679686127551E-3</c:v>
                </c:pt>
                <c:pt idx="11">
                  <c:v>-7.8283384366417338E-3</c:v>
                </c:pt>
                <c:pt idx="12">
                  <c:v>-7.1854125396378591E-3</c:v>
                </c:pt>
                <c:pt idx="13">
                  <c:v>-6.4879334644341218E-3</c:v>
                </c:pt>
                <c:pt idx="14">
                  <c:v>-5.7734613799355931E-3</c:v>
                </c:pt>
                <c:pt idx="15">
                  <c:v>-5.0716917348653141E-3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5D-2C47-953D-DC703EDFFCAD}"/>
            </c:ext>
          </c:extLst>
        </c:ser>
        <c:ser>
          <c:idx val="11"/>
          <c:order val="11"/>
          <c:tx>
            <c:strRef>
              <c:f>'PART 1'!$BJ$5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1'!$BJ$65:$BJ$80</c:f>
              <c:numCache>
                <c:formatCode>0.0E+00</c:formatCode>
                <c:ptCount val="16"/>
                <c:pt idx="0">
                  <c:v>-4.3115415135850984E-3</c:v>
                </c:pt>
                <c:pt idx="1">
                  <c:v>-4.9431138680195675E-3</c:v>
                </c:pt>
                <c:pt idx="2">
                  <c:v>-5.5918526285178528E-3</c:v>
                </c:pt>
                <c:pt idx="3">
                  <c:v>-6.203009537466892E-3</c:v>
                </c:pt>
                <c:pt idx="4">
                  <c:v>-6.7295642402378794E-3</c:v>
                </c:pt>
                <c:pt idx="5">
                  <c:v>-7.1374506431451127E-3</c:v>
                </c:pt>
                <c:pt idx="6">
                  <c:v>-7.4073093962565483E-3</c:v>
                </c:pt>
                <c:pt idx="7">
                  <c:v>-7.5335962746430792E-3</c:v>
                </c:pt>
                <c:pt idx="8">
                  <c:v>-7.5220946277461216E-3</c:v>
                </c:pt>
                <c:pt idx="9">
                  <c:v>-7.3867638032995399E-3</c:v>
                </c:pt>
                <c:pt idx="10">
                  <c:v>-7.1465985947723023E-3</c:v>
                </c:pt>
                <c:pt idx="11">
                  <c:v>-6.8229040345424603E-3</c:v>
                </c:pt>
                <c:pt idx="12">
                  <c:v>-6.4371680775533067E-3</c:v>
                </c:pt>
                <c:pt idx="13">
                  <c:v>-6.0095608159226469E-3</c:v>
                </c:pt>
                <c:pt idx="14">
                  <c:v>-5.5579978541106306E-3</c:v>
                </c:pt>
                <c:pt idx="15">
                  <c:v>-5.0976627539948303E-3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5D-2C47-953D-DC703EDFFCAD}"/>
            </c:ext>
          </c:extLst>
        </c:ser>
        <c:ser>
          <c:idx val="12"/>
          <c:order val="12"/>
          <c:tx>
            <c:strRef>
              <c:f>'PART 1'!$BK$5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1'!$BK$65:$BK$80</c:f>
              <c:numCache>
                <c:formatCode>0.0E+00</c:formatCode>
                <c:ptCount val="16"/>
                <c:pt idx="0">
                  <c:v>-4.4449459591958595E-3</c:v>
                </c:pt>
                <c:pt idx="1">
                  <c:v>-4.9441990412020876E-3</c:v>
                </c:pt>
                <c:pt idx="2">
                  <c:v>-5.4205251022373738E-3</c:v>
                </c:pt>
                <c:pt idx="3">
                  <c:v>-5.8431155456613298E-3</c:v>
                </c:pt>
                <c:pt idx="4">
                  <c:v>-6.1892467301935278E-3</c:v>
                </c:pt>
                <c:pt idx="5">
                  <c:v>-6.4450121800711767E-3</c:v>
                </c:pt>
                <c:pt idx="6">
                  <c:v>-6.6047083995409124E-3</c:v>
                </c:pt>
                <c:pt idx="7">
                  <c:v>-6.6694501790953101E-3</c:v>
                </c:pt>
                <c:pt idx="8">
                  <c:v>-6.6454793488187084E-3</c:v>
                </c:pt>
                <c:pt idx="9">
                  <c:v>-6.5424854296488606E-3</c:v>
                </c:pt>
                <c:pt idx="10">
                  <c:v>-6.3721242598401683E-3</c:v>
                </c:pt>
                <c:pt idx="11">
                  <c:v>-6.1468195139975871E-3</c:v>
                </c:pt>
                <c:pt idx="12">
                  <c:v>-5.878864045591803E-3</c:v>
                </c:pt>
                <c:pt idx="13">
                  <c:v>-5.5797978516286557E-3</c:v>
                </c:pt>
                <c:pt idx="14">
                  <c:v>-5.2600197731251814E-3</c:v>
                </c:pt>
                <c:pt idx="15">
                  <c:v>-4.9285838735718878E-3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5D-2C47-953D-DC703EDFFCAD}"/>
            </c:ext>
          </c:extLst>
        </c:ser>
        <c:ser>
          <c:idx val="13"/>
          <c:order val="13"/>
          <c:tx>
            <c:strRef>
              <c:f>'PART 1'!$BL$5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1'!$BL$65:$BL$80</c:f>
              <c:numCache>
                <c:formatCode>0.0E+00</c:formatCode>
                <c:ptCount val="16"/>
                <c:pt idx="0">
                  <c:v>-4.4506931310945913E-3</c:v>
                </c:pt>
                <c:pt idx="1">
                  <c:v>-4.8470336344956415E-3</c:v>
                </c:pt>
                <c:pt idx="2">
                  <c:v>-5.2079453242293719E-3</c:v>
                </c:pt>
                <c:pt idx="3">
                  <c:v>-5.5157974209524754E-3</c:v>
                </c:pt>
                <c:pt idx="4">
                  <c:v>-5.7591509076171275E-3</c:v>
                </c:pt>
                <c:pt idx="5">
                  <c:v>-5.9323203516186383E-3</c:v>
                </c:pt>
                <c:pt idx="6">
                  <c:v>-6.034451531851978E-3</c:v>
                </c:pt>
                <c:pt idx="7">
                  <c:v>-6.0684137853336054E-3</c:v>
                </c:pt>
                <c:pt idx="8">
                  <c:v>-6.0397034478215008E-3</c:v>
                </c:pt>
                <c:pt idx="9">
                  <c:v>-5.9554697812400975E-3</c:v>
                </c:pt>
                <c:pt idx="10">
                  <c:v>-5.8237133546421476E-3</c:v>
                </c:pt>
                <c:pt idx="11">
                  <c:v>-5.652667007465118E-3</c:v>
                </c:pt>
                <c:pt idx="12">
                  <c:v>-5.4503464919609555E-3</c:v>
                </c:pt>
                <c:pt idx="13">
                  <c:v>-5.224246643841227E-3</c:v>
                </c:pt>
                <c:pt idx="14">
                  <c:v>-4.9811552559788875E-3</c:v>
                </c:pt>
                <c:pt idx="15">
                  <c:v>-4.7270575931021254E-3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5D-2C47-953D-DC703EDFFCAD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Theta,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1'!$AY$5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1'!$AY$83:$AY$98</c:f>
              <c:numCache>
                <c:formatCode>0.0E+00</c:formatCode>
                <c:ptCount val="16"/>
                <c:pt idx="0">
                  <c:v>-2.7370090589788143E-3</c:v>
                </c:pt>
                <c:pt idx="1">
                  <c:v>-2.7384393585732913E-3</c:v>
                </c:pt>
                <c:pt idx="2">
                  <c:v>-2.7751853855400113E-3</c:v>
                </c:pt>
                <c:pt idx="3">
                  <c:v>-3.200258149889842E-3</c:v>
                </c:pt>
                <c:pt idx="4">
                  <c:v>-5.698641761719251E-3</c:v>
                </c:pt>
                <c:pt idx="5">
                  <c:v>-1.3828580164981728E-2</c:v>
                </c:pt>
                <c:pt idx="6">
                  <c:v>-2.9206464545394779E-2</c:v>
                </c:pt>
                <c:pt idx="7">
                  <c:v>-4.5802295382685571E-2</c:v>
                </c:pt>
                <c:pt idx="8">
                  <c:v>-5.3166901690558398E-2</c:v>
                </c:pt>
                <c:pt idx="9">
                  <c:v>-4.7081464790796758E-2</c:v>
                </c:pt>
                <c:pt idx="10">
                  <c:v>-3.2882505212348916E-2</c:v>
                </c:pt>
                <c:pt idx="11">
                  <c:v>-1.866907172055916E-2</c:v>
                </c:pt>
                <c:pt idx="12">
                  <c:v>-8.8462285648095614E-3</c:v>
                </c:pt>
                <c:pt idx="13">
                  <c:v>-3.5786580739720843E-3</c:v>
                </c:pt>
                <c:pt idx="14">
                  <c:v>-1.260330268284699E-3</c:v>
                </c:pt>
                <c:pt idx="15">
                  <c:v>-3.9297144098692465E-4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5F41-8259-153F74A8D965}"/>
            </c:ext>
          </c:extLst>
        </c:ser>
        <c:ser>
          <c:idx val="1"/>
          <c:order val="1"/>
          <c:tx>
            <c:strRef>
              <c:f>'PART 1'!$AZ$5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1'!$AZ$83:$AZ$98</c:f>
              <c:numCache>
                <c:formatCode>0.0E+00</c:formatCode>
                <c:ptCount val="16"/>
                <c:pt idx="0">
                  <c:v>-2.7554034070823262E-3</c:v>
                </c:pt>
                <c:pt idx="1">
                  <c:v>-2.9110910519761588E-3</c:v>
                </c:pt>
                <c:pt idx="2">
                  <c:v>-3.6535717009432696E-3</c:v>
                </c:pt>
                <c:pt idx="3">
                  <c:v>-5.9748778197106335E-3</c:v>
                </c:pt>
                <c:pt idx="4">
                  <c:v>-1.10177962891768E-2</c:v>
                </c:pt>
                <c:pt idx="5">
                  <c:v>-1.8920546118769043E-2</c:v>
                </c:pt>
                <c:pt idx="6">
                  <c:v>-2.7948723093094568E-2</c:v>
                </c:pt>
                <c:pt idx="7">
                  <c:v>-3.5117893436459033E-2</c:v>
                </c:pt>
                <c:pt idx="8">
                  <c:v>-3.7961085877947935E-2</c:v>
                </c:pt>
                <c:pt idx="9">
                  <c:v>-3.5887085071293796E-2</c:v>
                </c:pt>
                <c:pt idx="10">
                  <c:v>-3.0158506291189109E-2</c:v>
                </c:pt>
                <c:pt idx="11">
                  <c:v>-2.2863700804185774E-2</c:v>
                </c:pt>
                <c:pt idx="12">
                  <c:v>-1.5839601740941497E-2</c:v>
                </c:pt>
                <c:pt idx="13">
                  <c:v>-1.014032119671531E-2</c:v>
                </c:pt>
                <c:pt idx="14">
                  <c:v>-6.0570414062779705E-3</c:v>
                </c:pt>
                <c:pt idx="15">
                  <c:v>-3.4040675739607398E-3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5F41-8259-153F74A8D965}"/>
            </c:ext>
          </c:extLst>
        </c:ser>
        <c:ser>
          <c:idx val="2"/>
          <c:order val="2"/>
          <c:tx>
            <c:strRef>
              <c:f>'PART 1'!$BA$5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1'!$BA$83:$BA$98</c:f>
              <c:numCache>
                <c:formatCode>0.0E+00</c:formatCode>
                <c:ptCount val="16"/>
                <c:pt idx="0">
                  <c:v>-2.9240164229944543E-3</c:v>
                </c:pt>
                <c:pt idx="1">
                  <c:v>-3.53207932680338E-3</c:v>
                </c:pt>
                <c:pt idx="2">
                  <c:v>-5.1547376184022812E-3</c:v>
                </c:pt>
                <c:pt idx="3">
                  <c:v>-8.3878067698842373E-3</c:v>
                </c:pt>
                <c:pt idx="4">
                  <c:v>-1.3379282786554696E-2</c:v>
                </c:pt>
                <c:pt idx="5">
                  <c:v>-1.9475295532731803E-2</c:v>
                </c:pt>
                <c:pt idx="6">
                  <c:v>-2.5349701673582331E-2</c:v>
                </c:pt>
                <c:pt idx="7">
                  <c:v>-2.9571904838263087E-2</c:v>
                </c:pt>
                <c:pt idx="8">
                  <c:v>-3.1217648413626151E-2</c:v>
                </c:pt>
                <c:pt idx="9">
                  <c:v>-3.0157913993785503E-2</c:v>
                </c:pt>
                <c:pt idx="10">
                  <c:v>-2.6948764257055113E-2</c:v>
                </c:pt>
                <c:pt idx="11">
                  <c:v>-2.2490389957066471E-2</c:v>
                </c:pt>
                <c:pt idx="12">
                  <c:v>-1.767852509144039E-2</c:v>
                </c:pt>
                <c:pt idx="13">
                  <c:v>-1.3184887648883667E-2</c:v>
                </c:pt>
                <c:pt idx="14">
                  <c:v>-9.3897588759763555E-3</c:v>
                </c:pt>
                <c:pt idx="15">
                  <c:v>-6.4206607150103252E-3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4-5F41-8259-153F74A8D965}"/>
            </c:ext>
          </c:extLst>
        </c:ser>
        <c:ser>
          <c:idx val="3"/>
          <c:order val="3"/>
          <c:tx>
            <c:strRef>
              <c:f>'PART 1'!$BB$5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1'!$BB$83:$BB$98</c:f>
              <c:numCache>
                <c:formatCode>0.0E+00</c:formatCode>
                <c:ptCount val="16"/>
                <c:pt idx="0">
                  <c:v>-3.2840526299164506E-3</c:v>
                </c:pt>
                <c:pt idx="1">
                  <c:v>-4.357193615421368E-3</c:v>
                </c:pt>
                <c:pt idx="2">
                  <c:v>-6.4892385976516543E-3</c:v>
                </c:pt>
                <c:pt idx="3">
                  <c:v>-9.8702494383240066E-3</c:v>
                </c:pt>
                <c:pt idx="4">
                  <c:v>-1.4263395883486386E-2</c:v>
                </c:pt>
                <c:pt idx="5">
                  <c:v>-1.8997478808385648E-2</c:v>
                </c:pt>
                <c:pt idx="6">
                  <c:v>-2.3190512154875571E-2</c:v>
                </c:pt>
                <c:pt idx="7">
                  <c:v>-2.6066463648258709E-2</c:v>
                </c:pt>
                <c:pt idx="8">
                  <c:v>-2.719356915301414E-2</c:v>
                </c:pt>
                <c:pt idx="9">
                  <c:v>-2.6554602974384736E-2</c:v>
                </c:pt>
                <c:pt idx="10">
                  <c:v>-2.4465648975409482E-2</c:v>
                </c:pt>
                <c:pt idx="11">
                  <c:v>-2.1419564055203524E-2</c:v>
                </c:pt>
                <c:pt idx="12">
                  <c:v>-1.7931552934909698E-2</c:v>
                </c:pt>
                <c:pt idx="13">
                  <c:v>-1.4432600615470369E-2</c:v>
                </c:pt>
                <c:pt idx="14">
                  <c:v>-1.1221383021929375E-2</c:v>
                </c:pt>
                <c:pt idx="15">
                  <c:v>-8.4627172880202932E-3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4-5F41-8259-153F74A8D965}"/>
            </c:ext>
          </c:extLst>
        </c:ser>
        <c:ser>
          <c:idx val="4"/>
          <c:order val="4"/>
          <c:tx>
            <c:strRef>
              <c:f>'PART 1'!$BC$5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1'!$BC$83:$BC$98</c:f>
              <c:numCache>
                <c:formatCode>0.0E+00</c:formatCode>
                <c:ptCount val="16"/>
                <c:pt idx="0">
                  <c:v>-3.7464957345846777E-3</c:v>
                </c:pt>
                <c:pt idx="1">
                  <c:v>-5.1525425587608895E-3</c:v>
                </c:pt>
                <c:pt idx="2">
                  <c:v>-7.489192016738048E-3</c:v>
                </c:pt>
                <c:pt idx="3">
                  <c:v>-1.0717685052081793E-2</c:v>
                </c:pt>
                <c:pt idx="4">
                  <c:v>-1.4499296200671882E-2</c:v>
                </c:pt>
                <c:pt idx="5">
                  <c:v>-1.828050979333417E-2</c:v>
                </c:pt>
                <c:pt idx="6">
                  <c:v>-2.1467383523570929E-2</c:v>
                </c:pt>
                <c:pt idx="7">
                  <c:v>-2.3598091363147063E-2</c:v>
                </c:pt>
                <c:pt idx="8">
                  <c:v>-2.4444510514490304E-2</c:v>
                </c:pt>
                <c:pt idx="9">
                  <c:v>-2.4023816247406422E-2</c:v>
                </c:pt>
                <c:pt idx="10">
                  <c:v>-2.2542204530891296E-2</c:v>
                </c:pt>
                <c:pt idx="11">
                  <c:v>-2.0309088052372956E-2</c:v>
                </c:pt>
                <c:pt idx="12">
                  <c:v>-1.765520744772291E-2</c:v>
                </c:pt>
                <c:pt idx="13">
                  <c:v>-1.4873655776512916E-2</c:v>
                </c:pt>
                <c:pt idx="14">
                  <c:v>-1.2188659696609502E-2</c:v>
                </c:pt>
                <c:pt idx="15">
                  <c:v>-9.7478059178200769E-3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94-5F41-8259-153F74A8D965}"/>
            </c:ext>
          </c:extLst>
        </c:ser>
        <c:ser>
          <c:idx val="5"/>
          <c:order val="5"/>
          <c:tx>
            <c:strRef>
              <c:f>'PART 1'!$BD$5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1'!$BD$83:$BD$98</c:f>
              <c:numCache>
                <c:formatCode>0.0E+00</c:formatCode>
                <c:ptCount val="16"/>
                <c:pt idx="0">
                  <c:v>-4.2266721251811067E-3</c:v>
                </c:pt>
                <c:pt idx="1">
                  <c:v>-5.831472640071036E-3</c:v>
                </c:pt>
                <c:pt idx="2">
                  <c:v>-8.1977844053933539E-3</c:v>
                </c:pt>
                <c:pt idx="3">
                  <c:v>-1.1179621236328733E-2</c:v>
                </c:pt>
                <c:pt idx="4">
                  <c:v>-1.4439145321886381E-2</c:v>
                </c:pt>
                <c:pt idx="5">
                  <c:v>-1.7540881018903672E-2</c:v>
                </c:pt>
                <c:pt idx="6">
                  <c:v>-2.0072212101404661E-2</c:v>
                </c:pt>
                <c:pt idx="7">
                  <c:v>-2.1739507935681014E-2</c:v>
                </c:pt>
                <c:pt idx="8">
                  <c:v>-2.241307860004893E-2</c:v>
                </c:pt>
                <c:pt idx="9">
                  <c:v>-2.212123321464014E-2</c:v>
                </c:pt>
                <c:pt idx="10">
                  <c:v>-2.1010485353721235E-2</c:v>
                </c:pt>
                <c:pt idx="11">
                  <c:v>-1.9292988394988071E-2</c:v>
                </c:pt>
                <c:pt idx="12">
                  <c:v>-1.7197786619104271E-2</c:v>
                </c:pt>
                <c:pt idx="13">
                  <c:v>-1.4934929953222837E-2</c:v>
                </c:pt>
                <c:pt idx="14">
                  <c:v>-1.2674767689475161E-2</c:v>
                </c:pt>
                <c:pt idx="15">
                  <c:v>-1.0540425442422924E-2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94-5F41-8259-153F74A8D965}"/>
            </c:ext>
          </c:extLst>
        </c:ser>
        <c:ser>
          <c:idx val="6"/>
          <c:order val="6"/>
          <c:tx>
            <c:strRef>
              <c:f>'PART 1'!$BE$5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1'!$BE$83:$BE$98</c:f>
              <c:numCache>
                <c:formatCode>0.0E+00</c:formatCode>
                <c:ptCount val="16"/>
                <c:pt idx="0">
                  <c:v>-4.6773378076668008E-3</c:v>
                </c:pt>
                <c:pt idx="1">
                  <c:v>-6.3812568814145491E-3</c:v>
                </c:pt>
                <c:pt idx="2">
                  <c:v>-8.6874998115432783E-3</c:v>
                </c:pt>
                <c:pt idx="3">
                  <c:v>-1.1408578907631757E-2</c:v>
                </c:pt>
                <c:pt idx="4">
                  <c:v>-1.4240291587279179E-2</c:v>
                </c:pt>
                <c:pt idx="5">
                  <c:v>-1.6842302052625397E-2</c:v>
                </c:pt>
                <c:pt idx="6">
                  <c:v>-1.8919112440667987E-2</c:v>
                </c:pt>
                <c:pt idx="7">
                  <c:v>-2.027483216544659E-2</c:v>
                </c:pt>
                <c:pt idx="8">
                  <c:v>-2.0832551779675485E-2</c:v>
                </c:pt>
                <c:pt idx="9">
                  <c:v>-2.0623478187417936E-2</c:v>
                </c:pt>
                <c:pt idx="10">
                  <c:v>-1.9757921770085968E-2</c:v>
                </c:pt>
                <c:pt idx="11">
                  <c:v>-1.8390546994241766E-2</c:v>
                </c:pt>
                <c:pt idx="12">
                  <c:v>-1.6688925692270075E-2</c:v>
                </c:pt>
                <c:pt idx="13">
                  <c:v>-1.4810120409906823E-2</c:v>
                </c:pt>
                <c:pt idx="14">
                  <c:v>-1.288644175555032E-2</c:v>
                </c:pt>
                <c:pt idx="15">
                  <c:v>-1.1019268116335419E-2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5F41-8259-153F74A8D965}"/>
            </c:ext>
          </c:extLst>
        </c:ser>
        <c:ser>
          <c:idx val="7"/>
          <c:order val="7"/>
          <c:tx>
            <c:strRef>
              <c:f>'PART 1'!$BF$5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1'!$BF$83:$BF$98</c:f>
              <c:numCache>
                <c:formatCode>0.0E+00</c:formatCode>
                <c:ptCount val="16"/>
                <c:pt idx="0">
                  <c:v>-5.0786247725683785E-3</c:v>
                </c:pt>
                <c:pt idx="1">
                  <c:v>-6.8151486431387992E-3</c:v>
                </c:pt>
                <c:pt idx="2">
                  <c:v>-9.0191515837346869E-3</c:v>
                </c:pt>
                <c:pt idx="3">
                  <c:v>-1.1494534366605027E-2</c:v>
                </c:pt>
                <c:pt idx="4">
                  <c:v>-1.3977728689804639E-2</c:v>
                </c:pt>
                <c:pt idx="5">
                  <c:v>-1.6201218780702211E-2</c:v>
                </c:pt>
                <c:pt idx="6">
                  <c:v>-1.7947741673441635E-2</c:v>
                </c:pt>
                <c:pt idx="7">
                  <c:v>-1.908186902785227E-2</c:v>
                </c:pt>
                <c:pt idx="8">
                  <c:v>-1.9557141895031962E-2</c:v>
                </c:pt>
                <c:pt idx="9">
                  <c:v>-1.9404508788504027E-2</c:v>
                </c:pt>
                <c:pt idx="10">
                  <c:v>-1.8710553199128836E-2</c:v>
                </c:pt>
                <c:pt idx="11">
                  <c:v>-1.7593214524963083E-2</c:v>
                </c:pt>
                <c:pt idx="12">
                  <c:v>-1.6180273840676138E-2</c:v>
                </c:pt>
                <c:pt idx="13">
                  <c:v>-1.4593239843257905E-2</c:v>
                </c:pt>
                <c:pt idx="14">
                  <c:v>-1.293720288686831E-2</c:v>
                </c:pt>
                <c:pt idx="15">
                  <c:v>-1.1295950059962642E-2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94-5F41-8259-153F74A8D965}"/>
            </c:ext>
          </c:extLst>
        </c:ser>
        <c:ser>
          <c:idx val="8"/>
          <c:order val="8"/>
          <c:tx>
            <c:strRef>
              <c:f>'PART 1'!$BG$5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1'!$BG$83:$BG$98</c:f>
              <c:numCache>
                <c:formatCode>0.0E+00</c:formatCode>
                <c:ptCount val="16"/>
                <c:pt idx="0">
                  <c:v>-5.4255984700706337E-3</c:v>
                </c:pt>
                <c:pt idx="1">
                  <c:v>-7.1525632302570528E-3</c:v>
                </c:pt>
                <c:pt idx="2">
                  <c:v>-9.237517167095817E-3</c:v>
                </c:pt>
                <c:pt idx="3">
                  <c:v>-1.1491324857295039E-2</c:v>
                </c:pt>
                <c:pt idx="4">
                  <c:v>-1.3689031824410378E-2</c:v>
                </c:pt>
                <c:pt idx="5">
                  <c:v>-1.5618329948938497E-2</c:v>
                </c:pt>
                <c:pt idx="6">
                  <c:v>-1.7115914972014597E-2</c:v>
                </c:pt>
                <c:pt idx="7">
                  <c:v>-1.8085627495394288E-2</c:v>
                </c:pt>
                <c:pt idx="8">
                  <c:v>-1.8499543727220395E-2</c:v>
                </c:pt>
                <c:pt idx="9">
                  <c:v>-1.8387139627239556E-2</c:v>
                </c:pt>
                <c:pt idx="10">
                  <c:v>-1.7818534989544197E-2</c:v>
                </c:pt>
                <c:pt idx="11">
                  <c:v>-1.6886802339123184E-2</c:v>
                </c:pt>
                <c:pt idx="12">
                  <c:v>-1.5692573205020703E-2</c:v>
                </c:pt>
                <c:pt idx="13">
                  <c:v>-1.4332479374002487E-2</c:v>
                </c:pt>
                <c:pt idx="14">
                  <c:v>-1.2891700006954084E-2</c:v>
                </c:pt>
                <c:pt idx="15">
                  <c:v>-1.1440121530180779E-2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94-5F41-8259-153F74A8D965}"/>
            </c:ext>
          </c:extLst>
        </c:ser>
        <c:ser>
          <c:idx val="9"/>
          <c:order val="9"/>
          <c:tx>
            <c:strRef>
              <c:f>'PART 1'!$BH$5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1'!$BH$83:$BH$98</c:f>
              <c:numCache>
                <c:formatCode>0.0E+00</c:formatCode>
                <c:ptCount val="16"/>
                <c:pt idx="0">
                  <c:v>-5.7204103630856462E-3</c:v>
                </c:pt>
                <c:pt idx="1">
                  <c:v>-7.4120928339153468E-3</c:v>
                </c:pt>
                <c:pt idx="2">
                  <c:v>-9.3744220477017387E-3</c:v>
                </c:pt>
                <c:pt idx="3">
                  <c:v>-1.1431961739693125E-2</c:v>
                </c:pt>
                <c:pt idx="4">
                  <c:v>-1.3393637214433273E-2</c:v>
                </c:pt>
                <c:pt idx="5">
                  <c:v>-1.5089188564501175E-2</c:v>
                </c:pt>
                <c:pt idx="6">
                  <c:v>-1.6393596048567813E-2</c:v>
                </c:pt>
                <c:pt idx="7">
                  <c:v>-1.7237212921161166E-2</c:v>
                </c:pt>
                <c:pt idx="8">
                  <c:v>-1.7603859125808106E-2</c:v>
                </c:pt>
                <c:pt idx="9">
                  <c:v>-1.7521124953687829E-2</c:v>
                </c:pt>
                <c:pt idx="10">
                  <c:v>-1.7047194723064183E-2</c:v>
                </c:pt>
                <c:pt idx="11">
                  <c:v>-1.6257524384379409E-2</c:v>
                </c:pt>
                <c:pt idx="12">
                  <c:v>-1.5233432069362835E-2</c:v>
                </c:pt>
                <c:pt idx="13">
                  <c:v>-1.4053526942902156E-2</c:v>
                </c:pt>
                <c:pt idx="14">
                  <c:v>-1.2788088843435075E-2</c:v>
                </c:pt>
                <c:pt idx="15">
                  <c:v>-1.1496032371718238E-2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94-5F41-8259-153F74A8D965}"/>
            </c:ext>
          </c:extLst>
        </c:ser>
        <c:ser>
          <c:idx val="10"/>
          <c:order val="10"/>
          <c:tx>
            <c:strRef>
              <c:f>'PART 1'!$BI$5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1'!$BI$83:$BI$98</c:f>
              <c:numCache>
                <c:formatCode>0.0E+00</c:formatCode>
                <c:ptCount val="16"/>
                <c:pt idx="0">
                  <c:v>-6.9075912196841331E-3</c:v>
                </c:pt>
                <c:pt idx="1">
                  <c:v>-8.0280824568745666E-3</c:v>
                </c:pt>
                <c:pt idx="2">
                  <c:v>-9.1161674037588455E-3</c:v>
                </c:pt>
                <c:pt idx="3">
                  <c:v>-1.0114146589079194E-2</c:v>
                </c:pt>
                <c:pt idx="4">
                  <c:v>-1.0978423756534976E-2</c:v>
                </c:pt>
                <c:pt idx="5">
                  <c:v>-1.1680564427523346E-2</c:v>
                </c:pt>
                <c:pt idx="6">
                  <c:v>-1.2206284758448777E-2</c:v>
                </c:pt>
                <c:pt idx="7">
                  <c:v>-1.2553262177061575E-2</c:v>
                </c:pt>
                <c:pt idx="8">
                  <c:v>-1.2728463618794253E-2</c:v>
                </c:pt>
                <c:pt idx="9">
                  <c:v>-1.2745464870043022E-2</c:v>
                </c:pt>
                <c:pt idx="10">
                  <c:v>-1.2622041071819228E-2</c:v>
                </c:pt>
                <c:pt idx="11">
                  <c:v>-1.2378162747524263E-2</c:v>
                </c:pt>
                <c:pt idx="12">
                  <c:v>-1.2034433412501376E-2</c:v>
                </c:pt>
                <c:pt idx="13">
                  <c:v>-1.1610945415607522E-2</c:v>
                </c:pt>
                <c:pt idx="14">
                  <c:v>-1.1126499754201312E-2</c:v>
                </c:pt>
                <c:pt idx="15">
                  <c:v>-1.0598123784426526E-2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94-5F41-8259-153F74A8D965}"/>
            </c:ext>
          </c:extLst>
        </c:ser>
        <c:ser>
          <c:idx val="11"/>
          <c:order val="11"/>
          <c:tx>
            <c:strRef>
              <c:f>'PART 1'!$BJ$5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1'!$BJ$83:$BJ$98</c:f>
              <c:numCache>
                <c:formatCode>0.0E+00</c:formatCode>
                <c:ptCount val="16"/>
                <c:pt idx="0">
                  <c:v>-6.8961627729754484E-3</c:v>
                </c:pt>
                <c:pt idx="1">
                  <c:v>-7.6548306918495903E-3</c:v>
                </c:pt>
                <c:pt idx="2">
                  <c:v>-8.3513115305343527E-3</c:v>
                </c:pt>
                <c:pt idx="3">
                  <c:v>-8.9648338134762397E-3</c:v>
                </c:pt>
                <c:pt idx="4">
                  <c:v>-9.4824502623308445E-3</c:v>
                </c:pt>
                <c:pt idx="5">
                  <c:v>-9.8979311833948171E-3</c:v>
                </c:pt>
                <c:pt idx="6">
                  <c:v>-1.0210444326795852E-2</c:v>
                </c:pt>
                <c:pt idx="7">
                  <c:v>-1.0423240181160184E-2</c:v>
                </c:pt>
                <c:pt idx="8">
                  <c:v>-1.0542463830339594E-2</c:v>
                </c:pt>
                <c:pt idx="9">
                  <c:v>-1.0576148146805823E-2</c:v>
                </c:pt>
                <c:pt idx="10">
                  <c:v>-1.0533401640780708E-2</c:v>
                </c:pt>
                <c:pt idx="11">
                  <c:v>-1.0423780656811408E-2</c:v>
                </c:pt>
                <c:pt idx="12">
                  <c:v>-1.0256823867313978E-2</c:v>
                </c:pt>
                <c:pt idx="13">
                  <c:v>-1.0041722702133398E-2</c:v>
                </c:pt>
                <c:pt idx="14">
                  <c:v>-9.7871013704636245E-3</c:v>
                </c:pt>
                <c:pt idx="15">
                  <c:v>-9.5008824301983392E-3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94-5F41-8259-153F74A8D965}"/>
            </c:ext>
          </c:extLst>
        </c:ser>
        <c:ser>
          <c:idx val="12"/>
          <c:order val="12"/>
          <c:tx>
            <c:strRef>
              <c:f>'PART 1'!$BK$5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1'!$BK$83:$BK$98</c:f>
              <c:numCache>
                <c:formatCode>0.0E+00</c:formatCode>
                <c:ptCount val="16"/>
                <c:pt idx="0">
                  <c:v>-6.6396758764085094E-3</c:v>
                </c:pt>
                <c:pt idx="1">
                  <c:v>-7.192380050596219E-3</c:v>
                </c:pt>
                <c:pt idx="2">
                  <c:v>-7.6868394879115219E-3</c:v>
                </c:pt>
                <c:pt idx="3">
                  <c:v>-8.1149466460868399E-3</c:v>
                </c:pt>
                <c:pt idx="4">
                  <c:v>-8.4728370429211185E-3</c:v>
                </c:pt>
                <c:pt idx="5">
                  <c:v>-8.7599485484381439E-3</c:v>
                </c:pt>
                <c:pt idx="6">
                  <c:v>-8.9781673669593175E-3</c:v>
                </c:pt>
                <c:pt idx="7">
                  <c:v>-9.1311004997066385E-3</c:v>
                </c:pt>
                <c:pt idx="8">
                  <c:v>-9.2234831742763722E-3</c:v>
                </c:pt>
                <c:pt idx="9">
                  <c:v>-9.2607131217351847E-3</c:v>
                </c:pt>
                <c:pt idx="10">
                  <c:v>-9.2484959771214677E-3</c:v>
                </c:pt>
                <c:pt idx="11">
                  <c:v>-9.1925836878554192E-3</c:v>
                </c:pt>
                <c:pt idx="12">
                  <c:v>-9.0985882404480273E-3</c:v>
                </c:pt>
                <c:pt idx="13">
                  <c:v>-8.9718548046599372E-3</c:v>
                </c:pt>
                <c:pt idx="14">
                  <c:v>-8.8173807012703626E-3</c:v>
                </c:pt>
                <c:pt idx="15">
                  <c:v>-8.6397689609062026E-3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94-5F41-8259-153F74A8D965}"/>
            </c:ext>
          </c:extLst>
        </c:ser>
        <c:ser>
          <c:idx val="13"/>
          <c:order val="13"/>
          <c:tx>
            <c:strRef>
              <c:f>'PART 1'!$BL$5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1'!$BL$83:$BL$98</c:f>
              <c:numCache>
                <c:formatCode>0.0E+00</c:formatCode>
                <c:ptCount val="16"/>
                <c:pt idx="0">
                  <c:v>-6.3421813403715197E-3</c:v>
                </c:pt>
                <c:pt idx="1">
                  <c:v>-6.7675570834690273E-3</c:v>
                </c:pt>
                <c:pt idx="2">
                  <c:v>-7.1428781562510599E-3</c:v>
                </c:pt>
                <c:pt idx="3">
                  <c:v>-7.4651637976795825E-3</c:v>
                </c:pt>
                <c:pt idx="4">
                  <c:v>-7.733848139373516E-3</c:v>
                </c:pt>
                <c:pt idx="5">
                  <c:v>-7.9501241141132859E-3</c:v>
                </c:pt>
                <c:pt idx="6">
                  <c:v>-8.1164075501158513E-3</c:v>
                </c:pt>
                <c:pt idx="7">
                  <c:v>-8.2359141695812644E-3</c:v>
                </c:pt>
                <c:pt idx="8">
                  <c:v>-8.3123348411768914E-3</c:v>
                </c:pt>
                <c:pt idx="9">
                  <c:v>-8.3495924672006352E-3</c:v>
                </c:pt>
                <c:pt idx="10">
                  <c:v>-8.3516645981479391E-3</c:v>
                </c:pt>
                <c:pt idx="11">
                  <c:v>-8.3224577439667061E-3</c:v>
                </c:pt>
                <c:pt idx="12">
                  <c:v>-8.2657215826439645E-3</c:v>
                </c:pt>
                <c:pt idx="13">
                  <c:v>-8.1849934471671798E-3</c:v>
                </c:pt>
                <c:pt idx="14">
                  <c:v>-8.0835654200644563E-3</c:v>
                </c:pt>
                <c:pt idx="15">
                  <c:v>-7.9644680195849089E-3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A94-5F41-8259-153F74A8D965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Theta,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1'!$AY$5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1'!$AY$101:$AY$116</c:f>
              <c:numCache>
                <c:formatCode>0.0E+00</c:formatCode>
                <c:ptCount val="16"/>
                <c:pt idx="0">
                  <c:v>-2.73698767077637E-3</c:v>
                </c:pt>
                <c:pt idx="1">
                  <c:v>-2.73698767077637E-3</c:v>
                </c:pt>
                <c:pt idx="2">
                  <c:v>-2.73698767077637E-3</c:v>
                </c:pt>
                <c:pt idx="3">
                  <c:v>-2.73698767077637E-3</c:v>
                </c:pt>
                <c:pt idx="4">
                  <c:v>-2.7369876710710071E-3</c:v>
                </c:pt>
                <c:pt idx="5">
                  <c:v>-2.7370216960127176E-3</c:v>
                </c:pt>
                <c:pt idx="6">
                  <c:v>-2.8064446980760206E-3</c:v>
                </c:pt>
                <c:pt idx="7">
                  <c:v>-7.3413816057933271E-3</c:v>
                </c:pt>
                <c:pt idx="8">
                  <c:v>-1.8613528687271508E-2</c:v>
                </c:pt>
                <c:pt idx="9">
                  <c:v>-5.28671161381895E-3</c:v>
                </c:pt>
                <c:pt idx="10">
                  <c:v>-1.7866856816921807E-4</c:v>
                </c:pt>
                <c:pt idx="11">
                  <c:v>-9.3541088387066068E-7</c:v>
                </c:pt>
                <c:pt idx="12">
                  <c:v>-9.6356189969112054E-10</c:v>
                </c:pt>
                <c:pt idx="13">
                  <c:v>-2.3989157086074879E-13</c:v>
                </c:pt>
                <c:pt idx="14">
                  <c:v>-1.7092084797681276E-17</c:v>
                </c:pt>
                <c:pt idx="15">
                  <c:v>-4.1214544252196709E-22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B6-7A49-8112-4FA5F7ED989F}"/>
            </c:ext>
          </c:extLst>
        </c:ser>
        <c:ser>
          <c:idx val="1"/>
          <c:order val="1"/>
          <c:tx>
            <c:strRef>
              <c:f>'PART 1'!$AZ$5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1'!$AZ$101:$AZ$116</c:f>
              <c:numCache>
                <c:formatCode>0.0E+00</c:formatCode>
                <c:ptCount val="16"/>
                <c:pt idx="0">
                  <c:v>-2.7342520511433781E-3</c:v>
                </c:pt>
                <c:pt idx="1">
                  <c:v>-2.7342520511433781E-3</c:v>
                </c:pt>
                <c:pt idx="2">
                  <c:v>-2.7342520511436002E-3</c:v>
                </c:pt>
                <c:pt idx="3">
                  <c:v>-2.734252065496396E-3</c:v>
                </c:pt>
                <c:pt idx="4">
                  <c:v>-2.7343046210602249E-3</c:v>
                </c:pt>
                <c:pt idx="5">
                  <c:v>-2.7517708871585499E-3</c:v>
                </c:pt>
                <c:pt idx="6">
                  <c:v>-3.5085848153074035E-3</c:v>
                </c:pt>
                <c:pt idx="7">
                  <c:v>-8.8577699445328267E-3</c:v>
                </c:pt>
                <c:pt idx="8">
                  <c:v>-1.3535300871054708E-2</c:v>
                </c:pt>
                <c:pt idx="9">
                  <c:v>-6.9251593069232708E-3</c:v>
                </c:pt>
                <c:pt idx="10">
                  <c:v>-1.242566770828095E-3</c:v>
                </c:pt>
                <c:pt idx="11">
                  <c:v>-8.8337350130216708E-5</c:v>
                </c:pt>
                <c:pt idx="12">
                  <c:v>-2.7944210346146551E-6</c:v>
                </c:pt>
                <c:pt idx="13">
                  <c:v>-4.3534961246708805E-8</c:v>
                </c:pt>
                <c:pt idx="14">
                  <c:v>-3.6461185921232311E-10</c:v>
                </c:pt>
                <c:pt idx="15">
                  <c:v>-1.7705199904869478E-12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B6-7A49-8112-4FA5F7ED989F}"/>
            </c:ext>
          </c:extLst>
        </c:ser>
        <c:ser>
          <c:idx val="2"/>
          <c:order val="2"/>
          <c:tx>
            <c:strRef>
              <c:f>'PART 1'!$BA$5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1'!$BA$101:$BA$116</c:f>
              <c:numCache>
                <c:formatCode>0.0E+00</c:formatCode>
                <c:ptCount val="16"/>
                <c:pt idx="0">
                  <c:v>-2.7315191657626657E-3</c:v>
                </c:pt>
                <c:pt idx="1">
                  <c:v>-2.7315191657631154E-3</c:v>
                </c:pt>
                <c:pt idx="2">
                  <c:v>-2.7315191729987563E-3</c:v>
                </c:pt>
                <c:pt idx="3">
                  <c:v>-2.7315306657575921E-3</c:v>
                </c:pt>
                <c:pt idx="4">
                  <c:v>-2.7342143492680654E-3</c:v>
                </c:pt>
                <c:pt idx="5">
                  <c:v>-2.8591807263639432E-3</c:v>
                </c:pt>
                <c:pt idx="6">
                  <c:v>-4.3003126555837372E-3</c:v>
                </c:pt>
                <c:pt idx="7">
                  <c:v>-8.8158683681505284E-3</c:v>
                </c:pt>
                <c:pt idx="8">
                  <c:v>-1.1279913705174775E-2</c:v>
                </c:pt>
                <c:pt idx="9">
                  <c:v>-7.0158802893989939E-3</c:v>
                </c:pt>
                <c:pt idx="10">
                  <c:v>-2.1914855478367195E-3</c:v>
                </c:pt>
                <c:pt idx="11">
                  <c:v>-3.7108017532474157E-4</c:v>
                </c:pt>
                <c:pt idx="12">
                  <c:v>-3.6716145388371676E-5</c:v>
                </c:pt>
                <c:pt idx="13">
                  <c:v>-2.2690000481848128E-6</c:v>
                </c:pt>
                <c:pt idx="14">
                  <c:v>-9.2797981680641681E-8</c:v>
                </c:pt>
                <c:pt idx="15">
                  <c:v>-2.6407838490966659E-9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B6-7A49-8112-4FA5F7ED989F}"/>
            </c:ext>
          </c:extLst>
        </c:ser>
        <c:ser>
          <c:idx val="3"/>
          <c:order val="3"/>
          <c:tx>
            <c:strRef>
              <c:f>'PART 1'!$BB$5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1'!$BB$101:$BB$116</c:f>
              <c:numCache>
                <c:formatCode>0.0E+00</c:formatCode>
                <c:ptCount val="16"/>
                <c:pt idx="0">
                  <c:v>-2.7287890119014209E-3</c:v>
                </c:pt>
                <c:pt idx="1">
                  <c:v>-2.7287890127842629E-3</c:v>
                </c:pt>
                <c:pt idx="2">
                  <c:v>-2.7287902599513634E-3</c:v>
                </c:pt>
                <c:pt idx="3">
                  <c:v>-2.7290997877292104E-3</c:v>
                </c:pt>
                <c:pt idx="4">
                  <c:v>-2.7471985547859621E-3</c:v>
                </c:pt>
                <c:pt idx="5">
                  <c:v>-3.0571750238875548E-3</c:v>
                </c:pt>
                <c:pt idx="6">
                  <c:v>-4.8532213135850707E-3</c:v>
                </c:pt>
                <c:pt idx="7">
                  <c:v>-8.4862859949359614E-3</c:v>
                </c:pt>
                <c:pt idx="8">
                  <c:v>-9.9320430286650076E-3</c:v>
                </c:pt>
                <c:pt idx="9">
                  <c:v>-6.8098735559710766E-3</c:v>
                </c:pt>
                <c:pt idx="10">
                  <c:v>-2.8039443543389827E-3</c:v>
                </c:pt>
                <c:pt idx="11">
                  <c:v>-7.3209341400207325E-4</c:v>
                </c:pt>
                <c:pt idx="12">
                  <c:v>-1.2801884230967088E-4</c:v>
                </c:pt>
                <c:pt idx="13">
                  <c:v>-1.5748328586345411E-5</c:v>
                </c:pt>
                <c:pt idx="14">
                  <c:v>-1.4227030191437127E-6</c:v>
                </c:pt>
                <c:pt idx="15">
                  <c:v>-9.7978071253674097E-8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B6-7A49-8112-4FA5F7ED989F}"/>
            </c:ext>
          </c:extLst>
        </c:ser>
        <c:ser>
          <c:idx val="4"/>
          <c:order val="4"/>
          <c:tx>
            <c:strRef>
              <c:f>'PART 1'!$BC$5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1'!$BC$101:$BC$116</c:f>
              <c:numCache>
                <c:formatCode>0.0E+00</c:formatCode>
                <c:ptCount val="16"/>
                <c:pt idx="0">
                  <c:v>-2.7260615868745057E-3</c:v>
                </c:pt>
                <c:pt idx="1">
                  <c:v>-2.7260616680807848E-3</c:v>
                </c:pt>
                <c:pt idx="2">
                  <c:v>-2.7260882651801901E-3</c:v>
                </c:pt>
                <c:pt idx="3">
                  <c:v>-2.7282452869613416E-3</c:v>
                </c:pt>
                <c:pt idx="4">
                  <c:v>-2.7827054016214595E-3</c:v>
                </c:pt>
                <c:pt idx="5">
                  <c:v>-3.2879656550144675E-3</c:v>
                </c:pt>
                <c:pt idx="6">
                  <c:v>-5.1969140806431662E-3</c:v>
                </c:pt>
                <c:pt idx="7">
                  <c:v>-8.1188111257314861E-3</c:v>
                </c:pt>
                <c:pt idx="8">
                  <c:v>-9.0098613736766114E-3</c:v>
                </c:pt>
                <c:pt idx="9">
                  <c:v>-6.5495022852776526E-3</c:v>
                </c:pt>
                <c:pt idx="10">
                  <c:v>-3.1813257718998891E-3</c:v>
                </c:pt>
                <c:pt idx="11">
                  <c:v>-1.0765042035154636E-3</c:v>
                </c:pt>
                <c:pt idx="12">
                  <c:v>-2.6480027846940464E-4</c:v>
                </c:pt>
                <c:pt idx="13">
                  <c:v>-4.9216589680090514E-5</c:v>
                </c:pt>
                <c:pt idx="14">
                  <c:v>-7.1510674987252987E-6</c:v>
                </c:pt>
                <c:pt idx="15">
                  <c:v>-8.3671227488192988E-7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B6-7A49-8112-4FA5F7ED989F}"/>
            </c:ext>
          </c:extLst>
        </c:ser>
        <c:ser>
          <c:idx val="5"/>
          <c:order val="5"/>
          <c:tx>
            <c:strRef>
              <c:f>'PART 1'!$BD$5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1'!$BD$101:$BD$116</c:f>
              <c:numCache>
                <c:formatCode>0.0E+00</c:formatCode>
                <c:ptCount val="16"/>
                <c:pt idx="0">
                  <c:v>-2.7233368909996259E-3</c:v>
                </c:pt>
                <c:pt idx="1">
                  <c:v>-2.7233385133613461E-3</c:v>
                </c:pt>
                <c:pt idx="2">
                  <c:v>-2.7235385143496793E-3</c:v>
                </c:pt>
                <c:pt idx="3">
                  <c:v>-2.7311947500195991E-3</c:v>
                </c:pt>
                <c:pt idx="4">
                  <c:v>-2.8408178162669345E-3</c:v>
                </c:pt>
                <c:pt idx="5">
                  <c:v>-3.5109530440748859E-3</c:v>
                </c:pt>
                <c:pt idx="6">
                  <c:v>-5.3985070695501593E-3</c:v>
                </c:pt>
                <c:pt idx="7">
                  <c:v>-7.7718925264083031E-3</c:v>
                </c:pt>
                <c:pt idx="8">
                  <c:v>-8.3273748556538536E-3</c:v>
                </c:pt>
                <c:pt idx="9">
                  <c:v>-6.2942570196484939E-3</c:v>
                </c:pt>
                <c:pt idx="10">
                  <c:v>-3.4124581149754807E-3</c:v>
                </c:pt>
                <c:pt idx="11">
                  <c:v>-1.3721452322052454E-3</c:v>
                </c:pt>
                <c:pt idx="12">
                  <c:v>-4.2360929301408969E-4</c:v>
                </c:pt>
                <c:pt idx="13">
                  <c:v>-1.0364167351688986E-4</c:v>
                </c:pt>
                <c:pt idx="14">
                  <c:v>-2.0667484322473257E-5</c:v>
                </c:pt>
                <c:pt idx="15">
                  <c:v>-3.4425249542634706E-6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B6-7A49-8112-4FA5F7ED989F}"/>
            </c:ext>
          </c:extLst>
        </c:ser>
        <c:ser>
          <c:idx val="6"/>
          <c:order val="6"/>
          <c:tx>
            <c:strRef>
              <c:f>'PART 1'!$BE$5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1'!$BE$101:$BE$116</c:f>
              <c:numCache>
                <c:formatCode>0.0E+00</c:formatCode>
                <c:ptCount val="16"/>
                <c:pt idx="0">
                  <c:v>-2.7206149776070731E-3</c:v>
                </c:pt>
                <c:pt idx="1">
                  <c:v>-2.7206285425015416E-3</c:v>
                </c:pt>
                <c:pt idx="2">
                  <c:v>-2.7214581889580163E-3</c:v>
                </c:pt>
                <c:pt idx="3">
                  <c:v>-2.7399523379779754E-3</c:v>
                </c:pt>
                <c:pt idx="4">
                  <c:v>-2.9155844108798468E-3</c:v>
                </c:pt>
                <c:pt idx="5">
                  <c:v>-3.7081395256036184E-3</c:v>
                </c:pt>
                <c:pt idx="6">
                  <c:v>-5.5079586689689907E-3</c:v>
                </c:pt>
                <c:pt idx="7">
                  <c:v>-7.4580329361991545E-3</c:v>
                </c:pt>
                <c:pt idx="8">
                  <c:v>-7.795559758367398E-3</c:v>
                </c:pt>
                <c:pt idx="9">
                  <c:v>-6.0591974140506467E-3</c:v>
                </c:pt>
                <c:pt idx="10">
                  <c:v>-3.5526377886615358E-3</c:v>
                </c:pt>
                <c:pt idx="11">
                  <c:v>-1.6154776136525215E-3</c:v>
                </c:pt>
                <c:pt idx="12">
                  <c:v>-5.8646693394867546E-4</c:v>
                </c:pt>
                <c:pt idx="13">
                  <c:v>-1.7458116979687108E-4</c:v>
                </c:pt>
                <c:pt idx="14">
                  <c:v>-4.3640528735188257E-5</c:v>
                </c:pt>
                <c:pt idx="15">
                  <c:v>-9.3536372461315852E-6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B6-7A49-8112-4FA5F7ED989F}"/>
            </c:ext>
          </c:extLst>
        </c:ser>
        <c:ser>
          <c:idx val="7"/>
          <c:order val="7"/>
          <c:tx>
            <c:strRef>
              <c:f>'PART 1'!$BF$5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1'!$BF$101:$BF$116</c:f>
              <c:numCache>
                <c:formatCode>0.0E+00</c:formatCode>
                <c:ptCount val="16"/>
                <c:pt idx="0">
                  <c:v>-2.7178962832038623E-3</c:v>
                </c:pt>
                <c:pt idx="1">
                  <c:v>-2.7179621285705084E-3</c:v>
                </c:pt>
                <c:pt idx="2">
                  <c:v>-2.7203359718856132E-3</c:v>
                </c:pt>
                <c:pt idx="3">
                  <c:v>-2.7554808947100468E-3</c:v>
                </c:pt>
                <c:pt idx="4">
                  <c:v>-2.9998130339343549E-3</c:v>
                </c:pt>
                <c:pt idx="5">
                  <c:v>-3.8745262468563258E-3</c:v>
                </c:pt>
                <c:pt idx="6">
                  <c:v>-5.5578122217441904E-3</c:v>
                </c:pt>
                <c:pt idx="7">
                  <c:v>-7.1772051124682698E-3</c:v>
                </c:pt>
                <c:pt idx="8">
                  <c:v>-7.3657440397873865E-3</c:v>
                </c:pt>
                <c:pt idx="9">
                  <c:v>-5.8467062441086631E-3</c:v>
                </c:pt>
                <c:pt idx="10">
                  <c:v>-3.6350443417054452E-3</c:v>
                </c:pt>
                <c:pt idx="11">
                  <c:v>-1.8123905415308981E-3</c:v>
                </c:pt>
                <c:pt idx="12">
                  <c:v>-7.4285847889004003E-4</c:v>
                </c:pt>
                <c:pt idx="13">
                  <c:v>-2.5614435261317849E-4</c:v>
                </c:pt>
                <c:pt idx="14">
                  <c:v>-7.5844976234657052E-5</c:v>
                </c:pt>
                <c:pt idx="15">
                  <c:v>-1.9637947609822813E-5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B6-7A49-8112-4FA5F7ED989F}"/>
            </c:ext>
          </c:extLst>
        </c:ser>
        <c:ser>
          <c:idx val="8"/>
          <c:order val="8"/>
          <c:tx>
            <c:strRef>
              <c:f>'PART 1'!$BG$5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1'!$BG$101:$BG$116</c:f>
              <c:numCache>
                <c:formatCode>0.0E+00</c:formatCode>
                <c:ptCount val="16"/>
                <c:pt idx="0">
                  <c:v>-2.7151827165353341E-3</c:v>
                </c:pt>
                <c:pt idx="1">
                  <c:v>-2.715405208618018E-3</c:v>
                </c:pt>
                <c:pt idx="2">
                  <c:v>-2.7207091492843453E-3</c:v>
                </c:pt>
                <c:pt idx="3">
                  <c:v>-2.7776616035858834E-3</c:v>
                </c:pt>
                <c:pt idx="4">
                  <c:v>-3.0874203674952001E-3</c:v>
                </c:pt>
                <c:pt idx="5">
                  <c:v>-4.0110679269898175E-3</c:v>
                </c:pt>
                <c:pt idx="6">
                  <c:v>-5.5688248322793409E-3</c:v>
                </c:pt>
                <c:pt idx="7">
                  <c:v>-6.926049659169529E-3</c:v>
                </c:pt>
                <c:pt idx="8">
                  <c:v>-7.0087731230611891E-3</c:v>
                </c:pt>
                <c:pt idx="9">
                  <c:v>-5.6553897400189153E-3</c:v>
                </c:pt>
                <c:pt idx="10">
                  <c:v>-3.6798913102443712E-3</c:v>
                </c:pt>
                <c:pt idx="11">
                  <c:v>-1.9707462028578145E-3</c:v>
                </c:pt>
                <c:pt idx="12">
                  <c:v>-8.8762385724964164E-4</c:v>
                </c:pt>
                <c:pt idx="13">
                  <c:v>-3.4308305070952663E-4</c:v>
                </c:pt>
                <c:pt idx="14">
                  <c:v>-1.1587837383809249E-4</c:v>
                </c:pt>
                <c:pt idx="15">
                  <c:v>-3.4751420818588553E-5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B6-7A49-8112-4FA5F7ED989F}"/>
            </c:ext>
          </c:extLst>
        </c:ser>
        <c:ser>
          <c:idx val="9"/>
          <c:order val="9"/>
          <c:tx>
            <c:strRef>
              <c:f>'PART 1'!$BH$5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1'!$BH$101:$BH$116</c:f>
              <c:numCache>
                <c:formatCode>0.0E+00</c:formatCode>
                <c:ptCount val="16"/>
                <c:pt idx="0">
                  <c:v>-2.712479766764721E-3</c:v>
                </c:pt>
                <c:pt idx="1">
                  <c:v>-2.7130632791541234E-3</c:v>
                </c:pt>
                <c:pt idx="2">
                  <c:v>-2.7230329546798007E-3</c:v>
                </c:pt>
                <c:pt idx="3">
                  <c:v>-2.8056387774978834E-3</c:v>
                </c:pt>
                <c:pt idx="4">
                  <c:v>-3.1740176630987243E-3</c:v>
                </c:pt>
                <c:pt idx="5">
                  <c:v>-4.1209921981078699E-3</c:v>
                </c:pt>
                <c:pt idx="6">
                  <c:v>-5.5543353867594783E-3</c:v>
                </c:pt>
                <c:pt idx="7">
                  <c:v>-6.7006523159261174E-3</c:v>
                </c:pt>
                <c:pt idx="8">
                  <c:v>-6.7059757808454546E-3</c:v>
                </c:pt>
                <c:pt idx="9">
                  <c:v>-5.4828780270799286E-3</c:v>
                </c:pt>
                <c:pt idx="10">
                  <c:v>-3.6998210749482688E-3</c:v>
                </c:pt>
                <c:pt idx="11">
                  <c:v>-2.0978836528987299E-3</c:v>
                </c:pt>
                <c:pt idx="12">
                  <c:v>-1.0188095546439728E-3</c:v>
                </c:pt>
                <c:pt idx="13">
                  <c:v>-4.3141656605749342E-4</c:v>
                </c:pt>
                <c:pt idx="14">
                  <c:v>-1.6187995656359006E-4</c:v>
                </c:pt>
                <c:pt idx="15">
                  <c:v>-5.4597473531501214E-5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B6-7A49-8112-4FA5F7ED989F}"/>
            </c:ext>
          </c:extLst>
        </c:ser>
        <c:ser>
          <c:idx val="10"/>
          <c:order val="10"/>
          <c:tx>
            <c:strRef>
              <c:f>'PART 1'!$BI$5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1'!$BI$101:$BI$116</c:f>
              <c:numCache>
                <c:formatCode>0.0E+00</c:formatCode>
                <c:ptCount val="16"/>
                <c:pt idx="0">
                  <c:v>-2.6921039972956596E-3</c:v>
                </c:pt>
                <c:pt idx="1">
                  <c:v>-2.7268365043512494E-3</c:v>
                </c:pt>
                <c:pt idx="2">
                  <c:v>-2.8540863321004678E-3</c:v>
                </c:pt>
                <c:pt idx="3">
                  <c:v>-3.169959948114785E-3</c:v>
                </c:pt>
                <c:pt idx="4">
                  <c:v>-3.7251037780601966E-3</c:v>
                </c:pt>
                <c:pt idx="5">
                  <c:v>-4.4258973013523578E-3</c:v>
                </c:pt>
                <c:pt idx="6">
                  <c:v>-5.0314887739278885E-3</c:v>
                </c:pt>
                <c:pt idx="7">
                  <c:v>-5.2808893975487461E-3</c:v>
                </c:pt>
                <c:pt idx="8">
                  <c:v>-5.0453811672404123E-3</c:v>
                </c:pt>
                <c:pt idx="9">
                  <c:v>-4.3841128502539331E-3</c:v>
                </c:pt>
                <c:pt idx="10">
                  <c:v>-3.4835525872255889E-3</c:v>
                </c:pt>
                <c:pt idx="11">
                  <c:v>-2.5509442911510727E-3</c:v>
                </c:pt>
                <c:pt idx="12">
                  <c:v>-1.7358881513894816E-3</c:v>
                </c:pt>
                <c:pt idx="13">
                  <c:v>-1.1064966682296248E-3</c:v>
                </c:pt>
                <c:pt idx="14">
                  <c:v>-6.6553759511414178E-4</c:v>
                </c:pt>
                <c:pt idx="15">
                  <c:v>-3.8023917756908166E-4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B6-7A49-8112-4FA5F7ED989F}"/>
            </c:ext>
          </c:extLst>
        </c:ser>
        <c:ser>
          <c:idx val="11"/>
          <c:order val="11"/>
          <c:tx>
            <c:strRef>
              <c:f>'PART 1'!$BJ$5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1'!$BJ$101:$BJ$116</c:f>
              <c:numCache>
                <c:formatCode>0.0E+00</c:formatCode>
                <c:ptCount val="16"/>
                <c:pt idx="0">
                  <c:v>-2.7040475676147493E-3</c:v>
                </c:pt>
                <c:pt idx="1">
                  <c:v>-2.8086565557321821E-3</c:v>
                </c:pt>
                <c:pt idx="2">
                  <c:v>-3.0317493551521644E-3</c:v>
                </c:pt>
                <c:pt idx="3">
                  <c:v>-3.3920666018836514E-3</c:v>
                </c:pt>
                <c:pt idx="4">
                  <c:v>-3.8410379455689472E-3</c:v>
                </c:pt>
                <c:pt idx="5">
                  <c:v>-4.2649689615667447E-3</c:v>
                </c:pt>
                <c:pt idx="6">
                  <c:v>-4.5310017663438258E-3</c:v>
                </c:pt>
                <c:pt idx="7">
                  <c:v>-4.5454778916671421E-3</c:v>
                </c:pt>
                <c:pt idx="8">
                  <c:v>-4.2881204377178345E-3</c:v>
                </c:pt>
                <c:pt idx="9">
                  <c:v>-3.8085597151187585E-3</c:v>
                </c:pt>
                <c:pt idx="10">
                  <c:v>-3.1967541018698806E-3</c:v>
                </c:pt>
                <c:pt idx="11">
                  <c:v>-2.5481223319059488E-3</c:v>
                </c:pt>
                <c:pt idx="12">
                  <c:v>-1.9386536381491458E-3</c:v>
                </c:pt>
                <c:pt idx="13">
                  <c:v>-1.4147429870860072E-3</c:v>
                </c:pt>
                <c:pt idx="14">
                  <c:v>-9.9477608235873176E-4</c:v>
                </c:pt>
                <c:pt idx="15">
                  <c:v>-6.7675970194845431E-4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B6-7A49-8112-4FA5F7ED989F}"/>
            </c:ext>
          </c:extLst>
        </c:ser>
        <c:ser>
          <c:idx val="12"/>
          <c:order val="12"/>
          <c:tx>
            <c:strRef>
              <c:f>'PART 1'!$BK$5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1'!$BK$101:$BK$116</c:f>
              <c:numCache>
                <c:formatCode>0.0E+00</c:formatCode>
                <c:ptCount val="16"/>
                <c:pt idx="0">
                  <c:v>-2.7429421886364762E-3</c:v>
                </c:pt>
                <c:pt idx="1">
                  <c:v>-2.8981941782055378E-3</c:v>
                </c:pt>
                <c:pt idx="2">
                  <c:v>-3.1473831290580409E-3</c:v>
                </c:pt>
                <c:pt idx="3">
                  <c:v>-3.4664028593379107E-3</c:v>
                </c:pt>
                <c:pt idx="4">
                  <c:v>-3.791926868219179E-3</c:v>
                </c:pt>
                <c:pt idx="5">
                  <c:v>-4.0423521170447774E-3</c:v>
                </c:pt>
                <c:pt idx="6">
                  <c:v>-4.1478959727764926E-3</c:v>
                </c:pt>
                <c:pt idx="7">
                  <c:v>-4.0731916382695703E-3</c:v>
                </c:pt>
                <c:pt idx="8">
                  <c:v>-3.8235564185956855E-3</c:v>
                </c:pt>
                <c:pt idx="9">
                  <c:v>-3.4365031423985058E-3</c:v>
                </c:pt>
                <c:pt idx="10">
                  <c:v>-2.9659550633546199E-3</c:v>
                </c:pt>
                <c:pt idx="11">
                  <c:v>-2.4667774209421972E-3</c:v>
                </c:pt>
                <c:pt idx="12">
                  <c:v>-1.9841435842851804E-3</c:v>
                </c:pt>
                <c:pt idx="13">
                  <c:v>-1.5487973874085288E-3</c:v>
                </c:pt>
                <c:pt idx="14">
                  <c:v>-1.1770336387173068E-3</c:v>
                </c:pt>
                <c:pt idx="15">
                  <c:v>-8.7342715811907445E-4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B6-7A49-8112-4FA5F7ED989F}"/>
            </c:ext>
          </c:extLst>
        </c:ser>
        <c:ser>
          <c:idx val="13"/>
          <c:order val="13"/>
          <c:tx>
            <c:strRef>
              <c:f>'PART 1'!$BL$5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1'!$BL$101:$BL$116</c:f>
              <c:numCache>
                <c:formatCode>0.0E+00</c:formatCode>
                <c:ptCount val="16"/>
                <c:pt idx="0">
                  <c:v>-2.7867219272449694E-3</c:v>
                </c:pt>
                <c:pt idx="1">
                  <c:v>-2.9634589770544742E-3</c:v>
                </c:pt>
                <c:pt idx="2">
                  <c:v>-3.2000899253721671E-3</c:v>
                </c:pt>
                <c:pt idx="3">
                  <c:v>-3.4592988373949168E-3</c:v>
                </c:pt>
                <c:pt idx="4">
                  <c:v>-3.6866736605664823E-3</c:v>
                </c:pt>
                <c:pt idx="5">
                  <c:v>-3.8285709694073655E-3</c:v>
                </c:pt>
                <c:pt idx="6">
                  <c:v>-3.8482333519062771E-3</c:v>
                </c:pt>
                <c:pt idx="7">
                  <c:v>-3.7338199183929621E-3</c:v>
                </c:pt>
                <c:pt idx="8">
                  <c:v>-3.497380542704891E-3</c:v>
                </c:pt>
                <c:pt idx="9">
                  <c:v>-3.1676935576461958E-3</c:v>
                </c:pt>
                <c:pt idx="10">
                  <c:v>-2.7810392997567501E-3</c:v>
                </c:pt>
                <c:pt idx="11">
                  <c:v>-2.3731101900968526E-3</c:v>
                </c:pt>
                <c:pt idx="12">
                  <c:v>-1.9736491476758482E-3</c:v>
                </c:pt>
                <c:pt idx="13">
                  <c:v>-1.6040071275537143E-3</c:v>
                </c:pt>
                <c:pt idx="14">
                  <c:v>-1.2769934717930815E-3</c:v>
                </c:pt>
                <c:pt idx="15">
                  <c:v>-9.9812823885097723E-4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B6-7A49-8112-4FA5F7ED989F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Gamma,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1'!$BW$5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4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1'!$BW$6:$BW$21</c:f>
              <c:numCache>
                <c:formatCode>0.0E+00</c:formatCode>
                <c:ptCount val="16"/>
                <c:pt idx="0">
                  <c:v>1.0516556577990479E-15</c:v>
                </c:pt>
                <c:pt idx="1">
                  <c:v>1.1286957540817279E-11</c:v>
                </c:pt>
                <c:pt idx="2">
                  <c:v>1.4597010892531745E-8</c:v>
                </c:pt>
                <c:pt idx="3">
                  <c:v>3.3512354645083037E-6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1.8916378586336522E-2</c:v>
                </c:pt>
                <c:pt idx="7">
                  <c:v>4.960740057577824E-2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4.2930333278127031E-3</c:v>
                </c:pt>
                <c:pt idx="12">
                  <c:v>7.1823787351586244E-4</c:v>
                </c:pt>
                <c:pt idx="13">
                  <c:v>8.4468232865850956E-5</c:v>
                </c:pt>
                <c:pt idx="14">
                  <c:v>7.2972234478141014E-6</c:v>
                </c:pt>
                <c:pt idx="15">
                  <c:v>4.8093577566927407E-7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6-DC47-92CB-7A66489AB28D}"/>
            </c:ext>
          </c:extLst>
        </c:ser>
        <c:ser>
          <c:idx val="1"/>
          <c:order val="1"/>
          <c:tx>
            <c:strRef>
              <c:f>'PART 1'!$BX$5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4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1'!$BX$6:$BX$21</c:f>
              <c:numCache>
                <c:formatCode>0.0E+00</c:formatCode>
                <c:ptCount val="16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2.9265998523210969E-5</c:v>
                </c:pt>
                <c:pt idx="3">
                  <c:v>4.1746111765088789E-4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3.5212130286942124E-2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3.8068919850193204E-4</c:v>
                </c:pt>
                <c:pt idx="15">
                  <c:v>9.4556994587265296E-5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6-DC47-92CB-7A66489AB28D}"/>
            </c:ext>
          </c:extLst>
        </c:ser>
        <c:ser>
          <c:idx val="2"/>
          <c:order val="2"/>
          <c:tx>
            <c:strRef>
              <c:f>'PART 1'!$BY$5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4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1'!$BY$6:$BY$21</c:f>
              <c:numCache>
                <c:formatCode>0.0E+00</c:formatCode>
                <c:ptCount val="16"/>
                <c:pt idx="0">
                  <c:v>1.6833377571562758E-6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3.5581792279001198E-2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1.2594003477751478E-2</c:v>
                </c:pt>
                <c:pt idx="12">
                  <c:v>6.6034037139998062E-3</c:v>
                </c:pt>
                <c:pt idx="13">
                  <c:v>3.084792741286774E-3</c:v>
                </c:pt>
                <c:pt idx="14">
                  <c:v>1.3026922814580184E-3</c:v>
                </c:pt>
                <c:pt idx="15">
                  <c:v>5.0353481185787989E-4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6-DC47-92CB-7A66489AB28D}"/>
            </c:ext>
          </c:extLst>
        </c:ser>
        <c:ser>
          <c:idx val="3"/>
          <c:order val="3"/>
          <c:tx>
            <c:strRef>
              <c:f>'PART 1'!$BZ$5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4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1'!$BZ$6:$BZ$21</c:f>
              <c:numCache>
                <c:formatCode>0.0E+00</c:formatCode>
                <c:ptCount val="16"/>
                <c:pt idx="0">
                  <c:v>2.2064431982817092E-5</c:v>
                </c:pt>
                <c:pt idx="1">
                  <c:v>2.0218238688417126E-4</c:v>
                </c:pt>
                <c:pt idx="2">
                  <c:v>1.1000759814895978E-3</c:v>
                </c:pt>
                <c:pt idx="3">
                  <c:v>3.9113907532951544E-3</c:v>
                </c:pt>
                <c:pt idx="4">
                  <c:v>9.7884039294375211E-3</c:v>
                </c:pt>
                <c:pt idx="5">
                  <c:v>1.827895482236909E-2</c:v>
                </c:pt>
                <c:pt idx="6">
                  <c:v>2.6687880405210137E-2</c:v>
                </c:pt>
                <c:pt idx="7">
                  <c:v>3.1635322258043566E-2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4.4825674910614188E-3</c:v>
                </c:pt>
                <c:pt idx="14">
                  <c:v>2.3082701661092638E-3</c:v>
                </c:pt>
                <c:pt idx="15">
                  <c:v>1.1130292486590083E-3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6-DC47-92CB-7A66489AB28D}"/>
            </c:ext>
          </c:extLst>
        </c:ser>
        <c:ser>
          <c:idx val="4"/>
          <c:order val="4"/>
          <c:tx>
            <c:strRef>
              <c:f>'PART 1'!$CA$5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4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1'!$CA$6:$CA$21</c:f>
              <c:numCache>
                <c:formatCode>0.0E+00</c:formatCode>
                <c:ptCount val="16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5.8617741810673696E-3</c:v>
                </c:pt>
                <c:pt idx="4">
                  <c:v>1.1937780047109168E-2</c:v>
                </c:pt>
                <c:pt idx="5">
                  <c:v>1.926193999623425E-2</c:v>
                </c:pt>
                <c:pt idx="6">
                  <c:v>2.5556533759819561E-2</c:v>
                </c:pt>
                <c:pt idx="7">
                  <c:v>2.8732281352043244E-2</c:v>
                </c:pt>
                <c:pt idx="8">
                  <c:v>2.8051246304186251E-2</c:v>
                </c:pt>
                <c:pt idx="9">
                  <c:v>2.4267506445708333E-2</c:v>
                </c:pt>
                <c:pt idx="10">
                  <c:v>1.8918485039079756E-2</c:v>
                </c:pt>
                <c:pt idx="11">
                  <c:v>1.3478753756809101E-2</c:v>
                </c:pt>
                <c:pt idx="12">
                  <c:v>8.881243547387634E-3</c:v>
                </c:pt>
                <c:pt idx="13">
                  <c:v>5.466867238047071E-3</c:v>
                </c:pt>
                <c:pt idx="14">
                  <c:v>3.1709157235184286E-3</c:v>
                </c:pt>
                <c:pt idx="15">
                  <c:v>1.7459186523562447E-3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B6-DC47-92CB-7A66489AB28D}"/>
            </c:ext>
          </c:extLst>
        </c:ser>
        <c:ser>
          <c:idx val="5"/>
          <c:order val="5"/>
          <c:tx>
            <c:strRef>
              <c:f>'PART 1'!$CB$5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4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1'!$CB$6:$CB$21</c:f>
              <c:numCache>
                <c:formatCode>0.0E+00</c:formatCode>
                <c:ptCount val="16"/>
                <c:pt idx="0">
                  <c:v>2.7236380704730449E-4</c:v>
                </c:pt>
                <c:pt idx="1">
                  <c:v>1.1382523244176247E-3</c:v>
                </c:pt>
                <c:pt idx="2">
                  <c:v>3.3722289783455592E-3</c:v>
                </c:pt>
                <c:pt idx="3">
                  <c:v>7.5458967272333394E-3</c:v>
                </c:pt>
                <c:pt idx="4">
                  <c:v>1.3395159432299533E-2</c:v>
                </c:pt>
                <c:pt idx="5">
                  <c:v>1.9607203543702149E-2</c:v>
                </c:pt>
                <c:pt idx="6">
                  <c:v>2.4406774147524603E-2</c:v>
                </c:pt>
                <c:pt idx="7">
                  <c:v>2.64881643942976E-2</c:v>
                </c:pt>
                <c:pt idx="8">
                  <c:v>2.5578375413499596E-2</c:v>
                </c:pt>
                <c:pt idx="9">
                  <c:v>2.2348767206295847E-2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3.8518254155354282E-3</c:v>
                </c:pt>
                <c:pt idx="15">
                  <c:v>2.3169614647433373E-3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B6-DC47-92CB-7A66489AB28D}"/>
            </c:ext>
          </c:extLst>
        </c:ser>
        <c:ser>
          <c:idx val="6"/>
          <c:order val="6"/>
          <c:tx>
            <c:strRef>
              <c:f>'PART 1'!$CC$5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4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1'!$CC$6:$CC$21</c:f>
              <c:numCache>
                <c:formatCode>0.0E+00</c:formatCode>
                <c:ptCount val="16"/>
                <c:pt idx="0">
                  <c:v>5.476048159651799E-4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8.92731806222242E-3</c:v>
                </c:pt>
                <c:pt idx="4">
                  <c:v>1.4366321033900604E-2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2.3654347961507342E-2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1.3067821328100538E-2</c:v>
                </c:pt>
                <c:pt idx="12">
                  <c:v>9.4962050866496343E-3</c:v>
                </c:pt>
                <c:pt idx="13">
                  <c:v>6.5790096216856182E-3</c:v>
                </c:pt>
                <c:pt idx="14">
                  <c:v>4.3719665660242645E-3</c:v>
                </c:pt>
                <c:pt idx="15">
                  <c:v>2.8013465758306814E-3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B6-DC47-92CB-7A66489AB28D}"/>
            </c:ext>
          </c:extLst>
        </c:ser>
        <c:ser>
          <c:idx val="7"/>
          <c:order val="7"/>
          <c:tx>
            <c:strRef>
              <c:f>'PART 1'!$CD$5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4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1'!$CD$6:$CD$21</c:f>
              <c:numCache>
                <c:formatCode>0.0E+00</c:formatCode>
                <c:ptCount val="16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1.9552017122180455E-2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7B6-DC47-92CB-7A66489AB28D}"/>
            </c:ext>
          </c:extLst>
        </c:ser>
        <c:ser>
          <c:idx val="8"/>
          <c:order val="8"/>
          <c:tx>
            <c:strRef>
              <c:f>'PART 1'!$CE$5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4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1'!$CE$6:$CE$21</c:f>
              <c:numCache>
                <c:formatCode>0.0E+00</c:formatCode>
                <c:ptCount val="16"/>
                <c:pt idx="0">
                  <c:v>1.3571389458380512E-3</c:v>
                </c:pt>
                <c:pt idx="1">
                  <c:v>3.3605151026574521E-3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1.5403132263133367E-2</c:v>
                </c:pt>
                <c:pt idx="5">
                  <c:v>1.9167361944162006E-2</c:v>
                </c:pt>
                <c:pt idx="6">
                  <c:v>2.1452524339852525E-2</c:v>
                </c:pt>
                <c:pt idx="7">
                  <c:v>2.1952066922098775E-2</c:v>
                </c:pt>
                <c:pt idx="8">
                  <c:v>2.0814289167512139E-2</c:v>
                </c:pt>
                <c:pt idx="9">
                  <c:v>1.8489346824041977E-2</c:v>
                </c:pt>
                <c:pt idx="10">
                  <c:v>1.5528543194402063E-2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7.0538139252298484E-3</c:v>
                </c:pt>
                <c:pt idx="14">
                  <c:v>5.0554177985015734E-3</c:v>
                </c:pt>
                <c:pt idx="15">
                  <c:v>3.5239585209983202E-3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7B6-DC47-92CB-7A66489AB28D}"/>
            </c:ext>
          </c:extLst>
        </c:ser>
        <c:ser>
          <c:idx val="9"/>
          <c:order val="9"/>
          <c:tx>
            <c:strRef>
              <c:f>'PART 1'!$CF$5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4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1'!$CF$6:$CF$21</c:f>
              <c:numCache>
                <c:formatCode>0.0E+00</c:formatCode>
                <c:ptCount val="16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7B6-DC47-92CB-7A66489AB28D}"/>
            </c:ext>
          </c:extLst>
        </c:ser>
        <c:ser>
          <c:idx val="10"/>
          <c:order val="10"/>
          <c:tx>
            <c:strRef>
              <c:f>'PART 1'!$CG$5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4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1'!$CG$6:$CG$21</c:f>
              <c:numCache>
                <c:formatCode>0.0E+00</c:formatCode>
                <c:ptCount val="16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1.1624159945686186E-2</c:v>
                </c:pt>
                <c:pt idx="3">
                  <c:v>1.3601749391133745E-2</c:v>
                </c:pt>
                <c:pt idx="4">
                  <c:v>1.4928999083209108E-2</c:v>
                </c:pt>
                <c:pt idx="5">
                  <c:v>1.5538821309956893E-2</c:v>
                </c:pt>
                <c:pt idx="6">
                  <c:v>1.5471684475151492E-2</c:v>
                </c:pt>
                <c:pt idx="7">
                  <c:v>1.4840061535306964E-2</c:v>
                </c:pt>
                <c:pt idx="8">
                  <c:v>1.3790926583135297E-2</c:v>
                </c:pt>
                <c:pt idx="9">
                  <c:v>1.2475292570391813E-2</c:v>
                </c:pt>
                <c:pt idx="10">
                  <c:v>1.1028059378052651E-2</c:v>
                </c:pt>
                <c:pt idx="11">
                  <c:v>9.5576676672171137E-3</c:v>
                </c:pt>
                <c:pt idx="12">
                  <c:v>8.1432630811320347E-3</c:v>
                </c:pt>
                <c:pt idx="13">
                  <c:v>6.8366861897907428E-3</c:v>
                </c:pt>
                <c:pt idx="14">
                  <c:v>5.6669702285113378E-3</c:v>
                </c:pt>
                <c:pt idx="15">
                  <c:v>4.6456697775222452E-3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B6-DC47-92CB-7A66489AB28D}"/>
            </c:ext>
          </c:extLst>
        </c:ser>
        <c:ser>
          <c:idx val="11"/>
          <c:order val="11"/>
          <c:tx>
            <c:strRef>
              <c:f>'PART 1'!$CH$5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4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1'!$CH$6:$CH$21</c:f>
              <c:numCache>
                <c:formatCode>0.0E+00</c:formatCode>
                <c:ptCount val="16"/>
                <c:pt idx="0">
                  <c:v>9.1771016304238069E-3</c:v>
                </c:pt>
                <c:pt idx="1">
                  <c:v>1.0920849507992854E-2</c:v>
                </c:pt>
                <c:pt idx="2">
                  <c:v>1.2233016676571298E-2</c:v>
                </c:pt>
                <c:pt idx="3">
                  <c:v>1.3047996011475228E-2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1.2783505889003443E-2</c:v>
                </c:pt>
                <c:pt idx="7">
                  <c:v>1.2047161650680642E-2</c:v>
                </c:pt>
                <c:pt idx="8">
                  <c:v>1.1134276551152785E-2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8.0369990403848391E-3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5.2808038728821569E-3</c:v>
                </c:pt>
                <c:pt idx="15">
                  <c:v>4.5248469998567693E-3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7B6-DC47-92CB-7A66489AB28D}"/>
            </c:ext>
          </c:extLst>
        </c:ser>
        <c:ser>
          <c:idx val="12"/>
          <c:order val="12"/>
          <c:tx>
            <c:strRef>
              <c:f>'PART 1'!$CI$5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4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1'!$CI$6:$CI$21</c:f>
              <c:numCache>
                <c:formatCode>0.0E+00</c:formatCode>
                <c:ptCount val="16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7B6-DC47-92CB-7A66489AB28D}"/>
            </c:ext>
          </c:extLst>
        </c:ser>
        <c:ser>
          <c:idx val="13"/>
          <c:order val="13"/>
          <c:tx>
            <c:strRef>
              <c:f>'PART 1'!$CJ$5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4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1'!$CJ$6:$CJ$21</c:f>
              <c:numCache>
                <c:formatCode>0.0E+00</c:formatCode>
                <c:ptCount val="16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1.0490736571836447E-2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7.6966219777363501E-3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5.0386172534840883E-3</c:v>
                </c:pt>
                <c:pt idx="14">
                  <c:v>4.4856819490140861E-3</c:v>
                </c:pt>
                <c:pt idx="15">
                  <c:v>3.9819655859202495E-3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7B6-DC47-92CB-7A66489AB28D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4">
                    <a:shade val="4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4">
                    <a:shade val="61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4">
                    <a:shade val="7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4">
                    <a:shade val="9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4">
                    <a:tint val="9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4">
                    <a:tint val="7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4">
                    <a:tint val="6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4">
                    <a:tint val="4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4">
                    <a:tint val="30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4">
                    <a:tint val="1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4">
                    <a:tint val="99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4">
                    <a:tint val="8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4">
                    <a:tint val="6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4">
                    <a:tint val="5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4">
                    <a:tint val="37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Gamma,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1'!$BW$5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1'!$BW$24:$BW$39</c:f>
              <c:numCache>
                <c:formatCode>0.0E+00</c:formatCode>
                <c:ptCount val="16"/>
                <c:pt idx="0">
                  <c:v>4.8371729163416155E-8</c:v>
                </c:pt>
                <c:pt idx="1">
                  <c:v>2.7992835519207707E-6</c:v>
                </c:pt>
                <c:pt idx="2">
                  <c:v>6.3562115182022813E-5</c:v>
                </c:pt>
                <c:pt idx="3">
                  <c:v>6.7225819369320027E-4</c:v>
                </c:pt>
                <c:pt idx="4">
                  <c:v>3.7827836741325775E-3</c:v>
                </c:pt>
                <c:pt idx="5">
                  <c:v>1.257501258451457E-2</c:v>
                </c:pt>
                <c:pt idx="6">
                  <c:v>2.6849994493107564E-2</c:v>
                </c:pt>
                <c:pt idx="7">
                  <c:v>3.9397555493342631E-2</c:v>
                </c:pt>
                <c:pt idx="8">
                  <c:v>4.1981596977461719E-2</c:v>
                </c:pt>
                <c:pt idx="9">
                  <c:v>3.4000529020197359E-2</c:v>
                </c:pt>
                <c:pt idx="10">
                  <c:v>2.1736822486638243E-2</c:v>
                </c:pt>
                <c:pt idx="11">
                  <c:v>1.132338909622355E-2</c:v>
                </c:pt>
                <c:pt idx="12">
                  <c:v>4.9370130845059279E-3</c:v>
                </c:pt>
                <c:pt idx="13">
                  <c:v>1.8430873083992024E-3</c:v>
                </c:pt>
                <c:pt idx="14">
                  <c:v>6.0071558236562614E-4</c:v>
                </c:pt>
                <c:pt idx="15">
                  <c:v>1.7381608681207663E-4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61-A94F-A0E9-91EFA995D25D}"/>
            </c:ext>
          </c:extLst>
        </c:ser>
        <c:ser>
          <c:idx val="1"/>
          <c:order val="1"/>
          <c:tx>
            <c:strRef>
              <c:f>'PART 1'!$BX$5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1'!$BX$24:$BX$39</c:f>
              <c:numCache>
                <c:formatCode>0.0E+00</c:formatCode>
                <c:ptCount val="16"/>
                <c:pt idx="0">
                  <c:v>4.8005602280442924E-5</c:v>
                </c:pt>
                <c:pt idx="1">
                  <c:v>3.4238659642402488E-4</c:v>
                </c:pt>
                <c:pt idx="2">
                  <c:v>1.5369719040112578E-3</c:v>
                </c:pt>
                <c:pt idx="3">
                  <c:v>4.7282210181891805E-3</c:v>
                </c:pt>
                <c:pt idx="4">
                  <c:v>1.0647723775453427E-2</c:v>
                </c:pt>
                <c:pt idx="5">
                  <c:v>1.8488250396357001E-2</c:v>
                </c:pt>
                <c:pt idx="6">
                  <c:v>2.5799834788109949E-2</c:v>
                </c:pt>
                <c:pt idx="7">
                  <c:v>2.9920175402764988E-2</c:v>
                </c:pt>
                <c:pt idx="8">
                  <c:v>2.963562571944587E-2</c:v>
                </c:pt>
                <c:pt idx="9">
                  <c:v>2.5642378317564656E-2</c:v>
                </c:pt>
                <c:pt idx="10">
                  <c:v>1.9748701502398165E-2</c:v>
                </c:pt>
                <c:pt idx="11">
                  <c:v>1.3752363931184045E-2</c:v>
                </c:pt>
                <c:pt idx="12">
                  <c:v>8.7746917760978451E-3</c:v>
                </c:pt>
                <c:pt idx="13">
                  <c:v>5.1878950118337827E-3</c:v>
                </c:pt>
                <c:pt idx="14">
                  <c:v>2.8696661309163176E-3</c:v>
                </c:pt>
                <c:pt idx="15">
                  <c:v>1.4974023713320017E-3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61-A94F-A0E9-91EFA995D25D}"/>
            </c:ext>
          </c:extLst>
        </c:ser>
        <c:ser>
          <c:idx val="2"/>
          <c:order val="2"/>
          <c:tx>
            <c:strRef>
              <c:f>'PART 1'!$BY$5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1'!$BY$24:$BY$39</c:f>
              <c:numCache>
                <c:formatCode>0.0E+00</c:formatCode>
                <c:ptCount val="16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4.0687523516901589E-3</c:v>
                </c:pt>
                <c:pt idx="3">
                  <c:v>8.2932442565351958E-3</c:v>
                </c:pt>
                <c:pt idx="4">
                  <c:v>1.3762943653982113E-2</c:v>
                </c:pt>
                <c:pt idx="5">
                  <c:v>1.9245583173855805E-2</c:v>
                </c:pt>
                <c:pt idx="6">
                  <c:v>2.3306691732956811E-2</c:v>
                </c:pt>
                <c:pt idx="7">
                  <c:v>2.4990132225163462E-2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1.7510243021562306E-2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6.7057249264153357E-3</c:v>
                </c:pt>
                <c:pt idx="14">
                  <c:v>4.4244401962093699E-3</c:v>
                </c:pt>
                <c:pt idx="15">
                  <c:v>2.8101370337925168E-3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61-A94F-A0E9-91EFA995D25D}"/>
            </c:ext>
          </c:extLst>
        </c:ser>
        <c:ser>
          <c:idx val="3"/>
          <c:order val="3"/>
          <c:tx>
            <c:strRef>
              <c:f>'PART 1'!$BZ$5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1'!$BZ$24:$BZ$39</c:f>
              <c:numCache>
                <c:formatCode>0.0E+00</c:formatCode>
                <c:ptCount val="16"/>
                <c:pt idx="0">
                  <c:v>1.2684980236185482E-3</c:v>
                </c:pt>
                <c:pt idx="1">
                  <c:v>3.1761382873591237E-3</c:v>
                </c:pt>
                <c:pt idx="2">
                  <c:v>6.3393895489089105E-3</c:v>
                </c:pt>
                <c:pt idx="3">
                  <c:v>1.0517834159617734E-2</c:v>
                </c:pt>
                <c:pt idx="4">
                  <c:v>1.4983978051139487E-2</c:v>
                </c:pt>
                <c:pt idx="5">
                  <c:v>1.8803436356655608E-2</c:v>
                </c:pt>
                <c:pt idx="6">
                  <c:v>2.1212946857819128E-2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1.8678514542129088E-2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9.8121320272589463E-3</c:v>
                </c:pt>
                <c:pt idx="13">
                  <c:v>7.3006500382870035E-3</c:v>
                </c:pt>
                <c:pt idx="14">
                  <c:v>5.2609033868653314E-3</c:v>
                </c:pt>
                <c:pt idx="15">
                  <c:v>3.6864683342030654E-3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61-A94F-A0E9-91EFA995D25D}"/>
            </c:ext>
          </c:extLst>
        </c:ser>
        <c:ser>
          <c:idx val="4"/>
          <c:order val="4"/>
          <c:tx>
            <c:strRef>
              <c:f>'PART 1'!$CA$5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1'!$CA$24:$CA$39</c:f>
              <c:numCache>
                <c:formatCode>0.0E+00</c:formatCode>
                <c:ptCount val="16"/>
                <c:pt idx="0">
                  <c:v>2.3382957957450985E-3</c:v>
                </c:pt>
                <c:pt idx="1">
                  <c:v>4.7488233231175484E-3</c:v>
                </c:pt>
                <c:pt idx="2">
                  <c:v>8.0599773466249677E-3</c:v>
                </c:pt>
                <c:pt idx="3">
                  <c:v>1.1819037433225307E-2</c:v>
                </c:pt>
                <c:pt idx="4">
                  <c:v>1.5364246918448029E-2</c:v>
                </c:pt>
                <c:pt idx="5">
                  <c:v>1.8068228988525181E-2</c:v>
                </c:pt>
                <c:pt idx="6">
                  <c:v>1.9534751872486739E-2</c:v>
                </c:pt>
                <c:pt idx="7">
                  <c:v>1.9671994336736283E-2</c:v>
                </c:pt>
                <c:pt idx="8">
                  <c:v>1.8648956198552002E-2</c:v>
                </c:pt>
                <c:pt idx="9">
                  <c:v>1.6789169768697557E-2</c:v>
                </c:pt>
                <c:pt idx="10">
                  <c:v>1.4458770943216178E-2</c:v>
                </c:pt>
                <c:pt idx="11">
                  <c:v>1.1984095247208172E-2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5.6874317310270693E-3</c:v>
                </c:pt>
                <c:pt idx="15">
                  <c:v>4.2274159872265253E-3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61-A94F-A0E9-91EFA995D25D}"/>
            </c:ext>
          </c:extLst>
        </c:ser>
        <c:ser>
          <c:idx val="5"/>
          <c:order val="5"/>
          <c:tx>
            <c:strRef>
              <c:f>'PART 1'!$CB$5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1'!$CB$24:$CB$39</c:f>
              <c:numCache>
                <c:formatCode>0.0E+00</c:formatCode>
                <c:ptCount val="16"/>
                <c:pt idx="0">
                  <c:v>3.4549517028754717E-3</c:v>
                </c:pt>
                <c:pt idx="1">
                  <c:v>6.1025757786037126E-3</c:v>
                </c:pt>
                <c:pt idx="2">
                  <c:v>9.2966719191608007E-3</c:v>
                </c:pt>
                <c:pt idx="3">
                  <c:v>1.2555154567235544E-2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1.8172524320191757E-2</c:v>
                </c:pt>
                <c:pt idx="7">
                  <c:v>1.8015399304984771E-2</c:v>
                </c:pt>
                <c:pt idx="8">
                  <c:v>1.6995504070964788E-2</c:v>
                </c:pt>
                <c:pt idx="9">
                  <c:v>1.5368208376167369E-2</c:v>
                </c:pt>
                <c:pt idx="10">
                  <c:v>1.3400367884206782E-2</c:v>
                </c:pt>
                <c:pt idx="11">
                  <c:v>1.132386000635301E-2</c:v>
                </c:pt>
                <c:pt idx="12">
                  <c:v>9.313082481780104E-3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61-A94F-A0E9-91EFA995D25D}"/>
            </c:ext>
          </c:extLst>
        </c:ser>
        <c:ser>
          <c:idx val="6"/>
          <c:order val="6"/>
          <c:tx>
            <c:strRef>
              <c:f>'PART 1'!$CC$5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1'!$CC$24:$CC$39</c:f>
              <c:numCache>
                <c:formatCode>0.0E+00</c:formatCode>
                <c:ptCount val="16"/>
                <c:pt idx="0">
                  <c:v>4.5096296845151063E-3</c:v>
                </c:pt>
                <c:pt idx="1">
                  <c:v>7.2096701015754924E-3</c:v>
                </c:pt>
                <c:pt idx="2">
                  <c:v>1.0167303762997196E-2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1.6550341873979184E-2</c:v>
                </c:pt>
                <c:pt idx="6">
                  <c:v>1.7044687194816176E-2</c:v>
                </c:pt>
                <c:pt idx="7">
                  <c:v>1.6709061466729101E-2</c:v>
                </c:pt>
                <c:pt idx="8">
                  <c:v>1.5708358311106813E-2</c:v>
                </c:pt>
                <c:pt idx="9">
                  <c:v>1.4249101786859477E-2</c:v>
                </c:pt>
                <c:pt idx="10">
                  <c:v>1.253521869678631E-2</c:v>
                </c:pt>
                <c:pt idx="11">
                  <c:v>1.074020246658062E-2</c:v>
                </c:pt>
                <c:pt idx="12">
                  <c:v>8.9946864621100828E-3</c:v>
                </c:pt>
                <c:pt idx="13">
                  <c:v>7.3853698760191324E-3</c:v>
                </c:pt>
                <c:pt idx="14">
                  <c:v>5.9606848610583791E-3</c:v>
                </c:pt>
                <c:pt idx="15">
                  <c:v>4.7393843504899566E-3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61-A94F-A0E9-91EFA995D25D}"/>
            </c:ext>
          </c:extLst>
        </c:ser>
        <c:ser>
          <c:idx val="7"/>
          <c:order val="7"/>
          <c:tx>
            <c:strRef>
              <c:f>'PART 1'!$CD$5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1'!$CD$24:$CD$39</c:f>
              <c:numCache>
                <c:formatCode>0.0E+00</c:formatCode>
                <c:ptCount val="16"/>
                <c:pt idx="0">
                  <c:v>5.4555892387964204E-3</c:v>
                </c:pt>
                <c:pt idx="1">
                  <c:v>8.0936358441935641E-3</c:v>
                </c:pt>
                <c:pt idx="2">
                  <c:v>1.0771870609204376E-2</c:v>
                </c:pt>
                <c:pt idx="3">
                  <c:v>1.3124825156577539E-2</c:v>
                </c:pt>
                <c:pt idx="4">
                  <c:v>1.4871858249720597E-2</c:v>
                </c:pt>
                <c:pt idx="5">
                  <c:v>1.5865759347980533E-2</c:v>
                </c:pt>
                <c:pt idx="6">
                  <c:v>1.6093332217008625E-2</c:v>
                </c:pt>
                <c:pt idx="7">
                  <c:v>1.5644431582997612E-2</c:v>
                </c:pt>
                <c:pt idx="8">
                  <c:v>1.4669150678135831E-2</c:v>
                </c:pt>
                <c:pt idx="9">
                  <c:v>1.3337894677823489E-2</c:v>
                </c:pt>
                <c:pt idx="10">
                  <c:v>1.1811904293602783E-2</c:v>
                </c:pt>
                <c:pt idx="11">
                  <c:v>1.022592397572397E-2</c:v>
                </c:pt>
                <c:pt idx="12">
                  <c:v>8.6812461969082502E-3</c:v>
                </c:pt>
                <c:pt idx="13">
                  <c:v>7.2460218594597326E-3</c:v>
                </c:pt>
                <c:pt idx="14">
                  <c:v>5.9597458042224315E-3</c:v>
                </c:pt>
                <c:pt idx="15">
                  <c:v>4.8394882133299885E-3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61-A94F-A0E9-91EFA995D25D}"/>
            </c:ext>
          </c:extLst>
        </c:ser>
        <c:ser>
          <c:idx val="8"/>
          <c:order val="8"/>
          <c:tx>
            <c:strRef>
              <c:f>'PART 1'!$CE$5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1'!$CE$24:$CE$39</c:f>
              <c:numCache>
                <c:formatCode>0.0E+00</c:formatCode>
                <c:ptCount val="16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1.5240725494598826E-2</c:v>
                </c:pt>
                <c:pt idx="6">
                  <c:v>1.5277763824001958E-2</c:v>
                </c:pt>
                <c:pt idx="7">
                  <c:v>1.4754868041798963E-2</c:v>
                </c:pt>
                <c:pt idx="8">
                  <c:v>1.38069849781331E-2</c:v>
                </c:pt>
                <c:pt idx="9">
                  <c:v>1.2577052515957671E-2</c:v>
                </c:pt>
                <c:pt idx="10">
                  <c:v>1.1195871235951033E-2</c:v>
                </c:pt>
                <c:pt idx="11">
                  <c:v>9.7710707636894881E-3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61-A94F-A0E9-91EFA995D25D}"/>
            </c:ext>
          </c:extLst>
        </c:ser>
        <c:ser>
          <c:idx val="9"/>
          <c:order val="9"/>
          <c:tx>
            <c:strRef>
              <c:f>'PART 1'!$CF$5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1'!$CF$24:$CF$39</c:f>
              <c:numCache>
                <c:formatCode>0.0E+00</c:formatCode>
                <c:ptCount val="16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1.3124994619891275E-2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1.3076461848524422E-2</c:v>
                </c:pt>
                <c:pt idx="9">
                  <c:v>1.1929120878360653E-2</c:v>
                </c:pt>
                <c:pt idx="10">
                  <c:v>1.0663126660408761E-2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6.9218060724324567E-3</c:v>
                </c:pt>
                <c:pt idx="14">
                  <c:v>5.8456577452828994E-3</c:v>
                </c:pt>
                <c:pt idx="15">
                  <c:v>4.8888801197403868E-3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361-A94F-A0E9-91EFA995D25D}"/>
            </c:ext>
          </c:extLst>
        </c:ser>
        <c:ser>
          <c:idx val="10"/>
          <c:order val="10"/>
          <c:tx>
            <c:strRef>
              <c:f>'PART 1'!$CG$5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1'!$CG$24:$CG$39</c:f>
              <c:numCache>
                <c:formatCode>0.0E+00</c:formatCode>
                <c:ptCount val="16"/>
                <c:pt idx="0">
                  <c:v>1.0030097674802637E-2</c:v>
                </c:pt>
                <c:pt idx="1">
                  <c:v>1.0869825982032193E-2</c:v>
                </c:pt>
                <c:pt idx="2">
                  <c:v>1.1344091423781007E-2</c:v>
                </c:pt>
                <c:pt idx="3">
                  <c:v>1.1484873818246508E-2</c:v>
                </c:pt>
                <c:pt idx="4">
                  <c:v>1.1343327721716881E-2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9.8037554378220954E-3</c:v>
                </c:pt>
                <c:pt idx="8">
                  <c:v>9.092361475410371E-3</c:v>
                </c:pt>
                <c:pt idx="9">
                  <c:v>8.3496184427614972E-3</c:v>
                </c:pt>
                <c:pt idx="10">
                  <c:v>7.603783522576131E-3</c:v>
                </c:pt>
                <c:pt idx="11">
                  <c:v>6.8757669831697628E-3</c:v>
                </c:pt>
                <c:pt idx="12">
                  <c:v>6.1802445927498402E-3</c:v>
                </c:pt>
                <c:pt idx="13">
                  <c:v>5.5268144202571534E-3</c:v>
                </c:pt>
                <c:pt idx="14">
                  <c:v>4.9210815203458436E-3</c:v>
                </c:pt>
                <c:pt idx="15">
                  <c:v>4.3656123603575472E-3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61-A94F-A0E9-91EFA995D25D}"/>
            </c:ext>
          </c:extLst>
        </c:ser>
        <c:ser>
          <c:idx val="11"/>
          <c:order val="11"/>
          <c:tx>
            <c:strRef>
              <c:f>'PART 1'!$CH$5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1'!$CH$24:$CH$39</c:f>
              <c:numCache>
                <c:formatCode>0.0E+00</c:formatCode>
                <c:ptCount val="16"/>
                <c:pt idx="0">
                  <c:v>1.025398028665004E-2</c:v>
                </c:pt>
                <c:pt idx="1">
                  <c:v>1.0363399155444456E-2</c:v>
                </c:pt>
                <c:pt idx="2">
                  <c:v>1.0246666696571999E-2</c:v>
                </c:pt>
                <c:pt idx="3">
                  <c:v>9.9554811818721202E-3</c:v>
                </c:pt>
                <c:pt idx="4">
                  <c:v>9.5371649510801234E-3</c:v>
                </c:pt>
                <c:pt idx="5">
                  <c:v>9.0324238181826739E-3</c:v>
                </c:pt>
                <c:pt idx="6">
                  <c:v>8.4747143075524275E-3</c:v>
                </c:pt>
                <c:pt idx="7">
                  <c:v>7.8905317151781781E-3</c:v>
                </c:pt>
                <c:pt idx="8">
                  <c:v>7.3001620980094519E-3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5.1171548019673802E-3</c:v>
                </c:pt>
                <c:pt idx="13">
                  <c:v>4.6467969605679992E-3</c:v>
                </c:pt>
                <c:pt idx="14">
                  <c:v>4.2111102732515695E-3</c:v>
                </c:pt>
                <c:pt idx="15">
                  <c:v>3.8099337821083405E-3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361-A94F-A0E9-91EFA995D25D}"/>
            </c:ext>
          </c:extLst>
        </c:ser>
        <c:ser>
          <c:idx val="12"/>
          <c:order val="12"/>
          <c:tx>
            <c:strRef>
              <c:f>'PART 1'!$CI$5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1'!$CI$24:$CI$39</c:f>
              <c:numCache>
                <c:formatCode>0.0E+00</c:formatCode>
                <c:ptCount val="16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9.2553580000514068E-3</c:v>
                </c:pt>
                <c:pt idx="3">
                  <c:v>8.8091587418353094E-3</c:v>
                </c:pt>
                <c:pt idx="4">
                  <c:v>8.3111834375704362E-3</c:v>
                </c:pt>
                <c:pt idx="5">
                  <c:v>7.7865829825335157E-3</c:v>
                </c:pt>
                <c:pt idx="6">
                  <c:v>7.2541928646975579E-3</c:v>
                </c:pt>
                <c:pt idx="7">
                  <c:v>6.727711143982254E-3</c:v>
                </c:pt>
                <c:pt idx="8">
                  <c:v>6.2167667801221425E-3</c:v>
                </c:pt>
                <c:pt idx="9">
                  <c:v>5.7278335105389287E-3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361-A94F-A0E9-91EFA995D25D}"/>
            </c:ext>
          </c:extLst>
        </c:ser>
        <c:ser>
          <c:idx val="13"/>
          <c:order val="13"/>
          <c:tx>
            <c:strRef>
              <c:f>'PART 1'!$CJ$5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1'!$CJ$24:$CJ$39</c:f>
              <c:numCache>
                <c:formatCode>0.0E+00</c:formatCode>
                <c:ptCount val="16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6.8988971767481684E-3</c:v>
                </c:pt>
                <c:pt idx="6">
                  <c:v>6.399922384282445E-3</c:v>
                </c:pt>
                <c:pt idx="7">
                  <c:v>5.9214922774464777E-3</c:v>
                </c:pt>
                <c:pt idx="8">
                  <c:v>5.4677797056007201E-3</c:v>
                </c:pt>
                <c:pt idx="9">
                  <c:v>5.0410846970877594E-3</c:v>
                </c:pt>
                <c:pt idx="10">
                  <c:v>4.6423651796185005E-3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3.3190921842812561E-3</c:v>
                </c:pt>
                <c:pt idx="15">
                  <c:v>3.0504863785204566E-3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361-A94F-A0E9-91EFA995D25D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Gamma,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1'!$BW$5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1'!$BW$42:$BW$57</c:f>
              <c:numCache>
                <c:formatCode>0.0E+00</c:formatCode>
                <c:ptCount val="16"/>
                <c:pt idx="0">
                  <c:v>9.8181668070309793E-58</c:v>
                </c:pt>
                <c:pt idx="1">
                  <c:v>1.867554133449226E-41</c:v>
                </c:pt>
                <c:pt idx="2">
                  <c:v>7.2920970083606921E-29</c:v>
                </c:pt>
                <c:pt idx="3">
                  <c:v>2.7634460319906583E-19</c:v>
                </c:pt>
                <c:pt idx="4">
                  <c:v>3.3905822708430664E-12</c:v>
                </c:pt>
                <c:pt idx="5">
                  <c:v>3.4793158250122268E-7</c:v>
                </c:pt>
                <c:pt idx="6">
                  <c:v>6.3723381042931433E-4</c:v>
                </c:pt>
                <c:pt idx="7">
                  <c:v>3.8441261874572009E-2</c:v>
                </c:pt>
                <c:pt idx="8">
                  <c:v>0.12601477970020517</c:v>
                </c:pt>
                <c:pt idx="9">
                  <c:v>3.3926069444668278E-2</c:v>
                </c:pt>
                <c:pt idx="10">
                  <c:v>1.0577125055269182E-3</c:v>
                </c:pt>
                <c:pt idx="11">
                  <c:v>5.0939285700327113E-6</c:v>
                </c:pt>
                <c:pt idx="12">
                  <c:v>4.8333065983836828E-9</c:v>
                </c:pt>
                <c:pt idx="13">
                  <c:v>1.1110259985098475E-12</c:v>
                </c:pt>
                <c:pt idx="14">
                  <c:v>7.382971539826821E-17</c:v>
                </c:pt>
                <c:pt idx="15">
                  <c:v>1.6508431991277696E-21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9-E048-8160-1647717743E2}"/>
            </c:ext>
          </c:extLst>
        </c:ser>
        <c:ser>
          <c:idx val="1"/>
          <c:order val="1"/>
          <c:tx>
            <c:strRef>
              <c:f>'PART 1'!$BX$5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1'!$BX$42:$BX$57</c:f>
              <c:numCache>
                <c:formatCode>0.0E+00</c:formatCode>
                <c:ptCount val="16"/>
                <c:pt idx="0">
                  <c:v>1.4877614568192042E-29</c:v>
                </c:pt>
                <c:pt idx="1">
                  <c:v>1.8565304082520428E-21</c:v>
                </c:pt>
                <c:pt idx="2">
                  <c:v>3.3439581371571196E-15</c:v>
                </c:pt>
                <c:pt idx="3">
                  <c:v>1.8884525527510619E-10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7.2202698909513228E-3</c:v>
                </c:pt>
                <c:pt idx="7">
                  <c:v>5.2414503254015789E-2</c:v>
                </c:pt>
                <c:pt idx="8">
                  <c:v>8.900571747852265E-2</c:v>
                </c:pt>
                <c:pt idx="9">
                  <c:v>4.3449753071981671E-2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1.9995476488667826E-7</c:v>
                </c:pt>
                <c:pt idx="14">
                  <c:v>1.5520066218442012E-9</c:v>
                </c:pt>
                <c:pt idx="15">
                  <c:v>7.0007225305255789E-12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9-E048-8160-1647717743E2}"/>
            </c:ext>
          </c:extLst>
        </c:ser>
        <c:ser>
          <c:idx val="2"/>
          <c:order val="2"/>
          <c:tx>
            <c:strRef>
              <c:f>'PART 1'!$BY$5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1'!$BY$42:$BY$57</c:f>
              <c:numCache>
                <c:formatCode>0.0E+00</c:formatCode>
                <c:ptCount val="16"/>
                <c:pt idx="0">
                  <c:v>3.3715886606540406E-20</c:v>
                </c:pt>
                <c:pt idx="1">
                  <c:v>7.8761142092032735E-15</c:v>
                </c:pt>
                <c:pt idx="2">
                  <c:v>1.0961347486332762E-10</c:v>
                </c:pt>
                <c:pt idx="3">
                  <c:v>1.5233209793360453E-7</c:v>
                </c:pt>
                <c:pt idx="4">
                  <c:v>3.155135271549592E-5</c:v>
                </c:pt>
                <c:pt idx="5">
                  <c:v>1.3351896003566922E-3</c:v>
                </c:pt>
                <c:pt idx="6">
                  <c:v>1.4851555899595277E-2</c:v>
                </c:pt>
                <c:pt idx="7">
                  <c:v>5.3227540948401569E-2</c:v>
                </c:pt>
                <c:pt idx="8">
                  <c:v>7.2591153003284115E-2</c:v>
                </c:pt>
                <c:pt idx="9">
                  <c:v>4.3212117686085315E-2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1.0338747257813658E-5</c:v>
                </c:pt>
                <c:pt idx="14">
                  <c:v>3.9226661156427296E-7</c:v>
                </c:pt>
                <c:pt idx="15">
                  <c:v>1.037740725194923E-8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9-E048-8160-1647717743E2}"/>
            </c:ext>
          </c:extLst>
        </c:ser>
        <c:ser>
          <c:idx val="3"/>
          <c:order val="3"/>
          <c:tx>
            <c:strRef>
              <c:f>'PART 1'!$BZ$5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1'!$BZ$42:$BZ$57</c:f>
              <c:numCache>
                <c:formatCode>0.0E+00</c:formatCode>
                <c:ptCount val="16"/>
                <c:pt idx="0">
                  <c:v>1.5374265651823462E-15</c:v>
                </c:pt>
                <c:pt idx="1">
                  <c:v>1.5539109604002787E-11</c:v>
                </c:pt>
                <c:pt idx="2">
                  <c:v>1.9009673521623235E-8</c:v>
                </c:pt>
                <c:pt idx="3">
                  <c:v>4.1442242901485517E-6</c:v>
                </c:pt>
                <c:pt idx="4">
                  <c:v>2.1731776002153873E-4</c:v>
                </c:pt>
                <c:pt idx="5">
                  <c:v>3.4716293491663338E-3</c:v>
                </c:pt>
                <c:pt idx="6">
                  <c:v>2.0402828136932075E-2</c:v>
                </c:pt>
                <c:pt idx="7">
                  <c:v>5.1379281037838447E-2</c:v>
                </c:pt>
                <c:pt idx="8">
                  <c:v>6.2795098352771264E-2</c:v>
                </c:pt>
                <c:pt idx="9">
                  <c:v>4.1278492158452362E-2</c:v>
                </c:pt>
                <c:pt idx="10">
                  <c:v>1.5896481134192911E-2</c:v>
                </c:pt>
                <c:pt idx="11">
                  <c:v>3.8527882067153165E-3</c:v>
                </c:pt>
                <c:pt idx="12">
                  <c:v>6.2433347878451597E-4</c:v>
                </c:pt>
                <c:pt idx="13">
                  <c:v>7.1210683603857566E-5</c:v>
                </c:pt>
                <c:pt idx="14">
                  <c:v>5.9735759091088035E-6</c:v>
                </c:pt>
                <c:pt idx="15">
                  <c:v>3.8271106091862608E-7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9-E048-8160-1647717743E2}"/>
            </c:ext>
          </c:extLst>
        </c:ser>
        <c:ser>
          <c:idx val="4"/>
          <c:order val="4"/>
          <c:tx>
            <c:strRef>
              <c:f>'PART 1'!$CA$5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1'!$CA$42:$CA$57</c:f>
              <c:numCache>
                <c:formatCode>0.0E+00</c:formatCode>
                <c:ptCount val="16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4.0857545005606393E-7</c:v>
                </c:pt>
                <c:pt idx="3">
                  <c:v>2.9313355232607553E-5</c:v>
                </c:pt>
                <c:pt idx="4">
                  <c:v>6.7417515498728662E-4</c:v>
                </c:pt>
                <c:pt idx="5">
                  <c:v>6.0028678035568004E-3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5.6093527215653792E-3</c:v>
                </c:pt>
                <c:pt idx="12">
                  <c:v>1.2805137235044073E-3</c:v>
                </c:pt>
                <c:pt idx="13">
                  <c:v>2.2091371478623331E-4</c:v>
                </c:pt>
                <c:pt idx="14">
                  <c:v>2.9830284442140869E-5</c:v>
                </c:pt>
                <c:pt idx="15">
                  <c:v>3.2491629195180632E-6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49-E048-8160-1647717743E2}"/>
            </c:ext>
          </c:extLst>
        </c:ser>
        <c:ser>
          <c:idx val="5"/>
          <c:order val="5"/>
          <c:tx>
            <c:strRef>
              <c:f>'PART 1'!$CB$5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1'!$CB$42:$CB$57</c:f>
              <c:numCache>
                <c:formatCode>0.0E+00</c:formatCode>
                <c:ptCount val="16"/>
                <c:pt idx="0">
                  <c:v>6.6022100125859387E-11</c:v>
                </c:pt>
                <c:pt idx="1">
                  <c:v>2.8871903156587544E-8</c:v>
                </c:pt>
                <c:pt idx="2">
                  <c:v>3.1047063387496907E-6</c:v>
                </c:pt>
                <c:pt idx="3">
                  <c:v>1.0617694808839046E-4</c:v>
                </c:pt>
                <c:pt idx="4">
                  <c:v>1.4096380488958426E-3</c:v>
                </c:pt>
                <c:pt idx="5">
                  <c:v>8.5007827825346483E-3</c:v>
                </c:pt>
                <c:pt idx="6">
                  <c:v>2.6396354113062123E-2</c:v>
                </c:pt>
                <c:pt idx="7">
                  <c:v>4.6706228570157653E-2</c:v>
                </c:pt>
                <c:pt idx="8">
                  <c:v>5.1156750826999192E-2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7.0830615084530833E-3</c:v>
                </c:pt>
                <c:pt idx="12">
                  <c:v>2.0319475824949751E-3</c:v>
                </c:pt>
                <c:pt idx="13">
                  <c:v>4.6191019586218834E-4</c:v>
                </c:pt>
                <c:pt idx="14">
                  <c:v>8.5668780985105099E-5</c:v>
                </c:pt>
                <c:pt idx="15">
                  <c:v>1.3291938562945936E-5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49-E048-8160-1647717743E2}"/>
            </c:ext>
          </c:extLst>
        </c:ser>
        <c:ser>
          <c:idx val="6"/>
          <c:order val="6"/>
          <c:tx>
            <c:strRef>
              <c:f>'PART 1'!$CC$5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1'!$CC$42:$CC$57</c:f>
              <c:numCache>
                <c:formatCode>0.0E+00</c:formatCode>
                <c:ptCount val="16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1.3055468334454289E-5</c:v>
                </c:pt>
                <c:pt idx="3">
                  <c:v>2.630006185665992E-4</c:v>
                </c:pt>
                <c:pt idx="4">
                  <c:v>2.3582196949555514E-3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4.4567221413124178E-2</c:v>
                </c:pt>
                <c:pt idx="8">
                  <c:v>4.7308695923014683E-2</c:v>
                </c:pt>
                <c:pt idx="9">
                  <c:v>3.5328302741473985E-2</c:v>
                </c:pt>
                <c:pt idx="10">
                  <c:v>1.9483332622964505E-2</c:v>
                </c:pt>
                <c:pt idx="11">
                  <c:v>8.2651375479295131E-3</c:v>
                </c:pt>
                <c:pt idx="12">
                  <c:v>2.7913416838140047E-3</c:v>
                </c:pt>
                <c:pt idx="13">
                  <c:v>7.7274142964303314E-4</c:v>
                </c:pt>
                <c:pt idx="14">
                  <c:v>1.7978334895153025E-4</c:v>
                </c:pt>
                <c:pt idx="15">
                  <c:v>3.591421503332701E-5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49-E048-8160-1647717743E2}"/>
            </c:ext>
          </c:extLst>
        </c:ser>
        <c:ser>
          <c:idx val="7"/>
          <c:order val="7"/>
          <c:tx>
            <c:strRef>
              <c:f>'PART 1'!$CD$5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1'!$CD$42:$CD$57</c:f>
              <c:numCache>
                <c:formatCode>0.0E+00</c:formatCode>
                <c:ptCount val="16"/>
                <c:pt idx="0">
                  <c:v>1.309790020055326E-8</c:v>
                </c:pt>
                <c:pt idx="1">
                  <c:v>1.191420089105155E-6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3.4369932223750686E-3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3.3718545937390321E-2</c:v>
                </c:pt>
                <c:pt idx="10">
                  <c:v>1.9742547542846399E-2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3.1058576900406615E-4</c:v>
                </c:pt>
                <c:pt idx="15">
                  <c:v>7.4991466396696723E-5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49-E048-8160-1647717743E2}"/>
            </c:ext>
          </c:extLst>
        </c:ser>
        <c:ser>
          <c:idx val="8"/>
          <c:order val="8"/>
          <c:tx>
            <c:strRef>
              <c:f>'PART 1'!$CE$5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1'!$CE$42:$CE$57</c:f>
              <c:numCache>
                <c:formatCode>0.0E+00</c:formatCode>
                <c:ptCount val="16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8.6540937665519212E-5</c:v>
                </c:pt>
                <c:pt idx="3">
                  <c:v>8.6084583659867776E-4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2.92381675347584E-2</c:v>
                </c:pt>
                <c:pt idx="7">
                  <c:v>4.0888684659269078E-2</c:v>
                </c:pt>
                <c:pt idx="8">
                  <c:v>4.1628578335024279E-2</c:v>
                </c:pt>
                <c:pt idx="9">
                  <c:v>3.2283704705699037E-2</c:v>
                </c:pt>
                <c:pt idx="10">
                  <c:v>1.9803191408745976E-2</c:v>
                </c:pt>
                <c:pt idx="11">
                  <c:v>9.9164315716425769E-3</c:v>
                </c:pt>
                <c:pt idx="12">
                  <c:v>4.1630686520652081E-3</c:v>
                </c:pt>
                <c:pt idx="13">
                  <c:v>1.4987745127806541E-3</c:v>
                </c:pt>
                <c:pt idx="14">
                  <c:v>4.7175720539731353E-4</c:v>
                </c:pt>
                <c:pt idx="15">
                  <c:v>1.3199891273585568E-4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49-E048-8160-1647717743E2}"/>
            </c:ext>
          </c:extLst>
        </c:ser>
        <c:ser>
          <c:idx val="9"/>
          <c:order val="9"/>
          <c:tx>
            <c:strRef>
              <c:f>'PART 1'!$CF$5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1'!$CF$42:$CF$57</c:f>
              <c:numCache>
                <c:formatCode>0.0E+00</c:formatCode>
                <c:ptCount val="16"/>
                <c:pt idx="0">
                  <c:v>3.0503159925846777E-7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3.9317306319057527E-2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1.0474112849205517E-2</c:v>
                </c:pt>
                <c:pt idx="12">
                  <c:v>4.7451367772989453E-3</c:v>
                </c:pt>
                <c:pt idx="13">
                  <c:v>1.8728672584138741E-3</c:v>
                </c:pt>
                <c:pt idx="14">
                  <c:v>6.5528870342850616E-4</c:v>
                </c:pt>
                <c:pt idx="15">
                  <c:v>2.0630117799149032E-4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49-E048-8160-1647717743E2}"/>
            </c:ext>
          </c:extLst>
        </c:ser>
        <c:ser>
          <c:idx val="10"/>
          <c:order val="10"/>
          <c:tx>
            <c:strRef>
              <c:f>'PART 1'!$CG$5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1'!$CG$42:$CG$57</c:f>
              <c:numCache>
                <c:formatCode>0.0E+00</c:formatCode>
                <c:ptCount val="16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1.3876417664915321E-2</c:v>
                </c:pt>
                <c:pt idx="5">
                  <c:v>2.1394744871527756E-2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2.7581853166270594E-2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1.193431892911874E-2</c:v>
                </c:pt>
                <c:pt idx="12">
                  <c:v>7.6165645282489083E-3</c:v>
                </c:pt>
                <c:pt idx="13">
                  <c:v>4.5470245404394486E-3</c:v>
                </c:pt>
                <c:pt idx="14">
                  <c:v>2.5609344709387875E-3</c:v>
                </c:pt>
                <c:pt idx="15">
                  <c:v>1.3707080362701774E-3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49-E048-8160-1647717743E2}"/>
            </c:ext>
          </c:extLst>
        </c:ser>
        <c:ser>
          <c:idx val="11"/>
          <c:order val="11"/>
          <c:tx>
            <c:strRef>
              <c:f>'PART 1'!$CH$5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1'!$CH$42:$CH$57</c:f>
              <c:numCache>
                <c:formatCode>0.0E+00</c:formatCode>
                <c:ptCount val="16"/>
                <c:pt idx="0">
                  <c:v>1.0316841901525141E-3</c:v>
                </c:pt>
                <c:pt idx="1">
                  <c:v>2.966058949873731E-3</c:v>
                </c:pt>
                <c:pt idx="2">
                  <c:v>6.5180762218454997E-3</c:v>
                </c:pt>
                <c:pt idx="3">
                  <c:v>1.150786954283289E-2</c:v>
                </c:pt>
                <c:pt idx="4">
                  <c:v>1.6964964604488354E-2</c:v>
                </c:pt>
                <c:pt idx="5">
                  <c:v>2.152609940586208E-2</c:v>
                </c:pt>
                <c:pt idx="6">
                  <c:v>2.4084363839664259E-2</c:v>
                </c:pt>
                <c:pt idx="7">
                  <c:v>2.4229204673908024E-2</c:v>
                </c:pt>
                <c:pt idx="8">
                  <c:v>2.226855310230557E-2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1.1338612960202372E-2</c:v>
                </c:pt>
                <c:pt idx="12">
                  <c:v>8.1120649104783824E-3</c:v>
                </c:pt>
                <c:pt idx="13">
                  <c:v>5.5590796015987437E-3</c:v>
                </c:pt>
                <c:pt idx="14">
                  <c:v>3.669350702524464E-3</c:v>
                </c:pt>
                <c:pt idx="15">
                  <c:v>2.3440212104340022E-3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B49-E048-8160-1647717743E2}"/>
            </c:ext>
          </c:extLst>
        </c:ser>
        <c:ser>
          <c:idx val="12"/>
          <c:order val="12"/>
          <c:tx>
            <c:strRef>
              <c:f>'PART 1'!$CI$5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1'!$CI$42:$CI$57</c:f>
              <c:numCache>
                <c:formatCode>0.0E+00</c:formatCode>
                <c:ptCount val="16"/>
                <c:pt idx="0">
                  <c:v>2.6204952010288863E-3</c:v>
                </c:pt>
                <c:pt idx="1">
                  <c:v>5.5034091875470386E-3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2.0578086869191912E-2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7.978625905498065E-3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49-E048-8160-1647717743E2}"/>
            </c:ext>
          </c:extLst>
        </c:ser>
        <c:ser>
          <c:idx val="13"/>
          <c:order val="13"/>
          <c:tx>
            <c:strRef>
              <c:f>'PART 1'!$CJ$5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1'!$CJ$42:$CJ$57</c:f>
              <c:numCache>
                <c:formatCode>0.0E+00</c:formatCode>
                <c:ptCount val="16"/>
                <c:pt idx="0">
                  <c:v>4.4499754398238511E-3</c:v>
                </c:pt>
                <c:pt idx="1">
                  <c:v>7.7406121902881767E-3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1.7906989830010489E-2</c:v>
                </c:pt>
                <c:pt idx="5">
                  <c:v>1.9442006249843845E-2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1.4577547243302307E-2</c:v>
                </c:pt>
                <c:pt idx="10">
                  <c:v>1.2135644435772964E-2</c:v>
                </c:pt>
                <c:pt idx="11">
                  <c:v>9.7818031211006871E-3</c:v>
                </c:pt>
                <c:pt idx="12">
                  <c:v>7.6679346587994893E-3</c:v>
                </c:pt>
                <c:pt idx="13">
                  <c:v>5.8677624274978343E-3</c:v>
                </c:pt>
                <c:pt idx="14">
                  <c:v>4.3973494544828021E-3</c:v>
                </c:pt>
                <c:pt idx="15">
                  <c:v>3.2361150487909911E-3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B49-E048-8160-1647717743E2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Gamma,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1'!$BW$5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1'!$BW$65:$BW$80</c:f>
              <c:numCache>
                <c:formatCode>0.0E+00</c:formatCode>
                <c:ptCount val="16"/>
                <c:pt idx="0">
                  <c:v>1.0516556577990479E-15</c:v>
                </c:pt>
                <c:pt idx="1">
                  <c:v>1.1286957540817279E-11</c:v>
                </c:pt>
                <c:pt idx="2">
                  <c:v>1.4597010892531745E-8</c:v>
                </c:pt>
                <c:pt idx="3">
                  <c:v>3.3512354645083037E-6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1.8916378586336522E-2</c:v>
                </c:pt>
                <c:pt idx="7">
                  <c:v>4.960740057577824E-2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4.2930333278127031E-3</c:v>
                </c:pt>
                <c:pt idx="12">
                  <c:v>7.1823787351586244E-4</c:v>
                </c:pt>
                <c:pt idx="13">
                  <c:v>8.4468232865850956E-5</c:v>
                </c:pt>
                <c:pt idx="14">
                  <c:v>7.2972234478141014E-6</c:v>
                </c:pt>
                <c:pt idx="15">
                  <c:v>4.8093577566927407E-7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6-F946-BE0F-A4EA12F7704B}"/>
            </c:ext>
          </c:extLst>
        </c:ser>
        <c:ser>
          <c:idx val="1"/>
          <c:order val="1"/>
          <c:tx>
            <c:strRef>
              <c:f>'PART 1'!$BX$5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1'!$BX$65:$BX$80</c:f>
              <c:numCache>
                <c:formatCode>0.0E+00</c:formatCode>
                <c:ptCount val="16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2.9265998523210969E-5</c:v>
                </c:pt>
                <c:pt idx="3">
                  <c:v>4.1746111765088789E-4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3.5212130286942124E-2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3.8068919850193204E-4</c:v>
                </c:pt>
                <c:pt idx="15">
                  <c:v>9.4556994587265296E-5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D6-F946-BE0F-A4EA12F7704B}"/>
            </c:ext>
          </c:extLst>
        </c:ser>
        <c:ser>
          <c:idx val="2"/>
          <c:order val="2"/>
          <c:tx>
            <c:strRef>
              <c:f>'PART 1'!$BY$5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1'!$BY$65:$BY$80</c:f>
              <c:numCache>
                <c:formatCode>0.0E+00</c:formatCode>
                <c:ptCount val="16"/>
                <c:pt idx="0">
                  <c:v>1.6833377571562758E-6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3.5581792279001198E-2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1.2594003477751478E-2</c:v>
                </c:pt>
                <c:pt idx="12">
                  <c:v>6.6034037139998062E-3</c:v>
                </c:pt>
                <c:pt idx="13">
                  <c:v>3.084792741286774E-3</c:v>
                </c:pt>
                <c:pt idx="14">
                  <c:v>1.3026922814580184E-3</c:v>
                </c:pt>
                <c:pt idx="15">
                  <c:v>5.0353481185787989E-4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D6-F946-BE0F-A4EA12F7704B}"/>
            </c:ext>
          </c:extLst>
        </c:ser>
        <c:ser>
          <c:idx val="3"/>
          <c:order val="3"/>
          <c:tx>
            <c:strRef>
              <c:f>'PART 1'!$BZ$5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1'!$BZ$65:$BZ$80</c:f>
              <c:numCache>
                <c:formatCode>0.0E+00</c:formatCode>
                <c:ptCount val="16"/>
                <c:pt idx="0">
                  <c:v>2.2064431982817092E-5</c:v>
                </c:pt>
                <c:pt idx="1">
                  <c:v>2.0218238688417126E-4</c:v>
                </c:pt>
                <c:pt idx="2">
                  <c:v>1.1000759814895978E-3</c:v>
                </c:pt>
                <c:pt idx="3">
                  <c:v>3.9113907532951544E-3</c:v>
                </c:pt>
                <c:pt idx="4">
                  <c:v>9.7884039294375211E-3</c:v>
                </c:pt>
                <c:pt idx="5">
                  <c:v>1.827895482236909E-2</c:v>
                </c:pt>
                <c:pt idx="6">
                  <c:v>2.6687880405210137E-2</c:v>
                </c:pt>
                <c:pt idx="7">
                  <c:v>3.1635322258043566E-2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4.4825674910614188E-3</c:v>
                </c:pt>
                <c:pt idx="14">
                  <c:v>2.3082701661092638E-3</c:v>
                </c:pt>
                <c:pt idx="15">
                  <c:v>1.1130292486590083E-3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D6-F946-BE0F-A4EA12F7704B}"/>
            </c:ext>
          </c:extLst>
        </c:ser>
        <c:ser>
          <c:idx val="4"/>
          <c:order val="4"/>
          <c:tx>
            <c:strRef>
              <c:f>'PART 1'!$CA$5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1'!$CA$65:$CA$80</c:f>
              <c:numCache>
                <c:formatCode>0.0E+00</c:formatCode>
                <c:ptCount val="16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5.8617741810673696E-3</c:v>
                </c:pt>
                <c:pt idx="4">
                  <c:v>1.1937780047109168E-2</c:v>
                </c:pt>
                <c:pt idx="5">
                  <c:v>1.926193999623425E-2</c:v>
                </c:pt>
                <c:pt idx="6">
                  <c:v>2.5556533759819561E-2</c:v>
                </c:pt>
                <c:pt idx="7">
                  <c:v>2.8732281352043244E-2</c:v>
                </c:pt>
                <c:pt idx="8">
                  <c:v>2.8051246304186251E-2</c:v>
                </c:pt>
                <c:pt idx="9">
                  <c:v>2.4267506445708333E-2</c:v>
                </c:pt>
                <c:pt idx="10">
                  <c:v>1.8918485039079756E-2</c:v>
                </c:pt>
                <c:pt idx="11">
                  <c:v>1.3478753756809101E-2</c:v>
                </c:pt>
                <c:pt idx="12">
                  <c:v>8.881243547387634E-3</c:v>
                </c:pt>
                <c:pt idx="13">
                  <c:v>5.466867238047071E-3</c:v>
                </c:pt>
                <c:pt idx="14">
                  <c:v>3.1709157235184286E-3</c:v>
                </c:pt>
                <c:pt idx="15">
                  <c:v>1.7459186523562447E-3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D6-F946-BE0F-A4EA12F7704B}"/>
            </c:ext>
          </c:extLst>
        </c:ser>
        <c:ser>
          <c:idx val="5"/>
          <c:order val="5"/>
          <c:tx>
            <c:strRef>
              <c:f>'PART 1'!$CB$5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1'!$CB$65:$CB$80</c:f>
              <c:numCache>
                <c:formatCode>0.0E+00</c:formatCode>
                <c:ptCount val="16"/>
                <c:pt idx="0">
                  <c:v>2.7236380704730449E-4</c:v>
                </c:pt>
                <c:pt idx="1">
                  <c:v>1.1382523244176247E-3</c:v>
                </c:pt>
                <c:pt idx="2">
                  <c:v>3.3722289783455592E-3</c:v>
                </c:pt>
                <c:pt idx="3">
                  <c:v>7.5458967272333394E-3</c:v>
                </c:pt>
                <c:pt idx="4">
                  <c:v>1.3395159432299533E-2</c:v>
                </c:pt>
                <c:pt idx="5">
                  <c:v>1.9607203543702149E-2</c:v>
                </c:pt>
                <c:pt idx="6">
                  <c:v>2.4406774147524603E-2</c:v>
                </c:pt>
                <c:pt idx="7">
                  <c:v>2.64881643942976E-2</c:v>
                </c:pt>
                <c:pt idx="8">
                  <c:v>2.5578375413499596E-2</c:v>
                </c:pt>
                <c:pt idx="9">
                  <c:v>2.2348767206295847E-2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3.8518254155354282E-3</c:v>
                </c:pt>
                <c:pt idx="15">
                  <c:v>2.3169614647433373E-3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D6-F946-BE0F-A4EA12F7704B}"/>
            </c:ext>
          </c:extLst>
        </c:ser>
        <c:ser>
          <c:idx val="6"/>
          <c:order val="6"/>
          <c:tx>
            <c:strRef>
              <c:f>'PART 1'!$CC$5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1'!$CC$65:$CC$80</c:f>
              <c:numCache>
                <c:formatCode>0.0E+00</c:formatCode>
                <c:ptCount val="16"/>
                <c:pt idx="0">
                  <c:v>5.476048159651799E-4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8.92731806222242E-3</c:v>
                </c:pt>
                <c:pt idx="4">
                  <c:v>1.4366321033900604E-2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2.3654347961507342E-2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1.3067821328100538E-2</c:v>
                </c:pt>
                <c:pt idx="12">
                  <c:v>9.4962050866496343E-3</c:v>
                </c:pt>
                <c:pt idx="13">
                  <c:v>6.5790096216856182E-3</c:v>
                </c:pt>
                <c:pt idx="14">
                  <c:v>4.3719665660242645E-3</c:v>
                </c:pt>
                <c:pt idx="15">
                  <c:v>2.8013465758306814E-3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D6-F946-BE0F-A4EA12F7704B}"/>
            </c:ext>
          </c:extLst>
        </c:ser>
        <c:ser>
          <c:idx val="7"/>
          <c:order val="7"/>
          <c:tx>
            <c:strRef>
              <c:f>'PART 1'!$CD$5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1'!$CD$65:$CD$80</c:f>
              <c:numCache>
                <c:formatCode>0.0E+00</c:formatCode>
                <c:ptCount val="16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1.9552017122180455E-2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D6-F946-BE0F-A4EA12F7704B}"/>
            </c:ext>
          </c:extLst>
        </c:ser>
        <c:ser>
          <c:idx val="8"/>
          <c:order val="8"/>
          <c:tx>
            <c:strRef>
              <c:f>'PART 1'!$CE$5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1'!$CE$65:$CE$80</c:f>
              <c:numCache>
                <c:formatCode>0.0E+00</c:formatCode>
                <c:ptCount val="16"/>
                <c:pt idx="0">
                  <c:v>1.3571389458380512E-3</c:v>
                </c:pt>
                <c:pt idx="1">
                  <c:v>3.3605151026574521E-3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1.5403132263133367E-2</c:v>
                </c:pt>
                <c:pt idx="5">
                  <c:v>1.9167361944162006E-2</c:v>
                </c:pt>
                <c:pt idx="6">
                  <c:v>2.1452524339852525E-2</c:v>
                </c:pt>
                <c:pt idx="7">
                  <c:v>2.1952066922098775E-2</c:v>
                </c:pt>
                <c:pt idx="8">
                  <c:v>2.0814289167512139E-2</c:v>
                </c:pt>
                <c:pt idx="9">
                  <c:v>1.8489346824041977E-2</c:v>
                </c:pt>
                <c:pt idx="10">
                  <c:v>1.5528543194402063E-2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7.0538139252298484E-3</c:v>
                </c:pt>
                <c:pt idx="14">
                  <c:v>5.0554177985015734E-3</c:v>
                </c:pt>
                <c:pt idx="15">
                  <c:v>3.5239585209983202E-3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D6-F946-BE0F-A4EA12F7704B}"/>
            </c:ext>
          </c:extLst>
        </c:ser>
        <c:ser>
          <c:idx val="9"/>
          <c:order val="9"/>
          <c:tx>
            <c:strRef>
              <c:f>'PART 1'!$CF$5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1'!$CF$65:$CF$80</c:f>
              <c:numCache>
                <c:formatCode>0.0E+00</c:formatCode>
                <c:ptCount val="16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D6-F946-BE0F-A4EA12F7704B}"/>
            </c:ext>
          </c:extLst>
        </c:ser>
        <c:ser>
          <c:idx val="10"/>
          <c:order val="10"/>
          <c:tx>
            <c:strRef>
              <c:f>'PART 1'!$CG$5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1'!$CG$65:$CG$80</c:f>
              <c:numCache>
                <c:formatCode>0.0E+00</c:formatCode>
                <c:ptCount val="16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1.1624159945686186E-2</c:v>
                </c:pt>
                <c:pt idx="3">
                  <c:v>1.3601749391133745E-2</c:v>
                </c:pt>
                <c:pt idx="4">
                  <c:v>1.4928999083209108E-2</c:v>
                </c:pt>
                <c:pt idx="5">
                  <c:v>1.5538821309956893E-2</c:v>
                </c:pt>
                <c:pt idx="6">
                  <c:v>1.5471684475151492E-2</c:v>
                </c:pt>
                <c:pt idx="7">
                  <c:v>1.4840061535306964E-2</c:v>
                </c:pt>
                <c:pt idx="8">
                  <c:v>1.3790926583135297E-2</c:v>
                </c:pt>
                <c:pt idx="9">
                  <c:v>1.2475292570391813E-2</c:v>
                </c:pt>
                <c:pt idx="10">
                  <c:v>1.1028059378052651E-2</c:v>
                </c:pt>
                <c:pt idx="11">
                  <c:v>9.5576676672171137E-3</c:v>
                </c:pt>
                <c:pt idx="12">
                  <c:v>8.1432630811320347E-3</c:v>
                </c:pt>
                <c:pt idx="13">
                  <c:v>6.8366861897907428E-3</c:v>
                </c:pt>
                <c:pt idx="14">
                  <c:v>5.6669702285113378E-3</c:v>
                </c:pt>
                <c:pt idx="15">
                  <c:v>4.6456697775222452E-3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D6-F946-BE0F-A4EA12F7704B}"/>
            </c:ext>
          </c:extLst>
        </c:ser>
        <c:ser>
          <c:idx val="11"/>
          <c:order val="11"/>
          <c:tx>
            <c:strRef>
              <c:f>'PART 1'!$CH$5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1'!$CH$65:$CH$80</c:f>
              <c:numCache>
                <c:formatCode>0.0E+00</c:formatCode>
                <c:ptCount val="16"/>
                <c:pt idx="0">
                  <c:v>9.1771016304238069E-3</c:v>
                </c:pt>
                <c:pt idx="1">
                  <c:v>1.0920849507992854E-2</c:v>
                </c:pt>
                <c:pt idx="2">
                  <c:v>1.2233016676571298E-2</c:v>
                </c:pt>
                <c:pt idx="3">
                  <c:v>1.3047996011475228E-2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1.2783505889003443E-2</c:v>
                </c:pt>
                <c:pt idx="7">
                  <c:v>1.2047161650680642E-2</c:v>
                </c:pt>
                <c:pt idx="8">
                  <c:v>1.1134276551152785E-2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8.0369990403848391E-3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5.2808038728821569E-3</c:v>
                </c:pt>
                <c:pt idx="15">
                  <c:v>4.5248469998567693E-3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D6-F946-BE0F-A4EA12F7704B}"/>
            </c:ext>
          </c:extLst>
        </c:ser>
        <c:ser>
          <c:idx val="12"/>
          <c:order val="12"/>
          <c:tx>
            <c:strRef>
              <c:f>'PART 1'!$CI$5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1'!$CI$65:$CI$80</c:f>
              <c:numCache>
                <c:formatCode>0.0E+00</c:formatCode>
                <c:ptCount val="16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D6-F946-BE0F-A4EA12F7704B}"/>
            </c:ext>
          </c:extLst>
        </c:ser>
        <c:ser>
          <c:idx val="13"/>
          <c:order val="13"/>
          <c:tx>
            <c:strRef>
              <c:f>'PART 1'!$CJ$5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1'!$CJ$65:$CJ$80</c:f>
              <c:numCache>
                <c:formatCode>0.0E+00</c:formatCode>
                <c:ptCount val="16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1.0490736571836447E-2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7.6966219777363501E-3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5.0386172534840883E-3</c:v>
                </c:pt>
                <c:pt idx="14">
                  <c:v>4.4856819490140861E-3</c:v>
                </c:pt>
                <c:pt idx="15">
                  <c:v>3.9819655859202495E-3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D6-F946-BE0F-A4EA12F7704B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Gamma,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1'!$BW$5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1'!$BW$83:$BW$98</c:f>
              <c:numCache>
                <c:formatCode>0.0E+00</c:formatCode>
                <c:ptCount val="16"/>
                <c:pt idx="0">
                  <c:v>4.8371729163416155E-8</c:v>
                </c:pt>
                <c:pt idx="1">
                  <c:v>2.7992835519207707E-6</c:v>
                </c:pt>
                <c:pt idx="2">
                  <c:v>6.3562115182022813E-5</c:v>
                </c:pt>
                <c:pt idx="3">
                  <c:v>6.7225819369320027E-4</c:v>
                </c:pt>
                <c:pt idx="4">
                  <c:v>3.7827836741325775E-3</c:v>
                </c:pt>
                <c:pt idx="5">
                  <c:v>1.257501258451457E-2</c:v>
                </c:pt>
                <c:pt idx="6">
                  <c:v>2.6849994493107564E-2</c:v>
                </c:pt>
                <c:pt idx="7">
                  <c:v>3.9397555493342631E-2</c:v>
                </c:pt>
                <c:pt idx="8">
                  <c:v>4.1981596977461719E-2</c:v>
                </c:pt>
                <c:pt idx="9">
                  <c:v>3.4000529020197359E-2</c:v>
                </c:pt>
                <c:pt idx="10">
                  <c:v>2.1736822486638243E-2</c:v>
                </c:pt>
                <c:pt idx="11">
                  <c:v>1.132338909622355E-2</c:v>
                </c:pt>
                <c:pt idx="12">
                  <c:v>4.9370130845059279E-3</c:v>
                </c:pt>
                <c:pt idx="13">
                  <c:v>1.8430873083992024E-3</c:v>
                </c:pt>
                <c:pt idx="14">
                  <c:v>6.0071558236562614E-4</c:v>
                </c:pt>
                <c:pt idx="15">
                  <c:v>1.7381608681207663E-4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E2-0A4B-9A9F-BA8D2AFD0951}"/>
            </c:ext>
          </c:extLst>
        </c:ser>
        <c:ser>
          <c:idx val="1"/>
          <c:order val="1"/>
          <c:tx>
            <c:strRef>
              <c:f>'PART 1'!$BX$5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1'!$BX$83:$BX$98</c:f>
              <c:numCache>
                <c:formatCode>0.0E+00</c:formatCode>
                <c:ptCount val="16"/>
                <c:pt idx="0">
                  <c:v>4.8005602280442924E-5</c:v>
                </c:pt>
                <c:pt idx="1">
                  <c:v>3.4238659642402488E-4</c:v>
                </c:pt>
                <c:pt idx="2">
                  <c:v>1.5369719040112578E-3</c:v>
                </c:pt>
                <c:pt idx="3">
                  <c:v>4.7282210181891805E-3</c:v>
                </c:pt>
                <c:pt idx="4">
                  <c:v>1.0647723775453427E-2</c:v>
                </c:pt>
                <c:pt idx="5">
                  <c:v>1.8488250396357001E-2</c:v>
                </c:pt>
                <c:pt idx="6">
                  <c:v>2.5799834788109949E-2</c:v>
                </c:pt>
                <c:pt idx="7">
                  <c:v>2.9920175402764988E-2</c:v>
                </c:pt>
                <c:pt idx="8">
                  <c:v>2.963562571944587E-2</c:v>
                </c:pt>
                <c:pt idx="9">
                  <c:v>2.5642378317564656E-2</c:v>
                </c:pt>
                <c:pt idx="10">
                  <c:v>1.9748701502398165E-2</c:v>
                </c:pt>
                <c:pt idx="11">
                  <c:v>1.3752363931184045E-2</c:v>
                </c:pt>
                <c:pt idx="12">
                  <c:v>8.7746917760978451E-3</c:v>
                </c:pt>
                <c:pt idx="13">
                  <c:v>5.1878950118337827E-3</c:v>
                </c:pt>
                <c:pt idx="14">
                  <c:v>2.8696661309163176E-3</c:v>
                </c:pt>
                <c:pt idx="15">
                  <c:v>1.4974023713320017E-3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E2-0A4B-9A9F-BA8D2AFD0951}"/>
            </c:ext>
          </c:extLst>
        </c:ser>
        <c:ser>
          <c:idx val="2"/>
          <c:order val="2"/>
          <c:tx>
            <c:strRef>
              <c:f>'PART 1'!$BY$5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1'!$BY$83:$BY$98</c:f>
              <c:numCache>
                <c:formatCode>0.0E+00</c:formatCode>
                <c:ptCount val="16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4.0687523516901589E-3</c:v>
                </c:pt>
                <c:pt idx="3">
                  <c:v>8.2932442565351958E-3</c:v>
                </c:pt>
                <c:pt idx="4">
                  <c:v>1.3762943653982113E-2</c:v>
                </c:pt>
                <c:pt idx="5">
                  <c:v>1.9245583173855805E-2</c:v>
                </c:pt>
                <c:pt idx="6">
                  <c:v>2.3306691732956811E-2</c:v>
                </c:pt>
                <c:pt idx="7">
                  <c:v>2.4990132225163462E-2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1.7510243021562306E-2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6.7057249264153357E-3</c:v>
                </c:pt>
                <c:pt idx="14">
                  <c:v>4.4244401962093699E-3</c:v>
                </c:pt>
                <c:pt idx="15">
                  <c:v>2.8101370337925168E-3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E2-0A4B-9A9F-BA8D2AFD0951}"/>
            </c:ext>
          </c:extLst>
        </c:ser>
        <c:ser>
          <c:idx val="3"/>
          <c:order val="3"/>
          <c:tx>
            <c:strRef>
              <c:f>'PART 1'!$BZ$5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1'!$BZ$83:$BZ$98</c:f>
              <c:numCache>
                <c:formatCode>0.0E+00</c:formatCode>
                <c:ptCount val="16"/>
                <c:pt idx="0">
                  <c:v>1.2684980236185482E-3</c:v>
                </c:pt>
                <c:pt idx="1">
                  <c:v>3.1761382873591237E-3</c:v>
                </c:pt>
                <c:pt idx="2">
                  <c:v>6.3393895489089105E-3</c:v>
                </c:pt>
                <c:pt idx="3">
                  <c:v>1.0517834159617734E-2</c:v>
                </c:pt>
                <c:pt idx="4">
                  <c:v>1.4983978051139487E-2</c:v>
                </c:pt>
                <c:pt idx="5">
                  <c:v>1.8803436356655608E-2</c:v>
                </c:pt>
                <c:pt idx="6">
                  <c:v>2.1212946857819128E-2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1.8678514542129088E-2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9.8121320272589463E-3</c:v>
                </c:pt>
                <c:pt idx="13">
                  <c:v>7.3006500382870035E-3</c:v>
                </c:pt>
                <c:pt idx="14">
                  <c:v>5.2609033868653314E-3</c:v>
                </c:pt>
                <c:pt idx="15">
                  <c:v>3.6864683342030654E-3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E2-0A4B-9A9F-BA8D2AFD0951}"/>
            </c:ext>
          </c:extLst>
        </c:ser>
        <c:ser>
          <c:idx val="4"/>
          <c:order val="4"/>
          <c:tx>
            <c:strRef>
              <c:f>'PART 1'!$CA$5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1'!$CA$83:$CA$98</c:f>
              <c:numCache>
                <c:formatCode>0.0E+00</c:formatCode>
                <c:ptCount val="16"/>
                <c:pt idx="0">
                  <c:v>2.3382957957450985E-3</c:v>
                </c:pt>
                <c:pt idx="1">
                  <c:v>4.7488233231175484E-3</c:v>
                </c:pt>
                <c:pt idx="2">
                  <c:v>8.0599773466249677E-3</c:v>
                </c:pt>
                <c:pt idx="3">
                  <c:v>1.1819037433225307E-2</c:v>
                </c:pt>
                <c:pt idx="4">
                  <c:v>1.5364246918448029E-2</c:v>
                </c:pt>
                <c:pt idx="5">
                  <c:v>1.8068228988525181E-2</c:v>
                </c:pt>
                <c:pt idx="6">
                  <c:v>1.9534751872486739E-2</c:v>
                </c:pt>
                <c:pt idx="7">
                  <c:v>1.9671994336736283E-2</c:v>
                </c:pt>
                <c:pt idx="8">
                  <c:v>1.8648956198552002E-2</c:v>
                </c:pt>
                <c:pt idx="9">
                  <c:v>1.6789169768697557E-2</c:v>
                </c:pt>
                <c:pt idx="10">
                  <c:v>1.4458770943216178E-2</c:v>
                </c:pt>
                <c:pt idx="11">
                  <c:v>1.1984095247208172E-2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5.6874317310270693E-3</c:v>
                </c:pt>
                <c:pt idx="15">
                  <c:v>4.2274159872265253E-3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E2-0A4B-9A9F-BA8D2AFD0951}"/>
            </c:ext>
          </c:extLst>
        </c:ser>
        <c:ser>
          <c:idx val="5"/>
          <c:order val="5"/>
          <c:tx>
            <c:strRef>
              <c:f>'PART 1'!$CB$5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1'!$CB$83:$CB$98</c:f>
              <c:numCache>
                <c:formatCode>0.0E+00</c:formatCode>
                <c:ptCount val="16"/>
                <c:pt idx="0">
                  <c:v>3.4549517028754717E-3</c:v>
                </c:pt>
                <c:pt idx="1">
                  <c:v>6.1025757786037126E-3</c:v>
                </c:pt>
                <c:pt idx="2">
                  <c:v>9.2966719191608007E-3</c:v>
                </c:pt>
                <c:pt idx="3">
                  <c:v>1.2555154567235544E-2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1.8172524320191757E-2</c:v>
                </c:pt>
                <c:pt idx="7">
                  <c:v>1.8015399304984771E-2</c:v>
                </c:pt>
                <c:pt idx="8">
                  <c:v>1.6995504070964788E-2</c:v>
                </c:pt>
                <c:pt idx="9">
                  <c:v>1.5368208376167369E-2</c:v>
                </c:pt>
                <c:pt idx="10">
                  <c:v>1.3400367884206782E-2</c:v>
                </c:pt>
                <c:pt idx="11">
                  <c:v>1.132386000635301E-2</c:v>
                </c:pt>
                <c:pt idx="12">
                  <c:v>9.313082481780104E-3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E2-0A4B-9A9F-BA8D2AFD0951}"/>
            </c:ext>
          </c:extLst>
        </c:ser>
        <c:ser>
          <c:idx val="6"/>
          <c:order val="6"/>
          <c:tx>
            <c:strRef>
              <c:f>'PART 1'!$CC$5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1'!$CC$83:$CC$98</c:f>
              <c:numCache>
                <c:formatCode>0.0E+00</c:formatCode>
                <c:ptCount val="16"/>
                <c:pt idx="0">
                  <c:v>4.5096296845151063E-3</c:v>
                </c:pt>
                <c:pt idx="1">
                  <c:v>7.2096701015754924E-3</c:v>
                </c:pt>
                <c:pt idx="2">
                  <c:v>1.0167303762997196E-2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1.6550341873979184E-2</c:v>
                </c:pt>
                <c:pt idx="6">
                  <c:v>1.7044687194816176E-2</c:v>
                </c:pt>
                <c:pt idx="7">
                  <c:v>1.6709061466729101E-2</c:v>
                </c:pt>
                <c:pt idx="8">
                  <c:v>1.5708358311106813E-2</c:v>
                </c:pt>
                <c:pt idx="9">
                  <c:v>1.4249101786859477E-2</c:v>
                </c:pt>
                <c:pt idx="10">
                  <c:v>1.253521869678631E-2</c:v>
                </c:pt>
                <c:pt idx="11">
                  <c:v>1.074020246658062E-2</c:v>
                </c:pt>
                <c:pt idx="12">
                  <c:v>8.9946864621100828E-3</c:v>
                </c:pt>
                <c:pt idx="13">
                  <c:v>7.3853698760191324E-3</c:v>
                </c:pt>
                <c:pt idx="14">
                  <c:v>5.9606848610583791E-3</c:v>
                </c:pt>
                <c:pt idx="15">
                  <c:v>4.7393843504899566E-3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E2-0A4B-9A9F-BA8D2AFD0951}"/>
            </c:ext>
          </c:extLst>
        </c:ser>
        <c:ser>
          <c:idx val="7"/>
          <c:order val="7"/>
          <c:tx>
            <c:strRef>
              <c:f>'PART 1'!$CD$5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1'!$CD$83:$CD$98</c:f>
              <c:numCache>
                <c:formatCode>0.0E+00</c:formatCode>
                <c:ptCount val="16"/>
                <c:pt idx="0">
                  <c:v>5.4555892387964204E-3</c:v>
                </c:pt>
                <c:pt idx="1">
                  <c:v>8.0936358441935641E-3</c:v>
                </c:pt>
                <c:pt idx="2">
                  <c:v>1.0771870609204376E-2</c:v>
                </c:pt>
                <c:pt idx="3">
                  <c:v>1.3124825156577539E-2</c:v>
                </c:pt>
                <c:pt idx="4">
                  <c:v>1.4871858249720597E-2</c:v>
                </c:pt>
                <c:pt idx="5">
                  <c:v>1.5865759347980533E-2</c:v>
                </c:pt>
                <c:pt idx="6">
                  <c:v>1.6093332217008625E-2</c:v>
                </c:pt>
                <c:pt idx="7">
                  <c:v>1.5644431582997612E-2</c:v>
                </c:pt>
                <c:pt idx="8">
                  <c:v>1.4669150678135831E-2</c:v>
                </c:pt>
                <c:pt idx="9">
                  <c:v>1.3337894677823489E-2</c:v>
                </c:pt>
                <c:pt idx="10">
                  <c:v>1.1811904293602783E-2</c:v>
                </c:pt>
                <c:pt idx="11">
                  <c:v>1.022592397572397E-2</c:v>
                </c:pt>
                <c:pt idx="12">
                  <c:v>8.6812461969082502E-3</c:v>
                </c:pt>
                <c:pt idx="13">
                  <c:v>7.2460218594597326E-3</c:v>
                </c:pt>
                <c:pt idx="14">
                  <c:v>5.9597458042224315E-3</c:v>
                </c:pt>
                <c:pt idx="15">
                  <c:v>4.8394882133299885E-3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E2-0A4B-9A9F-BA8D2AFD0951}"/>
            </c:ext>
          </c:extLst>
        </c:ser>
        <c:ser>
          <c:idx val="8"/>
          <c:order val="8"/>
          <c:tx>
            <c:strRef>
              <c:f>'PART 1'!$CE$5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1'!$CE$83:$CE$98</c:f>
              <c:numCache>
                <c:formatCode>0.0E+00</c:formatCode>
                <c:ptCount val="16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1.5240725494598826E-2</c:v>
                </c:pt>
                <c:pt idx="6">
                  <c:v>1.5277763824001958E-2</c:v>
                </c:pt>
                <c:pt idx="7">
                  <c:v>1.4754868041798963E-2</c:v>
                </c:pt>
                <c:pt idx="8">
                  <c:v>1.38069849781331E-2</c:v>
                </c:pt>
                <c:pt idx="9">
                  <c:v>1.2577052515957671E-2</c:v>
                </c:pt>
                <c:pt idx="10">
                  <c:v>1.1195871235951033E-2</c:v>
                </c:pt>
                <c:pt idx="11">
                  <c:v>9.7710707636894881E-3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E2-0A4B-9A9F-BA8D2AFD0951}"/>
            </c:ext>
          </c:extLst>
        </c:ser>
        <c:ser>
          <c:idx val="9"/>
          <c:order val="9"/>
          <c:tx>
            <c:strRef>
              <c:f>'PART 1'!$CF$5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1'!$CF$83:$CF$98</c:f>
              <c:numCache>
                <c:formatCode>0.0E+00</c:formatCode>
                <c:ptCount val="16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1.3124994619891275E-2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1.3076461848524422E-2</c:v>
                </c:pt>
                <c:pt idx="9">
                  <c:v>1.1929120878360653E-2</c:v>
                </c:pt>
                <c:pt idx="10">
                  <c:v>1.0663126660408761E-2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6.9218060724324567E-3</c:v>
                </c:pt>
                <c:pt idx="14">
                  <c:v>5.8456577452828994E-3</c:v>
                </c:pt>
                <c:pt idx="15">
                  <c:v>4.8888801197403868E-3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E2-0A4B-9A9F-BA8D2AFD0951}"/>
            </c:ext>
          </c:extLst>
        </c:ser>
        <c:ser>
          <c:idx val="10"/>
          <c:order val="10"/>
          <c:tx>
            <c:strRef>
              <c:f>'PART 1'!$CG$5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1'!$CG$83:$CG$98</c:f>
              <c:numCache>
                <c:formatCode>0.0E+00</c:formatCode>
                <c:ptCount val="16"/>
                <c:pt idx="0">
                  <c:v>1.0030097674802637E-2</c:v>
                </c:pt>
                <c:pt idx="1">
                  <c:v>1.0869825982032193E-2</c:v>
                </c:pt>
                <c:pt idx="2">
                  <c:v>1.1344091423781007E-2</c:v>
                </c:pt>
                <c:pt idx="3">
                  <c:v>1.1484873818246508E-2</c:v>
                </c:pt>
                <c:pt idx="4">
                  <c:v>1.1343327721716881E-2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9.8037554378220954E-3</c:v>
                </c:pt>
                <c:pt idx="8">
                  <c:v>9.092361475410371E-3</c:v>
                </c:pt>
                <c:pt idx="9">
                  <c:v>8.3496184427614972E-3</c:v>
                </c:pt>
                <c:pt idx="10">
                  <c:v>7.603783522576131E-3</c:v>
                </c:pt>
                <c:pt idx="11">
                  <c:v>6.8757669831697628E-3</c:v>
                </c:pt>
                <c:pt idx="12">
                  <c:v>6.1802445927498402E-3</c:v>
                </c:pt>
                <c:pt idx="13">
                  <c:v>5.5268144202571534E-3</c:v>
                </c:pt>
                <c:pt idx="14">
                  <c:v>4.9210815203458436E-3</c:v>
                </c:pt>
                <c:pt idx="15">
                  <c:v>4.3656123603575472E-3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E2-0A4B-9A9F-BA8D2AFD0951}"/>
            </c:ext>
          </c:extLst>
        </c:ser>
        <c:ser>
          <c:idx val="11"/>
          <c:order val="11"/>
          <c:tx>
            <c:strRef>
              <c:f>'PART 1'!$CH$5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1'!$CH$83:$CH$98</c:f>
              <c:numCache>
                <c:formatCode>0.0E+00</c:formatCode>
                <c:ptCount val="16"/>
                <c:pt idx="0">
                  <c:v>1.025398028665004E-2</c:v>
                </c:pt>
                <c:pt idx="1">
                  <c:v>1.0363399155444456E-2</c:v>
                </c:pt>
                <c:pt idx="2">
                  <c:v>1.0246666696571999E-2</c:v>
                </c:pt>
                <c:pt idx="3">
                  <c:v>9.9554811818721202E-3</c:v>
                </c:pt>
                <c:pt idx="4">
                  <c:v>9.5371649510801234E-3</c:v>
                </c:pt>
                <c:pt idx="5">
                  <c:v>9.0324238181826739E-3</c:v>
                </c:pt>
                <c:pt idx="6">
                  <c:v>8.4747143075524275E-3</c:v>
                </c:pt>
                <c:pt idx="7">
                  <c:v>7.8905317151781781E-3</c:v>
                </c:pt>
                <c:pt idx="8">
                  <c:v>7.3001620980094519E-3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5.1171548019673802E-3</c:v>
                </c:pt>
                <c:pt idx="13">
                  <c:v>4.6467969605679992E-3</c:v>
                </c:pt>
                <c:pt idx="14">
                  <c:v>4.2111102732515695E-3</c:v>
                </c:pt>
                <c:pt idx="15">
                  <c:v>3.8099337821083405E-3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E2-0A4B-9A9F-BA8D2AFD0951}"/>
            </c:ext>
          </c:extLst>
        </c:ser>
        <c:ser>
          <c:idx val="12"/>
          <c:order val="12"/>
          <c:tx>
            <c:strRef>
              <c:f>'PART 1'!$CI$5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1'!$CI$83:$CI$98</c:f>
              <c:numCache>
                <c:formatCode>0.0E+00</c:formatCode>
                <c:ptCount val="16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9.2553580000514068E-3</c:v>
                </c:pt>
                <c:pt idx="3">
                  <c:v>8.8091587418353094E-3</c:v>
                </c:pt>
                <c:pt idx="4">
                  <c:v>8.3111834375704362E-3</c:v>
                </c:pt>
                <c:pt idx="5">
                  <c:v>7.7865829825335157E-3</c:v>
                </c:pt>
                <c:pt idx="6">
                  <c:v>7.2541928646975579E-3</c:v>
                </c:pt>
                <c:pt idx="7">
                  <c:v>6.727711143982254E-3</c:v>
                </c:pt>
                <c:pt idx="8">
                  <c:v>6.2167667801221425E-3</c:v>
                </c:pt>
                <c:pt idx="9">
                  <c:v>5.7278335105389287E-3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E2-0A4B-9A9F-BA8D2AFD0951}"/>
            </c:ext>
          </c:extLst>
        </c:ser>
        <c:ser>
          <c:idx val="13"/>
          <c:order val="13"/>
          <c:tx>
            <c:strRef>
              <c:f>'PART 1'!$CJ$5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1'!$CJ$83:$CJ$98</c:f>
              <c:numCache>
                <c:formatCode>0.0E+00</c:formatCode>
                <c:ptCount val="16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6.8988971767481684E-3</c:v>
                </c:pt>
                <c:pt idx="6">
                  <c:v>6.399922384282445E-3</c:v>
                </c:pt>
                <c:pt idx="7">
                  <c:v>5.9214922774464777E-3</c:v>
                </c:pt>
                <c:pt idx="8">
                  <c:v>5.4677797056007201E-3</c:v>
                </c:pt>
                <c:pt idx="9">
                  <c:v>5.0410846970877594E-3</c:v>
                </c:pt>
                <c:pt idx="10">
                  <c:v>4.6423651796185005E-3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3.3190921842812561E-3</c:v>
                </c:pt>
                <c:pt idx="15">
                  <c:v>3.0504863785204566E-3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E2-0A4B-9A9F-BA8D2AFD0951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Gamma,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1'!$BW$5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1'!$BW$101:$BW$116</c:f>
              <c:numCache>
                <c:formatCode>0.0E+00</c:formatCode>
                <c:ptCount val="16"/>
                <c:pt idx="0">
                  <c:v>9.8181668070309793E-58</c:v>
                </c:pt>
                <c:pt idx="1">
                  <c:v>1.867554133449226E-41</c:v>
                </c:pt>
                <c:pt idx="2">
                  <c:v>7.2920970083606921E-29</c:v>
                </c:pt>
                <c:pt idx="3">
                  <c:v>2.7634460319906583E-19</c:v>
                </c:pt>
                <c:pt idx="4">
                  <c:v>3.3905822708430664E-12</c:v>
                </c:pt>
                <c:pt idx="5">
                  <c:v>3.4793158250122268E-7</c:v>
                </c:pt>
                <c:pt idx="6">
                  <c:v>6.3723381042931433E-4</c:v>
                </c:pt>
                <c:pt idx="7">
                  <c:v>3.8441261874572009E-2</c:v>
                </c:pt>
                <c:pt idx="8">
                  <c:v>0.12601477970020517</c:v>
                </c:pt>
                <c:pt idx="9">
                  <c:v>3.3926069444668278E-2</c:v>
                </c:pt>
                <c:pt idx="10">
                  <c:v>1.0577125055269182E-3</c:v>
                </c:pt>
                <c:pt idx="11">
                  <c:v>5.0939285700327113E-6</c:v>
                </c:pt>
                <c:pt idx="12">
                  <c:v>4.8333065983836828E-9</c:v>
                </c:pt>
                <c:pt idx="13">
                  <c:v>1.1110259985098475E-12</c:v>
                </c:pt>
                <c:pt idx="14">
                  <c:v>7.382971539826821E-17</c:v>
                </c:pt>
                <c:pt idx="15">
                  <c:v>1.6508431991277696E-21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2F-6B46-B5BF-F786E76D8E9C}"/>
            </c:ext>
          </c:extLst>
        </c:ser>
        <c:ser>
          <c:idx val="1"/>
          <c:order val="1"/>
          <c:tx>
            <c:strRef>
              <c:f>'PART 1'!$BX$5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1'!$BX$101:$BX$116</c:f>
              <c:numCache>
                <c:formatCode>0.0E+00</c:formatCode>
                <c:ptCount val="16"/>
                <c:pt idx="0">
                  <c:v>1.4877614568192042E-29</c:v>
                </c:pt>
                <c:pt idx="1">
                  <c:v>1.8565304082520428E-21</c:v>
                </c:pt>
                <c:pt idx="2">
                  <c:v>3.3439581371571196E-15</c:v>
                </c:pt>
                <c:pt idx="3">
                  <c:v>1.8884525527510619E-10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7.2202698909513228E-3</c:v>
                </c:pt>
                <c:pt idx="7">
                  <c:v>5.2414503254015789E-2</c:v>
                </c:pt>
                <c:pt idx="8">
                  <c:v>8.900571747852265E-2</c:v>
                </c:pt>
                <c:pt idx="9">
                  <c:v>4.3449753071981671E-2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1.9995476488667826E-7</c:v>
                </c:pt>
                <c:pt idx="14">
                  <c:v>1.5520066218442012E-9</c:v>
                </c:pt>
                <c:pt idx="15">
                  <c:v>7.0007225305255789E-12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2F-6B46-B5BF-F786E76D8E9C}"/>
            </c:ext>
          </c:extLst>
        </c:ser>
        <c:ser>
          <c:idx val="2"/>
          <c:order val="2"/>
          <c:tx>
            <c:strRef>
              <c:f>'PART 1'!$BY$5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1'!$BY$101:$BY$116</c:f>
              <c:numCache>
                <c:formatCode>0.0E+00</c:formatCode>
                <c:ptCount val="16"/>
                <c:pt idx="0">
                  <c:v>3.3715886606540406E-20</c:v>
                </c:pt>
                <c:pt idx="1">
                  <c:v>7.8761142092032735E-15</c:v>
                </c:pt>
                <c:pt idx="2">
                  <c:v>1.0961347486332762E-10</c:v>
                </c:pt>
                <c:pt idx="3">
                  <c:v>1.5233209793360453E-7</c:v>
                </c:pt>
                <c:pt idx="4">
                  <c:v>3.155135271549592E-5</c:v>
                </c:pt>
                <c:pt idx="5">
                  <c:v>1.3351896003566922E-3</c:v>
                </c:pt>
                <c:pt idx="6">
                  <c:v>1.4851555899595277E-2</c:v>
                </c:pt>
                <c:pt idx="7">
                  <c:v>5.3227540948401569E-2</c:v>
                </c:pt>
                <c:pt idx="8">
                  <c:v>7.2591153003284115E-2</c:v>
                </c:pt>
                <c:pt idx="9">
                  <c:v>4.3212117686085315E-2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1.0338747257813658E-5</c:v>
                </c:pt>
                <c:pt idx="14">
                  <c:v>3.9226661156427296E-7</c:v>
                </c:pt>
                <c:pt idx="15">
                  <c:v>1.037740725194923E-8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2F-6B46-B5BF-F786E76D8E9C}"/>
            </c:ext>
          </c:extLst>
        </c:ser>
        <c:ser>
          <c:idx val="3"/>
          <c:order val="3"/>
          <c:tx>
            <c:strRef>
              <c:f>'PART 1'!$BZ$5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1'!$BZ$101:$BZ$116</c:f>
              <c:numCache>
                <c:formatCode>0.0E+00</c:formatCode>
                <c:ptCount val="16"/>
                <c:pt idx="0">
                  <c:v>1.5374265651823462E-15</c:v>
                </c:pt>
                <c:pt idx="1">
                  <c:v>1.5539109604002787E-11</c:v>
                </c:pt>
                <c:pt idx="2">
                  <c:v>1.9009673521623235E-8</c:v>
                </c:pt>
                <c:pt idx="3">
                  <c:v>4.1442242901485517E-6</c:v>
                </c:pt>
                <c:pt idx="4">
                  <c:v>2.1731776002153873E-4</c:v>
                </c:pt>
                <c:pt idx="5">
                  <c:v>3.4716293491663338E-3</c:v>
                </c:pt>
                <c:pt idx="6">
                  <c:v>2.0402828136932075E-2</c:v>
                </c:pt>
                <c:pt idx="7">
                  <c:v>5.1379281037838447E-2</c:v>
                </c:pt>
                <c:pt idx="8">
                  <c:v>6.2795098352771264E-2</c:v>
                </c:pt>
                <c:pt idx="9">
                  <c:v>4.1278492158452362E-2</c:v>
                </c:pt>
                <c:pt idx="10">
                  <c:v>1.5896481134192911E-2</c:v>
                </c:pt>
                <c:pt idx="11">
                  <c:v>3.8527882067153165E-3</c:v>
                </c:pt>
                <c:pt idx="12">
                  <c:v>6.2433347878451597E-4</c:v>
                </c:pt>
                <c:pt idx="13">
                  <c:v>7.1210683603857566E-5</c:v>
                </c:pt>
                <c:pt idx="14">
                  <c:v>5.9735759091088035E-6</c:v>
                </c:pt>
                <c:pt idx="15">
                  <c:v>3.8271106091862608E-7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2F-6B46-B5BF-F786E76D8E9C}"/>
            </c:ext>
          </c:extLst>
        </c:ser>
        <c:ser>
          <c:idx val="4"/>
          <c:order val="4"/>
          <c:tx>
            <c:strRef>
              <c:f>'PART 1'!$CA$5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1'!$CA$101:$CA$116</c:f>
              <c:numCache>
                <c:formatCode>0.0E+00</c:formatCode>
                <c:ptCount val="16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4.0857545005606393E-7</c:v>
                </c:pt>
                <c:pt idx="3">
                  <c:v>2.9313355232607553E-5</c:v>
                </c:pt>
                <c:pt idx="4">
                  <c:v>6.7417515498728662E-4</c:v>
                </c:pt>
                <c:pt idx="5">
                  <c:v>6.0028678035568004E-3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5.6093527215653792E-3</c:v>
                </c:pt>
                <c:pt idx="12">
                  <c:v>1.2805137235044073E-3</c:v>
                </c:pt>
                <c:pt idx="13">
                  <c:v>2.2091371478623331E-4</c:v>
                </c:pt>
                <c:pt idx="14">
                  <c:v>2.9830284442140869E-5</c:v>
                </c:pt>
                <c:pt idx="15">
                  <c:v>3.2491629195180632E-6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2F-6B46-B5BF-F786E76D8E9C}"/>
            </c:ext>
          </c:extLst>
        </c:ser>
        <c:ser>
          <c:idx val="5"/>
          <c:order val="5"/>
          <c:tx>
            <c:strRef>
              <c:f>'PART 1'!$CB$5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1'!$CB$101:$CB$116</c:f>
              <c:numCache>
                <c:formatCode>0.0E+00</c:formatCode>
                <c:ptCount val="16"/>
                <c:pt idx="0">
                  <c:v>6.6022100125859387E-11</c:v>
                </c:pt>
                <c:pt idx="1">
                  <c:v>2.8871903156587544E-8</c:v>
                </c:pt>
                <c:pt idx="2">
                  <c:v>3.1047063387496907E-6</c:v>
                </c:pt>
                <c:pt idx="3">
                  <c:v>1.0617694808839046E-4</c:v>
                </c:pt>
                <c:pt idx="4">
                  <c:v>1.4096380488958426E-3</c:v>
                </c:pt>
                <c:pt idx="5">
                  <c:v>8.5007827825346483E-3</c:v>
                </c:pt>
                <c:pt idx="6">
                  <c:v>2.6396354113062123E-2</c:v>
                </c:pt>
                <c:pt idx="7">
                  <c:v>4.6706228570157653E-2</c:v>
                </c:pt>
                <c:pt idx="8">
                  <c:v>5.1156750826999192E-2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7.0830615084530833E-3</c:v>
                </c:pt>
                <c:pt idx="12">
                  <c:v>2.0319475824949751E-3</c:v>
                </c:pt>
                <c:pt idx="13">
                  <c:v>4.6191019586218834E-4</c:v>
                </c:pt>
                <c:pt idx="14">
                  <c:v>8.5668780985105099E-5</c:v>
                </c:pt>
                <c:pt idx="15">
                  <c:v>1.3291938562945936E-5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2F-6B46-B5BF-F786E76D8E9C}"/>
            </c:ext>
          </c:extLst>
        </c:ser>
        <c:ser>
          <c:idx val="6"/>
          <c:order val="6"/>
          <c:tx>
            <c:strRef>
              <c:f>'PART 1'!$CC$5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1'!$CC$101:$CC$116</c:f>
              <c:numCache>
                <c:formatCode>0.0E+00</c:formatCode>
                <c:ptCount val="16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1.3055468334454289E-5</c:v>
                </c:pt>
                <c:pt idx="3">
                  <c:v>2.630006185665992E-4</c:v>
                </c:pt>
                <c:pt idx="4">
                  <c:v>2.3582196949555514E-3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4.4567221413124178E-2</c:v>
                </c:pt>
                <c:pt idx="8">
                  <c:v>4.7308695923014683E-2</c:v>
                </c:pt>
                <c:pt idx="9">
                  <c:v>3.5328302741473985E-2</c:v>
                </c:pt>
                <c:pt idx="10">
                  <c:v>1.9483332622964505E-2</c:v>
                </c:pt>
                <c:pt idx="11">
                  <c:v>8.2651375479295131E-3</c:v>
                </c:pt>
                <c:pt idx="12">
                  <c:v>2.7913416838140047E-3</c:v>
                </c:pt>
                <c:pt idx="13">
                  <c:v>7.7274142964303314E-4</c:v>
                </c:pt>
                <c:pt idx="14">
                  <c:v>1.7978334895153025E-4</c:v>
                </c:pt>
                <c:pt idx="15">
                  <c:v>3.591421503332701E-5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2F-6B46-B5BF-F786E76D8E9C}"/>
            </c:ext>
          </c:extLst>
        </c:ser>
        <c:ser>
          <c:idx val="7"/>
          <c:order val="7"/>
          <c:tx>
            <c:strRef>
              <c:f>'PART 1'!$CD$5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1'!$CD$101:$CD$116</c:f>
              <c:numCache>
                <c:formatCode>0.0E+00</c:formatCode>
                <c:ptCount val="16"/>
                <c:pt idx="0">
                  <c:v>1.309790020055326E-8</c:v>
                </c:pt>
                <c:pt idx="1">
                  <c:v>1.191420089105155E-6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3.4369932223750686E-3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3.3718545937390321E-2</c:v>
                </c:pt>
                <c:pt idx="10">
                  <c:v>1.9742547542846399E-2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3.1058576900406615E-4</c:v>
                </c:pt>
                <c:pt idx="15">
                  <c:v>7.4991466396696723E-5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2F-6B46-B5BF-F786E76D8E9C}"/>
            </c:ext>
          </c:extLst>
        </c:ser>
        <c:ser>
          <c:idx val="8"/>
          <c:order val="8"/>
          <c:tx>
            <c:strRef>
              <c:f>'PART 1'!$CE$5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1'!$CE$101:$CE$116</c:f>
              <c:numCache>
                <c:formatCode>0.0E+00</c:formatCode>
                <c:ptCount val="16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8.6540937665519212E-5</c:v>
                </c:pt>
                <c:pt idx="3">
                  <c:v>8.6084583659867776E-4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2.92381675347584E-2</c:v>
                </c:pt>
                <c:pt idx="7">
                  <c:v>4.0888684659269078E-2</c:v>
                </c:pt>
                <c:pt idx="8">
                  <c:v>4.1628578335024279E-2</c:v>
                </c:pt>
                <c:pt idx="9">
                  <c:v>3.2283704705699037E-2</c:v>
                </c:pt>
                <c:pt idx="10">
                  <c:v>1.9803191408745976E-2</c:v>
                </c:pt>
                <c:pt idx="11">
                  <c:v>9.9164315716425769E-3</c:v>
                </c:pt>
                <c:pt idx="12">
                  <c:v>4.1630686520652081E-3</c:v>
                </c:pt>
                <c:pt idx="13">
                  <c:v>1.4987745127806541E-3</c:v>
                </c:pt>
                <c:pt idx="14">
                  <c:v>4.7175720539731353E-4</c:v>
                </c:pt>
                <c:pt idx="15">
                  <c:v>1.3199891273585568E-4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2F-6B46-B5BF-F786E76D8E9C}"/>
            </c:ext>
          </c:extLst>
        </c:ser>
        <c:ser>
          <c:idx val="9"/>
          <c:order val="9"/>
          <c:tx>
            <c:strRef>
              <c:f>'PART 1'!$CF$5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1'!$CF$101:$CF$116</c:f>
              <c:numCache>
                <c:formatCode>0.0E+00</c:formatCode>
                <c:ptCount val="16"/>
                <c:pt idx="0">
                  <c:v>3.0503159925846777E-7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3.9317306319057527E-2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1.0474112849205517E-2</c:v>
                </c:pt>
                <c:pt idx="12">
                  <c:v>4.7451367772989453E-3</c:v>
                </c:pt>
                <c:pt idx="13">
                  <c:v>1.8728672584138741E-3</c:v>
                </c:pt>
                <c:pt idx="14">
                  <c:v>6.5528870342850616E-4</c:v>
                </c:pt>
                <c:pt idx="15">
                  <c:v>2.0630117799149032E-4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C2F-6B46-B5BF-F786E76D8E9C}"/>
            </c:ext>
          </c:extLst>
        </c:ser>
        <c:ser>
          <c:idx val="10"/>
          <c:order val="10"/>
          <c:tx>
            <c:strRef>
              <c:f>'PART 1'!$CG$5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1'!$CG$101:$CG$116</c:f>
              <c:numCache>
                <c:formatCode>0.0E+00</c:formatCode>
                <c:ptCount val="16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1.3876417664915321E-2</c:v>
                </c:pt>
                <c:pt idx="5">
                  <c:v>2.1394744871527756E-2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2.7581853166270594E-2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1.193431892911874E-2</c:v>
                </c:pt>
                <c:pt idx="12">
                  <c:v>7.6165645282489083E-3</c:v>
                </c:pt>
                <c:pt idx="13">
                  <c:v>4.5470245404394486E-3</c:v>
                </c:pt>
                <c:pt idx="14">
                  <c:v>2.5609344709387875E-3</c:v>
                </c:pt>
                <c:pt idx="15">
                  <c:v>1.3707080362701774E-3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2F-6B46-B5BF-F786E76D8E9C}"/>
            </c:ext>
          </c:extLst>
        </c:ser>
        <c:ser>
          <c:idx val="11"/>
          <c:order val="11"/>
          <c:tx>
            <c:strRef>
              <c:f>'PART 1'!$CH$5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1'!$CH$101:$CH$116</c:f>
              <c:numCache>
                <c:formatCode>0.0E+00</c:formatCode>
                <c:ptCount val="16"/>
                <c:pt idx="0">
                  <c:v>1.0316841901525141E-3</c:v>
                </c:pt>
                <c:pt idx="1">
                  <c:v>2.966058949873731E-3</c:v>
                </c:pt>
                <c:pt idx="2">
                  <c:v>6.5180762218454997E-3</c:v>
                </c:pt>
                <c:pt idx="3">
                  <c:v>1.150786954283289E-2</c:v>
                </c:pt>
                <c:pt idx="4">
                  <c:v>1.6964964604488354E-2</c:v>
                </c:pt>
                <c:pt idx="5">
                  <c:v>2.152609940586208E-2</c:v>
                </c:pt>
                <c:pt idx="6">
                  <c:v>2.4084363839664259E-2</c:v>
                </c:pt>
                <c:pt idx="7">
                  <c:v>2.4229204673908024E-2</c:v>
                </c:pt>
                <c:pt idx="8">
                  <c:v>2.226855310230557E-2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1.1338612960202372E-2</c:v>
                </c:pt>
                <c:pt idx="12">
                  <c:v>8.1120649104783824E-3</c:v>
                </c:pt>
                <c:pt idx="13">
                  <c:v>5.5590796015987437E-3</c:v>
                </c:pt>
                <c:pt idx="14">
                  <c:v>3.669350702524464E-3</c:v>
                </c:pt>
                <c:pt idx="15">
                  <c:v>2.3440212104340022E-3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2F-6B46-B5BF-F786E76D8E9C}"/>
            </c:ext>
          </c:extLst>
        </c:ser>
        <c:ser>
          <c:idx val="12"/>
          <c:order val="12"/>
          <c:tx>
            <c:strRef>
              <c:f>'PART 1'!$CI$5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1'!$CI$101:$CI$116</c:f>
              <c:numCache>
                <c:formatCode>0.0E+00</c:formatCode>
                <c:ptCount val="16"/>
                <c:pt idx="0">
                  <c:v>2.6204952010288863E-3</c:v>
                </c:pt>
                <c:pt idx="1">
                  <c:v>5.5034091875470386E-3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2.0578086869191912E-2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7.978625905498065E-3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2F-6B46-B5BF-F786E76D8E9C}"/>
            </c:ext>
          </c:extLst>
        </c:ser>
        <c:ser>
          <c:idx val="13"/>
          <c:order val="13"/>
          <c:tx>
            <c:strRef>
              <c:f>'PART 1'!$CJ$5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1'!$CJ$101:$CJ$116</c:f>
              <c:numCache>
                <c:formatCode>0.0E+00</c:formatCode>
                <c:ptCount val="16"/>
                <c:pt idx="0">
                  <c:v>4.4499754398238511E-3</c:v>
                </c:pt>
                <c:pt idx="1">
                  <c:v>7.7406121902881767E-3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1.7906989830010489E-2</c:v>
                </c:pt>
                <c:pt idx="5">
                  <c:v>1.9442006249843845E-2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1.4577547243302307E-2</c:v>
                </c:pt>
                <c:pt idx="10">
                  <c:v>1.2135644435772964E-2</c:v>
                </c:pt>
                <c:pt idx="11">
                  <c:v>9.7818031211006871E-3</c:v>
                </c:pt>
                <c:pt idx="12">
                  <c:v>7.6679346587994893E-3</c:v>
                </c:pt>
                <c:pt idx="13">
                  <c:v>5.8677624274978343E-3</c:v>
                </c:pt>
                <c:pt idx="14">
                  <c:v>4.3973494544828021E-3</c:v>
                </c:pt>
                <c:pt idx="15">
                  <c:v>3.2361150487909911E-3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2F-6B46-B5BF-F786E76D8E9C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Vega,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1'!$CU$5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6">
                  <a:shade val="39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1'!$CU$6:$CU$21</c:f>
              <c:numCache>
                <c:formatCode>0.0E+00</c:formatCode>
                <c:ptCount val="16"/>
                <c:pt idx="0">
                  <c:v>7.5719207361531463E-16</c:v>
                </c:pt>
                <c:pt idx="1">
                  <c:v>9.5374791219906036E-12</c:v>
                </c:pt>
                <c:pt idx="2">
                  <c:v>1.4305070674681116E-8</c:v>
                </c:pt>
                <c:pt idx="3">
                  <c:v>3.7701398975718424E-6</c:v>
                </c:pt>
                <c:pt idx="4">
                  <c:v>2.3609588828415681E-4</c:v>
                </c:pt>
                <c:pt idx="5">
                  <c:v>4.4558558892443629E-3</c:v>
                </c:pt>
                <c:pt idx="6">
                  <c:v>3.0644533309865177E-2</c:v>
                </c:pt>
                <c:pt idx="7">
                  <c:v>8.9541358039279748E-2</c:v>
                </c:pt>
                <c:pt idx="8">
                  <c:v>0.12601477970020519</c:v>
                </c:pt>
                <c:pt idx="9">
                  <c:v>9.4730567005775868E-2</c:v>
                </c:pt>
                <c:pt idx="10">
                  <c:v>4.1459744625109492E-2</c:v>
                </c:pt>
                <c:pt idx="11">
                  <c:v>1.1355073152064604E-2</c:v>
                </c:pt>
                <c:pt idx="12">
                  <c:v>2.0685250757256843E-3</c:v>
                </c:pt>
                <c:pt idx="13">
                  <c:v>2.6396322770578433E-4</c:v>
                </c:pt>
                <c:pt idx="14">
                  <c:v>2.4664615253611668E-5</c:v>
                </c:pt>
                <c:pt idx="15">
                  <c:v>1.7530109023145043E-6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5B45-A597-56BD33EB25D2}"/>
            </c:ext>
          </c:extLst>
        </c:ser>
        <c:ser>
          <c:idx val="1"/>
          <c:order val="1"/>
          <c:tx>
            <c:strRef>
              <c:f>'PART 1'!$CV$5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6">
                  <a:shade val="4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1'!$CV$6:$CV$21</c:f>
              <c:numCache>
                <c:formatCode>0.0E+00</c:formatCode>
                <c:ptCount val="16"/>
                <c:pt idx="0">
                  <c:v>1.29452098386633E-8</c:v>
                </c:pt>
                <c:pt idx="1">
                  <c:v>1.4674662728048759E-6</c:v>
                </c:pt>
                <c:pt idx="2">
                  <c:v>5.73613571054935E-5</c:v>
                </c:pt>
                <c:pt idx="3">
                  <c:v>9.3928751471449782E-4</c:v>
                </c:pt>
                <c:pt idx="4">
                  <c:v>7.4932050826936906E-3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0.15528549456541477</c:v>
                </c:pt>
                <c:pt idx="10">
                  <c:v>0.10332955422391689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8.3776579671249983E-3</c:v>
                </c:pt>
                <c:pt idx="14">
                  <c:v>2.573458981873061E-3</c:v>
                </c:pt>
                <c:pt idx="15">
                  <c:v>6.89320490541164E-4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79-5B45-A597-56BD33EB25D2}"/>
            </c:ext>
          </c:extLst>
        </c:ser>
        <c:ser>
          <c:idx val="2"/>
          <c:order val="2"/>
          <c:tx>
            <c:strRef>
              <c:f>'PART 1'!$CW$5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6">
                  <a:shade val="5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1'!$CW$6:$CW$21</c:f>
              <c:numCache>
                <c:formatCode>0.0E+00</c:formatCode>
                <c:ptCount val="16"/>
                <c:pt idx="0">
                  <c:v>3.6360095554575554E-6</c:v>
                </c:pt>
                <c:pt idx="1">
                  <c:v>8.5735604439262291E-5</c:v>
                </c:pt>
                <c:pt idx="2">
                  <c:v>9.9359820227649877E-4</c:v>
                </c:pt>
                <c:pt idx="3">
                  <c:v>6.4440735249376045E-3</c:v>
                </c:pt>
                <c:pt idx="4">
                  <c:v>2.5866773497556832E-2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0.19267540519079149</c:v>
                </c:pt>
                <c:pt idx="8">
                  <c:v>0.21777345900985232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9.9933417595958002E-2</c:v>
                </c:pt>
                <c:pt idx="12">
                  <c:v>5.7053408088958327E-2</c:v>
                </c:pt>
                <c:pt idx="13">
                  <c:v>2.89199319495635E-2</c:v>
                </c:pt>
                <c:pt idx="14">
                  <c:v>1.3209299733984308E-2</c:v>
                </c:pt>
                <c:pt idx="15">
                  <c:v>5.5061531676659165E-3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79-5B45-A597-56BD33EB25D2}"/>
            </c:ext>
          </c:extLst>
        </c:ser>
        <c:ser>
          <c:idx val="3"/>
          <c:order val="3"/>
          <c:tx>
            <c:strRef>
              <c:f>'PART 1'!$CX$5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6">
                  <a:shade val="67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1'!$CX$6:$CX$21</c:f>
              <c:numCache>
                <c:formatCode>0.0E+00</c:formatCode>
                <c:ptCount val="16"/>
                <c:pt idx="0">
                  <c:v>6.3545564110513241E-5</c:v>
                </c:pt>
                <c:pt idx="1">
                  <c:v>6.8337646766849906E-4</c:v>
                </c:pt>
                <c:pt idx="2">
                  <c:v>4.3122978474392244E-3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0.10565235887329334</c:v>
                </c:pt>
                <c:pt idx="6">
                  <c:v>0.17293746502576174</c:v>
                </c:pt>
                <c:pt idx="7">
                  <c:v>0.22840702670307464</c:v>
                </c:pt>
                <c:pt idx="8">
                  <c:v>0.25118039341108511</c:v>
                </c:pt>
                <c:pt idx="9">
                  <c:v>0.23603472101352116</c:v>
                </c:pt>
                <c:pt idx="10">
                  <c:v>0.19366366629160028</c:v>
                </c:pt>
                <c:pt idx="11">
                  <c:v>0.14127284601816151</c:v>
                </c:pt>
                <c:pt idx="12">
                  <c:v>9.3034075502440555E-2</c:v>
                </c:pt>
                <c:pt idx="13">
                  <c:v>5.6032093638267749E-2</c:v>
                </c:pt>
                <c:pt idx="14">
                  <c:v>3.120781264579725E-2</c:v>
                </c:pt>
                <c:pt idx="15">
                  <c:v>1.6227966445448345E-2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79-5B45-A597-56BD33EB25D2}"/>
            </c:ext>
          </c:extLst>
        </c:ser>
        <c:ser>
          <c:idx val="4"/>
          <c:order val="4"/>
          <c:tx>
            <c:strRef>
              <c:f>'PART 1'!$CY$5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6">
                  <a:shade val="7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1'!$CY$6:$CY$21</c:f>
              <c:numCache>
                <c:formatCode>0.0E+00</c:formatCode>
                <c:ptCount val="16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1.066560447463694E-2</c:v>
                </c:pt>
                <c:pt idx="3">
                  <c:v>3.2972479768503968E-2</c:v>
                </c:pt>
                <c:pt idx="4">
                  <c:v>7.6401792301498697E-2</c:v>
                </c:pt>
                <c:pt idx="5">
                  <c:v>0.13916751647279249</c:v>
                </c:pt>
                <c:pt idx="6">
                  <c:v>0.2070079234545385</c:v>
                </c:pt>
                <c:pt idx="7">
                  <c:v>0.25930883920219033</c:v>
                </c:pt>
                <c:pt idx="8">
                  <c:v>0.28051246304186261</c:v>
                </c:pt>
                <c:pt idx="9">
                  <c:v>0.26754925856393441</c:v>
                </c:pt>
                <c:pt idx="10">
                  <c:v>0.22891366897286514</c:v>
                </c:pt>
                <c:pt idx="11">
                  <c:v>0.17825651843380044</c:v>
                </c:pt>
                <c:pt idx="12">
                  <c:v>0.12788990708238193</c:v>
                </c:pt>
                <c:pt idx="13">
                  <c:v>8.5419800594485507E-2</c:v>
                </c:pt>
                <c:pt idx="14">
                  <c:v>5.3588475727461456E-2</c:v>
                </c:pt>
                <c:pt idx="15">
                  <c:v>3.1819367439192572E-2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79-5B45-A597-56BD33EB25D2}"/>
            </c:ext>
          </c:extLst>
        </c:ser>
        <c:ser>
          <c:idx val="5"/>
          <c:order val="5"/>
          <c:tx>
            <c:strRef>
              <c:f>'PART 1'!$CZ$5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6">
                  <a:shade val="8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1'!$CZ$6:$CZ$21</c:f>
              <c:numCache>
                <c:formatCode>0.0E+00</c:formatCode>
                <c:ptCount val="16"/>
                <c:pt idx="0">
                  <c:v>1.1766116464443557E-3</c:v>
                </c:pt>
                <c:pt idx="1">
                  <c:v>5.7709392847973585E-3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0.10287482444006046</c:v>
                </c:pt>
                <c:pt idx="5">
                  <c:v>0.16999445472389768</c:v>
                </c:pt>
                <c:pt idx="6">
                  <c:v>0.23723384471393918</c:v>
                </c:pt>
                <c:pt idx="7">
                  <c:v>0.28686682039024308</c:v>
                </c:pt>
                <c:pt idx="8">
                  <c:v>0.30694050496199521</c:v>
                </c:pt>
                <c:pt idx="9">
                  <c:v>0.29567419013929414</c:v>
                </c:pt>
                <c:pt idx="10">
                  <c:v>0.26014283512817954</c:v>
                </c:pt>
                <c:pt idx="11">
                  <c:v>0.21158960540408664</c:v>
                </c:pt>
                <c:pt idx="12">
                  <c:v>0.16072749659884919</c:v>
                </c:pt>
                <c:pt idx="13">
                  <c:v>0.11501755031066588</c:v>
                </c:pt>
                <c:pt idx="14">
                  <c:v>7.8115019427058494E-2</c:v>
                </c:pt>
                <c:pt idx="15">
                  <c:v>5.0671947233936809E-2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79-5B45-A597-56BD33EB25D2}"/>
            </c:ext>
          </c:extLst>
        </c:ser>
        <c:ser>
          <c:idx val="6"/>
          <c:order val="6"/>
          <c:tx>
            <c:strRef>
              <c:f>'PART 1'!$DA$5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1'!$DA$6:$DA$21</c:f>
              <c:numCache>
                <c:formatCode>0.0E+00</c:formatCode>
                <c:ptCount val="16"/>
                <c:pt idx="0">
                  <c:v>2.7599282724645072E-3</c:v>
                </c:pt>
                <c:pt idx="1">
                  <c:v>1.0816670734477618E-2</c:v>
                </c:pt>
                <c:pt idx="2">
                  <c:v>3.1240118425491601E-2</c:v>
                </c:pt>
                <c:pt idx="3">
                  <c:v>7.0302629740001565E-2</c:v>
                </c:pt>
                <c:pt idx="4">
                  <c:v>0.12872223646374945</c:v>
                </c:pt>
                <c:pt idx="5">
                  <c:v>0.19840779785263229</c:v>
                </c:pt>
                <c:pt idx="6">
                  <c:v>0.26455122246358709</c:v>
                </c:pt>
                <c:pt idx="7">
                  <c:v>0.31193622839956398</c:v>
                </c:pt>
                <c:pt idx="8">
                  <c:v>0.3311608714611029</c:v>
                </c:pt>
                <c:pt idx="9">
                  <c:v>0.32127364650068396</c:v>
                </c:pt>
                <c:pt idx="10">
                  <c:v>0.28836210247206262</c:v>
                </c:pt>
                <c:pt idx="11">
                  <c:v>0.24195071188978154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0.10344072895213412</c:v>
                </c:pt>
                <c:pt idx="15">
                  <c:v>7.147635788231986E-2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79-5B45-A597-56BD33EB25D2}"/>
            </c:ext>
          </c:extLst>
        </c:ser>
        <c:ser>
          <c:idx val="7"/>
          <c:order val="7"/>
          <c:tx>
            <c:strRef>
              <c:f>'PART 1'!$DB$5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6">
                  <a:tint val="9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1'!$DB$6:$DB$21</c:f>
              <c:numCache>
                <c:formatCode>0.0E+00</c:formatCode>
                <c:ptCount val="16"/>
                <c:pt idx="0">
                  <c:v>5.2767323580423285E-3</c:v>
                </c:pt>
                <c:pt idx="1">
                  <c:v>1.7478240873614232E-2</c:v>
                </c:pt>
                <c:pt idx="2">
                  <c:v>4.431443031965894E-2</c:v>
                </c:pt>
                <c:pt idx="3">
                  <c:v>9.0304222542602286E-2</c:v>
                </c:pt>
                <c:pt idx="4">
                  <c:v>0.15361396923011619</c:v>
                </c:pt>
                <c:pt idx="5">
                  <c:v>0.22473489195639601</c:v>
                </c:pt>
                <c:pt idx="6">
                  <c:v>0.28958655791598931</c:v>
                </c:pt>
                <c:pt idx="7">
                  <c:v>0.33506087760385844</c:v>
                </c:pt>
                <c:pt idx="8">
                  <c:v>0.35362780796997573</c:v>
                </c:pt>
                <c:pt idx="9">
                  <c:v>0.34489758203526322</c:v>
                </c:pt>
                <c:pt idx="10">
                  <c:v>0.31423293448931333</c:v>
                </c:pt>
                <c:pt idx="11">
                  <c:v>0.2698796374360215</c:v>
                </c:pt>
                <c:pt idx="12">
                  <c:v>0.2201771367549985</c:v>
                </c:pt>
                <c:pt idx="13">
                  <c:v>0.17174563874605031</c:v>
                </c:pt>
                <c:pt idx="14">
                  <c:v>0.12880363658795957</c:v>
                </c:pt>
                <c:pt idx="15">
                  <c:v>9.3320554875542944E-2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79-5B45-A597-56BD33EB25D2}"/>
            </c:ext>
          </c:extLst>
        </c:ser>
        <c:ser>
          <c:idx val="8"/>
          <c:order val="8"/>
          <c:tx>
            <c:strRef>
              <c:f>'PART 1'!$DC$5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6">
                  <a:tint val="86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1'!$DC$6:$DC$21</c:f>
              <c:numCache>
                <c:formatCode>0.0E+00</c:formatCode>
                <c:ptCount val="16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5.8553435054060327E-2</c:v>
                </c:pt>
                <c:pt idx="3">
                  <c:v>0.11045773801093518</c:v>
                </c:pt>
                <c:pt idx="4">
                  <c:v>0.17744408367129644</c:v>
                </c:pt>
                <c:pt idx="5">
                  <c:v>0.2492715420838269</c:v>
                </c:pt>
                <c:pt idx="6">
                  <c:v>0.31277780487504986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0.33821167077407699</c:v>
                </c:pt>
                <c:pt idx="11">
                  <c:v>0.29579147918734411</c:v>
                </c:pt>
                <c:pt idx="12">
                  <c:v>0.24712869597243459</c:v>
                </c:pt>
                <c:pt idx="13">
                  <c:v>0.19838851664708951</c:v>
                </c:pt>
                <c:pt idx="14">
                  <c:v>0.15378580943041786</c:v>
                </c:pt>
                <c:pt idx="15">
                  <c:v>0.11560345928134991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79-5B45-A597-56BD33EB25D2}"/>
            </c:ext>
          </c:extLst>
        </c:ser>
        <c:ser>
          <c:idx val="9"/>
          <c:order val="9"/>
          <c:tx>
            <c:strRef>
              <c:f>'PART 1'!$DD$5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6">
                  <a:tint val="77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1'!$DD$6:$DD$21</c:f>
              <c:numCache>
                <c:formatCode>0.0E+00</c:formatCode>
                <c:ptCount val="16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79-5B45-A597-56BD33EB25D2}"/>
            </c:ext>
          </c:extLst>
        </c:ser>
        <c:ser>
          <c:idx val="10"/>
          <c:order val="10"/>
          <c:tx>
            <c:strRef>
              <c:f>'PART 1'!$DE$5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6">
                  <a:tint val="6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1'!$DE$6:$DE$21</c:f>
              <c:numCache>
                <c:formatCode>0.0E+00</c:formatCode>
                <c:ptCount val="16"/>
                <c:pt idx="0">
                  <c:v>9.5039378692490781E-2</c:v>
                </c:pt>
                <c:pt idx="1">
                  <c:v>0.15529982480581039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0.38218237653015336</c:v>
                </c:pt>
                <c:pt idx="5">
                  <c:v>0.44907193585775435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0.53375807389774854</c:v>
                </c:pt>
                <c:pt idx="11">
                  <c:v>0.50560061959578562</c:v>
                </c:pt>
                <c:pt idx="12">
                  <c:v>0.46905195347320522</c:v>
                </c:pt>
                <c:pt idx="13">
                  <c:v>0.42729288686192152</c:v>
                </c:pt>
                <c:pt idx="14">
                  <c:v>0.38308718744736653</c:v>
                </c:pt>
                <c:pt idx="15">
                  <c:v>0.33866932678137185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579-5B45-A597-56BD33EB25D2}"/>
            </c:ext>
          </c:extLst>
        </c:ser>
        <c:ser>
          <c:idx val="11"/>
          <c:order val="11"/>
          <c:tx>
            <c:strRef>
              <c:f>'PART 1'!$DF$5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tint val="58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1'!$DF$6:$DF$21</c:f>
              <c:numCache>
                <c:formatCode>0.0E+00</c:formatCode>
                <c:ptCount val="16"/>
                <c:pt idx="0">
                  <c:v>0.19822539521715424</c:v>
                </c:pt>
                <c:pt idx="1">
                  <c:v>0.27684353502761883</c:v>
                </c:pt>
                <c:pt idx="2">
                  <c:v>0.35965069029119617</c:v>
                </c:pt>
                <c:pt idx="3">
                  <c:v>0.44036986538728901</c:v>
                </c:pt>
                <c:pt idx="4">
                  <c:v>0.51343117209127109</c:v>
                </c:pt>
                <c:pt idx="5">
                  <c:v>0.574609960396536</c:v>
                </c:pt>
                <c:pt idx="6">
                  <c:v>0.6212783862055673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0.57403350128173736</c:v>
                </c:pt>
                <c:pt idx="14">
                  <c:v>0.53547351271025068</c:v>
                </c:pt>
                <c:pt idx="15">
                  <c:v>0.49479201943433782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79-5B45-A597-56BD33EB25D2}"/>
            </c:ext>
          </c:extLst>
        </c:ser>
        <c:ser>
          <c:idx val="12"/>
          <c:order val="12"/>
          <c:tx>
            <c:strRef>
              <c:f>'PART 1'!$DG$5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6">
                  <a:tint val="49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1'!$DG$6:$DG$21</c:f>
              <c:numCache>
                <c:formatCode>0.0E+00</c:formatCode>
                <c:ptCount val="16"/>
                <c:pt idx="0">
                  <c:v>0.29702348640212861</c:v>
                </c:pt>
                <c:pt idx="1">
                  <c:v>0.38350386340459214</c:v>
                </c:pt>
                <c:pt idx="2">
                  <c:v>0.46883083785060742</c:v>
                </c:pt>
                <c:pt idx="3">
                  <c:v>0.54807676647351533</c:v>
                </c:pt>
                <c:pt idx="4">
                  <c:v>0.61743560179207324</c:v>
                </c:pt>
                <c:pt idx="5">
                  <c:v>0.67438113704922509</c:v>
                </c:pt>
                <c:pt idx="6">
                  <c:v>0.71761533320686943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0.69031398866778315</c:v>
                </c:pt>
                <c:pt idx="14">
                  <c:v>0.6568433742701324</c:v>
                </c:pt>
                <c:pt idx="15">
                  <c:v>0.62051137062691963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79-5B45-A597-56BD33EB25D2}"/>
            </c:ext>
          </c:extLst>
        </c:ser>
        <c:ser>
          <c:idx val="13"/>
          <c:order val="13"/>
          <c:tx>
            <c:strRef>
              <c:f>'PART 1'!$DH$5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6">
                  <a:tint val="40000"/>
                </a:schemeClr>
              </a:solidFill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1'!$DH$6:$DH$21</c:f>
              <c:numCache>
                <c:formatCode>0.0E+00</c:formatCode>
                <c:ptCount val="16"/>
                <c:pt idx="0">
                  <c:v>0.3865349347186785</c:v>
                </c:pt>
                <c:pt idx="1">
                  <c:v>0.47611297617669923</c:v>
                </c:pt>
                <c:pt idx="2">
                  <c:v>0.56119836056730876</c:v>
                </c:pt>
                <c:pt idx="3">
                  <c:v>0.63807941266216028</c:v>
                </c:pt>
                <c:pt idx="4">
                  <c:v>0.70416816821210715</c:v>
                </c:pt>
                <c:pt idx="5">
                  <c:v>0.75795571731518341</c:v>
                </c:pt>
                <c:pt idx="6">
                  <c:v>0.79886620400360531</c:v>
                </c:pt>
                <c:pt idx="7">
                  <c:v>0.82706631007195031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0.84421159741338536</c:v>
                </c:pt>
                <c:pt idx="11">
                  <c:v>0.83163420463033977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0.7580802493833807</c:v>
                </c:pt>
                <c:pt idx="15">
                  <c:v>0.72571322803396565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79-5B45-A597-56BD33EB25D2}"/>
            </c:ext>
          </c:extLst>
        </c:ser>
        <c:bandFmts>
          <c:bandFmt>
            <c:idx val="0"/>
            <c:spPr>
              <a:ln w="9525" cap="rnd">
                <a:solidFill>
                  <a:schemeClr val="accent6">
                    <a:shade val="42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6">
                    <a:shade val="55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6">
                    <a:shade val="68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6">
                    <a:shade val="80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6">
                    <a:shade val="93000"/>
                  </a:schemeClr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>
                    <a:tint val="94000"/>
                  </a:schemeClr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6">
                    <a:tint val="81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6">
                    <a:tint val="69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6">
                    <a:tint val="56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6">
                    <a:tint val="43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6">
                    <a:tint val="3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tint val="18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6">
                    <a:tint val="5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6">
                    <a:tint val="92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6">
                    <a:tint val="80000"/>
                  </a:schemeClr>
                </a:solidFill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Vega,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1'!$CU$5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1'!$CU$24:$CU$39</c:f>
              <c:numCache>
                <c:formatCode>0.0E+00</c:formatCode>
                <c:ptCount val="16"/>
                <c:pt idx="0">
                  <c:v>5.2241467496489445E-8</c:v>
                </c:pt>
                <c:pt idx="1">
                  <c:v>3.5480919020595774E-6</c:v>
                </c:pt>
                <c:pt idx="2">
                  <c:v>9.343630931757354E-5</c:v>
                </c:pt>
                <c:pt idx="3">
                  <c:v>1.1344357018572753E-3</c:v>
                </c:pt>
                <c:pt idx="4">
                  <c:v>7.2629446543345496E-3</c:v>
                </c:pt>
                <c:pt idx="5">
                  <c:v>2.725633977693533E-2</c:v>
                </c:pt>
                <c:pt idx="6">
                  <c:v>6.5245486618251372E-2</c:v>
                </c:pt>
                <c:pt idx="7">
                  <c:v>0.10666888149822518</c:v>
                </c:pt>
                <c:pt idx="8">
                  <c:v>0.12594479093238517</c:v>
                </c:pt>
                <c:pt idx="9">
                  <c:v>0.11245674973430275</c:v>
                </c:pt>
                <c:pt idx="10">
                  <c:v>7.8904665626496825E-2</c:v>
                </c:pt>
                <c:pt idx="11">
                  <c:v>4.4925546239266936E-2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3.0456280025937246E-3</c:v>
                </c:pt>
                <c:pt idx="15">
                  <c:v>9.503394546450289E-4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2-1D49-A52A-C6498ED2CF3E}"/>
            </c:ext>
          </c:extLst>
        </c:ser>
        <c:ser>
          <c:idx val="1"/>
          <c:order val="1"/>
          <c:tx>
            <c:strRef>
              <c:f>'PART 1'!$CV$5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1'!$CV$24:$CV$39</c:f>
              <c:numCache>
                <c:formatCode>0.0E+00</c:formatCode>
                <c:ptCount val="16"/>
                <c:pt idx="0">
                  <c:v>1.0369210092575669E-4</c:v>
                </c:pt>
                <c:pt idx="1">
                  <c:v>8.6795002193490315E-4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0.12538719707021431</c:v>
                </c:pt>
                <c:pt idx="7">
                  <c:v>0.16201774980597239</c:v>
                </c:pt>
                <c:pt idx="8">
                  <c:v>0.17781375431667518</c:v>
                </c:pt>
                <c:pt idx="9">
                  <c:v>0.16962433257069018</c:v>
                </c:pt>
                <c:pt idx="10">
                  <c:v>0.14337557290741065</c:v>
                </c:pt>
                <c:pt idx="11">
                  <c:v>0.10912500779394539</c:v>
                </c:pt>
                <c:pt idx="12">
                  <c:v>7.5813336945485366E-2</c:v>
                </c:pt>
                <c:pt idx="13">
                  <c:v>4.8636515735941716E-2</c:v>
                </c:pt>
                <c:pt idx="14">
                  <c:v>2.909841456749146E-2</c:v>
                </c:pt>
                <c:pt idx="15">
                  <c:v>1.6374094930515438E-2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F2-1D49-A52A-C6498ED2CF3E}"/>
            </c:ext>
          </c:extLst>
        </c:ser>
        <c:ser>
          <c:idx val="2"/>
          <c:order val="2"/>
          <c:tx>
            <c:strRef>
              <c:f>'PART 1'!$CW$5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1'!$CW$24:$CW$39</c:f>
              <c:numCache>
                <c:formatCode>0.0E+00</c:formatCode>
                <c:ptCount val="16"/>
                <c:pt idx="0">
                  <c:v>1.4202882759273422E-3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4.1984549048709421E-2</c:v>
                </c:pt>
                <c:pt idx="4">
                  <c:v>7.9274555446936956E-2</c:v>
                </c:pt>
                <c:pt idx="5">
                  <c:v>0.12514440458799733</c:v>
                </c:pt>
                <c:pt idx="6">
                  <c:v>0.16990578273325513</c:v>
                </c:pt>
                <c:pt idx="7">
                  <c:v>0.20298234899889017</c:v>
                </c:pt>
                <c:pt idx="8">
                  <c:v>0.21741080554000833</c:v>
                </c:pt>
                <c:pt idx="9">
                  <c:v>0.21201979956829659</c:v>
                </c:pt>
                <c:pt idx="10">
                  <c:v>0.19068654650481348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9.4299256777715626E-2</c:v>
                </c:pt>
                <c:pt idx="14">
                  <c:v>6.729573538434451E-2</c:v>
                </c:pt>
                <c:pt idx="15">
                  <c:v>4.6093272696781748E-2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F2-1D49-A52A-C6498ED2CF3E}"/>
            </c:ext>
          </c:extLst>
        </c:ser>
        <c:ser>
          <c:idx val="3"/>
          <c:order val="3"/>
          <c:tx>
            <c:strRef>
              <c:f>'PART 1'!$CX$5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1'!$CX$24:$CX$39</c:f>
              <c:numCache>
                <c:formatCode>0.0E+00</c:formatCode>
                <c:ptCount val="16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3.7275610547584395E-2</c:v>
                </c:pt>
                <c:pt idx="3">
                  <c:v>7.0995380577419692E-2</c:v>
                </c:pt>
                <c:pt idx="4">
                  <c:v>0.11507695143275126</c:v>
                </c:pt>
                <c:pt idx="5">
                  <c:v>0.16302579321220409</c:v>
                </c:pt>
                <c:pt idx="6">
                  <c:v>0.20618984345800193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0.24711674739236783</c:v>
                </c:pt>
                <c:pt idx="10">
                  <c:v>0.22925780102263246</c:v>
                </c:pt>
                <c:pt idx="11">
                  <c:v>0.20174485287319668</c:v>
                </c:pt>
                <c:pt idx="12">
                  <c:v>0.16955364143103457</c:v>
                </c:pt>
                <c:pt idx="13">
                  <c:v>0.13688718821788132</c:v>
                </c:pt>
                <c:pt idx="14">
                  <c:v>0.10669112068562892</c:v>
                </c:pt>
                <c:pt idx="15">
                  <c:v>8.062306246902104E-2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F2-1D49-A52A-C6498ED2CF3E}"/>
            </c:ext>
          </c:extLst>
        </c:ser>
        <c:ser>
          <c:idx val="4"/>
          <c:order val="4"/>
          <c:tx>
            <c:strRef>
              <c:f>'PART 1'!$CY$5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1'!$CY$24:$CY$39</c:f>
              <c:numCache>
                <c:formatCode>0.0E+00</c:formatCode>
                <c:ptCount val="16"/>
                <c:pt idx="0">
                  <c:v>1.2626797297023531E-2</c:v>
                </c:pt>
                <c:pt idx="1">
                  <c:v>3.0095667810257465E-2</c:v>
                </c:pt>
                <c:pt idx="2">
                  <c:v>5.9240833497693518E-2</c:v>
                </c:pt>
                <c:pt idx="3">
                  <c:v>9.9723128342838543E-2</c:v>
                </c:pt>
                <c:pt idx="4">
                  <c:v>0.14749677041710108</c:v>
                </c:pt>
                <c:pt idx="5">
                  <c:v>0.19581443166314164</c:v>
                </c:pt>
                <c:pt idx="6">
                  <c:v>0.23734723525071394</c:v>
                </c:pt>
                <c:pt idx="7">
                  <c:v>0.26630962333356745</c:v>
                </c:pt>
                <c:pt idx="8">
                  <c:v>0.27973434297828004</c:v>
                </c:pt>
                <c:pt idx="9">
                  <c:v>0.27765089504983587</c:v>
                </c:pt>
                <c:pt idx="10">
                  <c:v>0.26242669261937368</c:v>
                </c:pt>
                <c:pt idx="11">
                  <c:v>0.23773448946649214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F2-1D49-A52A-C6498ED2CF3E}"/>
            </c:ext>
          </c:extLst>
        </c:ser>
        <c:ser>
          <c:idx val="5"/>
          <c:order val="5"/>
          <c:tx>
            <c:strRef>
              <c:f>'PART 1'!$CZ$5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1'!$CZ$24:$CZ$39</c:f>
              <c:numCache>
                <c:formatCode>0.0E+00</c:formatCode>
                <c:ptCount val="16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8.1996646326998268E-2</c:v>
                </c:pt>
                <c:pt idx="3">
                  <c:v>0.12712093999325988</c:v>
                </c:pt>
                <c:pt idx="4">
                  <c:v>0.17688429965289609</c:v>
                </c:pt>
                <c:pt idx="5">
                  <c:v>0.22487833277913319</c:v>
                </c:pt>
                <c:pt idx="6">
                  <c:v>0.26495540458839584</c:v>
                </c:pt>
                <c:pt idx="7">
                  <c:v>0.29266016170947762</c:v>
                </c:pt>
                <c:pt idx="8">
                  <c:v>0.30591907327736617</c:v>
                </c:pt>
                <c:pt idx="9">
                  <c:v>0.30498209522504149</c:v>
                </c:pt>
                <c:pt idx="10">
                  <c:v>0.29186001251802374</c:v>
                </c:pt>
                <c:pt idx="11">
                  <c:v>0.26956448745123346</c:v>
                </c:pt>
                <c:pt idx="12">
                  <c:v>0.24139509792774025</c:v>
                </c:pt>
                <c:pt idx="13">
                  <c:v>0.21040872318836001</c:v>
                </c:pt>
                <c:pt idx="14">
                  <c:v>0.17910817795815687</c:v>
                </c:pt>
                <c:pt idx="15">
                  <c:v>0.14932325285649345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F2-1D49-A52A-C6498ED2CF3E}"/>
            </c:ext>
          </c:extLst>
        </c:ser>
        <c:ser>
          <c:idx val="6"/>
          <c:order val="6"/>
          <c:tx>
            <c:strRef>
              <c:f>'PART 1'!$DA$5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1'!$DA$24:$DA$39</c:f>
              <c:numCache>
                <c:formatCode>0.0E+00</c:formatCode>
                <c:ptCount val="16"/>
                <c:pt idx="0">
                  <c:v>3.4092800414934198E-2</c:v>
                </c:pt>
                <c:pt idx="1">
                  <c:v>6.3967797976228563E-2</c:v>
                </c:pt>
                <c:pt idx="2">
                  <c:v>0.10462155572124114</c:v>
                </c:pt>
                <c:pt idx="3">
                  <c:v>0.1529339134731435</c:v>
                </c:pt>
                <c:pt idx="4">
                  <c:v>0.20372161802542726</c:v>
                </c:pt>
                <c:pt idx="5">
                  <c:v>0.25111006208294911</c:v>
                </c:pt>
                <c:pt idx="6">
                  <c:v>0.28993012918382316</c:v>
                </c:pt>
                <c:pt idx="7">
                  <c:v>0.31667848744818328</c:v>
                </c:pt>
                <c:pt idx="8">
                  <c:v>0.32987552453324309</c:v>
                </c:pt>
                <c:pt idx="9">
                  <c:v>0.32990232912026402</c:v>
                </c:pt>
                <c:pt idx="10">
                  <c:v>0.31851990708534011</c:v>
                </c:pt>
                <c:pt idx="11">
                  <c:v>0.29828227300311033</c:v>
                </c:pt>
                <c:pt idx="12">
                  <c:v>0.27199931861420884</c:v>
                </c:pt>
                <c:pt idx="13">
                  <c:v>0.24233244905687776</c:v>
                </c:pt>
                <c:pt idx="14">
                  <c:v>0.21154470571896189</c:v>
                </c:pt>
                <c:pt idx="15">
                  <c:v>0.18138808755412689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F2-1D49-A52A-C6498ED2CF3E}"/>
            </c:ext>
          </c:extLst>
        </c:ser>
        <c:ser>
          <c:idx val="7"/>
          <c:order val="7"/>
          <c:tx>
            <c:strRef>
              <c:f>'PART 1'!$DB$5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1'!$DB$24:$DB$39</c:f>
              <c:numCache>
                <c:formatCode>0.0E+00</c:formatCode>
                <c:ptCount val="16"/>
                <c:pt idx="0">
                  <c:v>4.7136291023201063E-2</c:v>
                </c:pt>
                <c:pt idx="1">
                  <c:v>8.2069467460122739E-2</c:v>
                </c:pt>
                <c:pt idx="2">
                  <c:v>0.12667719836424346</c:v>
                </c:pt>
                <c:pt idx="3">
                  <c:v>0.17718513961379675</c:v>
                </c:pt>
                <c:pt idx="4">
                  <c:v>0.22843174271570832</c:v>
                </c:pt>
                <c:pt idx="5">
                  <c:v>0.27511226709398245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0.34301770068622478</c:v>
                </c:pt>
                <c:pt idx="11">
                  <c:v>0.32457082698947876</c:v>
                </c:pt>
                <c:pt idx="12">
                  <c:v>0.30002386856514912</c:v>
                </c:pt>
                <c:pt idx="13">
                  <c:v>0.27172581972973997</c:v>
                </c:pt>
                <c:pt idx="14">
                  <c:v>0.24172728981926181</c:v>
                </c:pt>
                <c:pt idx="15">
                  <c:v>0.2116792144510537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F2-1D49-A52A-C6498ED2CF3E}"/>
            </c:ext>
          </c:extLst>
        </c:ser>
        <c:ser>
          <c:idx val="8"/>
          <c:order val="8"/>
          <c:tx>
            <c:strRef>
              <c:f>'PART 1'!$DC$5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1'!$DC$24:$DC$39</c:f>
              <c:numCache>
                <c:formatCode>0.0E+00</c:formatCode>
                <c:ptCount val="16"/>
                <c:pt idx="0">
                  <c:v>6.1044245880699184E-2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0.25135567501845724</c:v>
                </c:pt>
                <c:pt idx="5">
                  <c:v>0.29730845258588656</c:v>
                </c:pt>
                <c:pt idx="6">
                  <c:v>0.33412469483092277</c:v>
                </c:pt>
                <c:pt idx="7">
                  <c:v>0.35953924700853623</c:v>
                </c:pt>
                <c:pt idx="8">
                  <c:v>0.37278859440959367</c:v>
                </c:pt>
                <c:pt idx="9">
                  <c:v>0.37438741076876991</c:v>
                </c:pt>
                <c:pt idx="10">
                  <c:v>0.36576911327852024</c:v>
                </c:pt>
                <c:pt idx="11">
                  <c:v>0.34890050929444233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0.26992241961759361</c:v>
                </c:pt>
                <c:pt idx="15">
                  <c:v>0.24027301202528756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F2-1D49-A52A-C6498ED2CF3E}"/>
            </c:ext>
          </c:extLst>
        </c:ser>
        <c:ser>
          <c:idx val="9"/>
          <c:order val="9"/>
          <c:tx>
            <c:strRef>
              <c:f>'PART 1'!$DD$5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1'!$DD$24:$DD$39</c:f>
              <c:numCache>
                <c:formatCode>0.0E+00</c:formatCode>
                <c:ptCount val="16"/>
                <c:pt idx="0">
                  <c:v>7.5465414056779437E-2</c:v>
                </c:pt>
                <c:pt idx="1">
                  <c:v>0.11833484483505809</c:v>
                </c:pt>
                <c:pt idx="2">
                  <c:v>0.16843384637940814</c:v>
                </c:pt>
                <c:pt idx="3">
                  <c:v>0.22148428421066527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0.37896623822327197</c:v>
                </c:pt>
                <c:pt idx="8">
                  <c:v>0.39229385545573264</c:v>
                </c:pt>
                <c:pt idx="9">
                  <c:v>0.39455567305177863</c:v>
                </c:pt>
                <c:pt idx="10">
                  <c:v>0.38707149777283806</c:v>
                </c:pt>
                <c:pt idx="11">
                  <c:v>0.37160972039984985</c:v>
                </c:pt>
                <c:pt idx="12">
                  <c:v>0.3501077491813388</c:v>
                </c:pt>
                <c:pt idx="13">
                  <c:v>0.3244596596452714</c:v>
                </c:pt>
                <c:pt idx="14">
                  <c:v>0.29637484768584299</c:v>
                </c:pt>
                <c:pt idx="15">
                  <c:v>0.26729952054680567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F2-1D49-A52A-C6498ED2CF3E}"/>
            </c:ext>
          </c:extLst>
        </c:ser>
        <c:ser>
          <c:idx val="10"/>
          <c:order val="10"/>
          <c:tx>
            <c:strRef>
              <c:f>'PART 1'!$DE$5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1'!$DE$24:$DE$39</c:f>
              <c:numCache>
                <c:formatCode>0.0E+00</c:formatCode>
                <c:ptCount val="16"/>
                <c:pt idx="0">
                  <c:v>0.21665010977573695</c:v>
                </c:pt>
                <c:pt idx="1">
                  <c:v>0.27555008864451608</c:v>
                </c:pt>
                <c:pt idx="2">
                  <c:v>0.33351628785916165</c:v>
                </c:pt>
                <c:pt idx="3">
                  <c:v>0.38761449136581971</c:v>
                </c:pt>
                <c:pt idx="4">
                  <c:v>0.43558378451392826</c:v>
                </c:pt>
                <c:pt idx="5">
                  <c:v>0.47590089770706884</c:v>
                </c:pt>
                <c:pt idx="6">
                  <c:v>0.50774026590962573</c:v>
                </c:pt>
                <c:pt idx="7">
                  <c:v>0.53087335695806659</c:v>
                </c:pt>
                <c:pt idx="8">
                  <c:v>0.54554168852462226</c:v>
                </c:pt>
                <c:pt idx="9">
                  <c:v>0.55232725998867305</c:v>
                </c:pt>
                <c:pt idx="10">
                  <c:v>0.5520346837390272</c:v>
                </c:pt>
                <c:pt idx="11">
                  <c:v>0.5455921101145208</c:v>
                </c:pt>
                <c:pt idx="12">
                  <c:v>0.53397313281358616</c:v>
                </c:pt>
                <c:pt idx="13">
                  <c:v>0.51813885189910813</c:v>
                </c:pt>
                <c:pt idx="14">
                  <c:v>0.49899766616306857</c:v>
                </c:pt>
                <c:pt idx="15">
                  <c:v>0.47737971160509779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F2-1D49-A52A-C6498ED2CF3E}"/>
            </c:ext>
          </c:extLst>
        </c:ser>
        <c:ser>
          <c:idx val="11"/>
          <c:order val="11"/>
          <c:tx>
            <c:strRef>
              <c:f>'PART 1'!$DF$5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1'!$DF$24:$DF$39</c:f>
              <c:numCache>
                <c:formatCode>0.0E+00</c:formatCode>
                <c:ptCount val="16"/>
                <c:pt idx="0">
                  <c:v>0.33222896128746121</c:v>
                </c:pt>
                <c:pt idx="1">
                  <c:v>0.39406825288577535</c:v>
                </c:pt>
                <c:pt idx="2">
                  <c:v>0.45187800131882511</c:v>
                </c:pt>
                <c:pt idx="3">
                  <c:v>0.50399623483227596</c:v>
                </c:pt>
                <c:pt idx="4">
                  <c:v>0.54934070118221501</c:v>
                </c:pt>
                <c:pt idx="5">
                  <c:v>0.58733335877732828</c:v>
                </c:pt>
                <c:pt idx="6">
                  <c:v>0.61780667302057179</c:v>
                </c:pt>
                <c:pt idx="7">
                  <c:v>0.6409084385653474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0.66906761646336732</c:v>
                </c:pt>
                <c:pt idx="12">
                  <c:v>0.66318326233497227</c:v>
                </c:pt>
                <c:pt idx="13">
                  <c:v>0.65345582257987467</c:v>
                </c:pt>
                <c:pt idx="14">
                  <c:v>0.64050987256156355</c:v>
                </c:pt>
                <c:pt idx="15">
                  <c:v>0.62492438861032051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F2-1D49-A52A-C6498ED2CF3E}"/>
            </c:ext>
          </c:extLst>
        </c:ser>
        <c:ser>
          <c:idx val="12"/>
          <c:order val="12"/>
          <c:tx>
            <c:strRef>
              <c:f>'PART 1'!$DG$5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1'!$DG$24:$DG$39</c:f>
              <c:numCache>
                <c:formatCode>0.0E+00</c:formatCode>
                <c:ptCount val="16"/>
                <c:pt idx="0">
                  <c:v>0.42567098596972325</c:v>
                </c:pt>
                <c:pt idx="1">
                  <c:v>0.4875893022971528</c:v>
                </c:pt>
                <c:pt idx="2">
                  <c:v>0.54421505040302276</c:v>
                </c:pt>
                <c:pt idx="3">
                  <c:v>0.59461821507388335</c:v>
                </c:pt>
                <c:pt idx="4">
                  <c:v>0.63829888800540957</c:v>
                </c:pt>
                <c:pt idx="5">
                  <c:v>0.67509674458565583</c:v>
                </c:pt>
                <c:pt idx="6">
                  <c:v>0.70510754644860263</c:v>
                </c:pt>
                <c:pt idx="7">
                  <c:v>0.72861111689327818</c:v>
                </c:pt>
                <c:pt idx="8">
                  <c:v>0.74601201361465708</c:v>
                </c:pt>
                <c:pt idx="9">
                  <c:v>0.75779237344430039</c:v>
                </c:pt>
                <c:pt idx="10">
                  <c:v>0.76447556683034001</c:v>
                </c:pt>
                <c:pt idx="11">
                  <c:v>0.76659899934282549</c:v>
                </c:pt>
                <c:pt idx="12">
                  <c:v>0.76469439302491615</c:v>
                </c:pt>
                <c:pt idx="13">
                  <c:v>0.75927402432728763</c:v>
                </c:pt>
                <c:pt idx="14">
                  <c:v>0.7508216007760149</c:v>
                </c:pt>
                <c:pt idx="15">
                  <c:v>0.73978667680739474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F2-1D49-A52A-C6498ED2CF3E}"/>
            </c:ext>
          </c:extLst>
        </c:ser>
        <c:ser>
          <c:idx val="13"/>
          <c:order val="13"/>
          <c:tx>
            <c:strRef>
              <c:f>'PART 1'!$DH$5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1'!$DH$24:$DH$39</c:f>
              <c:numCache>
                <c:formatCode>0.0E+00</c:formatCode>
                <c:ptCount val="16"/>
                <c:pt idx="0">
                  <c:v>0.50316444779050262</c:v>
                </c:pt>
                <c:pt idx="1">
                  <c:v>0.56441397997533316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0.74766798153008274</c:v>
                </c:pt>
                <c:pt idx="6">
                  <c:v>0.77759056969031726</c:v>
                </c:pt>
                <c:pt idx="7">
                  <c:v>0.80162201705931713</c:v>
                </c:pt>
                <c:pt idx="8">
                  <c:v>0.8201669558401079</c:v>
                </c:pt>
                <c:pt idx="9">
                  <c:v>0.83366938178088823</c:v>
                </c:pt>
                <c:pt idx="10">
                  <c:v>0.84258928010075784</c:v>
                </c:pt>
                <c:pt idx="11">
                  <c:v>0.84738574187741256</c:v>
                </c:pt>
                <c:pt idx="12">
                  <c:v>0.84850513852620746</c:v>
                </c:pt>
                <c:pt idx="13">
                  <c:v>0.84637317449963978</c:v>
                </c:pt>
                <c:pt idx="14">
                  <c:v>0.84138986871529853</c:v>
                </c:pt>
                <c:pt idx="15">
                  <c:v>0.83392671372802984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F2-1D49-A52A-C6498ED2CF3E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Vega,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1'!$CU$5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1'!$CU$42:$CU$57</c:f>
              <c:numCache>
                <c:formatCode>0.0E+00</c:formatCode>
                <c:ptCount val="16"/>
                <c:pt idx="0">
                  <c:v>3.5345400505311531E-58</c:v>
                </c:pt>
                <c:pt idx="1">
                  <c:v>7.8904162138229814E-42</c:v>
                </c:pt>
                <c:pt idx="2">
                  <c:v>3.5731275340967404E-29</c:v>
                </c:pt>
                <c:pt idx="3">
                  <c:v>1.5544383929947457E-19</c:v>
                </c:pt>
                <c:pt idx="4">
                  <c:v>2.1699726533395634E-12</c:v>
                </c:pt>
                <c:pt idx="5">
                  <c:v>2.513805683571334E-7</c:v>
                </c:pt>
                <c:pt idx="6">
                  <c:v>5.1615938644774477E-4</c:v>
                </c:pt>
                <c:pt idx="7">
                  <c:v>3.4693238841801248E-2</c:v>
                </c:pt>
                <c:pt idx="8">
                  <c:v>0.12601477970020519</c:v>
                </c:pt>
                <c:pt idx="9">
                  <c:v>3.7403491562746784E-2</c:v>
                </c:pt>
                <c:pt idx="10">
                  <c:v>1.2798321316875715E-3</c:v>
                </c:pt>
                <c:pt idx="11">
                  <c:v>6.7367205338682622E-6</c:v>
                </c:pt>
                <c:pt idx="12">
                  <c:v>6.9599615016725039E-9</c:v>
                </c:pt>
                <c:pt idx="13">
                  <c:v>1.735978122671637E-12</c:v>
                </c:pt>
                <c:pt idx="14">
                  <c:v>1.247722190230733E-16</c:v>
                </c:pt>
                <c:pt idx="15">
                  <c:v>3.0086617304103606E-21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B-6748-871C-59D1ED0D95F6}"/>
            </c:ext>
          </c:extLst>
        </c:ser>
        <c:ser>
          <c:idx val="1"/>
          <c:order val="1"/>
          <c:tx>
            <c:strRef>
              <c:f>'PART 1'!$CV$5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1'!$CV$42:$CV$57</c:f>
              <c:numCache>
                <c:formatCode>0.0E+00</c:formatCode>
                <c:ptCount val="16"/>
                <c:pt idx="0">
                  <c:v>1.0711882489098268E-29</c:v>
                </c:pt>
                <c:pt idx="1">
                  <c:v>1.5687681949729765E-21</c:v>
                </c:pt>
                <c:pt idx="2">
                  <c:v>3.2770789744139775E-15</c:v>
                </c:pt>
                <c:pt idx="3">
                  <c:v>2.1245091218449448E-10</c:v>
                </c:pt>
                <c:pt idx="4">
                  <c:v>7.8107330033859321E-7</c:v>
                </c:pt>
                <c:pt idx="5">
                  <c:v>2.6184740803568228E-4</c:v>
                </c:pt>
                <c:pt idx="6">
                  <c:v>1.1696837223341142E-2</c:v>
                </c:pt>
                <c:pt idx="7">
                  <c:v>9.4608178373498497E-2</c:v>
                </c:pt>
                <c:pt idx="8">
                  <c:v>0.1780114349570453</c:v>
                </c:pt>
                <c:pt idx="9">
                  <c:v>9.5806705523719587E-2</c:v>
                </c:pt>
                <c:pt idx="10">
                  <c:v>1.751723241894686E-2</c:v>
                </c:pt>
                <c:pt idx="11">
                  <c:v>1.2568601723670415E-3</c:v>
                </c:pt>
                <c:pt idx="12">
                  <c:v>3.9971023224294193E-5</c:v>
                </c:pt>
                <c:pt idx="13">
                  <c:v>6.2485864027086964E-7</c:v>
                </c:pt>
                <c:pt idx="14">
                  <c:v>5.2457823818334011E-9</c:v>
                </c:pt>
                <c:pt idx="15">
                  <c:v>2.5517633623765736E-11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BB-6748-871C-59D1ED0D95F6}"/>
            </c:ext>
          </c:extLst>
        </c:ser>
        <c:ser>
          <c:idx val="2"/>
          <c:order val="2"/>
          <c:tx>
            <c:strRef>
              <c:f>'PART 1'!$CW$5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1'!$CW$42:$CW$57</c:f>
              <c:numCache>
                <c:formatCode>0.0E+00</c:formatCode>
                <c:ptCount val="16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1.6113180804909157E-10</c:v>
                </c:pt>
                <c:pt idx="3">
                  <c:v>2.5706041526295764E-7</c:v>
                </c:pt>
                <c:pt idx="4">
                  <c:v>6.0578597213752167E-5</c:v>
                </c:pt>
                <c:pt idx="5">
                  <c:v>2.8940234587731301E-3</c:v>
                </c:pt>
                <c:pt idx="6">
                  <c:v>3.6089280836016528E-2</c:v>
                </c:pt>
                <c:pt idx="7">
                  <c:v>0.14411356711779724</c:v>
                </c:pt>
                <c:pt idx="8">
                  <c:v>0.21777345900985232</c:v>
                </c:pt>
                <c:pt idx="9">
                  <c:v>0.14292407924672715</c:v>
                </c:pt>
                <c:pt idx="10">
                  <c:v>4.5686150128548215E-2</c:v>
                </c:pt>
                <c:pt idx="11">
                  <c:v>7.8303531906443406E-3</c:v>
                </c:pt>
                <c:pt idx="12">
                  <c:v>7.8044023598122878E-4</c:v>
                </c:pt>
                <c:pt idx="13">
                  <c:v>4.8462877771001518E-5</c:v>
                </c:pt>
                <c:pt idx="14">
                  <c:v>1.9887917206308642E-6</c:v>
                </c:pt>
                <c:pt idx="15">
                  <c:v>5.6738474150032419E-8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BB-6748-871C-59D1ED0D95F6}"/>
            </c:ext>
          </c:extLst>
        </c:ser>
        <c:ser>
          <c:idx val="3"/>
          <c:order val="3"/>
          <c:tx>
            <c:strRef>
              <c:f>'PART 1'!$CX$5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1'!$CX$42:$CX$57</c:f>
              <c:numCache>
                <c:formatCode>0.0E+00</c:formatCode>
                <c:ptCount val="16"/>
                <c:pt idx="0">
                  <c:v>2.2138942538625791E-15</c:v>
                </c:pt>
                <c:pt idx="1">
                  <c:v>2.6261095230764715E-11</c:v>
                </c:pt>
                <c:pt idx="2">
                  <c:v>3.7258960102381551E-8</c:v>
                </c:pt>
                <c:pt idx="3">
                  <c:v>9.3245046528342434E-6</c:v>
                </c:pt>
                <c:pt idx="4">
                  <c:v>5.5633346565513934E-4</c:v>
                </c:pt>
                <c:pt idx="5">
                  <c:v>1.0033008819090706E-2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0.18203815041877494</c:v>
                </c:pt>
                <c:pt idx="10">
                  <c:v>7.6938968689493709E-2</c:v>
                </c:pt>
                <c:pt idx="11">
                  <c:v>2.0381249613524031E-2</c:v>
                </c:pt>
                <c:pt idx="12">
                  <c:v>3.5961608377988127E-3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BB-6748-871C-59D1ED0D95F6}"/>
            </c:ext>
          </c:extLst>
        </c:ser>
        <c:ser>
          <c:idx val="4"/>
          <c:order val="4"/>
          <c:tx>
            <c:strRef>
              <c:f>'PART 1'!$CY$5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1'!$CY$42:$CY$57</c:f>
              <c:numCache>
                <c:formatCode>0.0E+00</c:formatCode>
                <c:ptCount val="16"/>
                <c:pt idx="0">
                  <c:v>1.6837357993007909E-12</c:v>
                </c:pt>
                <c:pt idx="1">
                  <c:v>3.0347470957467911E-9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2.157360495959318E-3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0.22122153003014303</c:v>
                </c:pt>
                <c:pt idx="8">
                  <c:v>0.28051246304186261</c:v>
                </c:pt>
                <c:pt idx="9">
                  <c:v>0.21576180864022365</c:v>
                </c:pt>
                <c:pt idx="10">
                  <c:v>0.10783044375026946</c:v>
                </c:pt>
                <c:pt idx="11">
                  <c:v>3.709184487135108E-2</c:v>
                </c:pt>
                <c:pt idx="12">
                  <c:v>9.2196988092317338E-3</c:v>
                </c:pt>
                <c:pt idx="13">
                  <c:v>1.7258883967674482E-3</c:v>
                </c:pt>
                <c:pt idx="14">
                  <c:v>2.5206590353609039E-4</c:v>
                </c:pt>
                <c:pt idx="15">
                  <c:v>2.9607997104108362E-5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BB-6748-871C-59D1ED0D95F6}"/>
            </c:ext>
          </c:extLst>
        </c:ser>
        <c:ser>
          <c:idx val="5"/>
          <c:order val="5"/>
          <c:tx>
            <c:strRef>
              <c:f>'PART 1'!$CZ$5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1'!$CZ$42:$CZ$57</c:f>
              <c:numCache>
                <c:formatCode>0.0E+00</c:formatCode>
                <c:ptCount val="16"/>
                <c:pt idx="0">
                  <c:v>1.4260773627185629E-10</c:v>
                </c:pt>
                <c:pt idx="1">
                  <c:v>7.3190274501949445E-8</c:v>
                </c:pt>
                <c:pt idx="2">
                  <c:v>9.1278366359240927E-6</c:v>
                </c:pt>
                <c:pt idx="3">
                  <c:v>3.5834719979831788E-4</c:v>
                </c:pt>
                <c:pt idx="4">
                  <c:v>5.4130101077600381E-3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0.2456445343208962</c:v>
                </c:pt>
                <c:pt idx="10">
                  <c:v>0.13727638643411783</c:v>
                </c:pt>
                <c:pt idx="11">
                  <c:v>5.6204093069575231E-2</c:v>
                </c:pt>
                <c:pt idx="12">
                  <c:v>1.7556027112756587E-2</c:v>
                </c:pt>
                <c:pt idx="13">
                  <c:v>4.3304080862080164E-3</c:v>
                </c:pt>
                <c:pt idx="14">
                  <c:v>8.6868143918896585E-4</c:v>
                </c:pt>
                <c:pt idx="15">
                  <c:v>1.4534734818581388E-4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BB-6748-871C-59D1ED0D95F6}"/>
            </c:ext>
          </c:extLst>
        </c:ser>
        <c:ser>
          <c:idx val="6"/>
          <c:order val="6"/>
          <c:tx>
            <c:strRef>
              <c:f>'PART 1'!$DA$5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1'!$DA$42:$DA$57</c:f>
              <c:numCache>
                <c:formatCode>0.0E+00</c:formatCode>
                <c:ptCount val="16"/>
                <c:pt idx="0">
                  <c:v>3.4375360039163326E-9</c:v>
                </c:pt>
                <c:pt idx="1">
                  <c:v>7.1926239310787059E-7</c:v>
                </c:pt>
                <c:pt idx="2">
                  <c:v>4.478025638717822E-5</c:v>
                </c:pt>
                <c:pt idx="3">
                  <c:v>1.0355649356059843E-3</c:v>
                </c:pt>
                <c:pt idx="4">
                  <c:v>1.0564824233400874E-2</c:v>
                </c:pt>
                <c:pt idx="5">
                  <c:v>5.4448949916165584E-2</c:v>
                </c:pt>
                <c:pt idx="6">
                  <c:v>0.15796405593882865</c:v>
                </c:pt>
                <c:pt idx="7">
                  <c:v>0.28155342127741206</c:v>
                </c:pt>
                <c:pt idx="8">
                  <c:v>0.3311608714611029</c:v>
                </c:pt>
                <c:pt idx="9">
                  <c:v>0.27264617640732552</c:v>
                </c:pt>
                <c:pt idx="10">
                  <c:v>0.16502382731650939</c:v>
                </c:pt>
                <c:pt idx="11">
                  <c:v>7.6514510849957487E-2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2.1268370180966031E-3</c:v>
                </c:pt>
                <c:pt idx="15">
                  <c:v>4.5817559828766953E-4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BB-6748-871C-59D1ED0D95F6}"/>
            </c:ext>
          </c:extLst>
        </c:ser>
        <c:ser>
          <c:idx val="7"/>
          <c:order val="7"/>
          <c:tx>
            <c:strRef>
              <c:f>'PART 1'!$DB$5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1'!$DB$42:$DB$57</c:f>
              <c:numCache>
                <c:formatCode>0.0E+00</c:formatCode>
                <c:ptCount val="16"/>
                <c:pt idx="0">
                  <c:v>3.7721952577593385E-8</c:v>
                </c:pt>
                <c:pt idx="1">
                  <c:v>4.026999901175424E-6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0.35362780796997573</c:v>
                </c:pt>
                <c:pt idx="9">
                  <c:v>0.29739757516778265</c:v>
                </c:pt>
                <c:pt idx="10">
                  <c:v>0.19110786021475312</c:v>
                </c:pt>
                <c:pt idx="11">
                  <c:v>9.727348704819927E-2</c:v>
                </c:pt>
                <c:pt idx="12">
                  <c:v>4.042758351391075E-2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BB-6748-871C-59D1ED0D95F6}"/>
            </c:ext>
          </c:extLst>
        </c:ser>
        <c:ser>
          <c:idx val="8"/>
          <c:order val="8"/>
          <c:tx>
            <c:strRef>
              <c:f>'PART 1'!$DC$5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1'!$DC$42:$DC$57</c:f>
              <c:numCache>
                <c:formatCode>0.0E+00</c:formatCode>
                <c:ptCount val="16"/>
                <c:pt idx="0">
                  <c:v>2.4471925152833756E-7</c:v>
                </c:pt>
                <c:pt idx="1">
                  <c:v>1.5479180979646812E-5</c:v>
                </c:pt>
                <c:pt idx="2">
                  <c:v>3.8164553510493981E-4</c:v>
                </c:pt>
                <c:pt idx="3">
                  <c:v>4.3580320477808058E-3</c:v>
                </c:pt>
                <c:pt idx="4">
                  <c:v>2.6345645732472476E-2</c:v>
                </c:pt>
                <c:pt idx="5">
                  <c:v>9.368286121950696E-2</c:v>
                </c:pt>
                <c:pt idx="6">
                  <c:v>0.21314624132838875</c:v>
                </c:pt>
                <c:pt idx="7">
                  <c:v>0.33211834114491318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0.11803032678147582</c:v>
                </c:pt>
                <c:pt idx="12">
                  <c:v>5.3953369730765095E-2</c:v>
                </c:pt>
                <c:pt idx="13">
                  <c:v>2.107651658597795E-2</c:v>
                </c:pt>
                <c:pt idx="14">
                  <c:v>7.1754270940931394E-3</c:v>
                </c:pt>
                <c:pt idx="15">
                  <c:v>2.1651121661498732E-3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BB-6748-871C-59D1ED0D95F6}"/>
            </c:ext>
          </c:extLst>
        </c:ser>
        <c:ser>
          <c:idx val="9"/>
          <c:order val="9"/>
          <c:tx>
            <c:strRef>
              <c:f>'PART 1'!$DD$5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1'!$DD$42:$DD$57</c:f>
              <c:numCache>
                <c:formatCode>0.0E+00</c:formatCode>
                <c:ptCount val="16"/>
                <c:pt idx="0">
                  <c:v>1.0981137573304838E-6</c:v>
                </c:pt>
                <c:pt idx="1">
                  <c:v>4.569630507815192E-5</c:v>
                </c:pt>
                <c:pt idx="2">
                  <c:v>8.1469084911896749E-4</c:v>
                </c:pt>
                <c:pt idx="3">
                  <c:v>7.267112565693663E-3</c:v>
                </c:pt>
                <c:pt idx="4">
                  <c:v>3.6579438640896043E-2</c:v>
                </c:pt>
                <c:pt idx="5">
                  <c:v>0.11422910084499065</c:v>
                </c:pt>
                <c:pt idx="6">
                  <c:v>0.23869941692283714</c:v>
                </c:pt>
                <c:pt idx="7">
                  <c:v>0.35483868952949421</c:v>
                </c:pt>
                <c:pt idx="8">
                  <c:v>0.39447933090788895</c:v>
                </c:pt>
                <c:pt idx="9">
                  <c:v>0.34177330202865708</c:v>
                </c:pt>
                <c:pt idx="10">
                  <c:v>0.23882000168449918</c:v>
                </c:pt>
                <c:pt idx="11">
                  <c:v>0.13852014243074298</c:v>
                </c:pt>
                <c:pt idx="12">
                  <c:v>6.8329969593104806E-2</c:v>
                </c:pt>
                <c:pt idx="13">
                  <c:v>2.9263550912716783E-2</c:v>
                </c:pt>
                <c:pt idx="14">
                  <c:v>1.1074379087941755E-2</c:v>
                </c:pt>
                <c:pt idx="15">
                  <c:v>3.7598389688949115E-3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BB-6748-871C-59D1ED0D95F6}"/>
            </c:ext>
          </c:extLst>
        </c:ser>
        <c:ser>
          <c:idx val="10"/>
          <c:order val="10"/>
          <c:tx>
            <c:strRef>
              <c:f>'PART 1'!$DE$5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1'!$DE$42:$DE$57</c:f>
              <c:numCache>
                <c:formatCode>0.0E+00</c:formatCode>
                <c:ptCount val="16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2.740710858581228E-2</c:v>
                </c:pt>
                <c:pt idx="3">
                  <c:v>8.0455722498671708E-2</c:v>
                </c:pt>
                <c:pt idx="4">
                  <c:v>0.1776181461109162</c:v>
                </c:pt>
                <c:pt idx="5">
                  <c:v>0.30915406339357621</c:v>
                </c:pt>
                <c:pt idx="6">
                  <c:v>0.44056131835135998</c:v>
                </c:pt>
                <c:pt idx="7">
                  <c:v>0.52993901401176291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0.41911044907526829</c:v>
                </c:pt>
                <c:pt idx="11">
                  <c:v>0.31566273567519076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BB-6748-871C-59D1ED0D95F6}"/>
            </c:ext>
          </c:extLst>
        </c:ser>
        <c:ser>
          <c:idx val="11"/>
          <c:order val="11"/>
          <c:tx>
            <c:strRef>
              <c:f>'PART 1'!$DF$5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1'!$DF$42:$DF$57</c:f>
              <c:numCache>
                <c:formatCode>0.0E+00</c:formatCode>
                <c:ptCount val="16"/>
                <c:pt idx="0">
                  <c:v>1.1142189253647152E-2</c:v>
                </c:pt>
                <c:pt idx="1">
                  <c:v>3.7594797189649538E-2</c:v>
                </c:pt>
                <c:pt idx="2">
                  <c:v>9.581572046112885E-2</c:v>
                </c:pt>
                <c:pt idx="3">
                  <c:v>0.19419529853530501</c:v>
                </c:pt>
                <c:pt idx="4">
                  <c:v>0.32572732040617636</c:v>
                </c:pt>
                <c:pt idx="5">
                  <c:v>0.46657820462206062</c:v>
                </c:pt>
                <c:pt idx="6">
                  <c:v>0.58525004130384151</c:v>
                </c:pt>
                <c:pt idx="7">
                  <c:v>0.65600571654605966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0.4498594691960292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BB-6748-871C-59D1ED0D95F6}"/>
            </c:ext>
          </c:extLst>
        </c:ser>
        <c:ser>
          <c:idx val="12"/>
          <c:order val="12"/>
          <c:tx>
            <c:strRef>
              <c:f>'PART 1'!$DG$5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1'!$DG$42:$DG$57</c:f>
              <c:numCache>
                <c:formatCode>0.0E+00</c:formatCode>
                <c:ptCount val="16"/>
                <c:pt idx="0">
                  <c:v>3.7735130894815956E-2</c:v>
                </c:pt>
                <c:pt idx="1">
                  <c:v>9.3007615269544958E-2</c:v>
                </c:pt>
                <c:pt idx="2">
                  <c:v>0.18587765767931</c:v>
                </c:pt>
                <c:pt idx="3">
                  <c:v>0.31302804195460354</c:v>
                </c:pt>
                <c:pt idx="4">
                  <c:v>0.45765821306048554</c:v>
                </c:pt>
                <c:pt idx="5">
                  <c:v>0.5947067105196463</c:v>
                </c:pt>
                <c:pt idx="6">
                  <c:v>0.69986237314498334</c:v>
                </c:pt>
                <c:pt idx="7">
                  <c:v>0.75727241342456986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0.64921143972907125</c:v>
                </c:pt>
                <c:pt idx="11">
                  <c:v>0.55719510030463637</c:v>
                </c:pt>
                <c:pt idx="12">
                  <c:v>0.45956885215668852</c:v>
                </c:pt>
                <c:pt idx="13">
                  <c:v>0.36612657044838837</c:v>
                </c:pt>
                <c:pt idx="14">
                  <c:v>0.28297093897443343</c:v>
                </c:pt>
                <c:pt idx="15">
                  <c:v>0.21296483325512211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BB-6748-871C-59D1ED0D95F6}"/>
            </c:ext>
          </c:extLst>
        </c:ser>
        <c:ser>
          <c:idx val="13"/>
          <c:order val="13"/>
          <c:tx>
            <c:strRef>
              <c:f>'PART 1'!$DH$5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1'!$DH$42:$DH$57</c:f>
              <c:numCache>
                <c:formatCode>0.0E+00</c:formatCode>
                <c:ptCount val="16"/>
                <c:pt idx="0">
                  <c:v>8.0099557916829336E-2</c:v>
                </c:pt>
                <c:pt idx="1">
                  <c:v>0.16352043251983775</c:v>
                </c:pt>
                <c:pt idx="2">
                  <c:v>0.28243629412307231</c:v>
                </c:pt>
                <c:pt idx="3">
                  <c:v>0.42560725743199956</c:v>
                </c:pt>
                <c:pt idx="4">
                  <c:v>0.57302367456033576</c:v>
                </c:pt>
                <c:pt idx="5">
                  <c:v>0.70234247577560904</c:v>
                </c:pt>
                <c:pt idx="6">
                  <c:v>0.79548944334653171</c:v>
                </c:pt>
                <c:pt idx="7">
                  <c:v>0.84270952755154982</c:v>
                </c:pt>
                <c:pt idx="8">
                  <c:v>0.84326874401380636</c:v>
                </c:pt>
                <c:pt idx="9">
                  <c:v>0.80358729178703991</c:v>
                </c:pt>
                <c:pt idx="10">
                  <c:v>0.73420648836426439</c:v>
                </c:pt>
                <c:pt idx="11">
                  <c:v>0.6468217313827832</c:v>
                </c:pt>
                <c:pt idx="12">
                  <c:v>0.55209129543356328</c:v>
                </c:pt>
                <c:pt idx="13">
                  <c:v>0.45841893964826841</c:v>
                </c:pt>
                <c:pt idx="14">
                  <c:v>0.37157602890379682</c:v>
                </c:pt>
                <c:pt idx="15">
                  <c:v>0.29489098382107914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BB-6748-871C-59D1ED0D95F6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Vega,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1'!$CU$5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1'!$CU$65:$CU$80</c:f>
              <c:numCache>
                <c:formatCode>0.0E+00</c:formatCode>
                <c:ptCount val="16"/>
                <c:pt idx="0">
                  <c:v>7.5719207361531463E-16</c:v>
                </c:pt>
                <c:pt idx="1">
                  <c:v>9.5374791219906036E-12</c:v>
                </c:pt>
                <c:pt idx="2">
                  <c:v>1.4305070674681116E-8</c:v>
                </c:pt>
                <c:pt idx="3">
                  <c:v>3.7701398975718424E-6</c:v>
                </c:pt>
                <c:pt idx="4">
                  <c:v>2.3609588828415681E-4</c:v>
                </c:pt>
                <c:pt idx="5">
                  <c:v>4.4558558892443629E-3</c:v>
                </c:pt>
                <c:pt idx="6">
                  <c:v>3.0644533309865177E-2</c:v>
                </c:pt>
                <c:pt idx="7">
                  <c:v>8.9541358039279748E-2</c:v>
                </c:pt>
                <c:pt idx="8">
                  <c:v>0.12601477970020519</c:v>
                </c:pt>
                <c:pt idx="9">
                  <c:v>9.4730567005775868E-2</c:v>
                </c:pt>
                <c:pt idx="10">
                  <c:v>4.1459744625109492E-2</c:v>
                </c:pt>
                <c:pt idx="11">
                  <c:v>1.1355073152064604E-2</c:v>
                </c:pt>
                <c:pt idx="12">
                  <c:v>2.0685250757256843E-3</c:v>
                </c:pt>
                <c:pt idx="13">
                  <c:v>2.6396322770578433E-4</c:v>
                </c:pt>
                <c:pt idx="14">
                  <c:v>2.4664615253611668E-5</c:v>
                </c:pt>
                <c:pt idx="15">
                  <c:v>1.7530109023145043E-6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B-2E45-B6C8-3926140AA322}"/>
            </c:ext>
          </c:extLst>
        </c:ser>
        <c:ser>
          <c:idx val="1"/>
          <c:order val="1"/>
          <c:tx>
            <c:strRef>
              <c:f>'PART 1'!$CV$5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1'!$CV$65:$CV$80</c:f>
              <c:numCache>
                <c:formatCode>0.0E+00</c:formatCode>
                <c:ptCount val="16"/>
                <c:pt idx="0">
                  <c:v>1.29452098386633E-8</c:v>
                </c:pt>
                <c:pt idx="1">
                  <c:v>1.4674662728048759E-6</c:v>
                </c:pt>
                <c:pt idx="2">
                  <c:v>5.73613571054935E-5</c:v>
                </c:pt>
                <c:pt idx="3">
                  <c:v>9.3928751471449782E-4</c:v>
                </c:pt>
                <c:pt idx="4">
                  <c:v>7.4932050826936906E-3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0.15528549456541477</c:v>
                </c:pt>
                <c:pt idx="10">
                  <c:v>0.10332955422391689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8.3776579671249983E-3</c:v>
                </c:pt>
                <c:pt idx="14">
                  <c:v>2.573458981873061E-3</c:v>
                </c:pt>
                <c:pt idx="15">
                  <c:v>6.89320490541164E-4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EB-2E45-B6C8-3926140AA322}"/>
            </c:ext>
          </c:extLst>
        </c:ser>
        <c:ser>
          <c:idx val="2"/>
          <c:order val="2"/>
          <c:tx>
            <c:strRef>
              <c:f>'PART 1'!$CW$5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1'!$CW$65:$CW$80</c:f>
              <c:numCache>
                <c:formatCode>0.0E+00</c:formatCode>
                <c:ptCount val="16"/>
                <c:pt idx="0">
                  <c:v>3.6360095554575554E-6</c:v>
                </c:pt>
                <c:pt idx="1">
                  <c:v>8.5735604439262291E-5</c:v>
                </c:pt>
                <c:pt idx="2">
                  <c:v>9.9359820227649877E-4</c:v>
                </c:pt>
                <c:pt idx="3">
                  <c:v>6.4440735249376045E-3</c:v>
                </c:pt>
                <c:pt idx="4">
                  <c:v>2.5866773497556832E-2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0.19267540519079149</c:v>
                </c:pt>
                <c:pt idx="8">
                  <c:v>0.21777345900985232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9.9933417595958002E-2</c:v>
                </c:pt>
                <c:pt idx="12">
                  <c:v>5.7053408088958327E-2</c:v>
                </c:pt>
                <c:pt idx="13">
                  <c:v>2.89199319495635E-2</c:v>
                </c:pt>
                <c:pt idx="14">
                  <c:v>1.3209299733984308E-2</c:v>
                </c:pt>
                <c:pt idx="15">
                  <c:v>5.5061531676659165E-3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EB-2E45-B6C8-3926140AA322}"/>
            </c:ext>
          </c:extLst>
        </c:ser>
        <c:ser>
          <c:idx val="3"/>
          <c:order val="3"/>
          <c:tx>
            <c:strRef>
              <c:f>'PART 1'!$CX$5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1'!$CX$65:$CX$80</c:f>
              <c:numCache>
                <c:formatCode>0.0E+00</c:formatCode>
                <c:ptCount val="16"/>
                <c:pt idx="0">
                  <c:v>6.3545564110513241E-5</c:v>
                </c:pt>
                <c:pt idx="1">
                  <c:v>6.8337646766849906E-4</c:v>
                </c:pt>
                <c:pt idx="2">
                  <c:v>4.3122978474392244E-3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0.10565235887329334</c:v>
                </c:pt>
                <c:pt idx="6">
                  <c:v>0.17293746502576174</c:v>
                </c:pt>
                <c:pt idx="7">
                  <c:v>0.22840702670307464</c:v>
                </c:pt>
                <c:pt idx="8">
                  <c:v>0.25118039341108511</c:v>
                </c:pt>
                <c:pt idx="9">
                  <c:v>0.23603472101352116</c:v>
                </c:pt>
                <c:pt idx="10">
                  <c:v>0.19366366629160028</c:v>
                </c:pt>
                <c:pt idx="11">
                  <c:v>0.14127284601816151</c:v>
                </c:pt>
                <c:pt idx="12">
                  <c:v>9.3034075502440555E-2</c:v>
                </c:pt>
                <c:pt idx="13">
                  <c:v>5.6032093638267749E-2</c:v>
                </c:pt>
                <c:pt idx="14">
                  <c:v>3.120781264579725E-2</c:v>
                </c:pt>
                <c:pt idx="15">
                  <c:v>1.6227966445448345E-2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EB-2E45-B6C8-3926140AA322}"/>
            </c:ext>
          </c:extLst>
        </c:ser>
        <c:ser>
          <c:idx val="4"/>
          <c:order val="4"/>
          <c:tx>
            <c:strRef>
              <c:f>'PART 1'!$CY$5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1'!$CY$65:$CY$80</c:f>
              <c:numCache>
                <c:formatCode>0.0E+00</c:formatCode>
                <c:ptCount val="16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1.066560447463694E-2</c:v>
                </c:pt>
                <c:pt idx="3">
                  <c:v>3.2972479768503968E-2</c:v>
                </c:pt>
                <c:pt idx="4">
                  <c:v>7.6401792301498697E-2</c:v>
                </c:pt>
                <c:pt idx="5">
                  <c:v>0.13916751647279249</c:v>
                </c:pt>
                <c:pt idx="6">
                  <c:v>0.2070079234545385</c:v>
                </c:pt>
                <c:pt idx="7">
                  <c:v>0.25930883920219033</c:v>
                </c:pt>
                <c:pt idx="8">
                  <c:v>0.28051246304186261</c:v>
                </c:pt>
                <c:pt idx="9">
                  <c:v>0.26754925856393441</c:v>
                </c:pt>
                <c:pt idx="10">
                  <c:v>0.22891366897286514</c:v>
                </c:pt>
                <c:pt idx="11">
                  <c:v>0.17825651843380044</c:v>
                </c:pt>
                <c:pt idx="12">
                  <c:v>0.12788990708238193</c:v>
                </c:pt>
                <c:pt idx="13">
                  <c:v>8.5419800594485507E-2</c:v>
                </c:pt>
                <c:pt idx="14">
                  <c:v>5.3588475727461456E-2</c:v>
                </c:pt>
                <c:pt idx="15">
                  <c:v>3.1819367439192572E-2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EB-2E45-B6C8-3926140AA322}"/>
            </c:ext>
          </c:extLst>
        </c:ser>
        <c:ser>
          <c:idx val="5"/>
          <c:order val="5"/>
          <c:tx>
            <c:strRef>
              <c:f>'PART 1'!$CZ$5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1'!$CZ$65:$CZ$80</c:f>
              <c:numCache>
                <c:formatCode>0.0E+00</c:formatCode>
                <c:ptCount val="16"/>
                <c:pt idx="0">
                  <c:v>1.1766116464443557E-3</c:v>
                </c:pt>
                <c:pt idx="1">
                  <c:v>5.7709392847973585E-3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0.10287482444006046</c:v>
                </c:pt>
                <c:pt idx="5">
                  <c:v>0.16999445472389768</c:v>
                </c:pt>
                <c:pt idx="6">
                  <c:v>0.23723384471393918</c:v>
                </c:pt>
                <c:pt idx="7">
                  <c:v>0.28686682039024308</c:v>
                </c:pt>
                <c:pt idx="8">
                  <c:v>0.30694050496199521</c:v>
                </c:pt>
                <c:pt idx="9">
                  <c:v>0.29567419013929414</c:v>
                </c:pt>
                <c:pt idx="10">
                  <c:v>0.26014283512817954</c:v>
                </c:pt>
                <c:pt idx="11">
                  <c:v>0.21158960540408664</c:v>
                </c:pt>
                <c:pt idx="12">
                  <c:v>0.16072749659884919</c:v>
                </c:pt>
                <c:pt idx="13">
                  <c:v>0.11501755031066588</c:v>
                </c:pt>
                <c:pt idx="14">
                  <c:v>7.8115019427058494E-2</c:v>
                </c:pt>
                <c:pt idx="15">
                  <c:v>5.0671947233936809E-2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EB-2E45-B6C8-3926140AA322}"/>
            </c:ext>
          </c:extLst>
        </c:ser>
        <c:ser>
          <c:idx val="6"/>
          <c:order val="6"/>
          <c:tx>
            <c:strRef>
              <c:f>'PART 1'!$DA$5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1'!$DA$65:$DA$80</c:f>
              <c:numCache>
                <c:formatCode>0.0E+00</c:formatCode>
                <c:ptCount val="16"/>
                <c:pt idx="0">
                  <c:v>2.7599282724645072E-3</c:v>
                </c:pt>
                <c:pt idx="1">
                  <c:v>1.0816670734477618E-2</c:v>
                </c:pt>
                <c:pt idx="2">
                  <c:v>3.1240118425491601E-2</c:v>
                </c:pt>
                <c:pt idx="3">
                  <c:v>7.0302629740001565E-2</c:v>
                </c:pt>
                <c:pt idx="4">
                  <c:v>0.12872223646374945</c:v>
                </c:pt>
                <c:pt idx="5">
                  <c:v>0.19840779785263229</c:v>
                </c:pt>
                <c:pt idx="6">
                  <c:v>0.26455122246358709</c:v>
                </c:pt>
                <c:pt idx="7">
                  <c:v>0.31193622839956398</c:v>
                </c:pt>
                <c:pt idx="8">
                  <c:v>0.3311608714611029</c:v>
                </c:pt>
                <c:pt idx="9">
                  <c:v>0.32127364650068396</c:v>
                </c:pt>
                <c:pt idx="10">
                  <c:v>0.28836210247206262</c:v>
                </c:pt>
                <c:pt idx="11">
                  <c:v>0.24195071188978154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0.10344072895213412</c:v>
                </c:pt>
                <c:pt idx="15">
                  <c:v>7.147635788231986E-2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EB-2E45-B6C8-3926140AA322}"/>
            </c:ext>
          </c:extLst>
        </c:ser>
        <c:ser>
          <c:idx val="7"/>
          <c:order val="7"/>
          <c:tx>
            <c:strRef>
              <c:f>'PART 1'!$DB$5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1'!$DB$65:$DB$80</c:f>
              <c:numCache>
                <c:formatCode>0.0E+00</c:formatCode>
                <c:ptCount val="16"/>
                <c:pt idx="0">
                  <c:v>5.2767323580423285E-3</c:v>
                </c:pt>
                <c:pt idx="1">
                  <c:v>1.7478240873614232E-2</c:v>
                </c:pt>
                <c:pt idx="2">
                  <c:v>4.431443031965894E-2</c:v>
                </c:pt>
                <c:pt idx="3">
                  <c:v>9.0304222542602286E-2</c:v>
                </c:pt>
                <c:pt idx="4">
                  <c:v>0.15361396923011619</c:v>
                </c:pt>
                <c:pt idx="5">
                  <c:v>0.22473489195639601</c:v>
                </c:pt>
                <c:pt idx="6">
                  <c:v>0.28958655791598931</c:v>
                </c:pt>
                <c:pt idx="7">
                  <c:v>0.33506087760385844</c:v>
                </c:pt>
                <c:pt idx="8">
                  <c:v>0.35362780796997573</c:v>
                </c:pt>
                <c:pt idx="9">
                  <c:v>0.34489758203526322</c:v>
                </c:pt>
                <c:pt idx="10">
                  <c:v>0.31423293448931333</c:v>
                </c:pt>
                <c:pt idx="11">
                  <c:v>0.2698796374360215</c:v>
                </c:pt>
                <c:pt idx="12">
                  <c:v>0.2201771367549985</c:v>
                </c:pt>
                <c:pt idx="13">
                  <c:v>0.17174563874605031</c:v>
                </c:pt>
                <c:pt idx="14">
                  <c:v>0.12880363658795957</c:v>
                </c:pt>
                <c:pt idx="15">
                  <c:v>9.3320554875542944E-2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8EB-2E45-B6C8-3926140AA322}"/>
            </c:ext>
          </c:extLst>
        </c:ser>
        <c:ser>
          <c:idx val="8"/>
          <c:order val="8"/>
          <c:tx>
            <c:strRef>
              <c:f>'PART 1'!$DC$5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1'!$DC$65:$DC$80</c:f>
              <c:numCache>
                <c:formatCode>0.0E+00</c:formatCode>
                <c:ptCount val="16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5.8553435054060327E-2</c:v>
                </c:pt>
                <c:pt idx="3">
                  <c:v>0.11045773801093518</c:v>
                </c:pt>
                <c:pt idx="4">
                  <c:v>0.17744408367129644</c:v>
                </c:pt>
                <c:pt idx="5">
                  <c:v>0.2492715420838269</c:v>
                </c:pt>
                <c:pt idx="6">
                  <c:v>0.31277780487504986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0.33821167077407699</c:v>
                </c:pt>
                <c:pt idx="11">
                  <c:v>0.29579147918734411</c:v>
                </c:pt>
                <c:pt idx="12">
                  <c:v>0.24712869597243459</c:v>
                </c:pt>
                <c:pt idx="13">
                  <c:v>0.19838851664708951</c:v>
                </c:pt>
                <c:pt idx="14">
                  <c:v>0.15378580943041786</c:v>
                </c:pt>
                <c:pt idx="15">
                  <c:v>0.11560345928134991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EB-2E45-B6C8-3926140AA322}"/>
            </c:ext>
          </c:extLst>
        </c:ser>
        <c:ser>
          <c:idx val="9"/>
          <c:order val="9"/>
          <c:tx>
            <c:strRef>
              <c:f>'PART 1'!$DD$5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1'!$DD$65:$DD$80</c:f>
              <c:numCache>
                <c:formatCode>0.0E+00</c:formatCode>
                <c:ptCount val="16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0.20021019742744608</c:v>
                </c:pt>
                <c:pt idx="5">
                  <c:v>0.27226666793458271</c:v>
                </c:pt>
                <c:pt idx="6">
                  <c:v>0.33444289202725919</c:v>
                </c:pt>
                <c:pt idx="7">
                  <c:v>0.37685326590063856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0.36062690186445995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0.17816680549913189</c:v>
                </c:pt>
                <c:pt idx="15">
                  <c:v>0.13793855243276579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8EB-2E45-B6C8-3926140AA322}"/>
            </c:ext>
          </c:extLst>
        </c:ser>
        <c:ser>
          <c:idx val="10"/>
          <c:order val="10"/>
          <c:tx>
            <c:strRef>
              <c:f>'PART 1'!$DE$5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1'!$DE$65:$DE$80</c:f>
              <c:numCache>
                <c:formatCode>0.0E+00</c:formatCode>
                <c:ptCount val="16"/>
                <c:pt idx="0">
                  <c:v>9.5039378692490781E-2</c:v>
                </c:pt>
                <c:pt idx="1">
                  <c:v>0.15529982480581039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0.38218237653015336</c:v>
                </c:pt>
                <c:pt idx="5">
                  <c:v>0.44907193585775435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0.53375807389774854</c:v>
                </c:pt>
                <c:pt idx="11">
                  <c:v>0.50560061959578562</c:v>
                </c:pt>
                <c:pt idx="12">
                  <c:v>0.46905195347320522</c:v>
                </c:pt>
                <c:pt idx="13">
                  <c:v>0.42729288686192152</c:v>
                </c:pt>
                <c:pt idx="14">
                  <c:v>0.38308718744736653</c:v>
                </c:pt>
                <c:pt idx="15">
                  <c:v>0.33866932678137185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EB-2E45-B6C8-3926140AA322}"/>
            </c:ext>
          </c:extLst>
        </c:ser>
        <c:ser>
          <c:idx val="11"/>
          <c:order val="11"/>
          <c:tx>
            <c:strRef>
              <c:f>'PART 1'!$DF$5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1'!$DF$65:$DF$80</c:f>
              <c:numCache>
                <c:formatCode>0.0E+00</c:formatCode>
                <c:ptCount val="16"/>
                <c:pt idx="0">
                  <c:v>0.19822539521715424</c:v>
                </c:pt>
                <c:pt idx="1">
                  <c:v>0.27684353502761883</c:v>
                </c:pt>
                <c:pt idx="2">
                  <c:v>0.35965069029119617</c:v>
                </c:pt>
                <c:pt idx="3">
                  <c:v>0.44036986538728901</c:v>
                </c:pt>
                <c:pt idx="4">
                  <c:v>0.51343117209127109</c:v>
                </c:pt>
                <c:pt idx="5">
                  <c:v>0.574609960396536</c:v>
                </c:pt>
                <c:pt idx="6">
                  <c:v>0.6212783862055673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0.57403350128173736</c:v>
                </c:pt>
                <c:pt idx="14">
                  <c:v>0.53547351271025068</c:v>
                </c:pt>
                <c:pt idx="15">
                  <c:v>0.49479201943433782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8EB-2E45-B6C8-3926140AA322}"/>
            </c:ext>
          </c:extLst>
        </c:ser>
        <c:ser>
          <c:idx val="12"/>
          <c:order val="12"/>
          <c:tx>
            <c:strRef>
              <c:f>'PART 1'!$DG$5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1'!$DG$65:$DG$80</c:f>
              <c:numCache>
                <c:formatCode>0.0E+00</c:formatCode>
                <c:ptCount val="16"/>
                <c:pt idx="0">
                  <c:v>0.29702348640212861</c:v>
                </c:pt>
                <c:pt idx="1">
                  <c:v>0.38350386340459214</c:v>
                </c:pt>
                <c:pt idx="2">
                  <c:v>0.46883083785060742</c:v>
                </c:pt>
                <c:pt idx="3">
                  <c:v>0.54807676647351533</c:v>
                </c:pt>
                <c:pt idx="4">
                  <c:v>0.61743560179207324</c:v>
                </c:pt>
                <c:pt idx="5">
                  <c:v>0.67438113704922509</c:v>
                </c:pt>
                <c:pt idx="6">
                  <c:v>0.71761533320686943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0.69031398866778315</c:v>
                </c:pt>
                <c:pt idx="14">
                  <c:v>0.6568433742701324</c:v>
                </c:pt>
                <c:pt idx="15">
                  <c:v>0.62051137062691963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8EB-2E45-B6C8-3926140AA322}"/>
            </c:ext>
          </c:extLst>
        </c:ser>
        <c:ser>
          <c:idx val="13"/>
          <c:order val="13"/>
          <c:tx>
            <c:strRef>
              <c:f>'PART 1'!$DH$5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1'!$DH$65:$DH$80</c:f>
              <c:numCache>
                <c:formatCode>0.0E+00</c:formatCode>
                <c:ptCount val="16"/>
                <c:pt idx="0">
                  <c:v>0.3865349347186785</c:v>
                </c:pt>
                <c:pt idx="1">
                  <c:v>0.47611297617669923</c:v>
                </c:pt>
                <c:pt idx="2">
                  <c:v>0.56119836056730876</c:v>
                </c:pt>
                <c:pt idx="3">
                  <c:v>0.63807941266216028</c:v>
                </c:pt>
                <c:pt idx="4">
                  <c:v>0.70416816821210715</c:v>
                </c:pt>
                <c:pt idx="5">
                  <c:v>0.75795571731518341</c:v>
                </c:pt>
                <c:pt idx="6">
                  <c:v>0.79886620400360531</c:v>
                </c:pt>
                <c:pt idx="7">
                  <c:v>0.82706631007195031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0.84421159741338536</c:v>
                </c:pt>
                <c:pt idx="11">
                  <c:v>0.83163420463033977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0.7580802493833807</c:v>
                </c:pt>
                <c:pt idx="15">
                  <c:v>0.72571322803396565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8EB-2E45-B6C8-3926140AA322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Vega,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1'!$CU$5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1'!$CU$83:$CU$98</c:f>
              <c:numCache>
                <c:formatCode>0.0E+00</c:formatCode>
                <c:ptCount val="16"/>
                <c:pt idx="0">
                  <c:v>5.2241467496489445E-8</c:v>
                </c:pt>
                <c:pt idx="1">
                  <c:v>3.5480919020595774E-6</c:v>
                </c:pt>
                <c:pt idx="2">
                  <c:v>9.343630931757354E-5</c:v>
                </c:pt>
                <c:pt idx="3">
                  <c:v>1.1344357018572753E-3</c:v>
                </c:pt>
                <c:pt idx="4">
                  <c:v>7.2629446543345496E-3</c:v>
                </c:pt>
                <c:pt idx="5">
                  <c:v>2.725633977693533E-2</c:v>
                </c:pt>
                <c:pt idx="6">
                  <c:v>6.5245486618251372E-2</c:v>
                </c:pt>
                <c:pt idx="7">
                  <c:v>0.10666888149822518</c:v>
                </c:pt>
                <c:pt idx="8">
                  <c:v>0.12594479093238517</c:v>
                </c:pt>
                <c:pt idx="9">
                  <c:v>0.11245674973430275</c:v>
                </c:pt>
                <c:pt idx="10">
                  <c:v>7.8904665626496825E-2</c:v>
                </c:pt>
                <c:pt idx="11">
                  <c:v>4.4925546239266936E-2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3.0456280025937246E-3</c:v>
                </c:pt>
                <c:pt idx="15">
                  <c:v>9.503394546450289E-4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E-1C48-9B00-A0FBCC473D1A}"/>
            </c:ext>
          </c:extLst>
        </c:ser>
        <c:ser>
          <c:idx val="1"/>
          <c:order val="1"/>
          <c:tx>
            <c:strRef>
              <c:f>'PART 1'!$CV$5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1'!$CV$83:$CV$98</c:f>
              <c:numCache>
                <c:formatCode>0.0E+00</c:formatCode>
                <c:ptCount val="16"/>
                <c:pt idx="0">
                  <c:v>1.0369210092575669E-4</c:v>
                </c:pt>
                <c:pt idx="1">
                  <c:v>8.6795002193490315E-4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0.12538719707021431</c:v>
                </c:pt>
                <c:pt idx="7">
                  <c:v>0.16201774980597239</c:v>
                </c:pt>
                <c:pt idx="8">
                  <c:v>0.17781375431667518</c:v>
                </c:pt>
                <c:pt idx="9">
                  <c:v>0.16962433257069018</c:v>
                </c:pt>
                <c:pt idx="10">
                  <c:v>0.14337557290741065</c:v>
                </c:pt>
                <c:pt idx="11">
                  <c:v>0.10912500779394539</c:v>
                </c:pt>
                <c:pt idx="12">
                  <c:v>7.5813336945485366E-2</c:v>
                </c:pt>
                <c:pt idx="13">
                  <c:v>4.8636515735941716E-2</c:v>
                </c:pt>
                <c:pt idx="14">
                  <c:v>2.909841456749146E-2</c:v>
                </c:pt>
                <c:pt idx="15">
                  <c:v>1.6374094930515438E-2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7E-1C48-9B00-A0FBCC473D1A}"/>
            </c:ext>
          </c:extLst>
        </c:ser>
        <c:ser>
          <c:idx val="2"/>
          <c:order val="2"/>
          <c:tx>
            <c:strRef>
              <c:f>'PART 1'!$CW$5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1'!$CW$83:$CW$98</c:f>
              <c:numCache>
                <c:formatCode>0.0E+00</c:formatCode>
                <c:ptCount val="16"/>
                <c:pt idx="0">
                  <c:v>1.4202882759273422E-3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4.1984549048709421E-2</c:v>
                </c:pt>
                <c:pt idx="4">
                  <c:v>7.9274555446936956E-2</c:v>
                </c:pt>
                <c:pt idx="5">
                  <c:v>0.12514440458799733</c:v>
                </c:pt>
                <c:pt idx="6">
                  <c:v>0.16990578273325513</c:v>
                </c:pt>
                <c:pt idx="7">
                  <c:v>0.20298234899889017</c:v>
                </c:pt>
                <c:pt idx="8">
                  <c:v>0.21741080554000833</c:v>
                </c:pt>
                <c:pt idx="9">
                  <c:v>0.21201979956829659</c:v>
                </c:pt>
                <c:pt idx="10">
                  <c:v>0.19068654650481348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9.4299256777715626E-2</c:v>
                </c:pt>
                <c:pt idx="14">
                  <c:v>6.729573538434451E-2</c:v>
                </c:pt>
                <c:pt idx="15">
                  <c:v>4.6093272696781748E-2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7E-1C48-9B00-A0FBCC473D1A}"/>
            </c:ext>
          </c:extLst>
        </c:ser>
        <c:ser>
          <c:idx val="3"/>
          <c:order val="3"/>
          <c:tx>
            <c:strRef>
              <c:f>'PART 1'!$CX$5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1'!$CX$83:$CX$98</c:f>
              <c:numCache>
                <c:formatCode>0.0E+00</c:formatCode>
                <c:ptCount val="16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3.7275610547584395E-2</c:v>
                </c:pt>
                <c:pt idx="3">
                  <c:v>7.0995380577419692E-2</c:v>
                </c:pt>
                <c:pt idx="4">
                  <c:v>0.11507695143275126</c:v>
                </c:pt>
                <c:pt idx="5">
                  <c:v>0.16302579321220409</c:v>
                </c:pt>
                <c:pt idx="6">
                  <c:v>0.20618984345800193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0.24711674739236783</c:v>
                </c:pt>
                <c:pt idx="10">
                  <c:v>0.22925780102263246</c:v>
                </c:pt>
                <c:pt idx="11">
                  <c:v>0.20174485287319668</c:v>
                </c:pt>
                <c:pt idx="12">
                  <c:v>0.16955364143103457</c:v>
                </c:pt>
                <c:pt idx="13">
                  <c:v>0.13688718821788132</c:v>
                </c:pt>
                <c:pt idx="14">
                  <c:v>0.10669112068562892</c:v>
                </c:pt>
                <c:pt idx="15">
                  <c:v>8.062306246902104E-2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7E-1C48-9B00-A0FBCC473D1A}"/>
            </c:ext>
          </c:extLst>
        </c:ser>
        <c:ser>
          <c:idx val="4"/>
          <c:order val="4"/>
          <c:tx>
            <c:strRef>
              <c:f>'PART 1'!$CY$5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1'!$CY$83:$CY$98</c:f>
              <c:numCache>
                <c:formatCode>0.0E+00</c:formatCode>
                <c:ptCount val="16"/>
                <c:pt idx="0">
                  <c:v>1.2626797297023531E-2</c:v>
                </c:pt>
                <c:pt idx="1">
                  <c:v>3.0095667810257465E-2</c:v>
                </c:pt>
                <c:pt idx="2">
                  <c:v>5.9240833497693518E-2</c:v>
                </c:pt>
                <c:pt idx="3">
                  <c:v>9.9723128342838543E-2</c:v>
                </c:pt>
                <c:pt idx="4">
                  <c:v>0.14749677041710108</c:v>
                </c:pt>
                <c:pt idx="5">
                  <c:v>0.19581443166314164</c:v>
                </c:pt>
                <c:pt idx="6">
                  <c:v>0.23734723525071394</c:v>
                </c:pt>
                <c:pt idx="7">
                  <c:v>0.26630962333356745</c:v>
                </c:pt>
                <c:pt idx="8">
                  <c:v>0.27973434297828004</c:v>
                </c:pt>
                <c:pt idx="9">
                  <c:v>0.27765089504983587</c:v>
                </c:pt>
                <c:pt idx="10">
                  <c:v>0.26242669261937368</c:v>
                </c:pt>
                <c:pt idx="11">
                  <c:v>0.23773448946649214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7E-1C48-9B00-A0FBCC473D1A}"/>
            </c:ext>
          </c:extLst>
        </c:ser>
        <c:ser>
          <c:idx val="5"/>
          <c:order val="5"/>
          <c:tx>
            <c:strRef>
              <c:f>'PART 1'!$CZ$5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1'!$CZ$83:$CZ$98</c:f>
              <c:numCache>
                <c:formatCode>0.0E+00</c:formatCode>
                <c:ptCount val="16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8.1996646326998268E-2</c:v>
                </c:pt>
                <c:pt idx="3">
                  <c:v>0.12712093999325988</c:v>
                </c:pt>
                <c:pt idx="4">
                  <c:v>0.17688429965289609</c:v>
                </c:pt>
                <c:pt idx="5">
                  <c:v>0.22487833277913319</c:v>
                </c:pt>
                <c:pt idx="6">
                  <c:v>0.26495540458839584</c:v>
                </c:pt>
                <c:pt idx="7">
                  <c:v>0.29266016170947762</c:v>
                </c:pt>
                <c:pt idx="8">
                  <c:v>0.30591907327736617</c:v>
                </c:pt>
                <c:pt idx="9">
                  <c:v>0.30498209522504149</c:v>
                </c:pt>
                <c:pt idx="10">
                  <c:v>0.29186001251802374</c:v>
                </c:pt>
                <c:pt idx="11">
                  <c:v>0.26956448745123346</c:v>
                </c:pt>
                <c:pt idx="12">
                  <c:v>0.24139509792774025</c:v>
                </c:pt>
                <c:pt idx="13">
                  <c:v>0.21040872318836001</c:v>
                </c:pt>
                <c:pt idx="14">
                  <c:v>0.17910817795815687</c:v>
                </c:pt>
                <c:pt idx="15">
                  <c:v>0.14932325285649345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7E-1C48-9B00-A0FBCC473D1A}"/>
            </c:ext>
          </c:extLst>
        </c:ser>
        <c:ser>
          <c:idx val="6"/>
          <c:order val="6"/>
          <c:tx>
            <c:strRef>
              <c:f>'PART 1'!$DA$5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1'!$DA$83:$DA$98</c:f>
              <c:numCache>
                <c:formatCode>0.0E+00</c:formatCode>
                <c:ptCount val="16"/>
                <c:pt idx="0">
                  <c:v>3.4092800414934198E-2</c:v>
                </c:pt>
                <c:pt idx="1">
                  <c:v>6.3967797976228563E-2</c:v>
                </c:pt>
                <c:pt idx="2">
                  <c:v>0.10462155572124114</c:v>
                </c:pt>
                <c:pt idx="3">
                  <c:v>0.1529339134731435</c:v>
                </c:pt>
                <c:pt idx="4">
                  <c:v>0.20372161802542726</c:v>
                </c:pt>
                <c:pt idx="5">
                  <c:v>0.25111006208294911</c:v>
                </c:pt>
                <c:pt idx="6">
                  <c:v>0.28993012918382316</c:v>
                </c:pt>
                <c:pt idx="7">
                  <c:v>0.31667848744818328</c:v>
                </c:pt>
                <c:pt idx="8">
                  <c:v>0.32987552453324309</c:v>
                </c:pt>
                <c:pt idx="9">
                  <c:v>0.32990232912026402</c:v>
                </c:pt>
                <c:pt idx="10">
                  <c:v>0.31851990708534011</c:v>
                </c:pt>
                <c:pt idx="11">
                  <c:v>0.29828227300311033</c:v>
                </c:pt>
                <c:pt idx="12">
                  <c:v>0.27199931861420884</c:v>
                </c:pt>
                <c:pt idx="13">
                  <c:v>0.24233244905687776</c:v>
                </c:pt>
                <c:pt idx="14">
                  <c:v>0.21154470571896189</c:v>
                </c:pt>
                <c:pt idx="15">
                  <c:v>0.18138808755412689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7E-1C48-9B00-A0FBCC473D1A}"/>
            </c:ext>
          </c:extLst>
        </c:ser>
        <c:ser>
          <c:idx val="7"/>
          <c:order val="7"/>
          <c:tx>
            <c:strRef>
              <c:f>'PART 1'!$DB$5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1'!$DB$83:$DB$98</c:f>
              <c:numCache>
                <c:formatCode>0.0E+00</c:formatCode>
                <c:ptCount val="16"/>
                <c:pt idx="0">
                  <c:v>4.7136291023201063E-2</c:v>
                </c:pt>
                <c:pt idx="1">
                  <c:v>8.2069467460122739E-2</c:v>
                </c:pt>
                <c:pt idx="2">
                  <c:v>0.12667719836424346</c:v>
                </c:pt>
                <c:pt idx="3">
                  <c:v>0.17718513961379675</c:v>
                </c:pt>
                <c:pt idx="4">
                  <c:v>0.22843174271570832</c:v>
                </c:pt>
                <c:pt idx="5">
                  <c:v>0.27511226709398245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0.34301770068622478</c:v>
                </c:pt>
                <c:pt idx="11">
                  <c:v>0.32457082698947876</c:v>
                </c:pt>
                <c:pt idx="12">
                  <c:v>0.30002386856514912</c:v>
                </c:pt>
                <c:pt idx="13">
                  <c:v>0.27172581972973997</c:v>
                </c:pt>
                <c:pt idx="14">
                  <c:v>0.24172728981926181</c:v>
                </c:pt>
                <c:pt idx="15">
                  <c:v>0.2116792144510537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7E-1C48-9B00-A0FBCC473D1A}"/>
            </c:ext>
          </c:extLst>
        </c:ser>
        <c:ser>
          <c:idx val="8"/>
          <c:order val="8"/>
          <c:tx>
            <c:strRef>
              <c:f>'PART 1'!$DC$5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1'!$DC$83:$DC$98</c:f>
              <c:numCache>
                <c:formatCode>0.0E+00</c:formatCode>
                <c:ptCount val="16"/>
                <c:pt idx="0">
                  <c:v>6.1044245880699184E-2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0.25135567501845724</c:v>
                </c:pt>
                <c:pt idx="5">
                  <c:v>0.29730845258588656</c:v>
                </c:pt>
                <c:pt idx="6">
                  <c:v>0.33412469483092277</c:v>
                </c:pt>
                <c:pt idx="7">
                  <c:v>0.35953924700853623</c:v>
                </c:pt>
                <c:pt idx="8">
                  <c:v>0.37278859440959367</c:v>
                </c:pt>
                <c:pt idx="9">
                  <c:v>0.37438741076876991</c:v>
                </c:pt>
                <c:pt idx="10">
                  <c:v>0.36576911327852024</c:v>
                </c:pt>
                <c:pt idx="11">
                  <c:v>0.34890050929444233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0.26992241961759361</c:v>
                </c:pt>
                <c:pt idx="15">
                  <c:v>0.24027301202528756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7E-1C48-9B00-A0FBCC473D1A}"/>
            </c:ext>
          </c:extLst>
        </c:ser>
        <c:ser>
          <c:idx val="9"/>
          <c:order val="9"/>
          <c:tx>
            <c:strRef>
              <c:f>'PART 1'!$DD$5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1'!$DD$83:$DD$98</c:f>
              <c:numCache>
                <c:formatCode>0.0E+00</c:formatCode>
                <c:ptCount val="16"/>
                <c:pt idx="0">
                  <c:v>7.5465414056779437E-2</c:v>
                </c:pt>
                <c:pt idx="1">
                  <c:v>0.11833484483505809</c:v>
                </c:pt>
                <c:pt idx="2">
                  <c:v>0.16843384637940814</c:v>
                </c:pt>
                <c:pt idx="3">
                  <c:v>0.22148428421066527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0.37896623822327197</c:v>
                </c:pt>
                <c:pt idx="8">
                  <c:v>0.39229385545573264</c:v>
                </c:pt>
                <c:pt idx="9">
                  <c:v>0.39455567305177863</c:v>
                </c:pt>
                <c:pt idx="10">
                  <c:v>0.38707149777283806</c:v>
                </c:pt>
                <c:pt idx="11">
                  <c:v>0.37160972039984985</c:v>
                </c:pt>
                <c:pt idx="12">
                  <c:v>0.3501077491813388</c:v>
                </c:pt>
                <c:pt idx="13">
                  <c:v>0.3244596596452714</c:v>
                </c:pt>
                <c:pt idx="14">
                  <c:v>0.29637484768584299</c:v>
                </c:pt>
                <c:pt idx="15">
                  <c:v>0.26729952054680567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7E-1C48-9B00-A0FBCC473D1A}"/>
            </c:ext>
          </c:extLst>
        </c:ser>
        <c:ser>
          <c:idx val="10"/>
          <c:order val="10"/>
          <c:tx>
            <c:strRef>
              <c:f>'PART 1'!$DE$5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1'!$DE$83:$DE$98</c:f>
              <c:numCache>
                <c:formatCode>0.0E+00</c:formatCode>
                <c:ptCount val="16"/>
                <c:pt idx="0">
                  <c:v>0.21665010977573695</c:v>
                </c:pt>
                <c:pt idx="1">
                  <c:v>0.27555008864451608</c:v>
                </c:pt>
                <c:pt idx="2">
                  <c:v>0.33351628785916165</c:v>
                </c:pt>
                <c:pt idx="3">
                  <c:v>0.38761449136581971</c:v>
                </c:pt>
                <c:pt idx="4">
                  <c:v>0.43558378451392826</c:v>
                </c:pt>
                <c:pt idx="5">
                  <c:v>0.47590089770706884</c:v>
                </c:pt>
                <c:pt idx="6">
                  <c:v>0.50774026590962573</c:v>
                </c:pt>
                <c:pt idx="7">
                  <c:v>0.53087335695806659</c:v>
                </c:pt>
                <c:pt idx="8">
                  <c:v>0.54554168852462226</c:v>
                </c:pt>
                <c:pt idx="9">
                  <c:v>0.55232725998867305</c:v>
                </c:pt>
                <c:pt idx="10">
                  <c:v>0.5520346837390272</c:v>
                </c:pt>
                <c:pt idx="11">
                  <c:v>0.5455921101145208</c:v>
                </c:pt>
                <c:pt idx="12">
                  <c:v>0.53397313281358616</c:v>
                </c:pt>
                <c:pt idx="13">
                  <c:v>0.51813885189910813</c:v>
                </c:pt>
                <c:pt idx="14">
                  <c:v>0.49899766616306857</c:v>
                </c:pt>
                <c:pt idx="15">
                  <c:v>0.47737971160509779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7E-1C48-9B00-A0FBCC473D1A}"/>
            </c:ext>
          </c:extLst>
        </c:ser>
        <c:ser>
          <c:idx val="11"/>
          <c:order val="11"/>
          <c:tx>
            <c:strRef>
              <c:f>'PART 1'!$DF$5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1'!$DF$83:$DF$98</c:f>
              <c:numCache>
                <c:formatCode>0.0E+00</c:formatCode>
                <c:ptCount val="16"/>
                <c:pt idx="0">
                  <c:v>0.33222896128746121</c:v>
                </c:pt>
                <c:pt idx="1">
                  <c:v>0.39406825288577535</c:v>
                </c:pt>
                <c:pt idx="2">
                  <c:v>0.45187800131882511</c:v>
                </c:pt>
                <c:pt idx="3">
                  <c:v>0.50399623483227596</c:v>
                </c:pt>
                <c:pt idx="4">
                  <c:v>0.54934070118221501</c:v>
                </c:pt>
                <c:pt idx="5">
                  <c:v>0.58733335877732828</c:v>
                </c:pt>
                <c:pt idx="6">
                  <c:v>0.61780667302057179</c:v>
                </c:pt>
                <c:pt idx="7">
                  <c:v>0.6409084385653474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0.66906761646336732</c:v>
                </c:pt>
                <c:pt idx="12">
                  <c:v>0.66318326233497227</c:v>
                </c:pt>
                <c:pt idx="13">
                  <c:v>0.65345582257987467</c:v>
                </c:pt>
                <c:pt idx="14">
                  <c:v>0.64050987256156355</c:v>
                </c:pt>
                <c:pt idx="15">
                  <c:v>0.62492438861032051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7E-1C48-9B00-A0FBCC473D1A}"/>
            </c:ext>
          </c:extLst>
        </c:ser>
        <c:ser>
          <c:idx val="12"/>
          <c:order val="12"/>
          <c:tx>
            <c:strRef>
              <c:f>'PART 1'!$DG$5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1'!$DG$83:$DG$98</c:f>
              <c:numCache>
                <c:formatCode>0.0E+00</c:formatCode>
                <c:ptCount val="16"/>
                <c:pt idx="0">
                  <c:v>0.42567098596972325</c:v>
                </c:pt>
                <c:pt idx="1">
                  <c:v>0.4875893022971528</c:v>
                </c:pt>
                <c:pt idx="2">
                  <c:v>0.54421505040302276</c:v>
                </c:pt>
                <c:pt idx="3">
                  <c:v>0.59461821507388335</c:v>
                </c:pt>
                <c:pt idx="4">
                  <c:v>0.63829888800540957</c:v>
                </c:pt>
                <c:pt idx="5">
                  <c:v>0.67509674458565583</c:v>
                </c:pt>
                <c:pt idx="6">
                  <c:v>0.70510754644860263</c:v>
                </c:pt>
                <c:pt idx="7">
                  <c:v>0.72861111689327818</c:v>
                </c:pt>
                <c:pt idx="8">
                  <c:v>0.74601201361465708</c:v>
                </c:pt>
                <c:pt idx="9">
                  <c:v>0.75779237344430039</c:v>
                </c:pt>
                <c:pt idx="10">
                  <c:v>0.76447556683034001</c:v>
                </c:pt>
                <c:pt idx="11">
                  <c:v>0.76659899934282549</c:v>
                </c:pt>
                <c:pt idx="12">
                  <c:v>0.76469439302491615</c:v>
                </c:pt>
                <c:pt idx="13">
                  <c:v>0.75927402432728763</c:v>
                </c:pt>
                <c:pt idx="14">
                  <c:v>0.7508216007760149</c:v>
                </c:pt>
                <c:pt idx="15">
                  <c:v>0.73978667680739474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7E-1C48-9B00-A0FBCC473D1A}"/>
            </c:ext>
          </c:extLst>
        </c:ser>
        <c:ser>
          <c:idx val="13"/>
          <c:order val="13"/>
          <c:tx>
            <c:strRef>
              <c:f>'PART 1'!$DH$5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1'!$DH$83:$DH$98</c:f>
              <c:numCache>
                <c:formatCode>0.0E+00</c:formatCode>
                <c:ptCount val="16"/>
                <c:pt idx="0">
                  <c:v>0.50316444779050262</c:v>
                </c:pt>
                <c:pt idx="1">
                  <c:v>0.56441397997533316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0.74766798153008274</c:v>
                </c:pt>
                <c:pt idx="6">
                  <c:v>0.77759056969031726</c:v>
                </c:pt>
                <c:pt idx="7">
                  <c:v>0.80162201705931713</c:v>
                </c:pt>
                <c:pt idx="8">
                  <c:v>0.8201669558401079</c:v>
                </c:pt>
                <c:pt idx="9">
                  <c:v>0.83366938178088823</c:v>
                </c:pt>
                <c:pt idx="10">
                  <c:v>0.84258928010075784</c:v>
                </c:pt>
                <c:pt idx="11">
                  <c:v>0.84738574187741256</c:v>
                </c:pt>
                <c:pt idx="12">
                  <c:v>0.84850513852620746</c:v>
                </c:pt>
                <c:pt idx="13">
                  <c:v>0.84637317449963978</c:v>
                </c:pt>
                <c:pt idx="14">
                  <c:v>0.84138986871529853</c:v>
                </c:pt>
                <c:pt idx="15">
                  <c:v>0.83392671372802984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7E-1C48-9B00-A0FBCC473D1A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Vega,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1'!$CU$5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1'!$CU$101:$CU$116</c:f>
              <c:numCache>
                <c:formatCode>0.0E+00</c:formatCode>
                <c:ptCount val="16"/>
                <c:pt idx="0">
                  <c:v>3.5345400505311531E-58</c:v>
                </c:pt>
                <c:pt idx="1">
                  <c:v>7.8904162138229814E-42</c:v>
                </c:pt>
                <c:pt idx="2">
                  <c:v>3.5731275340967404E-29</c:v>
                </c:pt>
                <c:pt idx="3">
                  <c:v>1.5544383929947457E-19</c:v>
                </c:pt>
                <c:pt idx="4">
                  <c:v>2.1699726533395634E-12</c:v>
                </c:pt>
                <c:pt idx="5">
                  <c:v>2.513805683571334E-7</c:v>
                </c:pt>
                <c:pt idx="6">
                  <c:v>5.1615938644774477E-4</c:v>
                </c:pt>
                <c:pt idx="7">
                  <c:v>3.4693238841801248E-2</c:v>
                </c:pt>
                <c:pt idx="8">
                  <c:v>0.12601477970020519</c:v>
                </c:pt>
                <c:pt idx="9">
                  <c:v>3.7403491562746784E-2</c:v>
                </c:pt>
                <c:pt idx="10">
                  <c:v>1.2798321316875715E-3</c:v>
                </c:pt>
                <c:pt idx="11">
                  <c:v>6.7367205338682622E-6</c:v>
                </c:pt>
                <c:pt idx="12">
                  <c:v>6.9599615016725039E-9</c:v>
                </c:pt>
                <c:pt idx="13">
                  <c:v>1.735978122671637E-12</c:v>
                </c:pt>
                <c:pt idx="14">
                  <c:v>1.247722190230733E-16</c:v>
                </c:pt>
                <c:pt idx="15">
                  <c:v>3.0086617304103606E-21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6-B043-B4E6-61491D89DE3E}"/>
            </c:ext>
          </c:extLst>
        </c:ser>
        <c:ser>
          <c:idx val="1"/>
          <c:order val="1"/>
          <c:tx>
            <c:strRef>
              <c:f>'PART 1'!$CV$5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1'!$CV$101:$CV$116</c:f>
              <c:numCache>
                <c:formatCode>0.0E+00</c:formatCode>
                <c:ptCount val="16"/>
                <c:pt idx="0">
                  <c:v>1.0711882489098268E-29</c:v>
                </c:pt>
                <c:pt idx="1">
                  <c:v>1.5687681949729765E-21</c:v>
                </c:pt>
                <c:pt idx="2">
                  <c:v>3.2770789744139775E-15</c:v>
                </c:pt>
                <c:pt idx="3">
                  <c:v>2.1245091218449448E-10</c:v>
                </c:pt>
                <c:pt idx="4">
                  <c:v>7.8107330033859321E-7</c:v>
                </c:pt>
                <c:pt idx="5">
                  <c:v>2.6184740803568228E-4</c:v>
                </c:pt>
                <c:pt idx="6">
                  <c:v>1.1696837223341142E-2</c:v>
                </c:pt>
                <c:pt idx="7">
                  <c:v>9.4608178373498497E-2</c:v>
                </c:pt>
                <c:pt idx="8">
                  <c:v>0.1780114349570453</c:v>
                </c:pt>
                <c:pt idx="9">
                  <c:v>9.5806705523719587E-2</c:v>
                </c:pt>
                <c:pt idx="10">
                  <c:v>1.751723241894686E-2</c:v>
                </c:pt>
                <c:pt idx="11">
                  <c:v>1.2568601723670415E-3</c:v>
                </c:pt>
                <c:pt idx="12">
                  <c:v>3.9971023224294193E-5</c:v>
                </c:pt>
                <c:pt idx="13">
                  <c:v>6.2485864027086964E-7</c:v>
                </c:pt>
                <c:pt idx="14">
                  <c:v>5.2457823818334011E-9</c:v>
                </c:pt>
                <c:pt idx="15">
                  <c:v>2.5517633623765736E-11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6-B043-B4E6-61491D89DE3E}"/>
            </c:ext>
          </c:extLst>
        </c:ser>
        <c:ser>
          <c:idx val="2"/>
          <c:order val="2"/>
          <c:tx>
            <c:strRef>
              <c:f>'PART 1'!$CW$5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1'!$CW$101:$CW$116</c:f>
              <c:numCache>
                <c:formatCode>0.0E+00</c:formatCode>
                <c:ptCount val="16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1.6113180804909157E-10</c:v>
                </c:pt>
                <c:pt idx="3">
                  <c:v>2.5706041526295764E-7</c:v>
                </c:pt>
                <c:pt idx="4">
                  <c:v>6.0578597213752167E-5</c:v>
                </c:pt>
                <c:pt idx="5">
                  <c:v>2.8940234587731301E-3</c:v>
                </c:pt>
                <c:pt idx="6">
                  <c:v>3.6089280836016528E-2</c:v>
                </c:pt>
                <c:pt idx="7">
                  <c:v>0.14411356711779724</c:v>
                </c:pt>
                <c:pt idx="8">
                  <c:v>0.21777345900985232</c:v>
                </c:pt>
                <c:pt idx="9">
                  <c:v>0.14292407924672715</c:v>
                </c:pt>
                <c:pt idx="10">
                  <c:v>4.5686150128548215E-2</c:v>
                </c:pt>
                <c:pt idx="11">
                  <c:v>7.8303531906443406E-3</c:v>
                </c:pt>
                <c:pt idx="12">
                  <c:v>7.8044023598122878E-4</c:v>
                </c:pt>
                <c:pt idx="13">
                  <c:v>4.8462877771001518E-5</c:v>
                </c:pt>
                <c:pt idx="14">
                  <c:v>1.9887917206308642E-6</c:v>
                </c:pt>
                <c:pt idx="15">
                  <c:v>5.6738474150032419E-8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6-B043-B4E6-61491D89DE3E}"/>
            </c:ext>
          </c:extLst>
        </c:ser>
        <c:ser>
          <c:idx val="3"/>
          <c:order val="3"/>
          <c:tx>
            <c:strRef>
              <c:f>'PART 1'!$CX$5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1'!$CX$101:$CX$116</c:f>
              <c:numCache>
                <c:formatCode>0.0E+00</c:formatCode>
                <c:ptCount val="16"/>
                <c:pt idx="0">
                  <c:v>2.2138942538625791E-15</c:v>
                </c:pt>
                <c:pt idx="1">
                  <c:v>2.6261095230764715E-11</c:v>
                </c:pt>
                <c:pt idx="2">
                  <c:v>3.7258960102381551E-8</c:v>
                </c:pt>
                <c:pt idx="3">
                  <c:v>9.3245046528342434E-6</c:v>
                </c:pt>
                <c:pt idx="4">
                  <c:v>5.5633346565513934E-4</c:v>
                </c:pt>
                <c:pt idx="5">
                  <c:v>1.0033008819090706E-2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0.18203815041877494</c:v>
                </c:pt>
                <c:pt idx="10">
                  <c:v>7.6938968689493709E-2</c:v>
                </c:pt>
                <c:pt idx="11">
                  <c:v>2.0381249613524031E-2</c:v>
                </c:pt>
                <c:pt idx="12">
                  <c:v>3.5961608377988127E-3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6-B043-B4E6-61491D89DE3E}"/>
            </c:ext>
          </c:extLst>
        </c:ser>
        <c:ser>
          <c:idx val="4"/>
          <c:order val="4"/>
          <c:tx>
            <c:strRef>
              <c:f>'PART 1'!$CY$5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1'!$CY$101:$CY$116</c:f>
              <c:numCache>
                <c:formatCode>0.0E+00</c:formatCode>
                <c:ptCount val="16"/>
                <c:pt idx="0">
                  <c:v>1.6837357993007909E-12</c:v>
                </c:pt>
                <c:pt idx="1">
                  <c:v>3.0347470957467911E-9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2.157360495959318E-3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0.22122153003014303</c:v>
                </c:pt>
                <c:pt idx="8">
                  <c:v>0.28051246304186261</c:v>
                </c:pt>
                <c:pt idx="9">
                  <c:v>0.21576180864022365</c:v>
                </c:pt>
                <c:pt idx="10">
                  <c:v>0.10783044375026946</c:v>
                </c:pt>
                <c:pt idx="11">
                  <c:v>3.709184487135108E-2</c:v>
                </c:pt>
                <c:pt idx="12">
                  <c:v>9.2196988092317338E-3</c:v>
                </c:pt>
                <c:pt idx="13">
                  <c:v>1.7258883967674482E-3</c:v>
                </c:pt>
                <c:pt idx="14">
                  <c:v>2.5206590353609039E-4</c:v>
                </c:pt>
                <c:pt idx="15">
                  <c:v>2.9607997104108362E-5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6-B043-B4E6-61491D89DE3E}"/>
            </c:ext>
          </c:extLst>
        </c:ser>
        <c:ser>
          <c:idx val="5"/>
          <c:order val="5"/>
          <c:tx>
            <c:strRef>
              <c:f>'PART 1'!$CZ$5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1'!$CZ$101:$CZ$116</c:f>
              <c:numCache>
                <c:formatCode>0.0E+00</c:formatCode>
                <c:ptCount val="16"/>
                <c:pt idx="0">
                  <c:v>1.4260773627185629E-10</c:v>
                </c:pt>
                <c:pt idx="1">
                  <c:v>7.3190274501949445E-8</c:v>
                </c:pt>
                <c:pt idx="2">
                  <c:v>9.1278366359240927E-6</c:v>
                </c:pt>
                <c:pt idx="3">
                  <c:v>3.5834719979831788E-4</c:v>
                </c:pt>
                <c:pt idx="4">
                  <c:v>5.4130101077600381E-3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0.2456445343208962</c:v>
                </c:pt>
                <c:pt idx="10">
                  <c:v>0.13727638643411783</c:v>
                </c:pt>
                <c:pt idx="11">
                  <c:v>5.6204093069575231E-2</c:v>
                </c:pt>
                <c:pt idx="12">
                  <c:v>1.7556027112756587E-2</c:v>
                </c:pt>
                <c:pt idx="13">
                  <c:v>4.3304080862080164E-3</c:v>
                </c:pt>
                <c:pt idx="14">
                  <c:v>8.6868143918896585E-4</c:v>
                </c:pt>
                <c:pt idx="15">
                  <c:v>1.4534734818581388E-4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6-B043-B4E6-61491D89DE3E}"/>
            </c:ext>
          </c:extLst>
        </c:ser>
        <c:ser>
          <c:idx val="6"/>
          <c:order val="6"/>
          <c:tx>
            <c:strRef>
              <c:f>'PART 1'!$DA$5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1'!$DA$101:$DA$116</c:f>
              <c:numCache>
                <c:formatCode>0.0E+00</c:formatCode>
                <c:ptCount val="16"/>
                <c:pt idx="0">
                  <c:v>3.4375360039163326E-9</c:v>
                </c:pt>
                <c:pt idx="1">
                  <c:v>7.1926239310787059E-7</c:v>
                </c:pt>
                <c:pt idx="2">
                  <c:v>4.478025638717822E-5</c:v>
                </c:pt>
                <c:pt idx="3">
                  <c:v>1.0355649356059843E-3</c:v>
                </c:pt>
                <c:pt idx="4">
                  <c:v>1.0564824233400874E-2</c:v>
                </c:pt>
                <c:pt idx="5">
                  <c:v>5.4448949916165584E-2</c:v>
                </c:pt>
                <c:pt idx="6">
                  <c:v>0.15796405593882865</c:v>
                </c:pt>
                <c:pt idx="7">
                  <c:v>0.28155342127741206</c:v>
                </c:pt>
                <c:pt idx="8">
                  <c:v>0.3311608714611029</c:v>
                </c:pt>
                <c:pt idx="9">
                  <c:v>0.27264617640732552</c:v>
                </c:pt>
                <c:pt idx="10">
                  <c:v>0.16502382731650939</c:v>
                </c:pt>
                <c:pt idx="11">
                  <c:v>7.6514510849957487E-2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2.1268370180966031E-3</c:v>
                </c:pt>
                <c:pt idx="15">
                  <c:v>4.5817559828766953E-4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6-B043-B4E6-61491D89DE3E}"/>
            </c:ext>
          </c:extLst>
        </c:ser>
        <c:ser>
          <c:idx val="7"/>
          <c:order val="7"/>
          <c:tx>
            <c:strRef>
              <c:f>'PART 1'!$DB$5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1'!$DB$101:$DB$116</c:f>
              <c:numCache>
                <c:formatCode>0.0E+00</c:formatCode>
                <c:ptCount val="16"/>
                <c:pt idx="0">
                  <c:v>3.7721952577593385E-8</c:v>
                </c:pt>
                <c:pt idx="1">
                  <c:v>4.026999901175424E-6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0.35362780796997573</c:v>
                </c:pt>
                <c:pt idx="9">
                  <c:v>0.29739757516778265</c:v>
                </c:pt>
                <c:pt idx="10">
                  <c:v>0.19110786021475312</c:v>
                </c:pt>
                <c:pt idx="11">
                  <c:v>9.727348704819927E-2</c:v>
                </c:pt>
                <c:pt idx="12">
                  <c:v>4.042758351391075E-2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6-B043-B4E6-61491D89DE3E}"/>
            </c:ext>
          </c:extLst>
        </c:ser>
        <c:ser>
          <c:idx val="8"/>
          <c:order val="8"/>
          <c:tx>
            <c:strRef>
              <c:f>'PART 1'!$DC$5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1'!$DC$101:$DC$116</c:f>
              <c:numCache>
                <c:formatCode>0.0E+00</c:formatCode>
                <c:ptCount val="16"/>
                <c:pt idx="0">
                  <c:v>2.4471925152833756E-7</c:v>
                </c:pt>
                <c:pt idx="1">
                  <c:v>1.5479180979646812E-5</c:v>
                </c:pt>
                <c:pt idx="2">
                  <c:v>3.8164553510493981E-4</c:v>
                </c:pt>
                <c:pt idx="3">
                  <c:v>4.3580320477808058E-3</c:v>
                </c:pt>
                <c:pt idx="4">
                  <c:v>2.6345645732472476E-2</c:v>
                </c:pt>
                <c:pt idx="5">
                  <c:v>9.368286121950696E-2</c:v>
                </c:pt>
                <c:pt idx="6">
                  <c:v>0.21314624132838875</c:v>
                </c:pt>
                <c:pt idx="7">
                  <c:v>0.33211834114491318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0.11803032678147582</c:v>
                </c:pt>
                <c:pt idx="12">
                  <c:v>5.3953369730765095E-2</c:v>
                </c:pt>
                <c:pt idx="13">
                  <c:v>2.107651658597795E-2</c:v>
                </c:pt>
                <c:pt idx="14">
                  <c:v>7.1754270940931394E-3</c:v>
                </c:pt>
                <c:pt idx="15">
                  <c:v>2.1651121661498732E-3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16-B043-B4E6-61491D89DE3E}"/>
            </c:ext>
          </c:extLst>
        </c:ser>
        <c:ser>
          <c:idx val="9"/>
          <c:order val="9"/>
          <c:tx>
            <c:strRef>
              <c:f>'PART 1'!$DD$5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1'!$DD$101:$DD$116</c:f>
              <c:numCache>
                <c:formatCode>0.0E+00</c:formatCode>
                <c:ptCount val="16"/>
                <c:pt idx="0">
                  <c:v>1.0981137573304838E-6</c:v>
                </c:pt>
                <c:pt idx="1">
                  <c:v>4.569630507815192E-5</c:v>
                </c:pt>
                <c:pt idx="2">
                  <c:v>8.1469084911896749E-4</c:v>
                </c:pt>
                <c:pt idx="3">
                  <c:v>7.267112565693663E-3</c:v>
                </c:pt>
                <c:pt idx="4">
                  <c:v>3.6579438640896043E-2</c:v>
                </c:pt>
                <c:pt idx="5">
                  <c:v>0.11422910084499065</c:v>
                </c:pt>
                <c:pt idx="6">
                  <c:v>0.23869941692283714</c:v>
                </c:pt>
                <c:pt idx="7">
                  <c:v>0.35483868952949421</c:v>
                </c:pt>
                <c:pt idx="8">
                  <c:v>0.39447933090788895</c:v>
                </c:pt>
                <c:pt idx="9">
                  <c:v>0.34177330202865708</c:v>
                </c:pt>
                <c:pt idx="10">
                  <c:v>0.23882000168449918</c:v>
                </c:pt>
                <c:pt idx="11">
                  <c:v>0.13852014243074298</c:v>
                </c:pt>
                <c:pt idx="12">
                  <c:v>6.8329969593104806E-2</c:v>
                </c:pt>
                <c:pt idx="13">
                  <c:v>2.9263550912716783E-2</c:v>
                </c:pt>
                <c:pt idx="14">
                  <c:v>1.1074379087941755E-2</c:v>
                </c:pt>
                <c:pt idx="15">
                  <c:v>3.7598389688949115E-3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16-B043-B4E6-61491D89DE3E}"/>
            </c:ext>
          </c:extLst>
        </c:ser>
        <c:ser>
          <c:idx val="10"/>
          <c:order val="10"/>
          <c:tx>
            <c:strRef>
              <c:f>'PART 1'!$DE$5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1'!$DE$101:$DE$116</c:f>
              <c:numCache>
                <c:formatCode>0.0E+00</c:formatCode>
                <c:ptCount val="16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2.740710858581228E-2</c:v>
                </c:pt>
                <c:pt idx="3">
                  <c:v>8.0455722498671708E-2</c:v>
                </c:pt>
                <c:pt idx="4">
                  <c:v>0.1776181461109162</c:v>
                </c:pt>
                <c:pt idx="5">
                  <c:v>0.30915406339357621</c:v>
                </c:pt>
                <c:pt idx="6">
                  <c:v>0.44056131835135998</c:v>
                </c:pt>
                <c:pt idx="7">
                  <c:v>0.52993901401176291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0.41911044907526829</c:v>
                </c:pt>
                <c:pt idx="11">
                  <c:v>0.31566273567519076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16-B043-B4E6-61491D89DE3E}"/>
            </c:ext>
          </c:extLst>
        </c:ser>
        <c:ser>
          <c:idx val="11"/>
          <c:order val="11"/>
          <c:tx>
            <c:strRef>
              <c:f>'PART 1'!$DF$5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1'!$DF$101:$DF$116</c:f>
              <c:numCache>
                <c:formatCode>0.0E+00</c:formatCode>
                <c:ptCount val="16"/>
                <c:pt idx="0">
                  <c:v>1.1142189253647152E-2</c:v>
                </c:pt>
                <c:pt idx="1">
                  <c:v>3.7594797189649538E-2</c:v>
                </c:pt>
                <c:pt idx="2">
                  <c:v>9.581572046112885E-2</c:v>
                </c:pt>
                <c:pt idx="3">
                  <c:v>0.19419529853530501</c:v>
                </c:pt>
                <c:pt idx="4">
                  <c:v>0.32572732040617636</c:v>
                </c:pt>
                <c:pt idx="5">
                  <c:v>0.46657820462206062</c:v>
                </c:pt>
                <c:pt idx="6">
                  <c:v>0.58525004130384151</c:v>
                </c:pt>
                <c:pt idx="7">
                  <c:v>0.65600571654605966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0.4498594691960292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16-B043-B4E6-61491D89DE3E}"/>
            </c:ext>
          </c:extLst>
        </c:ser>
        <c:ser>
          <c:idx val="12"/>
          <c:order val="12"/>
          <c:tx>
            <c:strRef>
              <c:f>'PART 1'!$DG$5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1'!$DG$101:$DG$116</c:f>
              <c:numCache>
                <c:formatCode>0.0E+00</c:formatCode>
                <c:ptCount val="16"/>
                <c:pt idx="0">
                  <c:v>3.7735130894815956E-2</c:v>
                </c:pt>
                <c:pt idx="1">
                  <c:v>9.3007615269544958E-2</c:v>
                </c:pt>
                <c:pt idx="2">
                  <c:v>0.18587765767931</c:v>
                </c:pt>
                <c:pt idx="3">
                  <c:v>0.31302804195460354</c:v>
                </c:pt>
                <c:pt idx="4">
                  <c:v>0.45765821306048554</c:v>
                </c:pt>
                <c:pt idx="5">
                  <c:v>0.5947067105196463</c:v>
                </c:pt>
                <c:pt idx="6">
                  <c:v>0.69986237314498334</c:v>
                </c:pt>
                <c:pt idx="7">
                  <c:v>0.75727241342456986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0.64921143972907125</c:v>
                </c:pt>
                <c:pt idx="11">
                  <c:v>0.55719510030463637</c:v>
                </c:pt>
                <c:pt idx="12">
                  <c:v>0.45956885215668852</c:v>
                </c:pt>
                <c:pt idx="13">
                  <c:v>0.36612657044838837</c:v>
                </c:pt>
                <c:pt idx="14">
                  <c:v>0.28297093897443343</c:v>
                </c:pt>
                <c:pt idx="15">
                  <c:v>0.21296483325512211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F16-B043-B4E6-61491D89DE3E}"/>
            </c:ext>
          </c:extLst>
        </c:ser>
        <c:ser>
          <c:idx val="13"/>
          <c:order val="13"/>
          <c:tx>
            <c:strRef>
              <c:f>'PART 1'!$DH$5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1'!$DH$101:$DH$116</c:f>
              <c:numCache>
                <c:formatCode>0.0E+00</c:formatCode>
                <c:ptCount val="16"/>
                <c:pt idx="0">
                  <c:v>8.0099557916829336E-2</c:v>
                </c:pt>
                <c:pt idx="1">
                  <c:v>0.16352043251983775</c:v>
                </c:pt>
                <c:pt idx="2">
                  <c:v>0.28243629412307231</c:v>
                </c:pt>
                <c:pt idx="3">
                  <c:v>0.42560725743199956</c:v>
                </c:pt>
                <c:pt idx="4">
                  <c:v>0.57302367456033576</c:v>
                </c:pt>
                <c:pt idx="5">
                  <c:v>0.70234247577560904</c:v>
                </c:pt>
                <c:pt idx="6">
                  <c:v>0.79548944334653171</c:v>
                </c:pt>
                <c:pt idx="7">
                  <c:v>0.84270952755154982</c:v>
                </c:pt>
                <c:pt idx="8">
                  <c:v>0.84326874401380636</c:v>
                </c:pt>
                <c:pt idx="9">
                  <c:v>0.80358729178703991</c:v>
                </c:pt>
                <c:pt idx="10">
                  <c:v>0.73420648836426439</c:v>
                </c:pt>
                <c:pt idx="11">
                  <c:v>0.6468217313827832</c:v>
                </c:pt>
                <c:pt idx="12">
                  <c:v>0.55209129543356328</c:v>
                </c:pt>
                <c:pt idx="13">
                  <c:v>0.45841893964826841</c:v>
                </c:pt>
                <c:pt idx="14">
                  <c:v>0.37157602890379682</c:v>
                </c:pt>
                <c:pt idx="15">
                  <c:v>0.29489098382107914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F16-B043-B4E6-61491D89DE3E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Rho,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1'!$DS$5</c:f>
              <c:strCache>
                <c:ptCount val="1"/>
                <c:pt idx="0">
                  <c:v>0.1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3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1'!$DS$6:$DS$21</c:f>
              <c:numCache>
                <c:formatCode>0.0E+00</c:formatCode>
                <c:ptCount val="16"/>
                <c:pt idx="0">
                  <c:v>2.9155373317769776E-17</c:v>
                </c:pt>
                <c:pt idx="1">
                  <c:v>4.3284662987202281E-13</c:v>
                </c:pt>
                <c:pt idx="2">
                  <c:v>7.7692467200589764E-10</c:v>
                </c:pt>
                <c:pt idx="3">
                  <c:v>2.5013539023405383E-7</c:v>
                </c:pt>
                <c:pt idx="4">
                  <c:v>1.9684019476440405E-5</c:v>
                </c:pt>
                <c:pt idx="5">
                  <c:v>4.8575796157643818E-4</c:v>
                </c:pt>
                <c:pt idx="6">
                  <c:v>4.6266505291057552E-3</c:v>
                </c:pt>
                <c:pt idx="7">
                  <c:v>2.0396276517295933E-2</c:v>
                </c:pt>
                <c:pt idx="8">
                  <c:v>4.9319898584384125E-2</c:v>
                </c:pt>
                <c:pt idx="9">
                  <c:v>7.7428944428213187E-2</c:v>
                </c:pt>
                <c:pt idx="10">
                  <c:v>9.3111062933054919E-2</c:v>
                </c:pt>
                <c:pt idx="11">
                  <c:v>9.8489758625579293E-2</c:v>
                </c:pt>
                <c:pt idx="12">
                  <c:v>9.9693029945287864E-2</c:v>
                </c:pt>
                <c:pt idx="13">
                  <c:v>9.9877868050641513E-2</c:v>
                </c:pt>
                <c:pt idx="14">
                  <c:v>9.989825783141762E-2</c:v>
                </c:pt>
                <c:pt idx="15">
                  <c:v>9.9899937425487084E-2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B-BD4C-AB4A-2AB909BCEEA5}"/>
            </c:ext>
          </c:extLst>
        </c:ser>
        <c:ser>
          <c:idx val="1"/>
          <c:order val="1"/>
          <c:tx>
            <c:strRef>
              <c:f>'PART 1'!$DT$5</c:f>
              <c:strCache>
                <c:ptCount val="1"/>
                <c:pt idx="0">
                  <c:v>0.2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4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1'!$DT$6:$DT$21</c:f>
              <c:numCache>
                <c:formatCode>0.0E+00</c:formatCode>
                <c:ptCount val="16"/>
                <c:pt idx="0">
                  <c:v>9.8144996773923621E-10</c:v>
                </c:pt>
                <c:pt idx="1">
                  <c:v>1.3045620291245923E-7</c:v>
                </c:pt>
                <c:pt idx="2">
                  <c:v>6.0569776566511092E-6</c:v>
                </c:pt>
                <c:pt idx="3">
                  <c:v>1.1981739309242231E-4</c:v>
                </c:pt>
                <c:pt idx="4">
                  <c:v>1.180615367981647E-3</c:v>
                </c:pt>
                <c:pt idx="5">
                  <c:v>6.5728086131009653E-3</c:v>
                </c:pt>
                <c:pt idx="6">
                  <c:v>2.2955278113909659E-2</c:v>
                </c:pt>
                <c:pt idx="7">
                  <c:v>5.5018256030450026E-2</c:v>
                </c:pt>
                <c:pt idx="8">
                  <c:v>9.8019788801767246E-2</c:v>
                </c:pt>
                <c:pt idx="9">
                  <c:v>0.1396320731536049</c:v>
                </c:pt>
                <c:pt idx="10">
                  <c:v>0.16997597069863821</c:v>
                </c:pt>
                <c:pt idx="11">
                  <c:v>0.18727453260072854</c:v>
                </c:pt>
                <c:pt idx="12">
                  <c:v>0.19522974084010128</c:v>
                </c:pt>
                <c:pt idx="13">
                  <c:v>0.19826121374631198</c:v>
                </c:pt>
                <c:pt idx="14">
                  <c:v>0.19924080062887661</c:v>
                </c:pt>
                <c:pt idx="15">
                  <c:v>0.19951462891393384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EB-BD4C-AB4A-2AB909BCEEA5}"/>
            </c:ext>
          </c:extLst>
        </c:ser>
        <c:ser>
          <c:idx val="2"/>
          <c:order val="2"/>
          <c:tx>
            <c:strRef>
              <c:f>'PART 1'!$DU$5</c:f>
              <c:strCache>
                <c:ptCount val="1"/>
                <c:pt idx="0">
                  <c:v>0.3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1'!$DU$6:$DU$21</c:f>
              <c:numCache>
                <c:formatCode>0.0E+00</c:formatCode>
                <c:ptCount val="16"/>
                <c:pt idx="0">
                  <c:v>4.0745379654174117E-7</c:v>
                </c:pt>
                <c:pt idx="1">
                  <c:v>1.1214508890306986E-5</c:v>
                </c:pt>
                <c:pt idx="2">
                  <c:v>1.534011080390588E-4</c:v>
                </c:pt>
                <c:pt idx="3">
                  <c:v>1.1911631216126903E-3</c:v>
                </c:pt>
                <c:pt idx="4">
                  <c:v>5.8294742224800937E-3</c:v>
                </c:pt>
                <c:pt idx="5">
                  <c:v>1.9560484482833904E-2</c:v>
                </c:pt>
                <c:pt idx="6">
                  <c:v>4.8240469025865852E-2</c:v>
                </c:pt>
                <c:pt idx="7">
                  <c:v>9.274491325250403E-2</c:v>
                </c:pt>
                <c:pt idx="8">
                  <c:v>0.14628325566737618</c:v>
                </c:pt>
                <c:pt idx="9">
                  <c:v>0.19801355879149482</c:v>
                </c:pt>
                <c:pt idx="10">
                  <c:v>0.23936909463006026</c:v>
                </c:pt>
                <c:pt idx="11">
                  <c:v>0.2674171475353192</c:v>
                </c:pt>
                <c:pt idx="12">
                  <c:v>0.28390164223017772</c:v>
                </c:pt>
                <c:pt idx="13">
                  <c:v>0.29245072006046918</c:v>
                </c:pt>
                <c:pt idx="14">
                  <c:v>0.29642425234579128</c:v>
                </c:pt>
                <c:pt idx="15">
                  <c:v>0.29810172215636355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EB-BD4C-AB4A-2AB909BCEEA5}"/>
            </c:ext>
          </c:extLst>
        </c:ser>
        <c:ser>
          <c:idx val="3"/>
          <c:order val="3"/>
          <c:tx>
            <c:strRef>
              <c:f>'PART 1'!$DV$5</c:f>
              <c:strCache>
                <c:ptCount val="1"/>
                <c:pt idx="0">
                  <c:v>0.4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6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1'!$DV$6:$DV$21</c:f>
              <c:numCache>
                <c:formatCode>0.0E+00</c:formatCode>
                <c:ptCount val="16"/>
                <c:pt idx="0">
                  <c:v>9.3629247971002436E-6</c:v>
                </c:pt>
                <c:pt idx="1">
                  <c:v>1.1705675325644336E-4</c:v>
                </c:pt>
                <c:pt idx="2">
                  <c:v>8.671070253851767E-4</c:v>
                </c:pt>
                <c:pt idx="3">
                  <c:v>4.2058365657656558E-3</c:v>
                </c:pt>
                <c:pt idx="4">
                  <c:v>1.4449660567580994E-2</c:v>
                </c:pt>
                <c:pt idx="5">
                  <c:v>3.7454643863001104E-2</c:v>
                </c:pt>
                <c:pt idx="6">
                  <c:v>7.714568152454411E-2</c:v>
                </c:pt>
                <c:pt idx="7">
                  <c:v>0.13187458778736869</c:v>
                </c:pt>
                <c:pt idx="8">
                  <c:v>0.19417631512966549</c:v>
                </c:pt>
                <c:pt idx="9">
                  <c:v>0.25432746553601698</c:v>
                </c:pt>
                <c:pt idx="10">
                  <c:v>0.30470390561626748</c:v>
                </c:pt>
                <c:pt idx="11">
                  <c:v>0.34200126589648211</c:v>
                </c:pt>
                <c:pt idx="12">
                  <c:v>0.36680746478076992</c:v>
                </c:pt>
                <c:pt idx="13">
                  <c:v>0.3818320533555099</c:v>
                </c:pt>
                <c:pt idx="14">
                  <c:v>0.39021658405667159</c:v>
                </c:pt>
                <c:pt idx="15">
                  <c:v>0.39457121776080656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EB-BD4C-AB4A-2AB909BCEEA5}"/>
            </c:ext>
          </c:extLst>
        </c:ser>
        <c:ser>
          <c:idx val="4"/>
          <c:order val="4"/>
          <c:tx>
            <c:strRef>
              <c:f>'PART 1'!$DW$5</c:f>
              <c:strCache>
                <c:ptCount val="1"/>
                <c:pt idx="0">
                  <c:v>0.5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7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1'!$DW$6:$DW$21</c:f>
              <c:numCache>
                <c:formatCode>0.0E+00</c:formatCode>
                <c:ptCount val="16"/>
                <c:pt idx="0">
                  <c:v>6.588679923516248E-5</c:v>
                </c:pt>
                <c:pt idx="1">
                  <c:v>5.124182147004363E-4</c:v>
                </c:pt>
                <c:pt idx="2">
                  <c:v>2.6230859396038069E-3</c:v>
                </c:pt>
                <c:pt idx="3">
                  <c:v>9.5750502791312735E-3</c:v>
                </c:pt>
                <c:pt idx="4">
                  <c:v>2.6541221761137001E-2</c:v>
                </c:pt>
                <c:pt idx="5">
                  <c:v>5.8755556011287499E-2</c:v>
                </c:pt>
                <c:pt idx="6">
                  <c:v>0.10825115598149131</c:v>
                </c:pt>
                <c:pt idx="7">
                  <c:v>0.1717865664850281</c:v>
                </c:pt>
                <c:pt idx="8">
                  <c:v>0.24173738548666898</c:v>
                </c:pt>
                <c:pt idx="9">
                  <c:v>0.30924184743469108</c:v>
                </c:pt>
                <c:pt idx="10">
                  <c:v>0.36738595144398112</c:v>
                </c:pt>
                <c:pt idx="11">
                  <c:v>0.41277215823472962</c:v>
                </c:pt>
                <c:pt idx="12">
                  <c:v>0.44529407145839939</c:v>
                </c:pt>
                <c:pt idx="13">
                  <c:v>0.46692198548977831</c:v>
                </c:pt>
                <c:pt idx="14">
                  <c:v>0.4803961669575153</c:v>
                </c:pt>
                <c:pt idx="15">
                  <c:v>0.4883235563423502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EB-BD4C-AB4A-2AB909BCEEA5}"/>
            </c:ext>
          </c:extLst>
        </c:ser>
        <c:ser>
          <c:idx val="5"/>
          <c:order val="5"/>
          <c:tx>
            <c:strRef>
              <c:f>'PART 1'!$DX$5</c:f>
              <c:strCache>
                <c:ptCount val="1"/>
                <c:pt idx="0">
                  <c:v>0.6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1'!$DX$6:$DX$21</c:f>
              <c:numCache>
                <c:formatCode>0.0E+00</c:formatCode>
                <c:ptCount val="16"/>
                <c:pt idx="0">
                  <c:v>2.5336754690401985E-4</c:v>
                </c:pt>
                <c:pt idx="1">
                  <c:v>1.4346745368583711E-3</c:v>
                </c:pt>
                <c:pt idx="2">
                  <c:v>5.7342650040421743E-3</c:v>
                </c:pt>
                <c:pt idx="3">
                  <c:v>1.7295450873604512E-2</c:v>
                </c:pt>
                <c:pt idx="4">
                  <c:v>4.1483206002554972E-2</c:v>
                </c:pt>
                <c:pt idx="5">
                  <c:v>8.2510457333700937E-2</c:v>
                </c:pt>
                <c:pt idx="6">
                  <c:v>0.14082638092999991</c:v>
                </c:pt>
                <c:pt idx="7">
                  <c:v>0.21217661617090136</c:v>
                </c:pt>
                <c:pt idx="8">
                  <c:v>0.28899256857821798</c:v>
                </c:pt>
                <c:pt idx="9">
                  <c:v>0.36309866980005234</c:v>
                </c:pt>
                <c:pt idx="10">
                  <c:v>0.42813919395874578</c:v>
                </c:pt>
                <c:pt idx="11">
                  <c:v>0.4807365212174417</c:v>
                </c:pt>
                <c:pt idx="12">
                  <c:v>0.52035124616342832</c:v>
                </c:pt>
                <c:pt idx="13">
                  <c:v>0.54839430840815317</c:v>
                </c:pt>
                <c:pt idx="14">
                  <c:v>0.56719853041525747</c:v>
                </c:pt>
                <c:pt idx="15">
                  <c:v>0.57922265459566469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EB-BD4C-AB4A-2AB909BCEEA5}"/>
            </c:ext>
          </c:extLst>
        </c:ser>
        <c:ser>
          <c:idx val="6"/>
          <c:order val="6"/>
          <c:tx>
            <c:strRef>
              <c:f>'PART 1'!$DY$5</c:f>
              <c:strCache>
                <c:ptCount val="1"/>
                <c:pt idx="0">
                  <c:v>0.7</c:v>
                </c:pt>
              </c:strCache>
            </c:strRef>
          </c:tx>
          <c:spPr>
            <a:ln w="12700" cap="flat" cmpd="sng" algn="ctr">
              <a:solidFill>
                <a:schemeClr val="accent5">
                  <a:shade val="95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1'!$DY$6:$DY$21</c:f>
              <c:numCache>
                <c:formatCode>0.0E+00</c:formatCode>
                <c:ptCount val="16"/>
                <c:pt idx="0">
                  <c:v>6.8496313647904098E-4</c:v>
                </c:pt>
                <c:pt idx="1">
                  <c:v>3.0898154554743775E-3</c:v>
                </c:pt>
                <c:pt idx="2">
                  <c:v>1.0340638105047843E-2</c:v>
                </c:pt>
                <c:pt idx="3">
                  <c:v>2.7188766452768527E-2</c:v>
                </c:pt>
                <c:pt idx="4">
                  <c:v>5.8743138124230571E-2</c:v>
                </c:pt>
                <c:pt idx="5">
                  <c:v>0.10810010394461254</c:v>
                </c:pt>
                <c:pt idx="6">
                  <c:v>0.17444422479079946</c:v>
                </c:pt>
                <c:pt idx="7">
                  <c:v>0.25287075576346896</c:v>
                </c:pt>
                <c:pt idx="8">
                  <c:v>0.33596116095735584</c:v>
                </c:pt>
                <c:pt idx="9">
                  <c:v>0.41610220083116067</c:v>
                </c:pt>
                <c:pt idx="10">
                  <c:v>0.48739182226438388</c:v>
                </c:pt>
                <c:pt idx="11">
                  <c:v>0.54652113577166295</c:v>
                </c:pt>
                <c:pt idx="12">
                  <c:v>0.59267237553388952</c:v>
                </c:pt>
                <c:pt idx="13">
                  <c:v>0.62683596450535606</c:v>
                </c:pt>
                <c:pt idx="14">
                  <c:v>0.65098182663181059</c:v>
                </c:pt>
                <c:pt idx="15">
                  <c:v>0.66736921843921537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EB-BD4C-AB4A-2AB909BCEEA5}"/>
            </c:ext>
          </c:extLst>
        </c:ser>
        <c:ser>
          <c:idx val="7"/>
          <c:order val="7"/>
          <c:tx>
            <c:strRef>
              <c:f>'PART 1'!$DZ$5</c:f>
              <c:strCache>
                <c:ptCount val="1"/>
                <c:pt idx="0">
                  <c:v>0.8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9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1'!$DZ$6:$DZ$21</c:f>
              <c:numCache>
                <c:formatCode>0.0E+00</c:formatCode>
                <c:ptCount val="16"/>
                <c:pt idx="0">
                  <c:v>1.4792299832123142E-3</c:v>
                </c:pt>
                <c:pt idx="1">
                  <c:v>5.6236751489784891E-3</c:v>
                </c:pt>
                <c:pt idx="2">
                  <c:v>1.6463949579291832E-2</c:v>
                </c:pt>
                <c:pt idx="3">
                  <c:v>3.9025965710024674E-2</c:v>
                </c:pt>
                <c:pt idx="4">
                  <c:v>7.7898920427139723E-2</c:v>
                </c:pt>
                <c:pt idx="5">
                  <c:v>0.13510429218050068</c:v>
                </c:pt>
                <c:pt idx="6">
                  <c:v>0.2088321053401625</c:v>
                </c:pt>
                <c:pt idx="7">
                  <c:v>0.29375944234947271</c:v>
                </c:pt>
                <c:pt idx="8">
                  <c:v>0.38265821976803815</c:v>
                </c:pt>
                <c:pt idx="9">
                  <c:v>0.46838682825452477</c:v>
                </c:pt>
                <c:pt idx="10">
                  <c:v>0.54542150099630149</c:v>
                </c:pt>
                <c:pt idx="11">
                  <c:v>0.61054291488019352</c:v>
                </c:pt>
                <c:pt idx="12">
                  <c:v>0.66275083755870512</c:v>
                </c:pt>
                <c:pt idx="13">
                  <c:v>0.70271704194040652</c:v>
                </c:pt>
                <c:pt idx="14">
                  <c:v>0.73210216289147134</c:v>
                </c:pt>
                <c:pt idx="15">
                  <c:v>0.75295737423125908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EB-BD4C-AB4A-2AB909BCEEA5}"/>
            </c:ext>
          </c:extLst>
        </c:ser>
        <c:ser>
          <c:idx val="8"/>
          <c:order val="8"/>
          <c:tx>
            <c:strRef>
              <c:f>'PART 1'!$EA$5</c:f>
              <c:strCache>
                <c:ptCount val="1"/>
                <c:pt idx="0">
                  <c:v>0.9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86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1'!$EA$6:$EA$21</c:f>
              <c:numCache>
                <c:formatCode>0.0E+00</c:formatCode>
                <c:ptCount val="16"/>
                <c:pt idx="0">
                  <c:v>2.742313900181243E-3</c:v>
                </c:pt>
                <c:pt idx="1">
                  <c:v>9.1231525678742362E-3</c:v>
                </c:pt>
                <c:pt idx="2">
                  <c:v>2.4057851465664689E-2</c:v>
                </c:pt>
                <c:pt idx="3">
                  <c:v>5.2579361449743296E-2</c:v>
                </c:pt>
                <c:pt idx="4">
                  <c:v>9.8621140558167994E-2</c:v>
                </c:pt>
                <c:pt idx="5">
                  <c:v>0.16322605204399809</c:v>
                </c:pt>
                <c:pt idx="6">
                  <c:v>0.24380474754909542</c:v>
                </c:pt>
                <c:pt idx="7">
                  <c:v>0.33476899762460488</c:v>
                </c:pt>
                <c:pt idx="8">
                  <c:v>0.42909594584950783</c:v>
                </c:pt>
                <c:pt idx="9">
                  <c:v>0.5200470479945416</c:v>
                </c:pt>
                <c:pt idx="10">
                  <c:v>0.60242046033683738</c:v>
                </c:pt>
                <c:pt idx="11">
                  <c:v>0.67309416261096167</c:v>
                </c:pt>
                <c:pt idx="12">
                  <c:v>0.73094735333031413</c:v>
                </c:pt>
                <c:pt idx="13">
                  <c:v>0.776407581462356</c:v>
                </c:pt>
                <c:pt idx="14">
                  <c:v>0.81087590504535045</c:v>
                </c:pt>
                <c:pt idx="15">
                  <c:v>0.83620516746271689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EB-BD4C-AB4A-2AB909BCEEA5}"/>
            </c:ext>
          </c:extLst>
        </c:ser>
        <c:ser>
          <c:idx val="9"/>
          <c:order val="9"/>
          <c:tx>
            <c:strRef>
              <c:f>'PART 1'!$EB$5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77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1'!$EB$6:$EB$21</c:f>
              <c:numCache>
                <c:formatCode>0.0E+00</c:formatCode>
                <c:ptCount val="16"/>
                <c:pt idx="0">
                  <c:v>4.5595912570109316E-3</c:v>
                </c:pt>
                <c:pt idx="1">
                  <c:v>1.3628210187071797E-2</c:v>
                </c:pt>
                <c:pt idx="2">
                  <c:v>3.3041361033821035E-2</c:v>
                </c:pt>
                <c:pt idx="3">
                  <c:v>6.7641543932963441E-2</c:v>
                </c:pt>
                <c:pt idx="4">
                  <c:v>0.12065171933845739</c:v>
                </c:pt>
                <c:pt idx="5">
                  <c:v>0.19224806199408723</c:v>
                </c:pt>
                <c:pt idx="6">
                  <c:v>0.2792301046204449</c:v>
                </c:pt>
                <c:pt idx="7">
                  <c:v>0.37584742260070186</c:v>
                </c:pt>
                <c:pt idx="8">
                  <c:v>0.47528450546914641</c:v>
                </c:pt>
                <c:pt idx="9">
                  <c:v>0.5711526257442161</c:v>
                </c:pt>
                <c:pt idx="10">
                  <c:v>0.65852844532273402</c:v>
                </c:pt>
                <c:pt idx="11">
                  <c:v>0.73438858241015237</c:v>
                </c:pt>
                <c:pt idx="12">
                  <c:v>0.79753296736124069</c:v>
                </c:pt>
                <c:pt idx="13">
                  <c:v>0.84819982584634879</c:v>
                </c:pt>
                <c:pt idx="14">
                  <c:v>0.88757319713568383</c:v>
                </c:pt>
                <c:pt idx="15">
                  <c:v>0.91732436651684779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EB-BD4C-AB4A-2AB909BCEEA5}"/>
            </c:ext>
          </c:extLst>
        </c:ser>
        <c:ser>
          <c:idx val="10"/>
          <c:order val="10"/>
          <c:tx>
            <c:strRef>
              <c:f>'PART 1'!$EC$5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6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1'!$EC$6:$EC$21</c:f>
              <c:numCache>
                <c:formatCode>0.0E+00</c:formatCode>
                <c:ptCount val="16"/>
                <c:pt idx="0">
                  <c:v>5.9353081456012938E-2</c:v>
                </c:pt>
                <c:pt idx="1">
                  <c:v>0.10879243138680189</c:v>
                </c:pt>
                <c:pt idx="2">
                  <c:v>0.17932080685197074</c:v>
                </c:pt>
                <c:pt idx="3">
                  <c:v>0.27119588189475019</c:v>
                </c:pt>
                <c:pt idx="4">
                  <c:v>0.38226402136740828</c:v>
                </c:pt>
                <c:pt idx="5">
                  <c:v>0.50846001160439569</c:v>
                </c:pt>
                <c:pt idx="6">
                  <c:v>0.64458771564347106</c:v>
                </c:pt>
                <c:pt idx="7">
                  <c:v>0.78513403617493838</c:v>
                </c:pt>
                <c:pt idx="8">
                  <c:v>0.92494293545844164</c:v>
                </c:pt>
                <c:pt idx="9">
                  <c:v>1.0596687970369523</c:v>
                </c:pt>
                <c:pt idx="10">
                  <c:v>1.1860034685036835</c:v>
                </c:pt>
                <c:pt idx="11">
                  <c:v>1.301716483822899</c:v>
                </c:pt>
                <c:pt idx="12">
                  <c:v>1.4055657274099254</c:v>
                </c:pt>
                <c:pt idx="13">
                  <c:v>1.4971347861958171</c:v>
                </c:pt>
                <c:pt idx="14">
                  <c:v>1.5766424137341921</c:v>
                </c:pt>
                <c:pt idx="15">
                  <c:v>1.6447556479755494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EB-BD4C-AB4A-2AB909BCEEA5}"/>
            </c:ext>
          </c:extLst>
        </c:ser>
        <c:ser>
          <c:idx val="11"/>
          <c:order val="11"/>
          <c:tx>
            <c:strRef>
              <c:f>'PART 1'!$ED$5</c:f>
              <c:strCache>
                <c:ptCount val="1"/>
                <c:pt idx="0">
                  <c:v>3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58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1'!$ED$6:$ED$21</c:f>
              <c:numCache>
                <c:formatCode>0.0E+00</c:formatCode>
                <c:ptCount val="16"/>
                <c:pt idx="0">
                  <c:v>0.17245259544138369</c:v>
                </c:pt>
                <c:pt idx="1">
                  <c:v>0.26706226544028677</c:v>
                </c:pt>
                <c:pt idx="2">
                  <c:v>0.38476487533043752</c:v>
                </c:pt>
                <c:pt idx="3">
                  <c:v>0.52273981099216771</c:v>
                </c:pt>
                <c:pt idx="4">
                  <c:v>0.67677547849775832</c:v>
                </c:pt>
                <c:pt idx="5">
                  <c:v>0.84192775036698542</c:v>
                </c:pt>
                <c:pt idx="6">
                  <c:v>1.0131166738002781</c:v>
                </c:pt>
                <c:pt idx="7">
                  <c:v>1.1855867137549208</c:v>
                </c:pt>
                <c:pt idx="8">
                  <c:v>1.3552089139551935</c:v>
                </c:pt>
                <c:pt idx="9">
                  <c:v>1.5186376940705391</c:v>
                </c:pt>
                <c:pt idx="10">
                  <c:v>1.6733520389609637</c:v>
                </c:pt>
                <c:pt idx="11">
                  <c:v>1.8176154213669029</c:v>
                </c:pt>
                <c:pt idx="12">
                  <c:v>1.9503860096125631</c:v>
                </c:pt>
                <c:pt idx="13">
                  <c:v>2.071202520027601</c:v>
                </c:pt>
                <c:pt idx="14">
                  <c:v>2.1800640774968918</c:v>
                </c:pt>
                <c:pt idx="15">
                  <c:v>2.2773160793645628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EB-BD4C-AB4A-2AB909BCEEA5}"/>
            </c:ext>
          </c:extLst>
        </c:ser>
        <c:ser>
          <c:idx val="12"/>
          <c:order val="12"/>
          <c:tx>
            <c:strRef>
              <c:f>'PART 1'!$EE$5</c:f>
              <c:strCache>
                <c:ptCount val="1"/>
                <c:pt idx="0">
                  <c:v>4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49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1'!$EE$6:$EE$21</c:f>
              <c:numCache>
                <c:formatCode>0.0E+00</c:formatCode>
                <c:ptCount val="16"/>
                <c:pt idx="0">
                  <c:v>0.32377152020462435</c:v>
                </c:pt>
                <c:pt idx="1">
                  <c:v>0.45966579050016665</c:v>
                </c:pt>
                <c:pt idx="2">
                  <c:v>0.6174994858488011</c:v>
                </c:pt>
                <c:pt idx="3">
                  <c:v>0.79297672467890534</c:v>
                </c:pt>
                <c:pt idx="4">
                  <c:v>0.98121354844747444</c:v>
                </c:pt>
                <c:pt idx="5">
                  <c:v>1.1772513441976242</c:v>
                </c:pt>
                <c:pt idx="6">
                  <c:v>1.3764368253482542</c:v>
                </c:pt>
                <c:pt idx="7">
                  <c:v>1.5746664906933414</c:v>
                </c:pt>
                <c:pt idx="8">
                  <c:v>1.7685142165444596</c:v>
                </c:pt>
                <c:pt idx="9">
                  <c:v>1.9552688246325389</c:v>
                </c:pt>
                <c:pt idx="10">
                  <c:v>2.1329088821197066</c:v>
                </c:pt>
                <c:pt idx="11">
                  <c:v>2.3000383938445146</c:v>
                </c:pt>
                <c:pt idx="12">
                  <c:v>2.4558019526519712</c:v>
                </c:pt>
                <c:pt idx="13">
                  <c:v>2.5997927799092873</c:v>
                </c:pt>
                <c:pt idx="14">
                  <c:v>2.7319626305478524</c:v>
                </c:pt>
                <c:pt idx="15">
                  <c:v>2.8525390074635313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EB-BD4C-AB4A-2AB909BCEEA5}"/>
            </c:ext>
          </c:extLst>
        </c:ser>
        <c:ser>
          <c:idx val="13"/>
          <c:order val="13"/>
          <c:tx>
            <c:strRef>
              <c:f>'PART 1'!$EF$5</c:f>
              <c:strCache>
                <c:ptCount val="1"/>
                <c:pt idx="0">
                  <c:v>5</c:v>
                </c:pt>
              </c:strCache>
            </c:strRef>
          </c:tx>
          <c:spPr>
            <a:ln w="12700" cap="flat" cmpd="sng" algn="ctr">
              <a:solidFill>
                <a:schemeClr val="accent5">
                  <a:tint val="40000"/>
                </a:schemeClr>
              </a:solidFill>
              <a:prstDash val="solid"/>
              <a:round/>
            </a:ln>
            <a:effectLst/>
          </c:spPr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1'!$EF$6:$EF$21</c:f>
              <c:numCache>
                <c:formatCode>0.0E+00</c:formatCode>
                <c:ptCount val="16"/>
                <c:pt idx="0">
                  <c:v>0.4989815054427264</c:v>
                </c:pt>
                <c:pt idx="1">
                  <c:v>0.67144050131601485</c:v>
                </c:pt>
                <c:pt idx="2">
                  <c:v>0.8636305114580537</c:v>
                </c:pt>
                <c:pt idx="3">
                  <c:v>1.070610955886903</c:v>
                </c:pt>
                <c:pt idx="4">
                  <c:v>1.2873783982233833</c:v>
                </c:pt>
                <c:pt idx="5">
                  <c:v>1.509219653951388</c:v>
                </c:pt>
                <c:pt idx="6">
                  <c:v>1.7319351169097623</c:v>
                </c:pt>
                <c:pt idx="7">
                  <c:v>1.9519550649892421</c:v>
                </c:pt>
                <c:pt idx="8">
                  <c:v>2.1663757703673947</c:v>
                </c:pt>
                <c:pt idx="9">
                  <c:v>2.3729405021947212</c:v>
                </c:pt>
                <c:pt idx="10">
                  <c:v>2.5699862244155023</c:v>
                </c:pt>
                <c:pt idx="11">
                  <c:v>2.7563718801831256</c:v>
                </c:pt>
                <c:pt idx="12">
                  <c:v>2.9313996071778941</c:v>
                </c:pt>
                <c:pt idx="13">
                  <c:v>3.0947364560622197</c:v>
                </c:pt>
                <c:pt idx="14">
                  <c:v>3.2463412741759061</c:v>
                </c:pt>
                <c:pt idx="15">
                  <c:v>3.3863992954318465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EB-BD4C-AB4A-2AB909BCEEA5}"/>
            </c:ext>
          </c:extLst>
        </c:ser>
        <c:bandFmts>
          <c:bandFmt>
            <c:idx val="0"/>
            <c:spPr>
              <a:ln w="12700" cap="flat" cmpd="sng" algn="ctr">
                <a:solidFill>
                  <a:schemeClr val="accent5">
                    <a:shade val="4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12700" cap="flat" cmpd="sng" algn="ctr">
                <a:solidFill>
                  <a:schemeClr val="accent5">
                    <a:shade val="61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12700" cap="flat" cmpd="sng" algn="ctr">
                <a:solidFill>
                  <a:schemeClr val="accent5">
                    <a:shade val="7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12700" cap="flat" cmpd="sng" algn="ctr">
                <a:solidFill>
                  <a:schemeClr val="accent5">
                    <a:shade val="9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12700" cap="flat" cmpd="sng" algn="ctr">
                <a:solidFill>
                  <a:schemeClr val="accent5">
                    <a:tint val="9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12700" cap="flat" cmpd="sng" algn="ctr">
                <a:solidFill>
                  <a:schemeClr val="accent5">
                    <a:tint val="7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12700" cap="flat" cmpd="sng" algn="ctr">
                <a:solidFill>
                  <a:schemeClr val="accent5">
                    <a:tint val="6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12700" cap="flat" cmpd="sng" algn="ctr">
                <a:solidFill>
                  <a:schemeClr val="accent5">
                    <a:tint val="46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12700" cap="flat" cmpd="sng" algn="ctr">
                <a:solidFill>
                  <a:schemeClr val="accent5">
                    <a:tint val="30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12700" cap="flat" cmpd="sng" algn="ctr">
                <a:solidFill>
                  <a:schemeClr val="accent5">
                    <a:tint val="1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12700" cap="flat" cmpd="sng" algn="ctr">
                <a:solidFill>
                  <a:schemeClr val="accent5">
                    <a:tint val="99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12700" cap="flat" cmpd="sng" algn="ctr">
                <a:solidFill>
                  <a:schemeClr val="accent5">
                    <a:tint val="84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12700" cap="flat" cmpd="sng" algn="ctr">
                <a:solidFill>
                  <a:schemeClr val="accent5">
                    <a:tint val="6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12700" cap="flat" cmpd="sng" algn="ctr">
                <a:solidFill>
                  <a:schemeClr val="accent5">
                    <a:tint val="5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12700" cap="flat" cmpd="sng" algn="ctr">
                <a:solidFill>
                  <a:schemeClr val="accent5">
                    <a:tint val="37000"/>
                  </a:schemeClr>
                </a:solidFill>
                <a:prstDash val="solid"/>
                <a:round/>
              </a:ln>
              <a:effectLst/>
            </c:spPr>
          </c:bandFmt>
        </c:bandFmts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Rho,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1'!$DS$5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1'!$DS$24:$DS$39</c:f>
              <c:numCache>
                <c:formatCode>0.0E+00</c:formatCode>
                <c:ptCount val="16"/>
                <c:pt idx="0">
                  <c:v>2.9526232275500711E-9</c:v>
                </c:pt>
                <c:pt idx="1">
                  <c:v>2.3477394326331548E-7</c:v>
                </c:pt>
                <c:pt idx="2">
                  <c:v>7.3280508906908516E-6</c:v>
                </c:pt>
                <c:pt idx="3">
                  <c:v>1.0716304021740663E-4</c:v>
                </c:pt>
                <c:pt idx="4">
                  <c:v>8.4379549560306417E-4</c:v>
                </c:pt>
                <c:pt idx="5">
                  <c:v>4.0019706155343393E-3</c:v>
                </c:pt>
                <c:pt idx="6">
                  <c:v>1.2546393350198692E-2</c:v>
                </c:pt>
                <c:pt idx="7">
                  <c:v>2.8149490988691562E-2</c:v>
                </c:pt>
                <c:pt idx="8">
                  <c:v>4.8480002263733495E-2</c:v>
                </c:pt>
                <c:pt idx="9">
                  <c:v>6.8277831133797179E-2</c:v>
                </c:pt>
                <c:pt idx="10">
                  <c:v>8.3258594130054389E-2</c:v>
                </c:pt>
                <c:pt idx="11">
                  <c:v>9.2362125771932119E-2</c:v>
                </c:pt>
                <c:pt idx="12">
                  <c:v>9.6931155243772646E-2</c:v>
                </c:pt>
                <c:pt idx="13">
                  <c:v>9.8871106655175345E-2</c:v>
                </c:pt>
                <c:pt idx="14">
                  <c:v>9.9582415229851867E-2</c:v>
                </c:pt>
                <c:pt idx="15">
                  <c:v>9.98116842069902E-2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8-5549-9DBD-BC0053AE635A}"/>
            </c:ext>
          </c:extLst>
        </c:ser>
        <c:ser>
          <c:idx val="1"/>
          <c:order val="1"/>
          <c:tx>
            <c:strRef>
              <c:f>'PART 1'!$DT$5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1'!$DT$24:$DT$39</c:f>
              <c:numCache>
                <c:formatCode>0.0E+00</c:formatCode>
                <c:ptCount val="16"/>
                <c:pt idx="0">
                  <c:v>1.1332530343148013E-5</c:v>
                </c:pt>
                <c:pt idx="1">
                  <c:v>1.1000326823056661E-4</c:v>
                </c:pt>
                <c:pt idx="2">
                  <c:v>6.7012653150436694E-4</c:v>
                </c:pt>
                <c:pt idx="3">
                  <c:v>2.8005079404176507E-3</c:v>
                </c:pt>
                <c:pt idx="4">
                  <c:v>8.6101600896775782E-3</c:v>
                </c:pt>
                <c:pt idx="5">
                  <c:v>2.0599015086440079E-2</c:v>
                </c:pt>
                <c:pt idx="6">
                  <c:v>4.015156999077784E-2</c:v>
                </c:pt>
                <c:pt idx="7">
                  <c:v>6.6260425961542996E-2</c:v>
                </c:pt>
                <c:pt idx="8">
                  <c:v>9.5647445393394939E-2</c:v>
                </c:pt>
                <c:pt idx="9">
                  <c:v>0.12420817808937207</c:v>
                </c:pt>
                <c:pt idx="10">
                  <c:v>0.14866303408782128</c:v>
                </c:pt>
                <c:pt idx="11">
                  <c:v>0.16742535793708613</c:v>
                </c:pt>
                <c:pt idx="12">
                  <c:v>0.18050952682701799</c:v>
                </c:pt>
                <c:pt idx="13">
                  <c:v>0.1889046884123747</c:v>
                </c:pt>
                <c:pt idx="14">
                  <c:v>0.19391259558754664</c:v>
                </c:pt>
                <c:pt idx="15">
                  <c:v>0.1967148907920642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18-5549-9DBD-BC0053AE635A}"/>
            </c:ext>
          </c:extLst>
        </c:ser>
        <c:ser>
          <c:idx val="2"/>
          <c:order val="2"/>
          <c:tx>
            <c:strRef>
              <c:f>'PART 1'!$DU$5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1'!$DU$24:$DU$39</c:f>
              <c:numCache>
                <c:formatCode>0.0E+00</c:formatCode>
                <c:ptCount val="16"/>
                <c:pt idx="0">
                  <c:v>2.2587447202926817E-4</c:v>
                </c:pt>
                <c:pt idx="1">
                  <c:v>1.0828646304118204E-3</c:v>
                </c:pt>
                <c:pt idx="2">
                  <c:v>3.8055475002660962E-3</c:v>
                </c:pt>
                <c:pt idx="3">
                  <c:v>1.0404743079329298E-2</c:v>
                </c:pt>
                <c:pt idx="4">
                  <c:v>2.3188215227327152E-2</c:v>
                </c:pt>
                <c:pt idx="5">
                  <c:v>4.3722556636840146E-2</c:v>
                </c:pt>
                <c:pt idx="6">
                  <c:v>7.1895756392573701E-2</c:v>
                </c:pt>
                <c:pt idx="7">
                  <c:v>0.10571300384455705</c:v>
                </c:pt>
                <c:pt idx="8">
                  <c:v>0.14193093045907348</c:v>
                </c:pt>
                <c:pt idx="9">
                  <c:v>0.17710675985594912</c:v>
                </c:pt>
                <c:pt idx="10">
                  <c:v>0.20850986007567904</c:v>
                </c:pt>
                <c:pt idx="11">
                  <c:v>0.23457335932437789</c:v>
                </c:pt>
                <c:pt idx="12">
                  <c:v>0.25487739366774992</c:v>
                </c:pt>
                <c:pt idx="13">
                  <c:v>0.26984500276398515</c:v>
                </c:pt>
                <c:pt idx="14">
                  <c:v>0.28035878249676893</c:v>
                </c:pt>
                <c:pt idx="15">
                  <c:v>0.28743809080910765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18-5549-9DBD-BC0053AE635A}"/>
            </c:ext>
          </c:extLst>
        </c:ser>
        <c:ser>
          <c:idx val="3"/>
          <c:order val="3"/>
          <c:tx>
            <c:strRef>
              <c:f>'PART 1'!$DV$5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1'!$DV$24:$DV$39</c:f>
              <c:numCache>
                <c:formatCode>0.0E+00</c:formatCode>
                <c:ptCount val="16"/>
                <c:pt idx="0">
                  <c:v>1.1301837002767319E-3</c:v>
                </c:pt>
                <c:pt idx="1">
                  <c:v>3.7982446397381545E-3</c:v>
                </c:pt>
                <c:pt idx="2">
                  <c:v>1.0108518694220895E-2</c:v>
                </c:pt>
                <c:pt idx="3">
                  <c:v>2.2277486403587093E-2</c:v>
                </c:pt>
                <c:pt idx="4">
                  <c:v>4.2101668239852952E-2</c:v>
                </c:pt>
                <c:pt idx="5">
                  <c:v>7.0158187896353461E-2</c:v>
                </c:pt>
                <c:pt idx="6">
                  <c:v>0.10543607299579148</c:v>
                </c:pt>
                <c:pt idx="7">
                  <c:v>0.14556689094577391</c:v>
                </c:pt>
                <c:pt idx="8">
                  <c:v>0.18748461687370585</c:v>
                </c:pt>
                <c:pt idx="9">
                  <c:v>0.22818237236294167</c:v>
                </c:pt>
                <c:pt idx="10">
                  <c:v>0.26528546066729886</c:v>
                </c:pt>
                <c:pt idx="11">
                  <c:v>0.29731963677583234</c:v>
                </c:pt>
                <c:pt idx="12">
                  <c:v>0.32370108870629927</c:v>
                </c:pt>
                <c:pt idx="13">
                  <c:v>0.34455132914714243</c:v>
                </c:pt>
                <c:pt idx="14">
                  <c:v>0.36044808482034152</c:v>
                </c:pt>
                <c:pt idx="15">
                  <c:v>0.37219240872194909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18-5549-9DBD-BC0053AE635A}"/>
            </c:ext>
          </c:extLst>
        </c:ser>
        <c:ser>
          <c:idx val="4"/>
          <c:order val="4"/>
          <c:tx>
            <c:strRef>
              <c:f>'PART 1'!$DW$5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1'!$DW$24:$DW$39</c:f>
              <c:numCache>
                <c:formatCode>0.0E+00</c:formatCode>
                <c:ptCount val="16"/>
                <c:pt idx="0">
                  <c:v>3.1727274899903948E-3</c:v>
                </c:pt>
                <c:pt idx="1">
                  <c:v>8.6022397763405953E-3</c:v>
                </c:pt>
                <c:pt idx="2">
                  <c:v>1.9341199007050006E-2</c:v>
                </c:pt>
                <c:pt idx="3">
                  <c:v>3.7375642733991826E-2</c:v>
                </c:pt>
                <c:pt idx="4">
                  <c:v>6.3836239230238859E-2</c:v>
                </c:pt>
                <c:pt idx="5">
                  <c:v>9.8529677259979437E-2</c:v>
                </c:pt>
                <c:pt idx="6">
                  <c:v>0.13991727530535455</c:v>
                </c:pt>
                <c:pt idx="7">
                  <c:v>0.18549891582551309</c:v>
                </c:pt>
                <c:pt idx="8">
                  <c:v>0.23239821537606056</c:v>
                </c:pt>
                <c:pt idx="9">
                  <c:v>0.27792320019220718</c:v>
                </c:pt>
                <c:pt idx="10">
                  <c:v>0.31995430199928421</c:v>
                </c:pt>
                <c:pt idx="11">
                  <c:v>0.35711501203565793</c:v>
                </c:pt>
                <c:pt idx="12">
                  <c:v>0.38875814895490307</c:v>
                </c:pt>
                <c:pt idx="13">
                  <c:v>0.41483583425713461</c:v>
                </c:pt>
                <c:pt idx="14">
                  <c:v>0.4357217606881495</c:v>
                </c:pt>
                <c:pt idx="15">
                  <c:v>0.45203642785625414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18-5549-9DBD-BC0053AE635A}"/>
            </c:ext>
          </c:extLst>
        </c:ser>
        <c:ser>
          <c:idx val="5"/>
          <c:order val="5"/>
          <c:tx>
            <c:strRef>
              <c:f>'PART 1'!$DX$5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1'!$DX$24:$DX$39</c:f>
              <c:numCache>
                <c:formatCode>0.0E+00</c:formatCode>
                <c:ptCount val="16"/>
                <c:pt idx="0">
                  <c:v>6.5908885371946321E-3</c:v>
                </c:pt>
                <c:pt idx="1">
                  <c:v>1.5469602201022619E-2</c:v>
                </c:pt>
                <c:pt idx="2">
                  <c:v>3.104568855619053E-2</c:v>
                </c:pt>
                <c:pt idx="3">
                  <c:v>5.4887827575266564E-2</c:v>
                </c:pt>
                <c:pt idx="4">
                  <c:v>8.7502447732684355E-2</c:v>
                </c:pt>
                <c:pt idx="5">
                  <c:v>0.12813282697945419</c:v>
                </c:pt>
                <c:pt idx="6">
                  <c:v>0.1749273970506767</c:v>
                </c:pt>
                <c:pt idx="7">
                  <c:v>0.22536096616038254</c:v>
                </c:pt>
                <c:pt idx="8">
                  <c:v>0.2767326641821381</c:v>
                </c:pt>
                <c:pt idx="9">
                  <c:v>0.32659213280179167</c:v>
                </c:pt>
                <c:pt idx="10">
                  <c:v>0.37301467373776581</c:v>
                </c:pt>
                <c:pt idx="11">
                  <c:v>0.41471363169847436</c:v>
                </c:pt>
                <c:pt idx="12">
                  <c:v>0.45102197776462982</c:v>
                </c:pt>
                <c:pt idx="13">
                  <c:v>0.48179196650195977</c:v>
                </c:pt>
                <c:pt idx="14">
                  <c:v>0.50725932380965366</c:v>
                </c:pt>
                <c:pt idx="15">
                  <c:v>0.5279063993891423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18-5549-9DBD-BC0053AE635A}"/>
            </c:ext>
          </c:extLst>
        </c:ser>
        <c:ser>
          <c:idx val="6"/>
          <c:order val="6"/>
          <c:tx>
            <c:strRef>
              <c:f>'PART 1'!$DY$5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1'!$DY$24:$DY$39</c:f>
              <c:numCache>
                <c:formatCode>0.0E+00</c:formatCode>
                <c:ptCount val="16"/>
                <c:pt idx="0">
                  <c:v>1.1449306418409964E-2</c:v>
                </c:pt>
                <c:pt idx="1">
                  <c:v>2.4222946495275673E-2</c:v>
                </c:pt>
                <c:pt idx="2">
                  <c:v>4.4784244022574062E-2</c:v>
                </c:pt>
                <c:pt idx="3">
                  <c:v>7.4233901250503012E-2</c:v>
                </c:pt>
                <c:pt idx="4">
                  <c:v>0.11254687988484213</c:v>
                </c:pt>
                <c:pt idx="5">
                  <c:v>0.15855986685171214</c:v>
                </c:pt>
                <c:pt idx="6">
                  <c:v>0.21023581921994061</c:v>
                </c:pt>
                <c:pt idx="7">
                  <c:v>0.26507480350440915</c:v>
                </c:pt>
                <c:pt idx="8">
                  <c:v>0.32053299834482402</c:v>
                </c:pt>
                <c:pt idx="9">
                  <c:v>0.37435336997194235</c:v>
                </c:pt>
                <c:pt idx="10">
                  <c:v>0.42476670407640099</c:v>
                </c:pt>
                <c:pt idx="11">
                  <c:v>0.47056644807114706</c:v>
                </c:pt>
                <c:pt idx="12">
                  <c:v>0.51108637489139319</c:v>
                </c:pt>
                <c:pt idx="13">
                  <c:v>0.54611808117523786</c:v>
                </c:pt>
                <c:pt idx="14">
                  <c:v>0.57580182729458596</c:v>
                </c:pt>
                <c:pt idx="15">
                  <c:v>0.6005154196414676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18-5549-9DBD-BC0053AE635A}"/>
            </c:ext>
          </c:extLst>
        </c:ser>
        <c:ser>
          <c:idx val="7"/>
          <c:order val="7"/>
          <c:tx>
            <c:strRef>
              <c:f>'PART 1'!$DZ$5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1'!$DZ$24:$DZ$39</c:f>
              <c:numCache>
                <c:formatCode>0.0E+00</c:formatCode>
                <c:ptCount val="16"/>
                <c:pt idx="0">
                  <c:v>1.7711463627698015E-2</c:v>
                </c:pt>
                <c:pt idx="1">
                  <c:v>3.4644139974960214E-2</c:v>
                </c:pt>
                <c:pt idx="2">
                  <c:v>6.0191244882771701E-2</c:v>
                </c:pt>
                <c:pt idx="3">
                  <c:v>9.4998591027931858E-2</c:v>
                </c:pt>
                <c:pt idx="4">
                  <c:v>0.13860489518231894</c:v>
                </c:pt>
                <c:pt idx="5">
                  <c:v>0.1895536543143396</c:v>
                </c:pt>
                <c:pt idx="6">
                  <c:v>0.24570063770440545</c:v>
                </c:pt>
                <c:pt idx="7">
                  <c:v>0.30459559705270878</c:v>
                </c:pt>
                <c:pt idx="8">
                  <c:v>0.3638343426492136</c:v>
                </c:pt>
                <c:pt idx="9">
                  <c:v>0.42131936325461394</c:v>
                </c:pt>
                <c:pt idx="10">
                  <c:v>0.47540950801739912</c:v>
                </c:pt>
                <c:pt idx="11">
                  <c:v>0.52496929542260928</c:v>
                </c:pt>
                <c:pt idx="12">
                  <c:v>0.56934359886945329</c:v>
                </c:pt>
                <c:pt idx="13">
                  <c:v>0.6082867935844396</c:v>
                </c:pt>
                <c:pt idx="14">
                  <c:v>0.64187163619302945</c:v>
                </c:pt>
                <c:pt idx="15">
                  <c:v>0.67039633112636232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18-5549-9DBD-BC0053AE635A}"/>
            </c:ext>
          </c:extLst>
        </c:ser>
        <c:ser>
          <c:idx val="8"/>
          <c:order val="8"/>
          <c:tx>
            <c:strRef>
              <c:f>'PART 1'!$EA$5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1'!$EA$24:$EA$39</c:f>
              <c:numCache>
                <c:formatCode>0.0E+00</c:formatCode>
                <c:ptCount val="16"/>
                <c:pt idx="0">
                  <c:v>2.5290931687880013E-2</c:v>
                </c:pt>
                <c:pt idx="1">
                  <c:v>4.652006501990831E-2</c:v>
                </c:pt>
                <c:pt idx="2">
                  <c:v>7.6972593895436286E-2</c:v>
                </c:pt>
                <c:pt idx="3">
                  <c:v>0.11687876444341773</c:v>
                </c:pt>
                <c:pt idx="4">
                  <c:v>0.16542451185364437</c:v>
                </c:pt>
                <c:pt idx="5">
                  <c:v>0.22094174145759743</c:v>
                </c:pt>
                <c:pt idx="6">
                  <c:v>0.28122869505264242</c:v>
                </c:pt>
                <c:pt idx="7">
                  <c:v>0.34389641378661545</c:v>
                </c:pt>
                <c:pt idx="8">
                  <c:v>0.40666514264759984</c:v>
                </c:pt>
                <c:pt idx="9">
                  <c:v>0.46757213487895111</c:v>
                </c:pt>
                <c:pt idx="10">
                  <c:v>0.52508429600813011</c:v>
                </c:pt>
                <c:pt idx="11">
                  <c:v>0.57812941191026346</c:v>
                </c:pt>
                <c:pt idx="12">
                  <c:v>0.62606865589008986</c:v>
                </c:pt>
                <c:pt idx="13">
                  <c:v>0.66863385045386048</c:v>
                </c:pt>
                <c:pt idx="14">
                  <c:v>0.70584918287508258</c:v>
                </c:pt>
                <c:pt idx="15">
                  <c:v>0.73795159861052295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18-5549-9DBD-BC0053AE635A}"/>
            </c:ext>
          </c:extLst>
        </c:ser>
        <c:ser>
          <c:idx val="9"/>
          <c:order val="9"/>
          <c:tx>
            <c:strRef>
              <c:f>'PART 1'!$EB$5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1'!$EB$24:$EB$39</c:f>
              <c:numCache>
                <c:formatCode>0.0E+00</c:formatCode>
                <c:ptCount val="16"/>
                <c:pt idx="0">
                  <c:v>3.4081262074599161E-2</c:v>
                </c:pt>
                <c:pt idx="1">
                  <c:v>5.9658621895937708E-2</c:v>
                </c:pt>
                <c:pt idx="2">
                  <c:v>9.4893482029156068E-2</c:v>
                </c:pt>
                <c:pt idx="3">
                  <c:v>0.13964806192115639</c:v>
                </c:pt>
                <c:pt idx="4">
                  <c:v>0.19282474296583746</c:v>
                </c:pt>
                <c:pt idx="5">
                  <c:v>0.25260301138987579</c:v>
                </c:pt>
                <c:pt idx="6">
                  <c:v>0.31675590666078812</c:v>
                </c:pt>
                <c:pt idx="7">
                  <c:v>0.38296069087442108</c:v>
                </c:pt>
                <c:pt idx="8">
                  <c:v>0.44904908466519983</c:v>
                </c:pt>
                <c:pt idx="9">
                  <c:v>0.51317432142978925</c:v>
                </c:pt>
                <c:pt idx="10">
                  <c:v>0.57389622642331117</c:v>
                </c:pt>
                <c:pt idx="11">
                  <c:v>0.6301992394484307</c:v>
                </c:pt>
                <c:pt idx="12">
                  <c:v>0.68146336615181546</c:v>
                </c:pt>
                <c:pt idx="13">
                  <c:v>0.72740739426895162</c:v>
                </c:pt>
                <c:pt idx="14">
                  <c:v>0.76802012118301122</c:v>
                </c:pt>
                <c:pt idx="15">
                  <c:v>0.80349082627409651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18-5549-9DBD-BC0053AE635A}"/>
            </c:ext>
          </c:extLst>
        </c:ser>
        <c:ser>
          <c:idx val="10"/>
          <c:order val="10"/>
          <c:tx>
            <c:strRef>
              <c:f>'PART 1'!$EC$5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1'!$EC$24:$EC$39</c:f>
              <c:numCache>
                <c:formatCode>0.0E+00</c:formatCode>
                <c:ptCount val="16"/>
                <c:pt idx="0">
                  <c:v>0.16760740288014708</c:v>
                </c:pt>
                <c:pt idx="1">
                  <c:v>0.23314848276281694</c:v>
                </c:pt>
                <c:pt idx="2">
                  <c:v>0.30833945975697685</c:v>
                </c:pt>
                <c:pt idx="3">
                  <c:v>0.3912877070729931</c:v>
                </c:pt>
                <c:pt idx="4">
                  <c:v>0.47990477205190002</c:v>
                </c:pt>
                <c:pt idx="5">
                  <c:v>0.57209878012749971</c:v>
                </c:pt>
                <c:pt idx="6">
                  <c:v>0.66591346159028808</c:v>
                </c:pt>
                <c:pt idx="7">
                  <c:v>0.75961631172955657</c:v>
                </c:pt>
                <c:pt idx="8">
                  <c:v>0.85174423276303957</c:v>
                </c:pt>
                <c:pt idx="9">
                  <c:v>0.941116891312198</c:v>
                </c:pt>
                <c:pt idx="10">
                  <c:v>1.0268276202708793</c:v>
                </c:pt>
                <c:pt idx="11">
                  <c:v>1.1082201926386068</c:v>
                </c:pt>
                <c:pt idx="12">
                  <c:v>1.1848579476912982</c:v>
                </c:pt>
                <c:pt idx="13">
                  <c:v>1.2564899717066402</c:v>
                </c:pt>
                <c:pt idx="14">
                  <c:v>1.3230175184925788</c:v>
                </c:pt>
                <c:pt idx="15">
                  <c:v>1.3844626580586128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18-5549-9DBD-BC0053AE635A}"/>
            </c:ext>
          </c:extLst>
        </c:ser>
        <c:ser>
          <c:idx val="11"/>
          <c:order val="11"/>
          <c:tx>
            <c:strRef>
              <c:f>'PART 1'!$ED$5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1'!$ED$24:$ED$39</c:f>
              <c:numCache>
                <c:formatCode>0.0E+00</c:formatCode>
                <c:ptCount val="16"/>
                <c:pt idx="0">
                  <c:v>0.34347278354932753</c:v>
                </c:pt>
                <c:pt idx="1">
                  <c:v>0.44032078635685484</c:v>
                </c:pt>
                <c:pt idx="2">
                  <c:v>0.54482049449278391</c:v>
                </c:pt>
                <c:pt idx="3">
                  <c:v>0.65478709737318352</c:v>
                </c:pt>
                <c:pt idx="4">
                  <c:v>0.76816408112647405</c:v>
                </c:pt>
                <c:pt idx="5">
                  <c:v>0.88310233648812408</c:v>
                </c:pt>
                <c:pt idx="6">
                  <c:v>0.99800015811264575</c:v>
                </c:pt>
                <c:pt idx="7">
                  <c:v>1.1115151807553352</c:v>
                </c:pt>
                <c:pt idx="8">
                  <c:v>1.2225575387364285</c:v>
                </c:pt>
                <c:pt idx="9">
                  <c:v>1.3302714694210862</c:v>
                </c:pt>
                <c:pt idx="10">
                  <c:v>1.4340106592521729</c:v>
                </c:pt>
                <c:pt idx="11">
                  <c:v>1.5333110283875411</c:v>
                </c:pt>
                <c:pt idx="12">
                  <c:v>1.6278634009613053</c:v>
                </c:pt>
                <c:pt idx="13">
                  <c:v>1.7174875805075749</c:v>
                </c:pt>
                <c:pt idx="14">
                  <c:v>1.80210868841131</c:v>
                </c:pt>
                <c:pt idx="15">
                  <c:v>1.8817361687331504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18-5549-9DBD-BC0053AE635A}"/>
            </c:ext>
          </c:extLst>
        </c:ser>
        <c:ser>
          <c:idx val="12"/>
          <c:order val="12"/>
          <c:tx>
            <c:strRef>
              <c:f>'PART 1'!$EE$5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1'!$EE$24:$EE$39</c:f>
              <c:numCache>
                <c:formatCode>0.0E+00</c:formatCode>
                <c:ptCount val="16"/>
                <c:pt idx="0">
                  <c:v>0.53429576659871825</c:v>
                </c:pt>
                <c:pt idx="1">
                  <c:v>0.65612241719610553</c:v>
                </c:pt>
                <c:pt idx="2">
                  <c:v>0.78359786030381173</c:v>
                </c:pt>
                <c:pt idx="3">
                  <c:v>0.91460887943075675</c:v>
                </c:pt>
                <c:pt idx="4">
                  <c:v>1.0472989940256039</c:v>
                </c:pt>
                <c:pt idx="5">
                  <c:v>1.1800840446744412</c:v>
                </c:pt>
                <c:pt idx="6">
                  <c:v>1.3116465975777294</c:v>
                </c:pt>
                <c:pt idx="7">
                  <c:v>1.4409177804367721</c:v>
                </c:pt>
                <c:pt idx="8">
                  <c:v>1.5670525263856452</c:v>
                </c:pt>
                <c:pt idx="9">
                  <c:v>1.6894022005404263</c:v>
                </c:pt>
                <c:pt idx="10">
                  <c:v>1.8074871324670514</c:v>
                </c:pt>
                <c:pt idx="11">
                  <c:v>1.9209705624827618</c:v>
                </c:pt>
                <c:pt idx="12">
                  <c:v>2.0296348209289148</c:v>
                </c:pt>
                <c:pt idx="13">
                  <c:v>2.1333601067150982</c:v>
                </c:pt>
                <c:pt idx="14">
                  <c:v>2.2321059443947862</c:v>
                </c:pt>
                <c:pt idx="15">
                  <c:v>2.3258952257971575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18-5549-9DBD-BC0053AE635A}"/>
            </c:ext>
          </c:extLst>
        </c:ser>
        <c:ser>
          <c:idx val="13"/>
          <c:order val="13"/>
          <c:tx>
            <c:strRef>
              <c:f>'PART 1'!$EF$5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1'!$EF$24:$EF$39</c:f>
              <c:numCache>
                <c:formatCode>0.0E+00</c:formatCode>
                <c:ptCount val="16"/>
                <c:pt idx="0">
                  <c:v>0.72913289318308616</c:v>
                </c:pt>
                <c:pt idx="1">
                  <c:v>0.87156514480259184</c:v>
                </c:pt>
                <c:pt idx="2">
                  <c:v>1.0178771687584245</c:v>
                </c:pt>
                <c:pt idx="3">
                  <c:v>1.1661280707499488</c:v>
                </c:pt>
                <c:pt idx="4">
                  <c:v>1.3146822164902674</c:v>
                </c:pt>
                <c:pt idx="5">
                  <c:v>1.4621903371980651</c:v>
                </c:pt>
                <c:pt idx="6">
                  <c:v>1.6075618888968966</c:v>
                </c:pt>
                <c:pt idx="7">
                  <c:v>1.7499340189075157</c:v>
                </c:pt>
                <c:pt idx="8">
                  <c:v>1.8886403749573633</c:v>
                </c:pt>
                <c:pt idx="9">
                  <c:v>2.0231815965757343</c:v>
                </c:pt>
                <c:pt idx="10">
                  <c:v>2.1531984323949449</c:v>
                </c:pt>
                <c:pt idx="11">
                  <c:v>2.2784478679255176</c:v>
                </c:pt>
                <c:pt idx="12">
                  <c:v>2.3987823120714449</c:v>
                </c:pt>
                <c:pt idx="13">
                  <c:v>2.5141316989180638</c:v>
                </c:pt>
                <c:pt idx="14">
                  <c:v>2.624488261615415</c:v>
                </c:pt>
                <c:pt idx="15">
                  <c:v>2.7298936926815593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18-5549-9DBD-BC0053AE635A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Rho,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1'!$DS$5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1'!$DS$42:$DS$57</c:f>
              <c:numCache>
                <c:formatCode>0.0E+00</c:formatCode>
                <c:ptCount val="16"/>
                <c:pt idx="0">
                  <c:v>6.8997547428960883E-60</c:v>
                </c:pt>
                <c:pt idx="1">
                  <c:v>1.824025691521059E-43</c:v>
                </c:pt>
                <c:pt idx="2">
                  <c:v>9.954666886739304E-31</c:v>
                </c:pt>
                <c:pt idx="3">
                  <c:v>5.3493516241294045E-21</c:v>
                </c:pt>
                <c:pt idx="4">
                  <c:v>9.5606229748062584E-14</c:v>
                </c:pt>
                <c:pt idx="5">
                  <c:v>1.498171510428129E-8</c:v>
                </c:pt>
                <c:pt idx="6">
                  <c:v>4.5615435801455798E-5</c:v>
                </c:pt>
                <c:pt idx="7">
                  <c:v>5.4058155808872667E-3</c:v>
                </c:pt>
                <c:pt idx="8">
                  <c:v>5.0580151398953388E-2</c:v>
                </c:pt>
                <c:pt idx="9">
                  <c:v>9.3952533892679782E-2</c:v>
                </c:pt>
                <c:pt idx="10">
                  <c:v>9.9777807903598914E-2</c:v>
                </c:pt>
                <c:pt idx="11">
                  <c:v>9.9899591088745576E-2</c:v>
                </c:pt>
                <c:pt idx="12">
                  <c:v>9.9900049613135686E-2</c:v>
                </c:pt>
                <c:pt idx="13">
                  <c:v>9.9900049983261366E-2</c:v>
                </c:pt>
                <c:pt idx="14">
                  <c:v>9.9900049983337513E-2</c:v>
                </c:pt>
                <c:pt idx="15">
                  <c:v>9.9900049983337513E-2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4-8E41-AA5B-69682AB7A296}"/>
            </c:ext>
          </c:extLst>
        </c:ser>
        <c:ser>
          <c:idx val="1"/>
          <c:order val="1"/>
          <c:tx>
            <c:strRef>
              <c:f>'PART 1'!$DT$5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1'!$DT$42:$DT$57</c:f>
              <c:numCache>
                <c:formatCode>0.0E+00</c:formatCode>
                <c:ptCount val="16"/>
                <c:pt idx="0">
                  <c:v>4.1705600383653559E-31</c:v>
                </c:pt>
                <c:pt idx="1">
                  <c:v>7.2236755311601088E-23</c:v>
                </c:pt>
                <c:pt idx="2">
                  <c:v>1.8148881916339142E-16</c:v>
                </c:pt>
                <c:pt idx="3">
                  <c:v>1.4484262281308254E-11</c:v>
                </c:pt>
                <c:pt idx="4">
                  <c:v>6.7762571900260923E-8</c:v>
                </c:pt>
                <c:pt idx="5">
                  <c:v>3.0362011070892119E-5</c:v>
                </c:pt>
                <c:pt idx="6">
                  <c:v>1.957894332731875E-3</c:v>
                </c:pt>
                <c:pt idx="7">
                  <c:v>2.6024085650062811E-2</c:v>
                </c:pt>
                <c:pt idx="8">
                  <c:v>0.10158061093169939</c:v>
                </c:pt>
                <c:pt idx="9">
                  <c:v>0.17309729794666581</c:v>
                </c:pt>
                <c:pt idx="10">
                  <c:v>0.19647918755775001</c:v>
                </c:pt>
                <c:pt idx="11">
                  <c:v>0.19943607403579602</c:v>
                </c:pt>
                <c:pt idx="12">
                  <c:v>0.19959626211406123</c:v>
                </c:pt>
                <c:pt idx="13">
                  <c:v>0.19960034597449697</c:v>
                </c:pt>
                <c:pt idx="14">
                  <c:v>0.19960039934571283</c:v>
                </c:pt>
                <c:pt idx="15">
                  <c:v>0.19960039973180685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4-8E41-AA5B-69682AB7A296}"/>
            </c:ext>
          </c:extLst>
        </c:ser>
        <c:ser>
          <c:idx val="2"/>
          <c:order val="2"/>
          <c:tx>
            <c:strRef>
              <c:f>'PART 1'!$DU$5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1'!$DU$42:$DU$57</c:f>
              <c:numCache>
                <c:formatCode>0.0E+00</c:formatCode>
                <c:ptCount val="16"/>
                <c:pt idx="0">
                  <c:v>2.1207973599216589E-21</c:v>
                </c:pt>
                <c:pt idx="1">
                  <c:v>6.8680684372739567E-16</c:v>
                </c:pt>
                <c:pt idx="2">
                  <c:v>1.3307124507183836E-11</c:v>
                </c:pt>
                <c:pt idx="3">
                  <c:v>2.6052631871411217E-8</c:v>
                </c:pt>
                <c:pt idx="4">
                  <c:v>7.77039222747902E-6</c:v>
                </c:pt>
                <c:pt idx="5">
                  <c:v>4.9117640802576266E-4</c:v>
                </c:pt>
                <c:pt idx="6">
                  <c:v>8.6635170446754065E-3</c:v>
                </c:pt>
                <c:pt idx="7">
                  <c:v>5.4331597927515303E-2</c:v>
                </c:pt>
                <c:pt idx="8">
                  <c:v>0.15281809298363572</c:v>
                </c:pt>
                <c:pt idx="9">
                  <c:v>0.24548285319545804</c:v>
                </c:pt>
                <c:pt idx="10">
                  <c:v>0.28756443180563218</c:v>
                </c:pt>
                <c:pt idx="11">
                  <c:v>0.29761983540617443</c:v>
                </c:pt>
                <c:pt idx="12">
                  <c:v>0.29898313191089132</c:v>
                </c:pt>
                <c:pt idx="13">
                  <c:v>0.29909520753459068</c:v>
                </c:pt>
                <c:pt idx="14">
                  <c:v>0.29910113123062104</c:v>
                </c:pt>
                <c:pt idx="15">
                  <c:v>0.29910134317755116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04-8E41-AA5B-69682AB7A296}"/>
            </c:ext>
          </c:extLst>
        </c:ser>
        <c:ser>
          <c:idx val="3"/>
          <c:order val="3"/>
          <c:tx>
            <c:strRef>
              <c:f>'PART 1'!$DV$5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1'!$DV$42:$DV$57</c:f>
              <c:numCache>
                <c:formatCode>0.0E+00</c:formatCode>
                <c:ptCount val="16"/>
                <c:pt idx="0">
                  <c:v>1.7146657173941722E-16</c:v>
                </c:pt>
                <c:pt idx="1">
                  <c:v>2.3996762916801391E-12</c:v>
                </c:pt>
                <c:pt idx="2">
                  <c:v>4.0794980511215184E-9</c:v>
                </c:pt>
                <c:pt idx="3">
                  <c:v>1.2492523960331803E-6</c:v>
                </c:pt>
                <c:pt idx="4">
                  <c:v>9.387406712177922E-5</c:v>
                </c:pt>
                <c:pt idx="5">
                  <c:v>2.2206863454671427E-3</c:v>
                </c:pt>
                <c:pt idx="6">
                  <c:v>2.0358699772475959E-2</c:v>
                </c:pt>
                <c:pt idx="7">
                  <c:v>8.6801463209930207E-2</c:v>
                </c:pt>
                <c:pt idx="8">
                  <c:v>0.20422688060793115</c:v>
                </c:pt>
                <c:pt idx="9">
                  <c:v>0.31435240865969416</c:v>
                </c:pt>
                <c:pt idx="10">
                  <c:v>0.37372216345157355</c:v>
                </c:pt>
                <c:pt idx="11">
                  <c:v>0.39342380536091404</c:v>
                </c:pt>
                <c:pt idx="12">
                  <c:v>0.39769324894937874</c:v>
                </c:pt>
                <c:pt idx="13">
                  <c:v>0.39832927362661075</c:v>
                </c:pt>
                <c:pt idx="14">
                  <c:v>0.39839738796252955</c:v>
                </c:pt>
                <c:pt idx="15">
                  <c:v>0.3984028407573641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04-8E41-AA5B-69682AB7A296}"/>
            </c:ext>
          </c:extLst>
        </c:ser>
        <c:ser>
          <c:idx val="4"/>
          <c:order val="4"/>
          <c:tx>
            <c:strRef>
              <c:f>'PART 1'!$DW$5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1'!$DW$42:$DW$57</c:f>
              <c:numCache>
                <c:formatCode>0.0E+00</c:formatCode>
                <c:ptCount val="16"/>
                <c:pt idx="0">
                  <c:v>1.6258128709111354E-13</c:v>
                </c:pt>
                <c:pt idx="1">
                  <c:v>3.4533346751725232E-10</c:v>
                </c:pt>
                <c:pt idx="2">
                  <c:v>1.3625021969122364E-7</c:v>
                </c:pt>
                <c:pt idx="3">
                  <c:v>1.3693783854780401E-5</c:v>
                </c:pt>
                <c:pt idx="4">
                  <c:v>4.4930628022144242E-4</c:v>
                </c:pt>
                <c:pt idx="5">
                  <c:v>5.8793072579454864E-3</c:v>
                </c:pt>
                <c:pt idx="6">
                  <c:v>3.6258596069978881E-2</c:v>
                </c:pt>
                <c:pt idx="7">
                  <c:v>0.12193085930105975</c:v>
                </c:pt>
                <c:pt idx="8">
                  <c:v>0.25576885410967215</c:v>
                </c:pt>
                <c:pt idx="9">
                  <c:v>0.38103111573428783</c:v>
                </c:pt>
                <c:pt idx="10">
                  <c:v>0.45606650497595846</c:v>
                </c:pt>
                <c:pt idx="11">
                  <c:v>0.48650344681152441</c:v>
                </c:pt>
                <c:pt idx="12">
                  <c:v>0.49527868282183346</c:v>
                </c:pt>
                <c:pt idx="13">
                  <c:v>0.49715365396356187</c:v>
                </c:pt>
                <c:pt idx="14">
                  <c:v>0.49746149929550426</c:v>
                </c:pt>
                <c:pt idx="15">
                  <c:v>0.49750157959169578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04-8E41-AA5B-69682AB7A296}"/>
            </c:ext>
          </c:extLst>
        </c:ser>
        <c:ser>
          <c:idx val="5"/>
          <c:order val="5"/>
          <c:tx>
            <c:strRef>
              <c:f>'PART 1'!$DX$5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1'!$DX$42:$DX$57</c:f>
              <c:numCache>
                <c:formatCode>0.0E+00</c:formatCode>
                <c:ptCount val="16"/>
                <c:pt idx="0">
                  <c:v>1.6481813086334279E-11</c:v>
                </c:pt>
                <c:pt idx="1">
                  <c:v>9.9575989539410699E-9</c:v>
                </c:pt>
                <c:pt idx="2">
                  <c:v>1.4829729609667339E-6</c:v>
                </c:pt>
                <c:pt idx="3">
                  <c:v>7.0864177060534547E-5</c:v>
                </c:pt>
                <c:pt idx="4">
                  <c:v>1.3367272087027218E-3</c:v>
                </c:pt>
                <c:pt idx="5">
                  <c:v>1.1766528591399655E-2</c:v>
                </c:pt>
                <c:pt idx="6">
                  <c:v>5.5569135148285986E-2</c:v>
                </c:pt>
                <c:pt idx="7">
                  <c:v>0.15893745368596146</c:v>
                </c:pt>
                <c:pt idx="8">
                  <c:v>0.30741820985414314</c:v>
                </c:pt>
                <c:pt idx="9">
                  <c:v>0.4461911627338217</c:v>
                </c:pt>
                <c:pt idx="10">
                  <c:v>0.53546438342331992</c:v>
                </c:pt>
                <c:pt idx="11">
                  <c:v>0.5769314379272884</c:v>
                </c:pt>
                <c:pt idx="12">
                  <c:v>0.59142047882605842</c:v>
                </c:pt>
                <c:pt idx="13">
                  <c:v>0.59536529236320235</c:v>
                </c:pt>
                <c:pt idx="14">
                  <c:v>0.59622800656168429</c:v>
                </c:pt>
                <c:pt idx="15">
                  <c:v>0.59638360220830644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04-8E41-AA5B-69682AB7A296}"/>
            </c:ext>
          </c:extLst>
        </c:ser>
        <c:ser>
          <c:idx val="6"/>
          <c:order val="6"/>
          <c:tx>
            <c:strRef>
              <c:f>'PART 1'!$DY$5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1'!$DY$42:$DY$57</c:f>
              <c:numCache>
                <c:formatCode>0.0E+00</c:formatCode>
                <c:ptCount val="16"/>
                <c:pt idx="0">
                  <c:v>4.6233752509654254E-10</c:v>
                </c:pt>
                <c:pt idx="1">
                  <c:v>1.1375608625566583E-7</c:v>
                </c:pt>
                <c:pt idx="2">
                  <c:v>8.4440564273303502E-6</c:v>
                </c:pt>
                <c:pt idx="3">
                  <c:v>2.3711237792182926E-4</c:v>
                </c:pt>
                <c:pt idx="4">
                  <c:v>3.0094142404680354E-3</c:v>
                </c:pt>
                <c:pt idx="5">
                  <c:v>1.9932210842367931E-2</c:v>
                </c:pt>
                <c:pt idx="6">
                  <c:v>7.7653949825830557E-2</c:v>
                </c:pt>
                <c:pt idx="7">
                  <c:v>0.19735680124144059</c:v>
                </c:pt>
                <c:pt idx="8">
                  <c:v>0.35915594909590859</c:v>
                </c:pt>
                <c:pt idx="9">
                  <c:v>0.51022305279995162</c:v>
                </c:pt>
                <c:pt idx="10">
                  <c:v>0.61253729163278892</c:v>
                </c:pt>
                <c:pt idx="11">
                  <c:v>0.66493513401483262</c:v>
                </c:pt>
                <c:pt idx="12">
                  <c:v>0.68595842929360373</c:v>
                </c:pt>
                <c:pt idx="13">
                  <c:v>0.69277091810376734</c:v>
                </c:pt>
                <c:pt idx="14">
                  <c:v>0.69460114005190687</c:v>
                </c:pt>
                <c:pt idx="15">
                  <c:v>0.69501813372831622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04-8E41-AA5B-69682AB7A296}"/>
            </c:ext>
          </c:extLst>
        </c:ser>
        <c:ser>
          <c:idx val="7"/>
          <c:order val="7"/>
          <c:tx>
            <c:strRef>
              <c:f>'PART 1'!$DZ$5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1'!$DZ$42:$DZ$57</c:f>
              <c:numCache>
                <c:formatCode>0.0E+00</c:formatCode>
                <c:ptCount val="16"/>
                <c:pt idx="0">
                  <c:v>5.7838836856354677E-9</c:v>
                </c:pt>
                <c:pt idx="1">
                  <c:v>7.2532656593866114E-7</c:v>
                </c:pt>
                <c:pt idx="2">
                  <c:v>3.1927561083099139E-5</c:v>
                </c:pt>
                <c:pt idx="3">
                  <c:v>6.0144636736595401E-4</c:v>
                </c:pt>
                <c:pt idx="4">
                  <c:v>5.6671524536186417E-3</c:v>
                </c:pt>
                <c:pt idx="5">
                  <c:v>3.0294875417979789E-2</c:v>
                </c:pt>
                <c:pt idx="6">
                  <c:v>0.10202507574836325</c:v>
                </c:pt>
                <c:pt idx="7">
                  <c:v>0.23688743774384435</c:v>
                </c:pt>
                <c:pt idx="8">
                  <c:v>0.41096731210161047</c:v>
                </c:pt>
                <c:pt idx="9">
                  <c:v>0.57337518442883217</c:v>
                </c:pt>
                <c:pt idx="10">
                  <c:v>0.68773188516542405</c:v>
                </c:pt>
                <c:pt idx="11">
                  <c:v>0.75077492898362264</c:v>
                </c:pt>
                <c:pt idx="12">
                  <c:v>0.77884877360331073</c:v>
                </c:pt>
                <c:pt idx="13">
                  <c:v>0.78922100210084167</c:v>
                </c:pt>
                <c:pt idx="14">
                  <c:v>0.7924743967938036</c:v>
                </c:pt>
                <c:pt idx="15">
                  <c:v>0.79335812906789949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04-8E41-AA5B-69682AB7A296}"/>
            </c:ext>
          </c:extLst>
        </c:ser>
        <c:ser>
          <c:idx val="8"/>
          <c:order val="8"/>
          <c:tx>
            <c:strRef>
              <c:f>'PART 1'!$EA$5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1'!$EA$42:$EA$57</c:f>
              <c:numCache>
                <c:formatCode>0.0E+00</c:formatCode>
                <c:ptCount val="16"/>
                <c:pt idx="0">
                  <c:v>4.2109995631038731E-8</c:v>
                </c:pt>
                <c:pt idx="1">
                  <c:v>3.1257694746679378E-6</c:v>
                </c:pt>
                <c:pt idx="2">
                  <c:v>9.1613031212593103E-5</c:v>
                </c:pt>
                <c:pt idx="3">
                  <c:v>1.2646643565367435E-3</c:v>
                </c:pt>
                <c:pt idx="4">
                  <c:v>9.4469788357844919E-3</c:v>
                </c:pt>
                <c:pt idx="5">
                  <c:v>4.2714832976975065E-2</c:v>
                </c:pt>
                <c:pt idx="6">
                  <c:v>0.12830859013377557</c:v>
                </c:pt>
                <c:pt idx="7">
                  <c:v>0.2773207335829711</c:v>
                </c:pt>
                <c:pt idx="8">
                  <c:v>0.46284039504608737</c:v>
                </c:pt>
                <c:pt idx="9">
                  <c:v>0.63581611101087554</c:v>
                </c:pt>
                <c:pt idx="10">
                  <c:v>0.76137581768653784</c:v>
                </c:pt>
                <c:pt idx="11">
                  <c:v>0.83469784716418216</c:v>
                </c:pt>
                <c:pt idx="12">
                  <c:v>0.87011875244291348</c:v>
                </c:pt>
                <c:pt idx="13">
                  <c:v>0.88461614166740554</c:v>
                </c:pt>
                <c:pt idx="14">
                  <c:v>0.88974743056024763</c:v>
                </c:pt>
                <c:pt idx="15">
                  <c:v>0.89134605998743832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04-8E41-AA5B-69682AB7A296}"/>
            </c:ext>
          </c:extLst>
        </c:ser>
        <c:ser>
          <c:idx val="9"/>
          <c:order val="9"/>
          <c:tx>
            <c:strRef>
              <c:f>'PART 1'!$EB$5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1'!$EB$42:$EB$57</c:f>
              <c:numCache>
                <c:formatCode>0.0E+00</c:formatCode>
                <c:ptCount val="16"/>
                <c:pt idx="0">
                  <c:v>2.0944883154902559E-7</c:v>
                </c:pt>
                <c:pt idx="1">
                  <c:v>1.0218383303882987E-5</c:v>
                </c:pt>
                <c:pt idx="2">
                  <c:v>2.1625953663559442E-4</c:v>
                </c:pt>
                <c:pt idx="3">
                  <c:v>2.3272427909089093E-3</c:v>
                </c:pt>
                <c:pt idx="4">
                  <c:v>1.4430579922614033E-2</c:v>
                </c:pt>
                <c:pt idx="5">
                  <c:v>5.7033185664748597E-2</c:v>
                </c:pt>
                <c:pt idx="6">
                  <c:v>0.15621450219614411</c:v>
                </c:pt>
                <c:pt idx="7">
                  <c:v>0.31850518608360617</c:v>
                </c:pt>
                <c:pt idx="8">
                  <c:v>0.51476532828002164</c:v>
                </c:pt>
                <c:pt idx="9">
                  <c:v>0.69766586400827935</c:v>
                </c:pt>
                <c:pt idx="10">
                  <c:v>0.83371514981554562</c:v>
                </c:pt>
                <c:pt idx="11">
                  <c:v>0.91692301259484654</c:v>
                </c:pt>
                <c:pt idx="12">
                  <c:v>0.95983419426964212</c:v>
                </c:pt>
                <c:pt idx="13">
                  <c:v>0.97890054170176688</c:v>
                </c:pt>
                <c:pt idx="14">
                  <c:v>0.98633554504316656</c:v>
                </c:pt>
                <c:pt idx="15">
                  <c:v>0.9889209507546447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04-8E41-AA5B-69682AB7A296}"/>
            </c:ext>
          </c:extLst>
        </c:ser>
        <c:ser>
          <c:idx val="10"/>
          <c:order val="10"/>
          <c:tx>
            <c:strRef>
              <c:f>'PART 1'!$EC$5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1'!$EC$42:$EC$57</c:f>
              <c:numCache>
                <c:formatCode>0.0E+00</c:formatCode>
                <c:ptCount val="16"/>
                <c:pt idx="0">
                  <c:v>3.9017006065321993E-4</c:v>
                </c:pt>
                <c:pt idx="1">
                  <c:v>2.8682719393543542E-3</c:v>
                </c:pt>
                <c:pt idx="2">
                  <c:v>1.3949867109230144E-2</c:v>
                </c:pt>
                <c:pt idx="3">
                  <c:v>4.8605196983075763E-2</c:v>
                </c:pt>
                <c:pt idx="4">
                  <c:v>0.12916231918414769</c:v>
                </c:pt>
                <c:pt idx="5">
                  <c:v>0.27526263359416991</c:v>
                </c:pt>
                <c:pt idx="6">
                  <c:v>0.49021713340295131</c:v>
                </c:pt>
                <c:pt idx="7">
                  <c:v>0.7550431564617397</c:v>
                </c:pt>
                <c:pt idx="8">
                  <c:v>1.0354544111550688</c:v>
                </c:pt>
                <c:pt idx="9">
                  <c:v>1.296192395779916</c:v>
                </c:pt>
                <c:pt idx="10">
                  <c:v>1.5129562033151718</c:v>
                </c:pt>
                <c:pt idx="11">
                  <c:v>1.6765216924491808</c:v>
                </c:pt>
                <c:pt idx="12">
                  <c:v>1.7899842881670318</c:v>
                </c:pt>
                <c:pt idx="13">
                  <c:v>1.8631273632495482</c:v>
                </c:pt>
                <c:pt idx="14">
                  <c:v>1.9073528277688421</c:v>
                </c:pt>
                <c:pt idx="15">
                  <c:v>1.9326342865983208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04-8E41-AA5B-69682AB7A296}"/>
            </c:ext>
          </c:extLst>
        </c:ser>
        <c:ser>
          <c:idx val="11"/>
          <c:order val="11"/>
          <c:tx>
            <c:strRef>
              <c:f>'PART 1'!$ED$5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1'!$ED$42:$ED$57</c:f>
              <c:numCache>
                <c:formatCode>0.0E+00</c:formatCode>
                <c:ptCount val="16"/>
                <c:pt idx="0">
                  <c:v>6.1154603756096351E-3</c:v>
                </c:pt>
                <c:pt idx="1">
                  <c:v>2.3831658067032861E-2</c:v>
                </c:pt>
                <c:pt idx="2">
                  <c:v>7.0649659059548314E-2</c:v>
                </c:pt>
                <c:pt idx="3">
                  <c:v>0.16800016425945097</c:v>
                </c:pt>
                <c:pt idx="4">
                  <c:v>0.33403665227840929</c:v>
                </c:pt>
                <c:pt idx="5">
                  <c:v>0.57408661084024171</c:v>
                </c:pt>
                <c:pt idx="6">
                  <c:v>0.87613987301824248</c:v>
                </c:pt>
                <c:pt idx="7">
                  <c:v>1.2140668920003028</c:v>
                </c:pt>
                <c:pt idx="8">
                  <c:v>1.5561276866903309</c:v>
                </c:pt>
                <c:pt idx="9">
                  <c:v>1.8739472983683121</c:v>
                </c:pt>
                <c:pt idx="10">
                  <c:v>2.1482672152563937</c:v>
                </c:pt>
                <c:pt idx="11">
                  <c:v>2.3704399931886559</c:v>
                </c:pt>
                <c:pt idx="12">
                  <c:v>2.5407168875355404</c:v>
                </c:pt>
                <c:pt idx="13">
                  <c:v>2.6651023114110521</c:v>
                </c:pt>
                <c:pt idx="14">
                  <c:v>2.7522371935526651</c:v>
                </c:pt>
                <c:pt idx="15">
                  <c:v>2.8110815254143624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204-8E41-AA5B-69682AB7A296}"/>
            </c:ext>
          </c:extLst>
        </c:ser>
        <c:ser>
          <c:idx val="12"/>
          <c:order val="12"/>
          <c:tx>
            <c:strRef>
              <c:f>'PART 1'!$EE$5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1'!$EE$42:$EE$57</c:f>
              <c:numCache>
                <c:formatCode>0.0E+00</c:formatCode>
                <c:ptCount val="16"/>
                <c:pt idx="0">
                  <c:v>2.7137815674117115E-2</c:v>
                </c:pt>
                <c:pt idx="1">
                  <c:v>7.6832332776932757E-2</c:v>
                </c:pt>
                <c:pt idx="2">
                  <c:v>0.17736667658110342</c:v>
                </c:pt>
                <c:pt idx="3">
                  <c:v>0.34734979174896125</c:v>
                </c:pt>
                <c:pt idx="4">
                  <c:v>0.5952355943117198</c:v>
                </c:pt>
                <c:pt idx="5">
                  <c:v>0.91485721832214872</c:v>
                </c:pt>
                <c:pt idx="6">
                  <c:v>1.2865415020805311</c:v>
                </c:pt>
                <c:pt idx="7">
                  <c:v>1.6826600318585683</c:v>
                </c:pt>
                <c:pt idx="8">
                  <c:v>2.0746435400648329</c:v>
                </c:pt>
                <c:pt idx="9">
                  <c:v>2.4387078999118197</c:v>
                </c:pt>
                <c:pt idx="10">
                  <c:v>2.7589205627569036</c:v>
                </c:pt>
                <c:pt idx="11">
                  <c:v>3.0276382235568668</c:v>
                </c:pt>
                <c:pt idx="12">
                  <c:v>3.2441523843363722</c:v>
                </c:pt>
                <c:pt idx="13">
                  <c:v>3.4125464232347826</c:v>
                </c:pt>
                <c:pt idx="14">
                  <c:v>3.5395433389541919</c:v>
                </c:pt>
                <c:pt idx="15">
                  <c:v>3.6327782720310542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204-8E41-AA5B-69682AB7A296}"/>
            </c:ext>
          </c:extLst>
        </c:ser>
        <c:ser>
          <c:idx val="13"/>
          <c:order val="13"/>
          <c:tx>
            <c:strRef>
              <c:f>'PART 1'!$EF$5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1'!$EF$42:$EF$57</c:f>
              <c:numCache>
                <c:formatCode>0.0E+00</c:formatCode>
                <c:ptCount val="16"/>
                <c:pt idx="0">
                  <c:v>7.0877394865647217E-2</c:v>
                </c:pt>
                <c:pt idx="1">
                  <c:v>0.16543665197834301</c:v>
                </c:pt>
                <c:pt idx="2">
                  <c:v>0.3281644793147272</c:v>
                </c:pt>
                <c:pt idx="3">
                  <c:v>0.57096303141784466</c:v>
                </c:pt>
                <c:pt idx="4">
                  <c:v>0.89308606477141772</c:v>
                </c:pt>
                <c:pt idx="5">
                  <c:v>1.2807174822131724</c:v>
                </c:pt>
                <c:pt idx="6">
                  <c:v>1.7105684720072716</c:v>
                </c:pt>
                <c:pt idx="7">
                  <c:v>2.1554734091941636</c:v>
                </c:pt>
                <c:pt idx="8">
                  <c:v>2.5897713521361756</c:v>
                </c:pt>
                <c:pt idx="9">
                  <c:v>2.9930428387344614</c:v>
                </c:pt>
                <c:pt idx="10">
                  <c:v>3.3517828422688227</c:v>
                </c:pt>
                <c:pt idx="11">
                  <c:v>3.6593296824907293</c:v>
                </c:pt>
                <c:pt idx="12">
                  <c:v>3.914693905162963</c:v>
                </c:pt>
                <c:pt idx="13">
                  <c:v>4.1209288129593835</c:v>
                </c:pt>
                <c:pt idx="14">
                  <c:v>4.2835141810001804</c:v>
                </c:pt>
                <c:pt idx="15">
                  <c:v>4.4090180057059323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204-8E41-AA5B-69682AB7A296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Rho,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1'!$ER$5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1'!$ER$6:$ER$21</c:f>
              <c:numCache>
                <c:formatCode>0.0E+00</c:formatCode>
                <c:ptCount val="16"/>
                <c:pt idx="0">
                  <c:v>1.1978455126011946E-14</c:v>
                </c:pt>
                <c:pt idx="1">
                  <c:v>6.7901719449035625E-11</c:v>
                </c:pt>
                <c:pt idx="2">
                  <c:v>5.0307964387113702E-8</c:v>
                </c:pt>
                <c:pt idx="3">
                  <c:v>7.1734825242659918E-6</c:v>
                </c:pt>
                <c:pt idx="4">
                  <c:v>2.6721611152030495E-4</c:v>
                </c:pt>
                <c:pt idx="5">
                  <c:v>3.3381873562878424E-3</c:v>
                </c:pt>
                <c:pt idx="6">
                  <c:v>1.7332996429586422E-2</c:v>
                </c:pt>
                <c:pt idx="7">
                  <c:v>4.5586323083401013E-2</c:v>
                </c:pt>
                <c:pt idx="8">
                  <c:v>7.3820897724972731E-2</c:v>
                </c:pt>
                <c:pt idx="9">
                  <c:v>8.9133954565264906E-2</c:v>
                </c:pt>
                <c:pt idx="10">
                  <c:v>9.4007364748908098E-2</c:v>
                </c:pt>
                <c:pt idx="11">
                  <c:v>9.4980739591901522E-2</c:v>
                </c:pt>
                <c:pt idx="12">
                  <c:v>9.5110060909077476E-2</c:v>
                </c:pt>
                <c:pt idx="13">
                  <c:v>9.5122081705276973E-2</c:v>
                </c:pt>
                <c:pt idx="14">
                  <c:v>9.5122898530148672E-2</c:v>
                </c:pt>
                <c:pt idx="15">
                  <c:v>9.512294068442799E-2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E743-8BB0-67F2EBC808C9}"/>
            </c:ext>
          </c:extLst>
        </c:ser>
        <c:ser>
          <c:idx val="1"/>
          <c:order val="1"/>
          <c:tx>
            <c:strRef>
              <c:f>'PART 1'!$ES$5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1'!$ES$6:$ES$21</c:f>
              <c:numCache>
                <c:formatCode>0.0E+00</c:formatCode>
                <c:ptCount val="16"/>
                <c:pt idx="0">
                  <c:v>3.1848604929837223E-7</c:v>
                </c:pt>
                <c:pt idx="1">
                  <c:v>1.6454087689215239E-5</c:v>
                </c:pt>
                <c:pt idx="2">
                  <c:v>3.2242397965908943E-4</c:v>
                </c:pt>
                <c:pt idx="3">
                  <c:v>2.9051995127500566E-3</c:v>
                </c:pt>
                <c:pt idx="4">
                  <c:v>1.4040280344385351E-2</c:v>
                </c:pt>
                <c:pt idx="5">
                  <c:v>4.1356084913865485E-2</c:v>
                </c:pt>
                <c:pt idx="6">
                  <c:v>8.2941973067513969E-2</c:v>
                </c:pt>
                <c:pt idx="7">
                  <c:v>0.125121782817051</c:v>
                </c:pt>
                <c:pt idx="8">
                  <c:v>0.15534874300955284</c:v>
                </c:pt>
                <c:pt idx="9">
                  <c:v>0.17142238959478581</c:v>
                </c:pt>
                <c:pt idx="10">
                  <c:v>0.17803194414401605</c:v>
                </c:pt>
                <c:pt idx="11">
                  <c:v>0.18020819117345763</c:v>
                </c:pt>
                <c:pt idx="12">
                  <c:v>0.18079918857539165</c:v>
                </c:pt>
                <c:pt idx="13">
                  <c:v>0.18093495167214013</c:v>
                </c:pt>
                <c:pt idx="14">
                  <c:v>0.18096191070300388</c:v>
                </c:pt>
                <c:pt idx="15">
                  <c:v>0.18096662533463384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24-E743-8BB0-67F2EBC808C9}"/>
            </c:ext>
          </c:extLst>
        </c:ser>
        <c:ser>
          <c:idx val="2"/>
          <c:order val="2"/>
          <c:tx>
            <c:strRef>
              <c:f>'PART 1'!$ET$5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1'!$ET$6:$ET$21</c:f>
              <c:numCache>
                <c:formatCode>0.0E+00</c:formatCode>
                <c:ptCount val="16"/>
                <c:pt idx="0">
                  <c:v>1.0484446608555424E-4</c:v>
                </c:pt>
                <c:pt idx="1">
                  <c:v>1.1420440481482257E-3</c:v>
                </c:pt>
                <c:pt idx="2">
                  <c:v>6.739858955875414E-3</c:v>
                </c:pt>
                <c:pt idx="3">
                  <c:v>2.448426387114325E-2</c:v>
                </c:pt>
                <c:pt idx="4">
                  <c:v>6.0679958333717976E-2</c:v>
                </c:pt>
                <c:pt idx="5">
                  <c:v>0.11177423528071521</c:v>
                </c:pt>
                <c:pt idx="6">
                  <c:v>0.16470182042511039</c:v>
                </c:pt>
                <c:pt idx="7">
                  <c:v>0.20690693902623597</c:v>
                </c:pt>
                <c:pt idx="8">
                  <c:v>0.23385437642995982</c:v>
                </c:pt>
                <c:pt idx="9">
                  <c:v>0.24808782531365486</c:v>
                </c:pt>
                <c:pt idx="10">
                  <c:v>0.25447880993943089</c:v>
                </c:pt>
                <c:pt idx="11">
                  <c:v>0.2569746523176033</c:v>
                </c:pt>
                <c:pt idx="12">
                  <c:v>0.25783890129636278</c:v>
                </c:pt>
                <c:pt idx="13">
                  <c:v>0.2581086412904614</c:v>
                </c:pt>
                <c:pt idx="14">
                  <c:v>0.25818559017921422</c:v>
                </c:pt>
                <c:pt idx="15">
                  <c:v>0.25820589535925215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24-E743-8BB0-67F2EBC808C9}"/>
            </c:ext>
          </c:extLst>
        </c:ser>
        <c:ser>
          <c:idx val="3"/>
          <c:order val="3"/>
          <c:tx>
            <c:strRef>
              <c:f>'PART 1'!$EU$5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1'!$EU$6:$EU$21</c:f>
              <c:numCache>
                <c:formatCode>0.0E+00</c:formatCode>
                <c:ptCount val="16"/>
                <c:pt idx="0">
                  <c:v>1.9187058235036678E-3</c:v>
                </c:pt>
                <c:pt idx="1">
                  <c:v>9.6708856329462828E-3</c:v>
                </c:pt>
                <c:pt idx="2">
                  <c:v>3.1596607535649059E-2</c:v>
                </c:pt>
                <c:pt idx="3">
                  <c:v>7.3585802158783076E-2</c:v>
                </c:pt>
                <c:pt idx="4">
                  <c:v>0.13190056964589897</c:v>
                </c:pt>
                <c:pt idx="5">
                  <c:v>0.19392319899795707</c:v>
                </c:pt>
                <c:pt idx="6">
                  <c:v>0.24670347740372617</c:v>
                </c:pt>
                <c:pt idx="7">
                  <c:v>0.28394024568279508</c:v>
                </c:pt>
                <c:pt idx="8">
                  <c:v>0.30636228425074213</c:v>
                </c:pt>
                <c:pt idx="9">
                  <c:v>0.31816522988472923</c:v>
                </c:pt>
                <c:pt idx="10">
                  <c:v>0.32370590131543225</c:v>
                </c:pt>
                <c:pt idx="11">
                  <c:v>0.32606429907791301</c:v>
                </c:pt>
                <c:pt idx="12">
                  <c:v>0.32698736205623036</c:v>
                </c:pt>
                <c:pt idx="13">
                  <c:v>0.32732352094061645</c:v>
                </c:pt>
                <c:pt idx="14">
                  <c:v>0.32743858134157672</c:v>
                </c:pt>
                <c:pt idx="15">
                  <c:v>0.32747591557934391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24-E743-8BB0-67F2EBC808C9}"/>
            </c:ext>
          </c:extLst>
        </c:ser>
        <c:ser>
          <c:idx val="4"/>
          <c:order val="4"/>
          <c:tx>
            <c:strRef>
              <c:f>'PART 1'!$EV$5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1'!$EV$6:$EV$21</c:f>
              <c:numCache>
                <c:formatCode>0.0E+00</c:formatCode>
                <c:ptCount val="16"/>
                <c:pt idx="0">
                  <c:v>1.0803747038862123E-2</c:v>
                </c:pt>
                <c:pt idx="1">
                  <c:v>3.4525107047347528E-2</c:v>
                </c:pt>
                <c:pt idx="2">
                  <c:v>7.9702911562488973E-2</c:v>
                </c:pt>
                <c:pt idx="3">
                  <c:v>0.14329815665186268</c:v>
                </c:pt>
                <c:pt idx="4">
                  <c:v>0.21317288702624265</c:v>
                </c:pt>
                <c:pt idx="5">
                  <c:v>0.27573860548639334</c:v>
                </c:pt>
                <c:pt idx="6">
                  <c:v>0.32299317820414969</c:v>
                </c:pt>
                <c:pt idx="7">
                  <c:v>0.35394809748956463</c:v>
                </c:pt>
                <c:pt idx="8">
                  <c:v>0.37193850553937269</c:v>
                </c:pt>
                <c:pt idx="9">
                  <c:v>0.38138923929364621</c:v>
                </c:pt>
                <c:pt idx="10">
                  <c:v>0.38594641353654874</c:v>
                </c:pt>
                <c:pt idx="11">
                  <c:v>0.38798959658905419</c:v>
                </c:pt>
                <c:pt idx="12">
                  <c:v>0.38885054185575851</c:v>
                </c:pt>
                <c:pt idx="13">
                  <c:v>0.38919460880561441</c:v>
                </c:pt>
                <c:pt idx="14">
                  <c:v>0.38932602595286564</c:v>
                </c:pt>
                <c:pt idx="15">
                  <c:v>0.38937431520873789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24-E743-8BB0-67F2EBC808C9}"/>
            </c:ext>
          </c:extLst>
        </c:ser>
        <c:ser>
          <c:idx val="5"/>
          <c:order val="5"/>
          <c:tx>
            <c:strRef>
              <c:f>'PART 1'!$EW$5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1'!$EW$6:$EW$21</c:f>
              <c:numCache>
                <c:formatCode>0.0E+00</c:formatCode>
                <c:ptCount val="16"/>
                <c:pt idx="0">
                  <c:v>3.3412279260192877E-2</c:v>
                </c:pt>
                <c:pt idx="1">
                  <c:v>7.927630821777526E-2</c:v>
                </c:pt>
                <c:pt idx="2">
                  <c:v>0.14613805643223621</c:v>
                </c:pt>
                <c:pt idx="3">
                  <c:v>0.22260937722424054</c:v>
                </c:pt>
                <c:pt idx="4">
                  <c:v>0.29436979948700587</c:v>
                </c:pt>
                <c:pt idx="5">
                  <c:v>0.35160266324925205</c:v>
                </c:pt>
                <c:pt idx="6">
                  <c:v>0.39150207161241818</c:v>
                </c:pt>
                <c:pt idx="7">
                  <c:v>0.4163705194011475</c:v>
                </c:pt>
                <c:pt idx="8">
                  <c:v>0.43048444488369747</c:v>
                </c:pt>
                <c:pt idx="9">
                  <c:v>0.43788861943975504</c:v>
                </c:pt>
                <c:pt idx="10">
                  <c:v>0.44152364931757704</c:v>
                </c:pt>
                <c:pt idx="11">
                  <c:v>0.44321100070038499</c:v>
                </c:pt>
                <c:pt idx="12">
                  <c:v>0.44395796806613591</c:v>
                </c:pt>
                <c:pt idx="13">
                  <c:v>0.44427560828282636</c:v>
                </c:pt>
                <c:pt idx="14">
                  <c:v>0.4444061537134591</c:v>
                </c:pt>
                <c:pt idx="15">
                  <c:v>0.44445827751046091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24-E743-8BB0-67F2EBC808C9}"/>
            </c:ext>
          </c:extLst>
        </c:ser>
        <c:ser>
          <c:idx val="6"/>
          <c:order val="6"/>
          <c:tx>
            <c:strRef>
              <c:f>'PART 1'!$EX$5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1'!$EX$6:$EX$21</c:f>
              <c:numCache>
                <c:formatCode>0.0E+00</c:formatCode>
                <c:ptCount val="16"/>
                <c:pt idx="0">
                  <c:v>7.3036097725576385E-2</c:v>
                </c:pt>
                <c:pt idx="1">
                  <c:v>0.14085590005682097</c:v>
                </c:pt>
                <c:pt idx="2">
                  <c:v>0.22238777467651019</c:v>
                </c:pt>
                <c:pt idx="3">
                  <c:v>0.30268527714951626</c:v>
                </c:pt>
                <c:pt idx="4">
                  <c:v>0.36995443307348952</c:v>
                </c:pt>
                <c:pt idx="5">
                  <c:v>0.4193255564920273</c:v>
                </c:pt>
                <c:pt idx="6">
                  <c:v>0.45182133399597907</c:v>
                </c:pt>
                <c:pt idx="7">
                  <c:v>0.47136543115938628</c:v>
                </c:pt>
                <c:pt idx="8">
                  <c:v>0.48227038654468907</c:v>
                </c:pt>
                <c:pt idx="9">
                  <c:v>0.48798551953896646</c:v>
                </c:pt>
                <c:pt idx="10">
                  <c:v>0.49082765205876316</c:v>
                </c:pt>
                <c:pt idx="11">
                  <c:v>0.49218016406626103</c:v>
                </c:pt>
                <c:pt idx="12">
                  <c:v>0.49280042112703065</c:v>
                </c:pt>
                <c:pt idx="13">
                  <c:v>0.49307616052949976</c:v>
                </c:pt>
                <c:pt idx="14">
                  <c:v>0.49319558240745154</c:v>
                </c:pt>
                <c:pt idx="15">
                  <c:v>0.49324618337463338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24-E743-8BB0-67F2EBC808C9}"/>
            </c:ext>
          </c:extLst>
        </c:ser>
        <c:ser>
          <c:idx val="7"/>
          <c:order val="7"/>
          <c:tx>
            <c:strRef>
              <c:f>'PART 1'!$EY$5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1'!$EY$6:$EY$21</c:f>
              <c:numCache>
                <c:formatCode>0.0E+00</c:formatCode>
                <c:ptCount val="16"/>
                <c:pt idx="0">
                  <c:v>0.12825605605912291</c:v>
                </c:pt>
                <c:pt idx="1">
                  <c:v>0.21281001640367159</c:v>
                </c:pt>
                <c:pt idx="2">
                  <c:v>0.30068034641021907</c:v>
                </c:pt>
                <c:pt idx="3">
                  <c:v>0.37798603444674744</c:v>
                </c:pt>
                <c:pt idx="4">
                  <c:v>0.43744061593255823</c:v>
                </c:pt>
                <c:pt idx="5">
                  <c:v>0.4784281306201103</c:v>
                </c:pt>
                <c:pt idx="6">
                  <c:v>0.50426350578197476</c:v>
                </c:pt>
                <c:pt idx="7">
                  <c:v>0.51939037924306031</c:v>
                </c:pt>
                <c:pt idx="8">
                  <c:v>0.52772336474262749</c:v>
                </c:pt>
                <c:pt idx="9">
                  <c:v>0.53208734524805079</c:v>
                </c:pt>
                <c:pt idx="10">
                  <c:v>0.53427862907912282</c:v>
                </c:pt>
                <c:pt idx="11">
                  <c:v>0.53534107749006543</c:v>
                </c:pt>
                <c:pt idx="12">
                  <c:v>0.53584140593815932</c:v>
                </c:pt>
                <c:pt idx="13">
                  <c:v>0.53607137510223912</c:v>
                </c:pt>
                <c:pt idx="14">
                  <c:v>0.53617497078850873</c:v>
                </c:pt>
                <c:pt idx="15">
                  <c:v>0.53622086783101131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24-E743-8BB0-67F2EBC808C9}"/>
            </c:ext>
          </c:extLst>
        </c:ser>
        <c:ser>
          <c:idx val="8"/>
          <c:order val="8"/>
          <c:tx>
            <c:strRef>
              <c:f>'PART 1'!$EZ$5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1'!$EZ$6:$EZ$21</c:f>
              <c:numCache>
                <c:formatCode>0.0E+00</c:formatCode>
                <c:ptCount val="16"/>
                <c:pt idx="0">
                  <c:v>0.19448707405349844</c:v>
                </c:pt>
                <c:pt idx="1">
                  <c:v>0.28840121015573256</c:v>
                </c:pt>
                <c:pt idx="2">
                  <c:v>0.37548898263779495</c:v>
                </c:pt>
                <c:pt idx="3">
                  <c:v>0.44564008582321968</c:v>
                </c:pt>
                <c:pt idx="4">
                  <c:v>0.4961075267410755</c:v>
                </c:pt>
                <c:pt idx="5">
                  <c:v>0.52924062496888069</c:v>
                </c:pt>
                <c:pt idx="6">
                  <c:v>0.54943225785901584</c:v>
                </c:pt>
                <c:pt idx="7">
                  <c:v>0.56100992837980068</c:v>
                </c:pt>
                <c:pt idx="8">
                  <c:v>0.5673244804788804</c:v>
                </c:pt>
                <c:pt idx="9">
                  <c:v>0.57062950995949147</c:v>
                </c:pt>
                <c:pt idx="10">
                  <c:v>0.57230160452159595</c:v>
                </c:pt>
                <c:pt idx="11">
                  <c:v>0.57312420207320625</c:v>
                </c:pt>
                <c:pt idx="12">
                  <c:v>0.57351966127947163</c:v>
                </c:pt>
                <c:pt idx="13">
                  <c:v>0.57370621088251617</c:v>
                </c:pt>
                <c:pt idx="14">
                  <c:v>0.57379286055298473</c:v>
                </c:pt>
                <c:pt idx="15">
                  <c:v>0.57383260574334916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4-E743-8BB0-67F2EBC808C9}"/>
            </c:ext>
          </c:extLst>
        </c:ser>
        <c:ser>
          <c:idx val="9"/>
          <c:order val="9"/>
          <c:tx>
            <c:strRef>
              <c:f>'PART 1'!$FA$5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1'!$FA$6:$FA$21</c:f>
              <c:numCache>
                <c:formatCode>0.0E+00</c:formatCode>
                <c:ptCount val="16"/>
                <c:pt idx="0">
                  <c:v>0.26611797068248194</c:v>
                </c:pt>
                <c:pt idx="1">
                  <c:v>0.36221522449395371</c:v>
                </c:pt>
                <c:pt idx="2">
                  <c:v>0.44353102919563842</c:v>
                </c:pt>
                <c:pt idx="3">
                  <c:v>0.50455594005924331</c:v>
                </c:pt>
                <c:pt idx="4">
                  <c:v>0.54616775271049767</c:v>
                </c:pt>
                <c:pt idx="5">
                  <c:v>0.5724373081498898</c:v>
                </c:pt>
                <c:pt idx="6">
                  <c:v>0.58801900182279165</c:v>
                </c:pt>
                <c:pt idx="7">
                  <c:v>0.59680485511079262</c:v>
                </c:pt>
                <c:pt idx="8">
                  <c:v>0.60155860284027007</c:v>
                </c:pt>
                <c:pt idx="9">
                  <c:v>0.60404556527487896</c:v>
                </c:pt>
                <c:pt idx="10">
                  <c:v>0.60531138949370067</c:v>
                </c:pt>
                <c:pt idx="11">
                  <c:v>0.60594141587359629</c:v>
                </c:pt>
                <c:pt idx="12">
                  <c:v>0.60624934624839077</c:v>
                </c:pt>
                <c:pt idx="13">
                  <c:v>0.6063976575633131</c:v>
                </c:pt>
                <c:pt idx="14">
                  <c:v>0.60646825582611663</c:v>
                </c:pt>
                <c:pt idx="15">
                  <c:v>0.60650155075320256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24-E743-8BB0-67F2EBC808C9}"/>
            </c:ext>
          </c:extLst>
        </c:ser>
        <c:ser>
          <c:idx val="10"/>
          <c:order val="10"/>
          <c:tx>
            <c:strRef>
              <c:f>'PART 1'!$FB$5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1'!$FB$6:$FB$21</c:f>
              <c:numCache>
                <c:formatCode>0.0E+00</c:formatCode>
                <c:ptCount val="16"/>
                <c:pt idx="0">
                  <c:v>0.69445697230484693</c:v>
                </c:pt>
                <c:pt idx="1">
                  <c:v>0.71319459954606679</c:v>
                </c:pt>
                <c:pt idx="2">
                  <c:v>0.7236488516174534</c:v>
                </c:pt>
                <c:pt idx="3">
                  <c:v>0.72933793139183167</c:v>
                </c:pt>
                <c:pt idx="4">
                  <c:v>0.73238080185884835</c:v>
                </c:pt>
                <c:pt idx="5">
                  <c:v>0.73398955405726907</c:v>
                </c:pt>
                <c:pt idx="6">
                  <c:v>0.73483389781890662</c:v>
                </c:pt>
                <c:pt idx="7">
                  <c:v>0.7352752512750852</c:v>
                </c:pt>
                <c:pt idx="8">
                  <c:v>0.73550559223534817</c:v>
                </c:pt>
                <c:pt idx="9">
                  <c:v>0.73562584737764081</c:v>
                </c:pt>
                <c:pt idx="10">
                  <c:v>0.73568874357558667</c:v>
                </c:pt>
                <c:pt idx="11">
                  <c:v>0.73572173703582899</c:v>
                </c:pt>
                <c:pt idx="12">
                  <c:v>0.73573911086376342</c:v>
                </c:pt>
                <c:pt idx="13">
                  <c:v>0.73574830097069277</c:v>
                </c:pt>
                <c:pt idx="14">
                  <c:v>0.73575318667206602</c:v>
                </c:pt>
                <c:pt idx="15">
                  <c:v>0.73575579813414582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24-E743-8BB0-67F2EBC808C9}"/>
            </c:ext>
          </c:extLst>
        </c:ser>
        <c:ser>
          <c:idx val="11"/>
          <c:order val="11"/>
          <c:tx>
            <c:strRef>
              <c:f>'PART 1'!$FC$5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1'!$FC$6:$FC$21</c:f>
              <c:numCache>
                <c:formatCode>0.0E+00</c:formatCode>
                <c:ptCount val="16"/>
                <c:pt idx="0">
                  <c:v>0.66694322676932216</c:v>
                </c:pt>
                <c:pt idx="1">
                  <c:v>0.66819373233148549</c:v>
                </c:pt>
                <c:pt idx="2">
                  <c:v>0.66879999179173855</c:v>
                </c:pt>
                <c:pt idx="3">
                  <c:v>0.66909608881342264</c:v>
                </c:pt>
                <c:pt idx="4">
                  <c:v>0.66924205162622485</c:v>
                </c:pt>
                <c:pt idx="5">
                  <c:v>0.66931476307237714</c:v>
                </c:pt>
                <c:pt idx="6">
                  <c:v>0.66935139206681138</c:v>
                </c:pt>
                <c:pt idx="7">
                  <c:v>0.66937005904525293</c:v>
                </c:pt>
                <c:pt idx="8">
                  <c:v>0.66937968437686879</c:v>
                </c:pt>
                <c:pt idx="9">
                  <c:v>0.66938470603630984</c:v>
                </c:pt>
                <c:pt idx="10">
                  <c:v>0.66938735648072989</c:v>
                </c:pt>
                <c:pt idx="11">
                  <c:v>0.66938877145269715</c:v>
                </c:pt>
                <c:pt idx="12">
                  <c:v>0.66938953534281831</c:v>
                </c:pt>
                <c:pt idx="13">
                  <c:v>0.66938995226032749</c:v>
                </c:pt>
                <c:pt idx="14">
                  <c:v>0.66939018223461655</c:v>
                </c:pt>
                <c:pt idx="15">
                  <c:v>0.66939031040492825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24-E743-8BB0-67F2EBC808C9}"/>
            </c:ext>
          </c:extLst>
        </c:ser>
        <c:ser>
          <c:idx val="12"/>
          <c:order val="12"/>
          <c:tx>
            <c:strRef>
              <c:f>'PART 1'!$FD$5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1'!$FD$6:$FD$21</c:f>
              <c:numCache>
                <c:formatCode>0.0E+00</c:formatCode>
                <c:ptCount val="16"/>
                <c:pt idx="0">
                  <c:v>0.54122561223627141</c:v>
                </c:pt>
                <c:pt idx="1">
                  <c:v>0.54128785517827505</c:v>
                </c:pt>
                <c:pt idx="2">
                  <c:v>0.5413159760163101</c:v>
                </c:pt>
                <c:pt idx="3">
                  <c:v>0.5413289847204622</c:v>
                </c:pt>
                <c:pt idx="4">
                  <c:v>0.54133514037054897</c:v>
                </c:pt>
                <c:pt idx="5">
                  <c:v>0.54133811669652387</c:v>
                </c:pt>
                <c:pt idx="6">
                  <c:v>0.5413395855569908</c:v>
                </c:pt>
                <c:pt idx="7">
                  <c:v>0.54134032467017135</c:v>
                </c:pt>
                <c:pt idx="8">
                  <c:v>0.54134070348529029</c:v>
                </c:pt>
                <c:pt idx="9">
                  <c:v>0.54134090104949439</c:v>
                </c:pt>
                <c:pt idx="10">
                  <c:v>0.54134100580027966</c:v>
                </c:pt>
                <c:pt idx="11">
                  <c:v>0.54134106221636469</c:v>
                </c:pt>
                <c:pt idx="12">
                  <c:v>0.54134109305521994</c:v>
                </c:pt>
                <c:pt idx="13">
                  <c:v>0.54134111015220632</c:v>
                </c:pt>
                <c:pt idx="14">
                  <c:v>0.54134111975870769</c:v>
                </c:pt>
                <c:pt idx="15">
                  <c:v>0.54134112522577216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24-E743-8BB0-67F2EBC808C9}"/>
            </c:ext>
          </c:extLst>
        </c:ser>
        <c:ser>
          <c:idx val="13"/>
          <c:order val="13"/>
          <c:tx>
            <c:strRef>
              <c:f>'PART 1'!$FE$5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1'!$B$6:$B$21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1'!$FE$6:$FE$21</c:f>
              <c:numCache>
                <c:formatCode>0.0E+00</c:formatCode>
                <c:ptCount val="16"/>
                <c:pt idx="0">
                  <c:v>0.41042007497961491</c:v>
                </c:pt>
                <c:pt idx="1">
                  <c:v>0.41042280524711861</c:v>
                </c:pt>
                <c:pt idx="2">
                  <c:v>0.41042398752758369</c:v>
                </c:pt>
                <c:pt idx="3">
                  <c:v>0.41042451689600373</c:v>
                </c:pt>
                <c:pt idx="4">
                  <c:v>0.41042476130684202</c:v>
                </c:pt>
                <c:pt idx="5">
                  <c:v>0.41042487738342209</c:v>
                </c:pt>
                <c:pt idx="6">
                  <c:v>0.41042493396636559</c:v>
                </c:pt>
                <c:pt idx="7">
                  <c:v>0.41042496222178254</c:v>
                </c:pt>
                <c:pt idx="8">
                  <c:v>0.41042497665096284</c:v>
                </c:pt>
                <c:pt idx="9">
                  <c:v>0.4104249841746756</c:v>
                </c:pt>
                <c:pt idx="10">
                  <c:v>0.41042498817475404</c:v>
                </c:pt>
                <c:pt idx="11">
                  <c:v>0.41042499034048874</c:v>
                </c:pt>
                <c:pt idx="12">
                  <c:v>0.41042499153323858</c:v>
                </c:pt>
                <c:pt idx="13">
                  <c:v>0.41042499220074202</c:v>
                </c:pt>
                <c:pt idx="14">
                  <c:v>0.41042499257997911</c:v>
                </c:pt>
                <c:pt idx="15">
                  <c:v>0.41042499279852862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24-E743-8BB0-67F2EBC808C9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Rho,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1'!$ER$5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1'!$ER$24:$ER$39</c:f>
              <c:numCache>
                <c:formatCode>0.0E+00</c:formatCode>
                <c:ptCount val="16"/>
                <c:pt idx="0">
                  <c:v>4.4443850847737939E-8</c:v>
                </c:pt>
                <c:pt idx="1">
                  <c:v>2.3216212948747503E-6</c:v>
                </c:pt>
                <c:pt idx="2">
                  <c:v>4.9359594501911715E-5</c:v>
                </c:pt>
                <c:pt idx="3">
                  <c:v>5.0821202934027226E-4</c:v>
                </c:pt>
                <c:pt idx="4">
                  <c:v>2.9076072131271162E-3</c:v>
                </c:pt>
                <c:pt idx="5">
                  <c:v>1.0339569794554318E-2</c:v>
                </c:pt>
                <c:pt idx="6">
                  <c:v>2.5114843283920784E-2</c:v>
                </c:pt>
                <c:pt idx="7">
                  <c:v>4.5245517765258994E-2</c:v>
                </c:pt>
                <c:pt idx="8">
                  <c:v>6.5087719631189256E-2</c:v>
                </c:pt>
                <c:pt idx="9">
                  <c:v>7.9890485792183913E-2</c:v>
                </c:pt>
                <c:pt idx="10">
                  <c:v>8.8571948749589874E-2</c:v>
                </c:pt>
                <c:pt idx="11">
                  <c:v>9.2704942687530503E-2</c:v>
                </c:pt>
                <c:pt idx="12">
                  <c:v>9.4346252319765886E-2</c:v>
                </c:pt>
                <c:pt idx="13">
                  <c:v>9.490276239008813E-2</c:v>
                </c:pt>
                <c:pt idx="14">
                  <c:v>9.5067115385328332E-2</c:v>
                </c:pt>
                <c:pt idx="15">
                  <c:v>9.5110125255167585E-2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B-D242-91CD-F4FA650444EF}"/>
            </c:ext>
          </c:extLst>
        </c:ser>
        <c:ser>
          <c:idx val="1"/>
          <c:order val="1"/>
          <c:tx>
            <c:strRef>
              <c:f>'PART 1'!$ES$5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1'!$ES$24:$ES$39</c:f>
              <c:numCache>
                <c:formatCode>0.0E+00</c:formatCode>
                <c:ptCount val="16"/>
                <c:pt idx="0">
                  <c:v>1.586050380448617E-4</c:v>
                </c:pt>
                <c:pt idx="1">
                  <c:v>1.0244799823670033E-3</c:v>
                </c:pt>
                <c:pt idx="2">
                  <c:v>4.3141156264465208E-3</c:v>
                </c:pt>
                <c:pt idx="3">
                  <c:v>1.2907804008633046E-2</c:v>
                </c:pt>
                <c:pt idx="4">
                  <c:v>2.9375872839991529E-2</c:v>
                </c:pt>
                <c:pt idx="5">
                  <c:v>5.3745957433141561E-2</c:v>
                </c:pt>
                <c:pt idx="6">
                  <c:v>8.277087644909055E-2</c:v>
                </c:pt>
                <c:pt idx="7">
                  <c:v>0.11154261595078449</c:v>
                </c:pt>
                <c:pt idx="8">
                  <c:v>0.13594295371569276</c:v>
                </c:pt>
                <c:pt idx="9">
                  <c:v>0.1540538085304671</c:v>
                </c:pt>
                <c:pt idx="10">
                  <c:v>0.16604383027867206</c:v>
                </c:pt>
                <c:pt idx="11">
                  <c:v>0.17323720316531968</c:v>
                </c:pt>
                <c:pt idx="12">
                  <c:v>0.17720081369134141</c:v>
                </c:pt>
                <c:pt idx="13">
                  <c:v>0.17922955744992922</c:v>
                </c:pt>
                <c:pt idx="14">
                  <c:v>0.18020353112636253</c:v>
                </c:pt>
                <c:pt idx="15">
                  <c:v>0.18064576859599021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FB-D242-91CD-F4FA650444EF}"/>
            </c:ext>
          </c:extLst>
        </c:ser>
        <c:ser>
          <c:idx val="2"/>
          <c:order val="2"/>
          <c:tx>
            <c:strRef>
              <c:f>'PART 1'!$ET$5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1'!$ET$24:$ET$39</c:f>
              <c:numCache>
                <c:formatCode>0.0E+00</c:formatCode>
                <c:ptCount val="16"/>
                <c:pt idx="0">
                  <c:v>2.9335789739923898E-3</c:v>
                </c:pt>
                <c:pt idx="1">
                  <c:v>9.4636794853694087E-3</c:v>
                </c:pt>
                <c:pt idx="2">
                  <c:v>2.3273223902619034E-2</c:v>
                </c:pt>
                <c:pt idx="3">
                  <c:v>4.6160487618972464E-2</c:v>
                </c:pt>
                <c:pt idx="4">
                  <c:v>7.7203975302595221E-2</c:v>
                </c:pt>
                <c:pt idx="5">
                  <c:v>0.11286257572784061</c:v>
                </c:pt>
                <c:pt idx="6">
                  <c:v>0.14851163160461509</c:v>
                </c:pt>
                <c:pt idx="7">
                  <c:v>0.18022275578388375</c:v>
                </c:pt>
                <c:pt idx="8">
                  <c:v>0.20577771389110228</c:v>
                </c:pt>
                <c:pt idx="9">
                  <c:v>0.22471295323454341</c:v>
                </c:pt>
                <c:pt idx="10">
                  <c:v>0.23777258355337746</c:v>
                </c:pt>
                <c:pt idx="11">
                  <c:v>0.24624306163465623</c:v>
                </c:pt>
                <c:pt idx="12">
                  <c:v>0.25145433980081766</c:v>
                </c:pt>
                <c:pt idx="13">
                  <c:v>0.25451774435865965</c:v>
                </c:pt>
                <c:pt idx="14">
                  <c:v>0.25624907063965435</c:v>
                </c:pt>
                <c:pt idx="15">
                  <c:v>0.25719480138561768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FB-D242-91CD-F4FA650444EF}"/>
            </c:ext>
          </c:extLst>
        </c:ser>
        <c:ser>
          <c:idx val="3"/>
          <c:order val="3"/>
          <c:tx>
            <c:strRef>
              <c:f>'PART 1'!$EU$5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1'!$EU$24:$EU$39</c:f>
              <c:numCache>
                <c:formatCode>0.0E+00</c:formatCode>
                <c:ptCount val="16"/>
                <c:pt idx="0">
                  <c:v>1.3604756414636108E-2</c:v>
                </c:pt>
                <c:pt idx="1">
                  <c:v>3.1077354428885911E-2</c:v>
                </c:pt>
                <c:pt idx="2">
                  <c:v>5.8498314225307893E-2</c:v>
                </c:pt>
                <c:pt idx="3">
                  <c:v>9.456862866391115E-2</c:v>
                </c:pt>
                <c:pt idx="4">
                  <c:v>0.13563563746440127</c:v>
                </c:pt>
                <c:pt idx="5">
                  <c:v>0.17713706424654235</c:v>
                </c:pt>
                <c:pt idx="6">
                  <c:v>0.21511864500887462</c:v>
                </c:pt>
                <c:pt idx="7">
                  <c:v>0.24711001189228241</c:v>
                </c:pt>
                <c:pt idx="8">
                  <c:v>0.27223685047099072</c:v>
                </c:pt>
                <c:pt idx="9">
                  <c:v>0.29083876709256018</c:v>
                </c:pt>
                <c:pt idx="10">
                  <c:v>0.3039351662833551</c:v>
                </c:pt>
                <c:pt idx="11">
                  <c:v>0.3127686964057052</c:v>
                </c:pt>
                <c:pt idx="12">
                  <c:v>0.31851249281774036</c:v>
                </c:pt>
                <c:pt idx="13">
                  <c:v>0.32213174308568654</c:v>
                </c:pt>
                <c:pt idx="14">
                  <c:v>0.32435157768800543</c:v>
                </c:pt>
                <c:pt idx="15">
                  <c:v>0.32568187442136648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FB-D242-91CD-F4FA650444EF}"/>
            </c:ext>
          </c:extLst>
        </c:ser>
        <c:ser>
          <c:idx val="4"/>
          <c:order val="4"/>
          <c:tx>
            <c:strRef>
              <c:f>'PART 1'!$EV$5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1'!$EV$24:$EV$39</c:f>
              <c:numCache>
                <c:formatCode>0.0E+00</c:formatCode>
                <c:ptCount val="16"/>
                <c:pt idx="0">
                  <c:v>3.537251740656705E-2</c:v>
                </c:pt>
                <c:pt idx="1">
                  <c:v>6.5792922300926732E-2</c:v>
                </c:pt>
                <c:pt idx="2">
                  <c:v>0.10563780624914083</c:v>
                </c:pt>
                <c:pt idx="3">
                  <c:v>0.15121186667594352</c:v>
                </c:pt>
                <c:pt idx="4">
                  <c:v>0.19789028087369739</c:v>
                </c:pt>
                <c:pt idx="5">
                  <c:v>0.24155320271205127</c:v>
                </c:pt>
                <c:pt idx="6">
                  <c:v>0.27943957301437872</c:v>
                </c:pt>
                <c:pt idx="7">
                  <c:v>0.3103183456411891</c:v>
                </c:pt>
                <c:pt idx="8">
                  <c:v>0.33419897700028012</c:v>
                </c:pt>
                <c:pt idx="9">
                  <c:v>0.35186909809854622</c:v>
                </c:pt>
                <c:pt idx="10">
                  <c:v>0.36446439872475017</c:v>
                </c:pt>
                <c:pt idx="11">
                  <c:v>0.37316236383091961</c:v>
                </c:pt>
                <c:pt idx="12">
                  <c:v>0.37900929885029644</c:v>
                </c:pt>
                <c:pt idx="13">
                  <c:v>0.38285057039540549</c:v>
                </c:pt>
                <c:pt idx="14">
                  <c:v>0.38532528915291797</c:v>
                </c:pt>
                <c:pt idx="15">
                  <c:v>0.38689322925392516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FB-D242-91CD-F4FA650444EF}"/>
            </c:ext>
          </c:extLst>
        </c:ser>
        <c:ser>
          <c:idx val="5"/>
          <c:order val="5"/>
          <c:tx>
            <c:strRef>
              <c:f>'PART 1'!$EW$5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1'!$EW$24:$EW$39</c:f>
              <c:numCache>
                <c:formatCode>0.0E+00</c:formatCode>
                <c:ptCount val="16"/>
                <c:pt idx="0">
                  <c:v>6.8029459017289878E-2</c:v>
                </c:pt>
                <c:pt idx="1">
                  <c:v>0.11048810567888029</c:v>
                </c:pt>
                <c:pt idx="2">
                  <c:v>0.15974728250822787</c:v>
                </c:pt>
                <c:pt idx="3">
                  <c:v>0.2110491646434009</c:v>
                </c:pt>
                <c:pt idx="4">
                  <c:v>0.2600005829797693</c:v>
                </c:pt>
                <c:pt idx="5">
                  <c:v>0.30348127919256707</c:v>
                </c:pt>
                <c:pt idx="6">
                  <c:v>0.33988886425436748</c:v>
                </c:pt>
                <c:pt idx="7">
                  <c:v>0.36891718162341219</c:v>
                </c:pt>
                <c:pt idx="8">
                  <c:v>0.39113584994372336</c:v>
                </c:pt>
                <c:pt idx="9">
                  <c:v>0.40757051005110145</c:v>
                </c:pt>
                <c:pt idx="10">
                  <c:v>0.41938238717132842</c:v>
                </c:pt>
                <c:pt idx="11">
                  <c:v>0.427668592544449</c:v>
                </c:pt>
                <c:pt idx="12">
                  <c:v>0.43336379177104634</c:v>
                </c:pt>
                <c:pt idx="13">
                  <c:v>0.43721107011738108</c:v>
                </c:pt>
                <c:pt idx="14">
                  <c:v>0.43977231181923793</c:v>
                </c:pt>
                <c:pt idx="15">
                  <c:v>0.44145647735840682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FB-D242-91CD-F4FA650444EF}"/>
            </c:ext>
          </c:extLst>
        </c:ser>
        <c:ser>
          <c:idx val="6"/>
          <c:order val="6"/>
          <c:tx>
            <c:strRef>
              <c:f>'PART 1'!$EX$5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1'!$EX$24:$EX$39</c:f>
              <c:numCache>
                <c:formatCode>0.0E+00</c:formatCode>
                <c:ptCount val="16"/>
                <c:pt idx="0">
                  <c:v>0.10939294205648278</c:v>
                </c:pt>
                <c:pt idx="1">
                  <c:v>0.161457345557557</c:v>
                </c:pt>
                <c:pt idx="2">
                  <c:v>0.21682538001102203</c:v>
                </c:pt>
                <c:pt idx="3">
                  <c:v>0.27074255496279598</c:v>
                </c:pt>
                <c:pt idx="4">
                  <c:v>0.3196433533755112</c:v>
                </c:pt>
                <c:pt idx="5">
                  <c:v>0.3614995219029779</c:v>
                </c:pt>
                <c:pt idx="6">
                  <c:v>0.39566423097638331</c:v>
                </c:pt>
                <c:pt idx="7">
                  <c:v>0.42247912211965699</c:v>
                </c:pt>
                <c:pt idx="8">
                  <c:v>0.4428523755942903</c:v>
                </c:pt>
                <c:pt idx="9">
                  <c:v>0.45791827572059574</c:v>
                </c:pt>
                <c:pt idx="10">
                  <c:v>0.46881058369585621</c:v>
                </c:pt>
                <c:pt idx="11">
                  <c:v>0.47653807275174076</c:v>
                </c:pt>
                <c:pt idx="12">
                  <c:v>0.48193423656989065</c:v>
                </c:pt>
                <c:pt idx="13">
                  <c:v>0.4856528211812825</c:v>
                </c:pt>
                <c:pt idx="14">
                  <c:v>0.48818711566422313</c:v>
                </c:pt>
                <c:pt idx="15">
                  <c:v>0.48989839046285349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FB-D242-91CD-F4FA650444EF}"/>
            </c:ext>
          </c:extLst>
        </c:ser>
        <c:ser>
          <c:idx val="7"/>
          <c:order val="7"/>
          <c:tx>
            <c:strRef>
              <c:f>'PART 1'!$EY$5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1'!$EY$24:$EY$39</c:f>
              <c:numCache>
                <c:formatCode>0.0E+00</c:formatCode>
                <c:ptCount val="16"/>
                <c:pt idx="0">
                  <c:v>0.15665390440015653</c:v>
                </c:pt>
                <c:pt idx="1">
                  <c:v>0.21542733785500257</c:v>
                </c:pt>
                <c:pt idx="2">
                  <c:v>0.27396748295955109</c:v>
                </c:pt>
                <c:pt idx="3">
                  <c:v>0.32816498144326001</c:v>
                </c:pt>
                <c:pt idx="4">
                  <c:v>0.37547998481257855</c:v>
                </c:pt>
                <c:pt idx="5">
                  <c:v>0.41486710502422397</c:v>
                </c:pt>
                <c:pt idx="6">
                  <c:v>0.44640637791556353</c:v>
                </c:pt>
                <c:pt idx="7">
                  <c:v>0.4708699270446286</c:v>
                </c:pt>
                <c:pt idx="8">
                  <c:v>0.4893537690333799</c:v>
                </c:pt>
                <c:pt idx="9">
                  <c:v>0.50301990905019023</c:v>
                </c:pt>
                <c:pt idx="10">
                  <c:v>0.51294414944661382</c:v>
                </c:pt>
                <c:pt idx="11">
                  <c:v>0.52004449829615784</c:v>
                </c:pt>
                <c:pt idx="12">
                  <c:v>0.52506214149231833</c:v>
                </c:pt>
                <c:pt idx="13">
                  <c:v>0.52857193648417988</c:v>
                </c:pt>
                <c:pt idx="14">
                  <c:v>0.53100639090796364</c:v>
                </c:pt>
                <c:pt idx="15">
                  <c:v>0.53268331844113181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FB-D242-91CD-F4FA650444EF}"/>
            </c:ext>
          </c:extLst>
        </c:ser>
        <c:ser>
          <c:idx val="8"/>
          <c:order val="8"/>
          <c:tx>
            <c:strRef>
              <c:f>'PART 1'!$EZ$5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1'!$EZ$24:$EZ$39</c:f>
              <c:numCache>
                <c:formatCode>0.0E+00</c:formatCode>
                <c:ptCount val="16"/>
                <c:pt idx="0">
                  <c:v>0.20711492242292057</c:v>
                </c:pt>
                <c:pt idx="1">
                  <c:v>0.26982841723910761</c:v>
                </c:pt>
                <c:pt idx="2">
                  <c:v>0.32918295193863589</c:v>
                </c:pt>
                <c:pt idx="3">
                  <c:v>0.38201261857270846</c:v>
                </c:pt>
                <c:pt idx="4">
                  <c:v>0.42678276458425202</c:v>
                </c:pt>
                <c:pt idx="5">
                  <c:v>0.46325216900210575</c:v>
                </c:pt>
                <c:pt idx="6">
                  <c:v>0.49202262167283167</c:v>
                </c:pt>
                <c:pt idx="7">
                  <c:v>0.51413421629187928</c:v>
                </c:pt>
                <c:pt idx="8">
                  <c:v>0.53076893949861015</c:v>
                </c:pt>
                <c:pt idx="9">
                  <c:v>0.54306613548173033</c:v>
                </c:pt>
                <c:pt idx="10">
                  <c:v>0.55202714438117306</c:v>
                </c:pt>
                <c:pt idx="11">
                  <c:v>0.55848057438911858</c:v>
                </c:pt>
                <c:pt idx="12">
                  <c:v>0.5630835252555525</c:v>
                </c:pt>
                <c:pt idx="13">
                  <c:v>0.5663409001938613</c:v>
                </c:pt>
                <c:pt idx="14">
                  <c:v>0.56863141136883955</c:v>
                </c:pt>
                <c:pt idx="15">
                  <c:v>0.57023382623804897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FB-D242-91CD-F4FA650444EF}"/>
            </c:ext>
          </c:extLst>
        </c:ser>
        <c:ser>
          <c:idx val="9"/>
          <c:order val="9"/>
          <c:tx>
            <c:strRef>
              <c:f>'PART 1'!$FA$5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1'!$FA$24:$FA$39</c:f>
              <c:numCache>
                <c:formatCode>0.0E+00</c:formatCode>
                <c:ptCount val="16"/>
                <c:pt idx="0">
                  <c:v>0.25849662898186737</c:v>
                </c:pt>
                <c:pt idx="1">
                  <c:v>0.32277688815492656</c:v>
                </c:pt>
                <c:pt idx="2">
                  <c:v>0.38117402516538057</c:v>
                </c:pt>
                <c:pt idx="3">
                  <c:v>0.43153709939574525</c:v>
                </c:pt>
                <c:pt idx="4">
                  <c:v>0.47321270350771949</c:v>
                </c:pt>
                <c:pt idx="5">
                  <c:v>0.50657696653438278</c:v>
                </c:pt>
                <c:pt idx="6">
                  <c:v>0.53258521935386527</c:v>
                </c:pt>
                <c:pt idx="7">
                  <c:v>0.55242726683160215</c:v>
                </c:pt>
                <c:pt idx="8">
                  <c:v>0.56730302719840442</c:v>
                </c:pt>
                <c:pt idx="9">
                  <c:v>0.57829863345541066</c:v>
                </c:pt>
                <c:pt idx="10">
                  <c:v>0.58633334181324381</c:v>
                </c:pt>
                <c:pt idx="11">
                  <c:v>0.59215016452611235</c:v>
                </c:pt>
                <c:pt idx="12">
                  <c:v>0.59632994323993571</c:v>
                </c:pt>
                <c:pt idx="13">
                  <c:v>0.59931550167405356</c:v>
                </c:pt>
                <c:pt idx="14">
                  <c:v>0.60143800029761085</c:v>
                </c:pt>
                <c:pt idx="15">
                  <c:v>0.60294140272622632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FB-D242-91CD-F4FA650444EF}"/>
            </c:ext>
          </c:extLst>
        </c:ser>
        <c:ser>
          <c:idx val="10"/>
          <c:order val="10"/>
          <c:tx>
            <c:strRef>
              <c:f>'PART 1'!$FB$5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1'!$FB$24:$FB$39</c:f>
              <c:numCache>
                <c:formatCode>0.0E+00</c:formatCode>
                <c:ptCount val="16"/>
                <c:pt idx="0">
                  <c:v>0.608187468315323</c:v>
                </c:pt>
                <c:pt idx="1">
                  <c:v>0.64059721941350856</c:v>
                </c:pt>
                <c:pt idx="2">
                  <c:v>0.66506514034232111</c:v>
                </c:pt>
                <c:pt idx="3">
                  <c:v>0.68336338474156955</c:v>
                </c:pt>
                <c:pt idx="4">
                  <c:v>0.69696194992800098</c:v>
                </c:pt>
                <c:pt idx="5">
                  <c:v>0.70702821103964475</c:v>
                </c:pt>
                <c:pt idx="6">
                  <c:v>0.71446348231907586</c:v>
                </c:pt>
                <c:pt idx="7">
                  <c:v>0.71995071062704152</c:v>
                </c:pt>
                <c:pt idx="8">
                  <c:v>0.72400086774713168</c:v>
                </c:pt>
                <c:pt idx="9">
                  <c:v>0.72699302410417932</c:v>
                </c:pt>
                <c:pt idx="10">
                  <c:v>0.72920684450427475</c:v>
                </c:pt>
                <c:pt idx="11">
                  <c:v>0.7308479557657459</c:v>
                </c:pt>
                <c:pt idx="12">
                  <c:v>0.73206727267155303</c:v>
                </c:pt>
                <c:pt idx="13">
                  <c:v>0.73297548502484344</c:v>
                </c:pt>
                <c:pt idx="14">
                  <c:v>0.73365380026749261</c:v>
                </c:pt>
                <c:pt idx="15">
                  <c:v>0.73416185218632857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FB-D242-91CD-F4FA650444EF}"/>
            </c:ext>
          </c:extLst>
        </c:ser>
        <c:ser>
          <c:idx val="11"/>
          <c:order val="11"/>
          <c:tx>
            <c:strRef>
              <c:f>'PART 1'!$FC$5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1'!$FC$24:$FC$39</c:f>
              <c:numCache>
                <c:formatCode>0.0E+00</c:formatCode>
                <c:ptCount val="16"/>
                <c:pt idx="0">
                  <c:v>0.6358522576079646</c:v>
                </c:pt>
                <c:pt idx="1">
                  <c:v>0.64522796085576473</c:v>
                </c:pt>
                <c:pt idx="2">
                  <c:v>0.65188048879391236</c:v>
                </c:pt>
                <c:pt idx="3">
                  <c:v>0.65662372057396645</c:v>
                </c:pt>
                <c:pt idx="4">
                  <c:v>0.66002420543373352</c:v>
                </c:pt>
                <c:pt idx="5">
                  <c:v>0.66247632093033393</c:v>
                </c:pt>
                <c:pt idx="6">
                  <c:v>0.66425521392796805</c:v>
                </c:pt>
                <c:pt idx="7">
                  <c:v>0.66555355726711052</c:v>
                </c:pt>
                <c:pt idx="8">
                  <c:v>0.66650689415105868</c:v>
                </c:pt>
                <c:pt idx="9">
                  <c:v>0.66721107277126623</c:v>
                </c:pt>
                <c:pt idx="10">
                  <c:v>0.66773424626019118</c:v>
                </c:pt>
                <c:pt idx="11">
                  <c:v>0.6681251519285264</c:v>
                </c:pt>
                <c:pt idx="12">
                  <c:v>0.66841884413861208</c:v>
                </c:pt>
                <c:pt idx="13">
                  <c:v>0.66864068151668365</c:v>
                </c:pt>
                <c:pt idx="14">
                  <c:v>0.6688091137262141</c:v>
                </c:pt>
                <c:pt idx="15">
                  <c:v>0.66893763943297035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FB-D242-91CD-F4FA650444EF}"/>
            </c:ext>
          </c:extLst>
        </c:ser>
        <c:ser>
          <c:idx val="12"/>
          <c:order val="12"/>
          <c:tx>
            <c:strRef>
              <c:f>'PART 1'!$FD$5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1'!$FD$24:$FD$39</c:f>
              <c:numCache>
                <c:formatCode>0.0E+00</c:formatCode>
                <c:ptCount val="16"/>
                <c:pt idx="0">
                  <c:v>0.53346118607764448</c:v>
                </c:pt>
                <c:pt idx="1">
                  <c:v>0.53576717610725455</c:v>
                </c:pt>
                <c:pt idx="2">
                  <c:v>0.53735332732447472</c:v>
                </c:pt>
                <c:pt idx="3">
                  <c:v>0.53845754135653501</c:v>
                </c:pt>
                <c:pt idx="4">
                  <c:v>0.53923504214246354</c:v>
                </c:pt>
                <c:pt idx="5">
                  <c:v>0.53978840131712158</c:v>
                </c:pt>
                <c:pt idx="6">
                  <c:v>0.5401862358898426</c:v>
                </c:pt>
                <c:pt idx="7">
                  <c:v>0.54047499261710441</c:v>
                </c:pt>
                <c:pt idx="8">
                  <c:v>0.5406864667209017</c:v>
                </c:pt>
                <c:pt idx="9">
                  <c:v>0.5408426575841635</c:v>
                </c:pt>
                <c:pt idx="10">
                  <c:v>0.54095894196001626</c:v>
                </c:pt>
                <c:pt idx="11">
                  <c:v>0.54104617151307388</c:v>
                </c:pt>
                <c:pt idx="12">
                  <c:v>0.54111207463112732</c:v>
                </c:pt>
                <c:pt idx="13">
                  <c:v>0.54116220316461439</c:v>
                </c:pt>
                <c:pt idx="14">
                  <c:v>0.54120057826943302</c:v>
                </c:pt>
                <c:pt idx="15">
                  <c:v>0.54123013521952723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FB-D242-91CD-F4FA650444EF}"/>
            </c:ext>
          </c:extLst>
        </c:ser>
        <c:ser>
          <c:idx val="13"/>
          <c:order val="13"/>
          <c:tx>
            <c:strRef>
              <c:f>'PART 1'!$FE$5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1'!$B$24:$B$39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1'!$FE$24:$FE$39</c:f>
              <c:numCache>
                <c:formatCode>0.0E+00</c:formatCode>
                <c:ptCount val="16"/>
                <c:pt idx="0">
                  <c:v>0.40867214911599392</c:v>
                </c:pt>
                <c:pt idx="1">
                  <c:v>0.40919902169303574</c:v>
                </c:pt>
                <c:pt idx="2">
                  <c:v>0.4095547241716947</c:v>
                </c:pt>
                <c:pt idx="3">
                  <c:v>0.40979882141316271</c:v>
                </c:pt>
                <c:pt idx="4">
                  <c:v>0.40996884758793661</c:v>
                </c:pt>
                <c:pt idx="5">
                  <c:v>0.41008890909009954</c:v>
                </c:pt>
                <c:pt idx="6">
                  <c:v>0.41017476099147865</c:v>
                </c:pt>
                <c:pt idx="7">
                  <c:v>0.4102368668852846</c:v>
                </c:pt>
                <c:pt idx="8">
                  <c:v>0.41028227971873626</c:v>
                </c:pt>
                <c:pt idx="9">
                  <c:v>0.41031581903625336</c:v>
                </c:pt>
                <c:pt idx="10">
                  <c:v>0.41034082029155194</c:v>
                </c:pt>
                <c:pt idx="11">
                  <c:v>0.41035961925738967</c:v>
                </c:pt>
                <c:pt idx="12">
                  <c:v>0.41037386974350715</c:v>
                </c:pt>
                <c:pt idx="13">
                  <c:v>0.41038475480983549</c:v>
                </c:pt>
                <c:pt idx="14">
                  <c:v>0.41039312895482172</c:v>
                </c:pt>
                <c:pt idx="15">
                  <c:v>0.41039961496998306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FB-D242-91CD-F4FA650444EF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Rho,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1'!$ER$5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1'!$ER$42:$ER$57</c:f>
              <c:numCache>
                <c:formatCode>0.0E+00</c:formatCode>
                <c:ptCount val="16"/>
                <c:pt idx="0">
                  <c:v>1.5834548020036538E-49</c:v>
                </c:pt>
                <c:pt idx="1">
                  <c:v>8.4502441451465514E-35</c:v>
                </c:pt>
                <c:pt idx="2">
                  <c:v>1.2533746694710647E-23</c:v>
                </c:pt>
                <c:pt idx="3">
                  <c:v>2.3769892210799748E-15</c:v>
                </c:pt>
                <c:pt idx="4">
                  <c:v>1.8998807029480734E-9</c:v>
                </c:pt>
                <c:pt idx="5">
                  <c:v>1.672290165282596E-5</c:v>
                </c:pt>
                <c:pt idx="6">
                  <c:v>3.6773547058339445E-3</c:v>
                </c:pt>
                <c:pt idx="7">
                  <c:v>4.5410601008006785E-2</c:v>
                </c:pt>
                <c:pt idx="8">
                  <c:v>8.9534176988680644E-2</c:v>
                </c:pt>
                <c:pt idx="9">
                  <c:v>9.5033419582773365E-2</c:v>
                </c:pt>
                <c:pt idx="10">
                  <c:v>9.5122720559293439E-2</c:v>
                </c:pt>
                <c:pt idx="11">
                  <c:v>9.5122942347145703E-2</c:v>
                </c:pt>
                <c:pt idx="12">
                  <c:v>9.5122942450060533E-2</c:v>
                </c:pt>
                <c:pt idx="13">
                  <c:v>9.5122942450071413E-2</c:v>
                </c:pt>
                <c:pt idx="14">
                  <c:v>9.5122942450071413E-2</c:v>
                </c:pt>
                <c:pt idx="15">
                  <c:v>9.5122942450071413E-2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F-1E43-8565-2607DFFDCF2D}"/>
            </c:ext>
          </c:extLst>
        </c:ser>
        <c:ser>
          <c:idx val="1"/>
          <c:order val="1"/>
          <c:tx>
            <c:strRef>
              <c:f>'PART 1'!$ES$5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1'!$ES$42:$ES$57</c:f>
              <c:numCache>
                <c:formatCode>0.0E+00</c:formatCode>
                <c:ptCount val="16"/>
                <c:pt idx="0">
                  <c:v>2.9868286261853974E-21</c:v>
                </c:pt>
                <c:pt idx="1">
                  <c:v>1.0686543838288439E-14</c:v>
                </c:pt>
                <c:pt idx="2">
                  <c:v>7.5307841655962746E-10</c:v>
                </c:pt>
                <c:pt idx="3">
                  <c:v>2.2197800719467327E-6</c:v>
                </c:pt>
                <c:pt idx="4">
                  <c:v>4.9805280487825163E-4</c:v>
                </c:pt>
                <c:pt idx="5">
                  <c:v>1.4071367966674856E-2</c:v>
                </c:pt>
                <c:pt idx="6">
                  <c:v>8.0250204959612062E-2</c:v>
                </c:pt>
                <c:pt idx="7">
                  <c:v>0.15508164414744013</c:v>
                </c:pt>
                <c:pt idx="8">
                  <c:v>0.17853809280784105</c:v>
                </c:pt>
                <c:pt idx="9">
                  <c:v>0.18088144985487048</c:v>
                </c:pt>
                <c:pt idx="10">
                  <c:v>0.18096622285892697</c:v>
                </c:pt>
                <c:pt idx="11">
                  <c:v>0.1809674751448937</c:v>
                </c:pt>
                <c:pt idx="12">
                  <c:v>0.1809674835785664</c:v>
                </c:pt>
                <c:pt idx="13">
                  <c:v>0.18096748360713877</c:v>
                </c:pt>
                <c:pt idx="14">
                  <c:v>0.18096748360719186</c:v>
                </c:pt>
                <c:pt idx="15">
                  <c:v>0.18096748360719192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F-1E43-8565-2607DFFDCF2D}"/>
            </c:ext>
          </c:extLst>
        </c:ser>
        <c:ser>
          <c:idx val="2"/>
          <c:order val="2"/>
          <c:tx>
            <c:strRef>
              <c:f>'PART 1'!$ET$5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1'!$ET$42:$ET$57</c:f>
              <c:numCache>
                <c:formatCode>0.0E+00</c:formatCode>
                <c:ptCount val="16"/>
                <c:pt idx="0">
                  <c:v>4.7927308576129333E-12</c:v>
                </c:pt>
                <c:pt idx="1">
                  <c:v>3.2963170067831719E-8</c:v>
                </c:pt>
                <c:pt idx="2">
                  <c:v>1.8625674264355892E-5</c:v>
                </c:pt>
                <c:pt idx="3">
                  <c:v>1.4266572442410658E-3</c:v>
                </c:pt>
                <c:pt idx="4">
                  <c:v>2.2328400874447724E-2</c:v>
                </c:pt>
                <c:pt idx="5">
                  <c:v>0.10302543559710076</c:v>
                </c:pt>
                <c:pt idx="6">
                  <c:v>0.20257774760554148</c:v>
                </c:pt>
                <c:pt idx="7">
                  <c:v>0.24840803648019705</c:v>
                </c:pt>
                <c:pt idx="8">
                  <c:v>0.25734693231009054</c:v>
                </c:pt>
                <c:pt idx="9">
                  <c:v>0.25817162541293015</c:v>
                </c:pt>
                <c:pt idx="10">
                  <c:v>0.25821129120867109</c:v>
                </c:pt>
                <c:pt idx="11">
                  <c:v>0.25821237462205338</c:v>
                </c:pt>
                <c:pt idx="12">
                  <c:v>0.25821239272848179</c:v>
                </c:pt>
                <c:pt idx="13">
                  <c:v>0.25821239292602122</c:v>
                </c:pt>
                <c:pt idx="14">
                  <c:v>0.25821239292750919</c:v>
                </c:pt>
                <c:pt idx="15">
                  <c:v>0.2582123929275173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F-1E43-8565-2607DFFDCF2D}"/>
            </c:ext>
          </c:extLst>
        </c:ser>
        <c:ser>
          <c:idx val="3"/>
          <c:order val="3"/>
          <c:tx>
            <c:strRef>
              <c:f>'PART 1'!$EU$5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1'!$EU$42:$EU$57</c:f>
              <c:numCache>
                <c:formatCode>0.0E+00</c:formatCode>
                <c:ptCount val="16"/>
                <c:pt idx="0">
                  <c:v>1.2391216537929973E-7</c:v>
                </c:pt>
                <c:pt idx="1">
                  <c:v>3.8098251562141906E-5</c:v>
                </c:pt>
                <c:pt idx="2">
                  <c:v>1.9832549683878125E-3</c:v>
                </c:pt>
                <c:pt idx="3">
                  <c:v>2.5575728704551128E-2</c:v>
                </c:pt>
                <c:pt idx="4">
                  <c:v>0.11314181754796258</c:v>
                </c:pt>
                <c:pt idx="5">
                  <c:v>0.23337197337639506</c:v>
                </c:pt>
                <c:pt idx="6">
                  <c:v>0.30407877623176371</c:v>
                </c:pt>
                <c:pt idx="7">
                  <c:v>0.32415834128349724</c:v>
                </c:pt>
                <c:pt idx="8">
                  <c:v>0.32720670010972502</c:v>
                </c:pt>
                <c:pt idx="9">
                  <c:v>0.32747668579760469</c:v>
                </c:pt>
                <c:pt idx="10">
                  <c:v>0.3274917241767431</c:v>
                </c:pt>
                <c:pt idx="11">
                  <c:v>0.3274922860522303</c:v>
                </c:pt>
                <c:pt idx="12">
                  <c:v>0.32749230093373349</c:v>
                </c:pt>
                <c:pt idx="13">
                  <c:v>0.32749230122667417</c:v>
                </c:pt>
                <c:pt idx="14">
                  <c:v>0.32749230123113771</c:v>
                </c:pt>
                <c:pt idx="15">
                  <c:v>0.32749230123119222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9F-1E43-8565-2607DFFDCF2D}"/>
            </c:ext>
          </c:extLst>
        </c:ser>
        <c:ser>
          <c:idx val="4"/>
          <c:order val="4"/>
          <c:tx>
            <c:strRef>
              <c:f>'PART 1'!$EV$5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1'!$EV$42:$EV$57</c:f>
              <c:numCache>
                <c:formatCode>0.0E+00</c:formatCode>
                <c:ptCount val="16"/>
                <c:pt idx="0">
                  <c:v>3.8180956298086526E-5</c:v>
                </c:pt>
                <c:pt idx="1">
                  <c:v>1.85776079220992E-3</c:v>
                </c:pt>
                <c:pt idx="2">
                  <c:v>2.386953534189672E-2</c:v>
                </c:pt>
                <c:pt idx="3">
                  <c:v>0.11095150689024949</c:v>
                </c:pt>
                <c:pt idx="4">
                  <c:v>0.24717068410187287</c:v>
                </c:pt>
                <c:pt idx="5">
                  <c:v>0.34472922204731821</c:v>
                </c:pt>
                <c:pt idx="6">
                  <c:v>0.38075284173861107</c:v>
                </c:pt>
                <c:pt idx="7">
                  <c:v>0.38832489202734832</c:v>
                </c:pt>
                <c:pt idx="8">
                  <c:v>0.38930986634341225</c:v>
                </c:pt>
                <c:pt idx="9">
                  <c:v>0.38939496449063932</c:v>
                </c:pt>
                <c:pt idx="10">
                  <c:v>0.38940014880367946</c:v>
                </c:pt>
                <c:pt idx="11">
                  <c:v>0.38940038309926034</c:v>
                </c:pt>
                <c:pt idx="12">
                  <c:v>0.38940039129964726</c:v>
                </c:pt>
                <c:pt idx="13">
                  <c:v>0.38940039153022044</c:v>
                </c:pt>
                <c:pt idx="14">
                  <c:v>0.38940039153559397</c:v>
                </c:pt>
                <c:pt idx="15">
                  <c:v>0.38940039153570061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F-1E43-8565-2607DFFDCF2D}"/>
            </c:ext>
          </c:extLst>
        </c:ser>
        <c:ser>
          <c:idx val="5"/>
          <c:order val="5"/>
          <c:tx>
            <c:strRef>
              <c:f>'PART 1'!$EW$5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1'!$EW$42:$EW$57</c:f>
              <c:numCache>
                <c:formatCode>0.0E+00</c:formatCode>
                <c:ptCount val="16"/>
                <c:pt idx="0">
                  <c:v>1.2827349075370989E-3</c:v>
                </c:pt>
                <c:pt idx="1">
                  <c:v>1.8700692571927715E-2</c:v>
                </c:pt>
                <c:pt idx="2">
                  <c:v>9.8024146893233327E-2</c:v>
                </c:pt>
                <c:pt idx="3">
                  <c:v>0.2435253997136704</c:v>
                </c:pt>
                <c:pt idx="4">
                  <c:v>0.3688506699810869</c:v>
                </c:pt>
                <c:pt idx="5">
                  <c:v>0.42614711933109889</c:v>
                </c:pt>
                <c:pt idx="6">
                  <c:v>0.44152197544899818</c:v>
                </c:pt>
                <c:pt idx="7">
                  <c:v>0.44415453774175812</c:v>
                </c:pt>
                <c:pt idx="8">
                  <c:v>0.4444629414380894</c:v>
                </c:pt>
                <c:pt idx="9">
                  <c:v>0.44448914568751818</c:v>
                </c:pt>
                <c:pt idx="10">
                  <c:v>0.44449084150211815</c:v>
                </c:pt>
                <c:pt idx="11">
                  <c:v>0.44449092859828332</c:v>
                </c:pt>
                <c:pt idx="12">
                  <c:v>0.44449093227362402</c:v>
                </c:pt>
                <c:pt idx="13">
                  <c:v>0.44449093240485171</c:v>
                </c:pt>
                <c:pt idx="14">
                  <c:v>0.44449093240891629</c:v>
                </c:pt>
                <c:pt idx="15">
                  <c:v>0.44449093240902787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F-1E43-8565-2607DFFDCF2D}"/>
            </c:ext>
          </c:extLst>
        </c:ser>
        <c:ser>
          <c:idx val="6"/>
          <c:order val="6"/>
          <c:tx>
            <c:strRef>
              <c:f>'PART 1'!$EX$5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1'!$EX$42:$EX$57</c:f>
              <c:numCache>
                <c:formatCode>0.0E+00</c:formatCode>
                <c:ptCount val="16"/>
                <c:pt idx="0">
                  <c:v>1.2214230590150584E-2</c:v>
                </c:pt>
                <c:pt idx="1">
                  <c:v>7.7384870170941672E-2</c:v>
                </c:pt>
                <c:pt idx="2">
                  <c:v>0.22276719546869028</c:v>
                </c:pt>
                <c:pt idx="3">
                  <c:v>0.37438836881459481</c:v>
                </c:pt>
                <c:pt idx="4">
                  <c:v>0.45865916162600684</c:v>
                </c:pt>
                <c:pt idx="5">
                  <c:v>0.48640573048982089</c:v>
                </c:pt>
                <c:pt idx="6">
                  <c:v>0.49230755739454124</c:v>
                </c:pt>
                <c:pt idx="7">
                  <c:v>0.49317854528738686</c:v>
                </c:pt>
                <c:pt idx="8">
                  <c:v>0.49327315144181638</c:v>
                </c:pt>
                <c:pt idx="9">
                  <c:v>0.49328109418557908</c:v>
                </c:pt>
                <c:pt idx="10">
                  <c:v>0.4932816310524723</c:v>
                </c:pt>
                <c:pt idx="11">
                  <c:v>0.4932816612800357</c:v>
                </c:pt>
                <c:pt idx="12">
                  <c:v>0.49328166273884821</c:v>
                </c:pt>
                <c:pt idx="13">
                  <c:v>0.49328166280066771</c:v>
                </c:pt>
                <c:pt idx="14">
                  <c:v>0.49328166280301539</c:v>
                </c:pt>
                <c:pt idx="15">
                  <c:v>0.49328166280309671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F-1E43-8565-2607DFFDCF2D}"/>
            </c:ext>
          </c:extLst>
        </c:ser>
        <c:ser>
          <c:idx val="7"/>
          <c:order val="7"/>
          <c:tx>
            <c:strRef>
              <c:f>'PART 1'!$EY$5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1'!$EY$42:$EY$57</c:f>
              <c:numCache>
                <c:formatCode>0.0E+00</c:formatCode>
                <c:ptCount val="16"/>
                <c:pt idx="0">
                  <c:v>5.3415288879470051E-2</c:v>
                </c:pt>
                <c:pt idx="1">
                  <c:v>0.18698211658387784</c:v>
                </c:pt>
                <c:pt idx="2">
                  <c:v>0.35924383134718846</c:v>
                </c:pt>
                <c:pt idx="3">
                  <c:v>0.47569036041836071</c:v>
                </c:pt>
                <c:pt idx="4">
                  <c:v>0.52196849997111405</c:v>
                </c:pt>
                <c:pt idx="5">
                  <c:v>0.53383116720926949</c:v>
                </c:pt>
                <c:pt idx="6">
                  <c:v>0.53594600274125148</c:v>
                </c:pt>
                <c:pt idx="7">
                  <c:v>0.53622487151020271</c:v>
                </c:pt>
                <c:pt idx="8">
                  <c:v>0.53625347970999349</c:v>
                </c:pt>
                <c:pt idx="9">
                  <c:v>0.5362558599795435</c:v>
                </c:pt>
                <c:pt idx="10">
                  <c:v>0.53625602623397817</c:v>
                </c:pt>
                <c:pt idx="11">
                  <c:v>0.53625603626587104</c:v>
                </c:pt>
                <c:pt idx="12">
                  <c:v>0.53625603680149947</c:v>
                </c:pt>
                <c:pt idx="13">
                  <c:v>0.53625603682731948</c:v>
                </c:pt>
                <c:pt idx="14">
                  <c:v>0.53625603682846246</c:v>
                </c:pt>
                <c:pt idx="15">
                  <c:v>0.53625603682850964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F-1E43-8565-2607DFFDCF2D}"/>
            </c:ext>
          </c:extLst>
        </c:ser>
        <c:ser>
          <c:idx val="8"/>
          <c:order val="8"/>
          <c:tx>
            <c:strRef>
              <c:f>'PART 1'!$EZ$5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1'!$EZ$42:$EZ$57</c:f>
              <c:numCache>
                <c:formatCode>0.0E+00</c:formatCode>
                <c:ptCount val="16"/>
                <c:pt idx="0">
                  <c:v>0.14090681429383031</c:v>
                </c:pt>
                <c:pt idx="1">
                  <c:v>0.32230644401052871</c:v>
                </c:pt>
                <c:pt idx="2">
                  <c:v>0.47369151166125295</c:v>
                </c:pt>
                <c:pt idx="3">
                  <c:v>0.5462615568527055</c:v>
                </c:pt>
                <c:pt idx="4">
                  <c:v>0.5683888776947319</c:v>
                </c:pt>
                <c:pt idx="5">
                  <c:v>0.57304600683478912</c:v>
                </c:pt>
                <c:pt idx="6">
                  <c:v>0.57376876028084955</c:v>
                </c:pt>
                <c:pt idx="7">
                  <c:v>0.57385601527992025</c:v>
                </c:pt>
                <c:pt idx="8">
                  <c:v>0.57386457514549505</c:v>
                </c:pt>
                <c:pt idx="9">
                  <c:v>0.57386528235554235</c:v>
                </c:pt>
                <c:pt idx="10">
                  <c:v>0.57386533303480847</c:v>
                </c:pt>
                <c:pt idx="11">
                  <c:v>0.57386533626265912</c:v>
                </c:pt>
                <c:pt idx="12">
                  <c:v>0.5738653364491364</c:v>
                </c:pt>
                <c:pt idx="13">
                  <c:v>0.57386533645907567</c:v>
                </c:pt>
                <c:pt idx="14">
                  <c:v>0.5738653364595715</c:v>
                </c:pt>
                <c:pt idx="15">
                  <c:v>0.57386533645959492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F-1E43-8565-2607DFFDCF2D}"/>
            </c:ext>
          </c:extLst>
        </c:ser>
        <c:ser>
          <c:idx val="9"/>
          <c:order val="9"/>
          <c:tx>
            <c:strRef>
              <c:f>'PART 1'!$FA$5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1'!$FA$42:$FA$57</c:f>
              <c:numCache>
                <c:formatCode>0.0E+00</c:formatCode>
                <c:ptCount val="16"/>
                <c:pt idx="0">
                  <c:v>0.2651311978346933</c:v>
                </c:pt>
                <c:pt idx="1">
                  <c:v>0.44860151972981599</c:v>
                </c:pt>
                <c:pt idx="2">
                  <c:v>0.55601027931765445</c:v>
                </c:pt>
                <c:pt idx="3">
                  <c:v>0.59495938958649819</c:v>
                </c:pt>
                <c:pt idx="4">
                  <c:v>0.60454227408268757</c:v>
                </c:pt>
                <c:pt idx="5">
                  <c:v>0.60626233483806125</c:v>
                </c:pt>
                <c:pt idx="6">
                  <c:v>0.60650105035058399</c:v>
                </c:pt>
                <c:pt idx="7">
                  <c:v>0.60652789414838693</c:v>
                </c:pt>
                <c:pt idx="8">
                  <c:v>0.60653043464887368</c:v>
                </c:pt>
                <c:pt idx="9">
                  <c:v>0.60653064336307783</c:v>
                </c:pt>
                <c:pt idx="10">
                  <c:v>0.60653065863079503</c:v>
                </c:pt>
                <c:pt idx="11">
                  <c:v>0.60653065964631769</c:v>
                </c:pt>
                <c:pt idx="12">
                  <c:v>0.60653065970881381</c:v>
                </c:pt>
                <c:pt idx="13">
                  <c:v>0.60653065971242426</c:v>
                </c:pt>
                <c:pt idx="14">
                  <c:v>0.60653065971262243</c:v>
                </c:pt>
                <c:pt idx="15">
                  <c:v>0.60653065971263287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F-1E43-8565-2607DFFDCF2D}"/>
            </c:ext>
          </c:extLst>
        </c:ser>
        <c:ser>
          <c:idx val="10"/>
          <c:order val="10"/>
          <c:tx>
            <c:strRef>
              <c:f>'PART 1'!$FB$5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1'!$FB$42:$FB$57</c:f>
              <c:numCache>
                <c:formatCode>0.0E+00</c:formatCode>
                <c:ptCount val="16"/>
                <c:pt idx="0">
                  <c:v>0.73550013862702646</c:v>
                </c:pt>
                <c:pt idx="1">
                  <c:v>0.73573063976985342</c:v>
                </c:pt>
                <c:pt idx="2">
                  <c:v>0.73575611422275422</c:v>
                </c:pt>
                <c:pt idx="3">
                  <c:v>0.73575863108317341</c:v>
                </c:pt>
                <c:pt idx="4">
                  <c:v>0.73575886072143115</c:v>
                </c:pt>
                <c:pt idx="5">
                  <c:v>0.73575888054721728</c:v>
                </c:pt>
                <c:pt idx="6">
                  <c:v>0.73575888219697039</c:v>
                </c:pt>
                <c:pt idx="7">
                  <c:v>0.73575888233116016</c:v>
                </c:pt>
                <c:pt idx="8">
                  <c:v>0.73575888234194542</c:v>
                </c:pt>
                <c:pt idx="9">
                  <c:v>0.73575888234280917</c:v>
                </c:pt>
                <c:pt idx="10">
                  <c:v>0.73575888234287856</c:v>
                </c:pt>
                <c:pt idx="11">
                  <c:v>0.73575888234288422</c:v>
                </c:pt>
                <c:pt idx="12">
                  <c:v>0.73575888234288456</c:v>
                </c:pt>
                <c:pt idx="13">
                  <c:v>0.73575888234288467</c:v>
                </c:pt>
                <c:pt idx="14">
                  <c:v>0.73575888234288467</c:v>
                </c:pt>
                <c:pt idx="15">
                  <c:v>0.73575888234288467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F-1E43-8565-2607DFFDCF2D}"/>
            </c:ext>
          </c:extLst>
        </c:ser>
        <c:ser>
          <c:idx val="11"/>
          <c:order val="11"/>
          <c:tx>
            <c:strRef>
              <c:f>'PART 1'!$FC$5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1'!$FC$42:$FC$57</c:f>
              <c:numCache>
                <c:formatCode>0.0E+00</c:formatCode>
                <c:ptCount val="16"/>
                <c:pt idx="0">
                  <c:v>0.66939047421475029</c:v>
                </c:pt>
                <c:pt idx="1">
                  <c:v>0.66939048005909296</c:v>
                </c:pt>
                <c:pt idx="2">
                  <c:v>0.66939048042086113</c:v>
                </c:pt>
                <c:pt idx="3">
                  <c:v>0.66939048044369809</c:v>
                </c:pt>
                <c:pt idx="4">
                  <c:v>0.66939048044518212</c:v>
                </c:pt>
                <c:pt idx="5">
                  <c:v>0.66939048044528193</c:v>
                </c:pt>
                <c:pt idx="6">
                  <c:v>0.66939048044528893</c:v>
                </c:pt>
                <c:pt idx="7">
                  <c:v>0.66939048044528937</c:v>
                </c:pt>
                <c:pt idx="8">
                  <c:v>0.66939048044528948</c:v>
                </c:pt>
                <c:pt idx="9">
                  <c:v>0.66939048044528948</c:v>
                </c:pt>
                <c:pt idx="10">
                  <c:v>0.66939048044528948</c:v>
                </c:pt>
                <c:pt idx="11">
                  <c:v>0.66939048044528948</c:v>
                </c:pt>
                <c:pt idx="12">
                  <c:v>0.66939048044528948</c:v>
                </c:pt>
                <c:pt idx="13">
                  <c:v>0.66939048044528948</c:v>
                </c:pt>
                <c:pt idx="14">
                  <c:v>0.66939048044528948</c:v>
                </c:pt>
                <c:pt idx="15">
                  <c:v>0.66939048044528948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19F-1E43-8565-2607DFFDCF2D}"/>
            </c:ext>
          </c:extLst>
        </c:ser>
        <c:ser>
          <c:idx val="12"/>
          <c:order val="12"/>
          <c:tx>
            <c:strRef>
              <c:f>'PART 1'!$FD$5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1'!$FD$42:$FD$57</c:f>
              <c:numCache>
                <c:formatCode>0.0E+00</c:formatCode>
                <c:ptCount val="16"/>
                <c:pt idx="0">
                  <c:v>0.54134113294639541</c:v>
                </c:pt>
                <c:pt idx="1">
                  <c:v>0.54134113294644826</c:v>
                </c:pt>
                <c:pt idx="2">
                  <c:v>0.5413411329464507</c:v>
                </c:pt>
                <c:pt idx="3">
                  <c:v>0.54134113294645081</c:v>
                </c:pt>
                <c:pt idx="4">
                  <c:v>0.54134113294645081</c:v>
                </c:pt>
                <c:pt idx="5">
                  <c:v>0.54134113294645081</c:v>
                </c:pt>
                <c:pt idx="6">
                  <c:v>0.54134113294645081</c:v>
                </c:pt>
                <c:pt idx="7">
                  <c:v>0.54134113294645081</c:v>
                </c:pt>
                <c:pt idx="8">
                  <c:v>0.54134113294645081</c:v>
                </c:pt>
                <c:pt idx="9">
                  <c:v>0.54134113294645081</c:v>
                </c:pt>
                <c:pt idx="10">
                  <c:v>0.54134113294645081</c:v>
                </c:pt>
                <c:pt idx="11">
                  <c:v>0.54134113294645081</c:v>
                </c:pt>
                <c:pt idx="12">
                  <c:v>0.54134113294645081</c:v>
                </c:pt>
                <c:pt idx="13">
                  <c:v>0.54134113294645081</c:v>
                </c:pt>
                <c:pt idx="14">
                  <c:v>0.54134113294645081</c:v>
                </c:pt>
                <c:pt idx="15">
                  <c:v>0.54134113294645081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9F-1E43-8565-2607DFFDCF2D}"/>
            </c:ext>
          </c:extLst>
        </c:ser>
        <c:ser>
          <c:idx val="13"/>
          <c:order val="13"/>
          <c:tx>
            <c:strRef>
              <c:f>'PART 1'!$FE$5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1'!$B$42:$B$57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1'!$FE$42:$FE$57</c:f>
              <c:numCache>
                <c:formatCode>0.0E+00</c:formatCode>
                <c:ptCount val="16"/>
                <c:pt idx="0">
                  <c:v>0.41042499311949399</c:v>
                </c:pt>
                <c:pt idx="1">
                  <c:v>0.41042499311949399</c:v>
                </c:pt>
                <c:pt idx="2">
                  <c:v>0.41042499311949399</c:v>
                </c:pt>
                <c:pt idx="3">
                  <c:v>0.41042499311949399</c:v>
                </c:pt>
                <c:pt idx="4">
                  <c:v>0.41042499311949399</c:v>
                </c:pt>
                <c:pt idx="5">
                  <c:v>0.41042499311949399</c:v>
                </c:pt>
                <c:pt idx="6">
                  <c:v>0.41042499311949399</c:v>
                </c:pt>
                <c:pt idx="7">
                  <c:v>0.41042499311949399</c:v>
                </c:pt>
                <c:pt idx="8">
                  <c:v>0.41042499311949399</c:v>
                </c:pt>
                <c:pt idx="9">
                  <c:v>0.41042499311949399</c:v>
                </c:pt>
                <c:pt idx="10">
                  <c:v>0.41042499311949399</c:v>
                </c:pt>
                <c:pt idx="11">
                  <c:v>0.41042499311949399</c:v>
                </c:pt>
                <c:pt idx="12">
                  <c:v>0.41042499311949399</c:v>
                </c:pt>
                <c:pt idx="13">
                  <c:v>0.41042499311949399</c:v>
                </c:pt>
                <c:pt idx="14">
                  <c:v>0.41042499311949399</c:v>
                </c:pt>
                <c:pt idx="15">
                  <c:v>0.41042499311949399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19F-1E43-8565-2607DFFDCF2D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Rho, vol=0.2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1'!$DS$5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1'!$DS$65:$DS$80</c:f>
              <c:numCache>
                <c:formatCode>0.0E+00</c:formatCode>
                <c:ptCount val="16"/>
                <c:pt idx="0">
                  <c:v>-9.9900049983337486E-2</c:v>
                </c:pt>
                <c:pt idx="1">
                  <c:v>-9.9900049982904665E-2</c:v>
                </c:pt>
                <c:pt idx="2">
                  <c:v>-9.990004920641285E-2</c:v>
                </c:pt>
                <c:pt idx="3">
                  <c:v>-9.9899799847947279E-2</c:v>
                </c:pt>
                <c:pt idx="4">
                  <c:v>-9.9880365963861073E-2</c:v>
                </c:pt>
                <c:pt idx="5">
                  <c:v>-9.9414292021761066E-2</c:v>
                </c:pt>
                <c:pt idx="6">
                  <c:v>-9.5273399454231758E-2</c:v>
                </c:pt>
                <c:pt idx="7">
                  <c:v>-7.950377346604158E-2</c:v>
                </c:pt>
                <c:pt idx="8">
                  <c:v>-5.0580151398953388E-2</c:v>
                </c:pt>
                <c:pt idx="9">
                  <c:v>-2.247110555512432E-2</c:v>
                </c:pt>
                <c:pt idx="10">
                  <c:v>-6.7889870502825947E-3</c:v>
                </c:pt>
                <c:pt idx="11">
                  <c:v>-1.4102913577582136E-3</c:v>
                </c:pt>
                <c:pt idx="12">
                  <c:v>-2.0702003804964794E-4</c:v>
                </c:pt>
                <c:pt idx="13">
                  <c:v>-2.2181932695997136E-5</c:v>
                </c:pt>
                <c:pt idx="14">
                  <c:v>-1.7921519198923481E-6</c:v>
                </c:pt>
                <c:pt idx="15">
                  <c:v>-1.1255785043228925E-7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5C-D248-94BF-B5D31464C96B}"/>
            </c:ext>
          </c:extLst>
        </c:ser>
        <c:ser>
          <c:idx val="1"/>
          <c:order val="1"/>
          <c:tx>
            <c:strRef>
              <c:f>'PART 1'!$DT$5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1'!$DT$65:$DT$80</c:f>
              <c:numCache>
                <c:formatCode>0.0E+00</c:formatCode>
                <c:ptCount val="16"/>
                <c:pt idx="0">
                  <c:v>-0.19960039875201666</c:v>
                </c:pt>
                <c:pt idx="1">
                  <c:v>-0.19960026927726371</c:v>
                </c:pt>
                <c:pt idx="2">
                  <c:v>-0.19959434275580998</c:v>
                </c:pt>
                <c:pt idx="3">
                  <c:v>-0.19948058234037422</c:v>
                </c:pt>
                <c:pt idx="4">
                  <c:v>-0.19841978436548499</c:v>
                </c:pt>
                <c:pt idx="5">
                  <c:v>-0.19302759112036566</c:v>
                </c:pt>
                <c:pt idx="6">
                  <c:v>-0.17664512161955698</c:v>
                </c:pt>
                <c:pt idx="7">
                  <c:v>-0.14458214370301661</c:v>
                </c:pt>
                <c:pt idx="8">
                  <c:v>-0.10158061093169939</c:v>
                </c:pt>
                <c:pt idx="9">
                  <c:v>-5.9968326579861744E-2</c:v>
                </c:pt>
                <c:pt idx="10">
                  <c:v>-2.9624429034828429E-2</c:v>
                </c:pt>
                <c:pt idx="11">
                  <c:v>-1.2325867132738097E-2</c:v>
                </c:pt>
                <c:pt idx="12">
                  <c:v>-4.3706588933653577E-3</c:v>
                </c:pt>
                <c:pt idx="13">
                  <c:v>-1.3391859871546453E-3</c:v>
                </c:pt>
                <c:pt idx="14">
                  <c:v>-3.5959910459001243E-4</c:v>
                </c:pt>
                <c:pt idx="15">
                  <c:v>-8.5770819532797691E-5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5C-D248-94BF-B5D31464C96B}"/>
            </c:ext>
          </c:extLst>
        </c:ser>
        <c:ser>
          <c:idx val="2"/>
          <c:order val="2"/>
          <c:tx>
            <c:strRef>
              <c:f>'PART 1'!$DU$5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1'!$DU$65:$DU$80</c:f>
              <c:numCache>
                <c:formatCode>0.0E+00</c:formatCode>
                <c:ptCount val="16"/>
                <c:pt idx="0">
                  <c:v>-0.29910094119721536</c:v>
                </c:pt>
                <c:pt idx="1">
                  <c:v>-0.2990901341421216</c:v>
                </c:pt>
                <c:pt idx="2">
                  <c:v>-0.29894794754297283</c:v>
                </c:pt>
                <c:pt idx="3">
                  <c:v>-0.29791018552939919</c:v>
                </c:pt>
                <c:pt idx="4">
                  <c:v>-0.29327187442853181</c:v>
                </c:pt>
                <c:pt idx="5">
                  <c:v>-0.27954086416817797</c:v>
                </c:pt>
                <c:pt idx="6">
                  <c:v>-0.25086087962514603</c:v>
                </c:pt>
                <c:pt idx="7">
                  <c:v>-0.20635643539850787</c:v>
                </c:pt>
                <c:pt idx="8">
                  <c:v>-0.15281809298363572</c:v>
                </c:pt>
                <c:pt idx="9">
                  <c:v>-0.10108778985951709</c:v>
                </c:pt>
                <c:pt idx="10">
                  <c:v>-5.9732254020951649E-2</c:v>
                </c:pt>
                <c:pt idx="11">
                  <c:v>-3.168420111569268E-2</c:v>
                </c:pt>
                <c:pt idx="12">
                  <c:v>-1.5199706420834205E-2</c:v>
                </c:pt>
                <c:pt idx="13">
                  <c:v>-6.6506285905427315E-3</c:v>
                </c:pt>
                <c:pt idx="14">
                  <c:v>-2.6770963052205918E-3</c:v>
                </c:pt>
                <c:pt idx="15">
                  <c:v>-9.9962649464833248E-4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5C-D248-94BF-B5D31464C96B}"/>
            </c:ext>
          </c:extLst>
        </c:ser>
        <c:ser>
          <c:idx val="3"/>
          <c:order val="3"/>
          <c:tx>
            <c:strRef>
              <c:f>'PART 1'!$DV$5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1'!$DV$65:$DV$80</c:f>
              <c:numCache>
                <c:formatCode>0.0E+00</c:formatCode>
                <c:ptCount val="16"/>
                <c:pt idx="0">
                  <c:v>-0.39839383281279955</c:v>
                </c:pt>
                <c:pt idx="1">
                  <c:v>-0.39828613898434018</c:v>
                </c:pt>
                <c:pt idx="2">
                  <c:v>-0.39753608871221147</c:v>
                </c:pt>
                <c:pt idx="3">
                  <c:v>-0.39419735917183096</c:v>
                </c:pt>
                <c:pt idx="4">
                  <c:v>-0.38395353517001568</c:v>
                </c:pt>
                <c:pt idx="5">
                  <c:v>-0.36094855187459557</c:v>
                </c:pt>
                <c:pt idx="6">
                  <c:v>-0.32125751421305254</c:v>
                </c:pt>
                <c:pt idx="7">
                  <c:v>-0.26652860795022792</c:v>
                </c:pt>
                <c:pt idx="8">
                  <c:v>-0.20422688060793115</c:v>
                </c:pt>
                <c:pt idx="9">
                  <c:v>-0.14407573020157963</c:v>
                </c:pt>
                <c:pt idx="10">
                  <c:v>-9.3699290121329132E-2</c:v>
                </c:pt>
                <c:pt idx="11">
                  <c:v>-5.6401929841114549E-2</c:v>
                </c:pt>
                <c:pt idx="12">
                  <c:v>-3.1595730956826704E-2</c:v>
                </c:pt>
                <c:pt idx="13">
                  <c:v>-1.6571142382086741E-2</c:v>
                </c:pt>
                <c:pt idx="14">
                  <c:v>-8.1866116809250558E-3</c:v>
                </c:pt>
                <c:pt idx="15">
                  <c:v>-3.8319779767900762E-3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5C-D248-94BF-B5D31464C96B}"/>
            </c:ext>
          </c:extLst>
        </c:ser>
        <c:ser>
          <c:idx val="4"/>
          <c:order val="4"/>
          <c:tx>
            <c:strRef>
              <c:f>'PART 1'!$DW$5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1'!$DW$65:$DW$80</c:f>
              <c:numCache>
                <c:formatCode>0.0E+00</c:formatCode>
                <c:ptCount val="16"/>
                <c:pt idx="0">
                  <c:v>-0.49744035279710597</c:v>
                </c:pt>
                <c:pt idx="1">
                  <c:v>-0.49699382138164072</c:v>
                </c:pt>
                <c:pt idx="2">
                  <c:v>-0.49488315365673735</c:v>
                </c:pt>
                <c:pt idx="3">
                  <c:v>-0.48793118931720991</c:v>
                </c:pt>
                <c:pt idx="4">
                  <c:v>-0.47096501783520417</c:v>
                </c:pt>
                <c:pt idx="5">
                  <c:v>-0.43875068358505365</c:v>
                </c:pt>
                <c:pt idx="6">
                  <c:v>-0.38925508361484984</c:v>
                </c:pt>
                <c:pt idx="7">
                  <c:v>-0.32571967311131306</c:v>
                </c:pt>
                <c:pt idx="8">
                  <c:v>-0.25576885410967215</c:v>
                </c:pt>
                <c:pt idx="9">
                  <c:v>-0.18826439216165011</c:v>
                </c:pt>
                <c:pt idx="10">
                  <c:v>-0.13012028815236004</c:v>
                </c:pt>
                <c:pt idx="11">
                  <c:v>-8.4734081361611549E-2</c:v>
                </c:pt>
                <c:pt idx="12">
                  <c:v>-5.2212168137941772E-2</c:v>
                </c:pt>
                <c:pt idx="13">
                  <c:v>-3.058425410656284E-2</c:v>
                </c:pt>
                <c:pt idx="14">
                  <c:v>-1.7110072638825885E-2</c:v>
                </c:pt>
                <c:pt idx="15">
                  <c:v>-9.182683253990985E-3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C-D248-94BF-B5D31464C96B}"/>
            </c:ext>
          </c:extLst>
        </c:ser>
        <c:ser>
          <c:idx val="5"/>
          <c:order val="5"/>
          <c:tx>
            <c:strRef>
              <c:f>'PART 1'!$DX$5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1'!$DX$65:$DX$80</c:f>
              <c:numCache>
                <c:formatCode>0.0E+00</c:formatCode>
                <c:ptCount val="16"/>
                <c:pt idx="0">
                  <c:v>-0.59615741088545715</c:v>
                </c:pt>
                <c:pt idx="1">
                  <c:v>-0.59497610389550271</c:v>
                </c:pt>
                <c:pt idx="2">
                  <c:v>-0.59067651342831895</c:v>
                </c:pt>
                <c:pt idx="3">
                  <c:v>-0.57911532755875661</c:v>
                </c:pt>
                <c:pt idx="4">
                  <c:v>-0.55492757242980617</c:v>
                </c:pt>
                <c:pt idx="5">
                  <c:v>-0.51390032109866013</c:v>
                </c:pt>
                <c:pt idx="6">
                  <c:v>-0.45558439750236124</c:v>
                </c:pt>
                <c:pt idx="7">
                  <c:v>-0.38423416226145973</c:v>
                </c:pt>
                <c:pt idx="8">
                  <c:v>-0.30741820985414314</c:v>
                </c:pt>
                <c:pt idx="9">
                  <c:v>-0.23331210863230878</c:v>
                </c:pt>
                <c:pt idx="10">
                  <c:v>-0.16827158447361532</c:v>
                </c:pt>
                <c:pt idx="11">
                  <c:v>-0.1156742572149194</c:v>
                </c:pt>
                <c:pt idx="12">
                  <c:v>-7.6059532268932792E-2</c:v>
                </c:pt>
                <c:pt idx="13">
                  <c:v>-4.8016470024207905E-2</c:v>
                </c:pt>
                <c:pt idx="14">
                  <c:v>-2.9212248017103624E-2</c:v>
                </c:pt>
                <c:pt idx="15">
                  <c:v>-1.7188123836696396E-2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C-D248-94BF-B5D31464C96B}"/>
            </c:ext>
          </c:extLst>
        </c:ser>
        <c:ser>
          <c:idx val="6"/>
          <c:order val="6"/>
          <c:tx>
            <c:strRef>
              <c:f>'PART 1'!$DY$5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1'!$DY$65:$DY$80</c:f>
              <c:numCache>
                <c:formatCode>0.0E+00</c:formatCode>
                <c:ptCount val="16"/>
                <c:pt idx="0">
                  <c:v>-0.69443214691678545</c:v>
                </c:pt>
                <c:pt idx="1">
                  <c:v>-0.69202729459779011</c:v>
                </c:pt>
                <c:pt idx="2">
                  <c:v>-0.68477647194821667</c:v>
                </c:pt>
                <c:pt idx="3">
                  <c:v>-0.66792834360049602</c:v>
                </c:pt>
                <c:pt idx="4">
                  <c:v>-0.63637397192903389</c:v>
                </c:pt>
                <c:pt idx="5">
                  <c:v>-0.58701700610865204</c:v>
                </c:pt>
                <c:pt idx="6">
                  <c:v>-0.52067288526246502</c:v>
                </c:pt>
                <c:pt idx="7">
                  <c:v>-0.44224635428979553</c:v>
                </c:pt>
                <c:pt idx="8">
                  <c:v>-0.35915594909590859</c:v>
                </c:pt>
                <c:pt idx="9">
                  <c:v>-0.27901490922210381</c:v>
                </c:pt>
                <c:pt idx="10">
                  <c:v>-0.20772528778888061</c:v>
                </c:pt>
                <c:pt idx="11">
                  <c:v>-0.14859597428160154</c:v>
                </c:pt>
                <c:pt idx="12">
                  <c:v>-0.10244473451937502</c:v>
                </c:pt>
                <c:pt idx="13">
                  <c:v>-6.828114554790847E-2</c:v>
                </c:pt>
                <c:pt idx="14">
                  <c:v>-4.4135283421453918E-2</c:v>
                </c:pt>
                <c:pt idx="15">
                  <c:v>-2.7747891614049097E-2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5C-D248-94BF-B5D31464C96B}"/>
            </c:ext>
          </c:extLst>
        </c:ser>
        <c:ser>
          <c:idx val="7"/>
          <c:order val="7"/>
          <c:tx>
            <c:strRef>
              <c:f>'PART 1'!$DZ$5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1'!$DZ$65:$DZ$80</c:f>
              <c:numCache>
                <c:formatCode>0.0E+00</c:formatCode>
                <c:ptCount val="16"/>
                <c:pt idx="0">
                  <c:v>-0.79214630188643631</c:v>
                </c:pt>
                <c:pt idx="1">
                  <c:v>-0.78800185672067002</c:v>
                </c:pt>
                <c:pt idx="2">
                  <c:v>-0.7771615822903567</c:v>
                </c:pt>
                <c:pt idx="3">
                  <c:v>-0.75459956615962387</c:v>
                </c:pt>
                <c:pt idx="4">
                  <c:v>-0.71572661144250882</c:v>
                </c:pt>
                <c:pt idx="5">
                  <c:v>-0.65852123968914789</c:v>
                </c:pt>
                <c:pt idx="6">
                  <c:v>-0.58479342652948607</c:v>
                </c:pt>
                <c:pt idx="7">
                  <c:v>-0.49986608952017586</c:v>
                </c:pt>
                <c:pt idx="8">
                  <c:v>-0.41096731210161047</c:v>
                </c:pt>
                <c:pt idx="9">
                  <c:v>-0.3252387036151238</c:v>
                </c:pt>
                <c:pt idx="10">
                  <c:v>-0.24820403087334714</c:v>
                </c:pt>
                <c:pt idx="11">
                  <c:v>-0.18308261698945508</c:v>
                </c:pt>
                <c:pt idx="12">
                  <c:v>-0.13087469431094348</c:v>
                </c:pt>
                <c:pt idx="13">
                  <c:v>-9.0908489929242081E-2</c:v>
                </c:pt>
                <c:pt idx="14">
                  <c:v>-6.152336897817718E-2</c:v>
                </c:pt>
                <c:pt idx="15">
                  <c:v>-4.0668157638389463E-2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C-D248-94BF-B5D31464C96B}"/>
            </c:ext>
          </c:extLst>
        </c:ser>
        <c:ser>
          <c:idx val="8"/>
          <c:order val="8"/>
          <c:tx>
            <c:strRef>
              <c:f>'PART 1'!$EA$5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1'!$EA$65:$EA$80</c:f>
              <c:numCache>
                <c:formatCode>0.0E+00</c:formatCode>
                <c:ptCount val="16"/>
                <c:pt idx="0">
                  <c:v>-0.88919402699541406</c:v>
                </c:pt>
                <c:pt idx="1">
                  <c:v>-0.88281318832772104</c:v>
                </c:pt>
                <c:pt idx="2">
                  <c:v>-0.86787848942993062</c:v>
                </c:pt>
                <c:pt idx="3">
                  <c:v>-0.83935697944585197</c:v>
                </c:pt>
                <c:pt idx="4">
                  <c:v>-0.7933152003374272</c:v>
                </c:pt>
                <c:pt idx="5">
                  <c:v>-0.72871028885159728</c:v>
                </c:pt>
                <c:pt idx="6">
                  <c:v>-0.64813159334649983</c:v>
                </c:pt>
                <c:pt idx="7">
                  <c:v>-0.55716734327099038</c:v>
                </c:pt>
                <c:pt idx="8">
                  <c:v>-0.46284039504608737</c:v>
                </c:pt>
                <c:pt idx="9">
                  <c:v>-0.37188929290105366</c:v>
                </c:pt>
                <c:pt idx="10">
                  <c:v>-0.28951588055875793</c:v>
                </c:pt>
                <c:pt idx="11">
                  <c:v>-0.21884217828463357</c:v>
                </c:pt>
                <c:pt idx="12">
                  <c:v>-0.1609889875652811</c:v>
                </c:pt>
                <c:pt idx="13">
                  <c:v>-0.11552875943323929</c:v>
                </c:pt>
                <c:pt idx="14">
                  <c:v>-8.1060435850244833E-2</c:v>
                </c:pt>
                <c:pt idx="15">
                  <c:v>-5.5731173432878381E-2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C-D248-94BF-B5D31464C96B}"/>
            </c:ext>
          </c:extLst>
        </c:ser>
        <c:ser>
          <c:idx val="9"/>
          <c:order val="9"/>
          <c:tx>
            <c:strRef>
              <c:f>'PART 1'!$EB$5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1'!$EB$65:$EB$80</c:f>
              <c:numCache>
                <c:formatCode>0.0E+00</c:formatCode>
                <c:ptCount val="16"/>
                <c:pt idx="0">
                  <c:v>-0.98549024249215722</c:v>
                </c:pt>
                <c:pt idx="1">
                  <c:v>-0.97642162356209627</c:v>
                </c:pt>
                <c:pt idx="2">
                  <c:v>-0.95700847271534706</c:v>
                </c:pt>
                <c:pt idx="3">
                  <c:v>-0.92240828981620471</c:v>
                </c:pt>
                <c:pt idx="4">
                  <c:v>-0.86939811441071069</c:v>
                </c:pt>
                <c:pt idx="5">
                  <c:v>-0.79780177175508082</c:v>
                </c:pt>
                <c:pt idx="6">
                  <c:v>-0.71081972912872315</c:v>
                </c:pt>
                <c:pt idx="7">
                  <c:v>-0.6142024111484663</c:v>
                </c:pt>
                <c:pt idx="8">
                  <c:v>-0.51476532828002164</c:v>
                </c:pt>
                <c:pt idx="9">
                  <c:v>-0.41889720800495206</c:v>
                </c:pt>
                <c:pt idx="10">
                  <c:v>-0.33152138842643408</c:v>
                </c:pt>
                <c:pt idx="11">
                  <c:v>-0.25566125133901574</c:v>
                </c:pt>
                <c:pt idx="12">
                  <c:v>-0.19251686638792745</c:v>
                </c:pt>
                <c:pt idx="13">
                  <c:v>-0.14185000790281935</c:v>
                </c:pt>
                <c:pt idx="14">
                  <c:v>-0.10247663661348423</c:v>
                </c:pt>
                <c:pt idx="15">
                  <c:v>-7.2725467232320318E-2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5C-D248-94BF-B5D31464C96B}"/>
            </c:ext>
          </c:extLst>
        </c:ser>
        <c:ser>
          <c:idx val="10"/>
          <c:order val="10"/>
          <c:tx>
            <c:strRef>
              <c:f>'PART 1'!$EC$5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1'!$EC$65:$EC$80</c:f>
              <c:numCache>
                <c:formatCode>0.0E+00</c:formatCode>
                <c:ptCount val="16"/>
                <c:pt idx="0">
                  <c:v>-1.9010442651574975</c:v>
                </c:pt>
                <c:pt idx="1">
                  <c:v>-1.8516049152267084</c:v>
                </c:pt>
                <c:pt idx="2">
                  <c:v>-1.7810765397615398</c:v>
                </c:pt>
                <c:pt idx="3">
                  <c:v>-1.6892014647187603</c:v>
                </c:pt>
                <c:pt idx="4">
                  <c:v>-1.5781333252461023</c:v>
                </c:pt>
                <c:pt idx="5">
                  <c:v>-1.4519373350091147</c:v>
                </c:pt>
                <c:pt idx="6">
                  <c:v>-1.3158096309700396</c:v>
                </c:pt>
                <c:pt idx="7">
                  <c:v>-1.1752633104385721</c:v>
                </c:pt>
                <c:pt idx="8">
                  <c:v>-1.0354544111550688</c:v>
                </c:pt>
                <c:pt idx="9">
                  <c:v>-0.90072854957655835</c:v>
                </c:pt>
                <c:pt idx="10">
                  <c:v>-0.77439387810982696</c:v>
                </c:pt>
                <c:pt idx="11">
                  <c:v>-0.65868086279061155</c:v>
                </c:pt>
                <c:pt idx="12">
                  <c:v>-0.55483161920358515</c:v>
                </c:pt>
                <c:pt idx="13">
                  <c:v>-0.46326256041769354</c:v>
                </c:pt>
                <c:pt idx="14">
                  <c:v>-0.38375493287931833</c:v>
                </c:pt>
                <c:pt idx="15">
                  <c:v>-0.31564169863796115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5C-D248-94BF-B5D31464C96B}"/>
            </c:ext>
          </c:extLst>
        </c:ser>
        <c:ser>
          <c:idx val="11"/>
          <c:order val="11"/>
          <c:tx>
            <c:strRef>
              <c:f>'PART 1'!$ED$5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1'!$ED$65:$ED$80</c:f>
              <c:numCache>
                <c:formatCode>0.0E+00</c:formatCode>
                <c:ptCount val="16"/>
                <c:pt idx="0">
                  <c:v>-2.7388840052041403</c:v>
                </c:pt>
                <c:pt idx="1">
                  <c:v>-2.6442743352052376</c:v>
                </c:pt>
                <c:pt idx="2">
                  <c:v>-2.5265717253150868</c:v>
                </c:pt>
                <c:pt idx="3">
                  <c:v>-2.3885967896533566</c:v>
                </c:pt>
                <c:pt idx="4">
                  <c:v>-2.2345611221477659</c:v>
                </c:pt>
                <c:pt idx="5">
                  <c:v>-2.0694088502785388</c:v>
                </c:pt>
                <c:pt idx="6">
                  <c:v>-1.8982199268452462</c:v>
                </c:pt>
                <c:pt idx="7">
                  <c:v>-1.7257498868906036</c:v>
                </c:pt>
                <c:pt idx="8">
                  <c:v>-1.5561276866903309</c:v>
                </c:pt>
                <c:pt idx="9">
                  <c:v>-1.3926989065749853</c:v>
                </c:pt>
                <c:pt idx="10">
                  <c:v>-1.2379845616845606</c:v>
                </c:pt>
                <c:pt idx="11">
                  <c:v>-1.0937211792786214</c:v>
                </c:pt>
                <c:pt idx="12">
                  <c:v>-0.96095059103296132</c:v>
                </c:pt>
                <c:pt idx="13">
                  <c:v>-0.84013408061792327</c:v>
                </c:pt>
                <c:pt idx="14">
                  <c:v>-0.73127252314863256</c:v>
                </c:pt>
                <c:pt idx="15">
                  <c:v>-0.63402052128096154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15C-D248-94BF-B5D31464C96B}"/>
            </c:ext>
          </c:extLst>
        </c:ser>
        <c:ser>
          <c:idx val="12"/>
          <c:order val="12"/>
          <c:tx>
            <c:strRef>
              <c:f>'PART 1'!$EE$5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1'!$EE$65:$EE$80</c:f>
              <c:numCache>
                <c:formatCode>0.0E+00</c:formatCode>
                <c:ptCount val="16"/>
                <c:pt idx="0">
                  <c:v>-3.5193862364046682</c:v>
                </c:pt>
                <c:pt idx="1">
                  <c:v>-3.3834919661091263</c:v>
                </c:pt>
                <c:pt idx="2">
                  <c:v>-3.2256582707604915</c:v>
                </c:pt>
                <c:pt idx="3">
                  <c:v>-3.0501810319303875</c:v>
                </c:pt>
                <c:pt idx="4">
                  <c:v>-2.8619442081618183</c:v>
                </c:pt>
                <c:pt idx="5">
                  <c:v>-2.665906412411668</c:v>
                </c:pt>
                <c:pt idx="6">
                  <c:v>-2.4667209312610385</c:v>
                </c:pt>
                <c:pt idx="7">
                  <c:v>-2.2684912659159515</c:v>
                </c:pt>
                <c:pt idx="8">
                  <c:v>-2.0746435400648329</c:v>
                </c:pt>
                <c:pt idx="9">
                  <c:v>-1.8878889319767538</c:v>
                </c:pt>
                <c:pt idx="10">
                  <c:v>-1.7102488744895861</c:v>
                </c:pt>
                <c:pt idx="11">
                  <c:v>-1.5431193627647783</c:v>
                </c:pt>
                <c:pt idx="12">
                  <c:v>-1.3873558039573215</c:v>
                </c:pt>
                <c:pt idx="13">
                  <c:v>-1.2433649767000055</c:v>
                </c:pt>
                <c:pt idx="14">
                  <c:v>-1.1111951260614406</c:v>
                </c:pt>
                <c:pt idx="15">
                  <c:v>-0.99061874914576131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5C-D248-94BF-B5D31464C96B}"/>
            </c:ext>
          </c:extLst>
        </c:ser>
        <c:ser>
          <c:idx val="13"/>
          <c:order val="13"/>
          <c:tx>
            <c:strRef>
              <c:f>'PART 1'!$EF$5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1'!$B$65:$B$80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1'!$EF$65:$EF$80</c:f>
              <c:numCache>
                <c:formatCode>0.0E+00</c:formatCode>
                <c:ptCount val="16"/>
                <c:pt idx="0">
                  <c:v>-4.2571656170608438</c:v>
                </c:pt>
                <c:pt idx="1">
                  <c:v>-4.0847066211875553</c:v>
                </c:pt>
                <c:pt idx="2">
                  <c:v>-3.8925166110455169</c:v>
                </c:pt>
                <c:pt idx="3">
                  <c:v>-3.6855361666166675</c:v>
                </c:pt>
                <c:pt idx="4">
                  <c:v>-3.4687687242801872</c:v>
                </c:pt>
                <c:pt idx="5">
                  <c:v>-3.2469274685521823</c:v>
                </c:pt>
                <c:pt idx="6">
                  <c:v>-3.024212005593808</c:v>
                </c:pt>
                <c:pt idx="7">
                  <c:v>-2.804192057514328</c:v>
                </c:pt>
                <c:pt idx="8">
                  <c:v>-2.5897713521361756</c:v>
                </c:pt>
                <c:pt idx="9">
                  <c:v>-2.3832066203088491</c:v>
                </c:pt>
                <c:pt idx="10">
                  <c:v>-2.186160898088068</c:v>
                </c:pt>
                <c:pt idx="11">
                  <c:v>-1.9997752423204445</c:v>
                </c:pt>
                <c:pt idx="12">
                  <c:v>-1.8247475153256765</c:v>
                </c:pt>
                <c:pt idx="13">
                  <c:v>-1.6614106664413506</c:v>
                </c:pt>
                <c:pt idx="14">
                  <c:v>-1.5098058483276644</c:v>
                </c:pt>
                <c:pt idx="15">
                  <c:v>-1.3697478270717238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15C-D248-94BF-B5D31464C96B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Rho, vol=0.3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1'!$DS$5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1'!$DS$83:$DS$98</c:f>
              <c:numCache>
                <c:formatCode>0.0E+00</c:formatCode>
                <c:ptCount val="16"/>
                <c:pt idx="0">
                  <c:v>-9.9900047030714284E-2</c:v>
                </c:pt>
                <c:pt idx="1">
                  <c:v>-9.9899815209394241E-2</c:v>
                </c:pt>
                <c:pt idx="2">
                  <c:v>-9.9892721932446818E-2</c:v>
                </c:pt>
                <c:pt idx="3">
                  <c:v>-9.9792886943120107E-2</c:v>
                </c:pt>
                <c:pt idx="4">
                  <c:v>-9.9056254487734446E-2</c:v>
                </c:pt>
                <c:pt idx="5">
                  <c:v>-9.5898079367803174E-2</c:v>
                </c:pt>
                <c:pt idx="6">
                  <c:v>-8.7353656633138821E-2</c:v>
                </c:pt>
                <c:pt idx="7">
                  <c:v>-7.1750558994645955E-2</c:v>
                </c:pt>
                <c:pt idx="8">
                  <c:v>-5.1420047719604019E-2</c:v>
                </c:pt>
                <c:pt idx="9">
                  <c:v>-3.1622218849540334E-2</c:v>
                </c:pt>
                <c:pt idx="10">
                  <c:v>-1.6641455853283121E-2</c:v>
                </c:pt>
                <c:pt idx="11">
                  <c:v>-7.5379242114053903E-3</c:v>
                </c:pt>
                <c:pt idx="12">
                  <c:v>-2.9688947395648678E-3</c:v>
                </c:pt>
                <c:pt idx="13">
                  <c:v>-1.0289433281621665E-3</c:v>
                </c:pt>
                <c:pt idx="14">
                  <c:v>-3.1763475348564217E-4</c:v>
                </c:pt>
                <c:pt idx="15">
                  <c:v>-8.8365776347318313E-5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4-A447-981A-48AC080A3226}"/>
            </c:ext>
          </c:extLst>
        </c:ser>
        <c:ser>
          <c:idx val="1"/>
          <c:order val="1"/>
          <c:tx>
            <c:strRef>
              <c:f>'PART 1'!$DT$5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1'!$DT$83:$DT$98</c:f>
              <c:numCache>
                <c:formatCode>0.0E+00</c:formatCode>
                <c:ptCount val="16"/>
                <c:pt idx="0">
                  <c:v>-0.19958906720312347</c:v>
                </c:pt>
                <c:pt idx="1">
                  <c:v>-0.19949039646523606</c:v>
                </c:pt>
                <c:pt idx="2">
                  <c:v>-0.19893027320196227</c:v>
                </c:pt>
                <c:pt idx="3">
                  <c:v>-0.19679989179304899</c:v>
                </c:pt>
                <c:pt idx="4">
                  <c:v>-0.19099023964378906</c:v>
                </c:pt>
                <c:pt idx="5">
                  <c:v>-0.17900138464702656</c:v>
                </c:pt>
                <c:pt idx="6">
                  <c:v>-0.15944882974268879</c:v>
                </c:pt>
                <c:pt idx="7">
                  <c:v>-0.13333997377192364</c:v>
                </c:pt>
                <c:pt idx="8">
                  <c:v>-0.10395295434007169</c:v>
                </c:pt>
                <c:pt idx="9">
                  <c:v>-7.5392221644094565E-2</c:v>
                </c:pt>
                <c:pt idx="10">
                  <c:v>-5.0937365645645362E-2</c:v>
                </c:pt>
                <c:pt idx="11">
                  <c:v>-3.2175041796380505E-2</c:v>
                </c:pt>
                <c:pt idx="12">
                  <c:v>-1.9090872906448658E-2</c:v>
                </c:pt>
                <c:pt idx="13">
                  <c:v>-1.0695711321091922E-2</c:v>
                </c:pt>
                <c:pt idx="14">
                  <c:v>-5.6878041459199804E-3</c:v>
                </c:pt>
                <c:pt idx="15">
                  <c:v>-2.8855089414024254E-3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54-A447-981A-48AC080A3226}"/>
            </c:ext>
          </c:extLst>
        </c:ser>
        <c:ser>
          <c:idx val="2"/>
          <c:order val="2"/>
          <c:tx>
            <c:strRef>
              <c:f>'PART 1'!$DU$5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1'!$DU$83:$DU$98</c:f>
              <c:numCache>
                <c:formatCode>0.0E+00</c:formatCode>
                <c:ptCount val="16"/>
                <c:pt idx="0">
                  <c:v>-0.29887547417898264</c:v>
                </c:pt>
                <c:pt idx="1">
                  <c:v>-0.29801848402060005</c:v>
                </c:pt>
                <c:pt idx="2">
                  <c:v>-0.29529580115074583</c:v>
                </c:pt>
                <c:pt idx="3">
                  <c:v>-0.28869660557168259</c:v>
                </c:pt>
                <c:pt idx="4">
                  <c:v>-0.27591313342368473</c:v>
                </c:pt>
                <c:pt idx="5">
                  <c:v>-0.25537879201417174</c:v>
                </c:pt>
                <c:pt idx="6">
                  <c:v>-0.2272055922584382</c:v>
                </c:pt>
                <c:pt idx="7">
                  <c:v>-0.19338834480645484</c:v>
                </c:pt>
                <c:pt idx="8">
                  <c:v>-0.15717041819193842</c:v>
                </c:pt>
                <c:pt idx="9">
                  <c:v>-0.12199458879506278</c:v>
                </c:pt>
                <c:pt idx="10">
                  <c:v>-9.0591488575332849E-2</c:v>
                </c:pt>
                <c:pt idx="11">
                  <c:v>-6.4527989326634019E-2</c:v>
                </c:pt>
                <c:pt idx="12">
                  <c:v>-4.4223954983262002E-2</c:v>
                </c:pt>
                <c:pt idx="13">
                  <c:v>-2.9256345887026764E-2</c:v>
                </c:pt>
                <c:pt idx="14">
                  <c:v>-1.8742566154242985E-2</c:v>
                </c:pt>
                <c:pt idx="15">
                  <c:v>-1.1663257841904279E-2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54-A447-981A-48AC080A3226}"/>
            </c:ext>
          </c:extLst>
        </c:ser>
        <c:ser>
          <c:idx val="3"/>
          <c:order val="3"/>
          <c:tx>
            <c:strRef>
              <c:f>'PART 1'!$DV$5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1'!$DV$83:$DV$98</c:f>
              <c:numCache>
                <c:formatCode>0.0E+00</c:formatCode>
                <c:ptCount val="16"/>
                <c:pt idx="0">
                  <c:v>-0.39727301203731991</c:v>
                </c:pt>
                <c:pt idx="1">
                  <c:v>-0.39460495109785848</c:v>
                </c:pt>
                <c:pt idx="2">
                  <c:v>-0.38829467704337572</c:v>
                </c:pt>
                <c:pt idx="3">
                  <c:v>-0.37612570933400952</c:v>
                </c:pt>
                <c:pt idx="4">
                  <c:v>-0.35630152749774369</c:v>
                </c:pt>
                <c:pt idx="5">
                  <c:v>-0.32824500784124316</c:v>
                </c:pt>
                <c:pt idx="6">
                  <c:v>-0.29296712274180514</c:v>
                </c:pt>
                <c:pt idx="7">
                  <c:v>-0.25283630479182273</c:v>
                </c:pt>
                <c:pt idx="8">
                  <c:v>-0.21091857886389082</c:v>
                </c:pt>
                <c:pt idx="9">
                  <c:v>-0.17022082337465497</c:v>
                </c:pt>
                <c:pt idx="10">
                  <c:v>-0.13311773507029778</c:v>
                </c:pt>
                <c:pt idx="11">
                  <c:v>-0.10108355896176431</c:v>
                </c:pt>
                <c:pt idx="12">
                  <c:v>-7.4702107031297357E-2</c:v>
                </c:pt>
                <c:pt idx="13">
                  <c:v>-5.3851866590454225E-2</c:v>
                </c:pt>
                <c:pt idx="14">
                  <c:v>-3.7955110917255099E-2</c:v>
                </c:pt>
                <c:pt idx="15">
                  <c:v>-2.6210787015647562E-2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54-A447-981A-48AC080A3226}"/>
            </c:ext>
          </c:extLst>
        </c:ser>
        <c:ser>
          <c:idx val="4"/>
          <c:order val="4"/>
          <c:tx>
            <c:strRef>
              <c:f>'PART 1'!$DW$5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1'!$DW$83:$DW$98</c:f>
              <c:numCache>
                <c:formatCode>0.0E+00</c:formatCode>
                <c:ptCount val="16"/>
                <c:pt idx="0">
                  <c:v>-0.49433351210635079</c:v>
                </c:pt>
                <c:pt idx="1">
                  <c:v>-0.48890399982000055</c:v>
                </c:pt>
                <c:pt idx="2">
                  <c:v>-0.47816504058929116</c:v>
                </c:pt>
                <c:pt idx="3">
                  <c:v>-0.46013059686234931</c:v>
                </c:pt>
                <c:pt idx="4">
                  <c:v>-0.43367000036610232</c:v>
                </c:pt>
                <c:pt idx="5">
                  <c:v>-0.3989765623363617</c:v>
                </c:pt>
                <c:pt idx="6">
                  <c:v>-0.35758896429098663</c:v>
                </c:pt>
                <c:pt idx="7">
                  <c:v>-0.31200732377082802</c:v>
                </c:pt>
                <c:pt idx="8">
                  <c:v>-0.26510802422028057</c:v>
                </c:pt>
                <c:pt idx="9">
                  <c:v>-0.21958303940413396</c:v>
                </c:pt>
                <c:pt idx="10">
                  <c:v>-0.17755193759705692</c:v>
                </c:pt>
                <c:pt idx="11">
                  <c:v>-0.1403912275606832</c:v>
                </c:pt>
                <c:pt idx="12">
                  <c:v>-0.1087480906414381</c:v>
                </c:pt>
                <c:pt idx="13">
                  <c:v>-8.2670405339206526E-2</c:v>
                </c:pt>
                <c:pt idx="14">
                  <c:v>-6.1784478908191644E-2</c:v>
                </c:pt>
                <c:pt idx="15">
                  <c:v>-4.5469811740087018E-2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54-A447-981A-48AC080A3226}"/>
            </c:ext>
          </c:extLst>
        </c:ser>
        <c:ser>
          <c:idx val="5"/>
          <c:order val="5"/>
          <c:tx>
            <c:strRef>
              <c:f>'PART 1'!$DX$5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1'!$DX$83:$DX$98</c:f>
              <c:numCache>
                <c:formatCode>0.0E+00</c:formatCode>
                <c:ptCount val="16"/>
                <c:pt idx="0">
                  <c:v>-0.58981988989516643</c:v>
                </c:pt>
                <c:pt idx="1">
                  <c:v>-0.58094117623133856</c:v>
                </c:pt>
                <c:pt idx="2">
                  <c:v>-0.56536508987617051</c:v>
                </c:pt>
                <c:pt idx="3">
                  <c:v>-0.54152295085709456</c:v>
                </c:pt>
                <c:pt idx="4">
                  <c:v>-0.50890833069967678</c:v>
                </c:pt>
                <c:pt idx="5">
                  <c:v>-0.4682779514529069</c:v>
                </c:pt>
                <c:pt idx="6">
                  <c:v>-0.4214833813816844</c:v>
                </c:pt>
                <c:pt idx="7">
                  <c:v>-0.37104981227197853</c:v>
                </c:pt>
                <c:pt idx="8">
                  <c:v>-0.31967811425022302</c:v>
                </c:pt>
                <c:pt idx="9">
                  <c:v>-0.26981864563056945</c:v>
                </c:pt>
                <c:pt idx="10">
                  <c:v>-0.22339610469459531</c:v>
                </c:pt>
                <c:pt idx="11">
                  <c:v>-0.18169714673388676</c:v>
                </c:pt>
                <c:pt idx="12">
                  <c:v>-0.14538880066773127</c:v>
                </c:pt>
                <c:pt idx="13">
                  <c:v>-0.11461881193040134</c:v>
                </c:pt>
                <c:pt idx="14">
                  <c:v>-8.9151454622707488E-2</c:v>
                </c:pt>
                <c:pt idx="15">
                  <c:v>-6.8504379043218822E-2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54-A447-981A-48AC080A3226}"/>
            </c:ext>
          </c:extLst>
        </c:ser>
        <c:ser>
          <c:idx val="6"/>
          <c:order val="6"/>
          <c:tx>
            <c:strRef>
              <c:f>'PART 1'!$DY$5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1'!$DY$83:$DY$98</c:f>
              <c:numCache>
                <c:formatCode>0.0E+00</c:formatCode>
                <c:ptCount val="16"/>
                <c:pt idx="0">
                  <c:v>-0.68366780363485458</c:v>
                </c:pt>
                <c:pt idx="1">
                  <c:v>-0.67089416355798881</c:v>
                </c:pt>
                <c:pt idx="2">
                  <c:v>-0.65033286603069052</c:v>
                </c:pt>
                <c:pt idx="3">
                  <c:v>-0.62088320880276149</c:v>
                </c:pt>
                <c:pt idx="4">
                  <c:v>-0.58257023016842235</c:v>
                </c:pt>
                <c:pt idx="5">
                  <c:v>-0.5365572432015524</c:v>
                </c:pt>
                <c:pt idx="6">
                  <c:v>-0.48488129083332387</c:v>
                </c:pt>
                <c:pt idx="7">
                  <c:v>-0.43004230654885534</c:v>
                </c:pt>
                <c:pt idx="8">
                  <c:v>-0.37458411170844053</c:v>
                </c:pt>
                <c:pt idx="9">
                  <c:v>-0.32076374008132214</c:v>
                </c:pt>
                <c:pt idx="10">
                  <c:v>-0.27035040597686349</c:v>
                </c:pt>
                <c:pt idx="11">
                  <c:v>-0.22455066198211743</c:v>
                </c:pt>
                <c:pt idx="12">
                  <c:v>-0.18403073516187135</c:v>
                </c:pt>
                <c:pt idx="13">
                  <c:v>-0.14899902887802657</c:v>
                </c:pt>
                <c:pt idx="14">
                  <c:v>-0.1193152827586785</c:v>
                </c:pt>
                <c:pt idx="15">
                  <c:v>-9.4601690411796877E-2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54-A447-981A-48AC080A3226}"/>
            </c:ext>
          </c:extLst>
        </c:ser>
        <c:ser>
          <c:idx val="7"/>
          <c:order val="7"/>
          <c:tx>
            <c:strRef>
              <c:f>'PART 1'!$DZ$5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1'!$DZ$83:$DZ$98</c:f>
              <c:numCache>
                <c:formatCode>0.0E+00</c:formatCode>
                <c:ptCount val="16"/>
                <c:pt idx="0">
                  <c:v>-0.77591406824195053</c:v>
                </c:pt>
                <c:pt idx="1">
                  <c:v>-0.75898139189468838</c:v>
                </c:pt>
                <c:pt idx="2">
                  <c:v>-0.73343428698687685</c:v>
                </c:pt>
                <c:pt idx="3">
                  <c:v>-0.69862694084171673</c:v>
                </c:pt>
                <c:pt idx="4">
                  <c:v>-0.65502063668732968</c:v>
                </c:pt>
                <c:pt idx="5">
                  <c:v>-0.604071877555309</c:v>
                </c:pt>
                <c:pt idx="6">
                  <c:v>-0.54792489416524304</c:v>
                </c:pt>
                <c:pt idx="7">
                  <c:v>-0.48902993481693979</c:v>
                </c:pt>
                <c:pt idx="8">
                  <c:v>-0.42979118922043497</c:v>
                </c:pt>
                <c:pt idx="9">
                  <c:v>-0.37230616861503463</c:v>
                </c:pt>
                <c:pt idx="10">
                  <c:v>-0.31821602385224945</c:v>
                </c:pt>
                <c:pt idx="11">
                  <c:v>-0.26865623644703929</c:v>
                </c:pt>
                <c:pt idx="12">
                  <c:v>-0.2242819330001953</c:v>
                </c:pt>
                <c:pt idx="13">
                  <c:v>-0.18533873828520897</c:v>
                </c:pt>
                <c:pt idx="14">
                  <c:v>-0.15175389567661918</c:v>
                </c:pt>
                <c:pt idx="15">
                  <c:v>-0.12322920074328625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54-A447-981A-48AC080A3226}"/>
            </c:ext>
          </c:extLst>
        </c:ser>
        <c:ser>
          <c:idx val="8"/>
          <c:order val="8"/>
          <c:tx>
            <c:strRef>
              <c:f>'PART 1'!$EA$5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1'!$EA$83:$EA$98</c:f>
              <c:numCache>
                <c:formatCode>0.0E+00</c:formatCode>
                <c:ptCount val="16"/>
                <c:pt idx="0">
                  <c:v>-0.86664540920771527</c:v>
                </c:pt>
                <c:pt idx="1">
                  <c:v>-0.84541627587568691</c:v>
                </c:pt>
                <c:pt idx="2">
                  <c:v>-0.81496374700015894</c:v>
                </c:pt>
                <c:pt idx="3">
                  <c:v>-0.77505757645217754</c:v>
                </c:pt>
                <c:pt idx="4">
                  <c:v>-0.72651182904195089</c:v>
                </c:pt>
                <c:pt idx="5">
                  <c:v>-0.67099459943799789</c:v>
                </c:pt>
                <c:pt idx="6">
                  <c:v>-0.6107076458429529</c:v>
                </c:pt>
                <c:pt idx="7">
                  <c:v>-0.54803992710897975</c:v>
                </c:pt>
                <c:pt idx="8">
                  <c:v>-0.48527119824799547</c:v>
                </c:pt>
                <c:pt idx="9">
                  <c:v>-0.42436420601664415</c:v>
                </c:pt>
                <c:pt idx="10">
                  <c:v>-0.3668520448874652</c:v>
                </c:pt>
                <c:pt idx="11">
                  <c:v>-0.31380692898533175</c:v>
                </c:pt>
                <c:pt idx="12">
                  <c:v>-0.26586768500550545</c:v>
                </c:pt>
                <c:pt idx="13">
                  <c:v>-0.22330249044173475</c:v>
                </c:pt>
                <c:pt idx="14">
                  <c:v>-0.18608715802051268</c:v>
                </c:pt>
                <c:pt idx="15">
                  <c:v>-0.15398474228507228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54-A447-981A-48AC080A3226}"/>
            </c:ext>
          </c:extLst>
        </c:ser>
        <c:ser>
          <c:idx val="9"/>
          <c:order val="9"/>
          <c:tx>
            <c:strRef>
              <c:f>'PART 1'!$EB$5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1'!$EB$83:$EB$98</c:f>
              <c:numCache>
                <c:formatCode>0.0E+00</c:formatCode>
                <c:ptCount val="16"/>
                <c:pt idx="0">
                  <c:v>-0.95596857167456895</c:v>
                </c:pt>
                <c:pt idx="1">
                  <c:v>-0.93039121185323037</c:v>
                </c:pt>
                <c:pt idx="2">
                  <c:v>-0.89515635172001207</c:v>
                </c:pt>
                <c:pt idx="3">
                  <c:v>-0.85040177182801169</c:v>
                </c:pt>
                <c:pt idx="4">
                  <c:v>-0.79722509078333059</c:v>
                </c:pt>
                <c:pt idx="5">
                  <c:v>-0.73744682235929226</c:v>
                </c:pt>
                <c:pt idx="6">
                  <c:v>-0.67329392708837998</c:v>
                </c:pt>
                <c:pt idx="7">
                  <c:v>-0.60708914287474702</c:v>
                </c:pt>
                <c:pt idx="8">
                  <c:v>-0.54100074908396822</c:v>
                </c:pt>
                <c:pt idx="9">
                  <c:v>-0.4768755123193788</c:v>
                </c:pt>
                <c:pt idx="10">
                  <c:v>-0.41615360732585693</c:v>
                </c:pt>
                <c:pt idx="11">
                  <c:v>-0.3598505943007374</c:v>
                </c:pt>
                <c:pt idx="12">
                  <c:v>-0.30858646759735259</c:v>
                </c:pt>
                <c:pt idx="13">
                  <c:v>-0.26264243948021648</c:v>
                </c:pt>
                <c:pt idx="14">
                  <c:v>-0.22202971256615692</c:v>
                </c:pt>
                <c:pt idx="15">
                  <c:v>-0.18655900747507159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54-A447-981A-48AC080A3226}"/>
            </c:ext>
          </c:extLst>
        </c:ser>
        <c:ser>
          <c:idx val="10"/>
          <c:order val="10"/>
          <c:tx>
            <c:strRef>
              <c:f>'PART 1'!$EC$5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1'!$EC$83:$EC$98</c:f>
              <c:numCache>
                <c:formatCode>0.0E+00</c:formatCode>
                <c:ptCount val="16"/>
                <c:pt idx="0">
                  <c:v>-1.7927899437333634</c:v>
                </c:pt>
                <c:pt idx="1">
                  <c:v>-1.7272488638506938</c:v>
                </c:pt>
                <c:pt idx="2">
                  <c:v>-1.6520578868565337</c:v>
                </c:pt>
                <c:pt idx="3">
                  <c:v>-1.5691096395405175</c:v>
                </c:pt>
                <c:pt idx="4">
                  <c:v>-1.4804925745616104</c:v>
                </c:pt>
                <c:pt idx="5">
                  <c:v>-1.3882985664860106</c:v>
                </c:pt>
                <c:pt idx="6">
                  <c:v>-1.2944838850232225</c:v>
                </c:pt>
                <c:pt idx="7">
                  <c:v>-1.200781034883954</c:v>
                </c:pt>
                <c:pt idx="8">
                  <c:v>-1.1086531138504709</c:v>
                </c:pt>
                <c:pt idx="9">
                  <c:v>-1.0192804553013126</c:v>
                </c:pt>
                <c:pt idx="10">
                  <c:v>-0.93356972634263113</c:v>
                </c:pt>
                <c:pt idx="11">
                  <c:v>-0.85217715397490357</c:v>
                </c:pt>
                <c:pt idx="12">
                  <c:v>-0.77553939892221246</c:v>
                </c:pt>
                <c:pt idx="13">
                  <c:v>-0.70390737490687028</c:v>
                </c:pt>
                <c:pt idx="14">
                  <c:v>-0.63737982812093175</c:v>
                </c:pt>
                <c:pt idx="15">
                  <c:v>-0.57593468855489771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54-A447-981A-48AC080A3226}"/>
            </c:ext>
          </c:extLst>
        </c:ser>
        <c:ser>
          <c:idx val="11"/>
          <c:order val="11"/>
          <c:tx>
            <c:strRef>
              <c:f>'PART 1'!$ED$5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1'!$ED$83:$ED$98</c:f>
              <c:numCache>
                <c:formatCode>0.0E+00</c:formatCode>
                <c:ptCount val="16"/>
                <c:pt idx="0">
                  <c:v>-2.5678638170961969</c:v>
                </c:pt>
                <c:pt idx="1">
                  <c:v>-2.4710158142886698</c:v>
                </c:pt>
                <c:pt idx="2">
                  <c:v>-2.3665161061527402</c:v>
                </c:pt>
                <c:pt idx="3">
                  <c:v>-2.2565495032723408</c:v>
                </c:pt>
                <c:pt idx="4">
                  <c:v>-2.1431725195190503</c:v>
                </c:pt>
                <c:pt idx="5">
                  <c:v>-2.0282342641574003</c:v>
                </c:pt>
                <c:pt idx="6">
                  <c:v>-1.9133364425328785</c:v>
                </c:pt>
                <c:pt idx="7">
                  <c:v>-1.7998214198901894</c:v>
                </c:pt>
                <c:pt idx="8">
                  <c:v>-1.6887790619090959</c:v>
                </c:pt>
                <c:pt idx="9">
                  <c:v>-1.5810651312244381</c:v>
                </c:pt>
                <c:pt idx="10">
                  <c:v>-1.4773259413933515</c:v>
                </c:pt>
                <c:pt idx="11">
                  <c:v>-1.3780255722579833</c:v>
                </c:pt>
                <c:pt idx="12">
                  <c:v>-1.283473199684219</c:v>
                </c:pt>
                <c:pt idx="13">
                  <c:v>-1.1938490201379495</c:v>
                </c:pt>
                <c:pt idx="14">
                  <c:v>-1.1092279122342144</c:v>
                </c:pt>
                <c:pt idx="15">
                  <c:v>-1.0296004319123739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54-A447-981A-48AC080A3226}"/>
            </c:ext>
          </c:extLst>
        </c:ser>
        <c:ser>
          <c:idx val="12"/>
          <c:order val="12"/>
          <c:tx>
            <c:strRef>
              <c:f>'PART 1'!$EE$5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1'!$EE$83:$EE$98</c:f>
              <c:numCache>
                <c:formatCode>0.0E+00</c:formatCode>
                <c:ptCount val="16"/>
                <c:pt idx="0">
                  <c:v>-3.3088619900105747</c:v>
                </c:pt>
                <c:pt idx="1">
                  <c:v>-3.1870353394131872</c:v>
                </c:pt>
                <c:pt idx="2">
                  <c:v>-3.0595598963054811</c:v>
                </c:pt>
                <c:pt idx="3">
                  <c:v>-2.9285488771785357</c:v>
                </c:pt>
                <c:pt idx="4">
                  <c:v>-2.795858762583689</c:v>
                </c:pt>
                <c:pt idx="5">
                  <c:v>-2.6630737119348518</c:v>
                </c:pt>
                <c:pt idx="6">
                  <c:v>-2.5315111590315631</c:v>
                </c:pt>
                <c:pt idx="7">
                  <c:v>-2.4022399761725204</c:v>
                </c:pt>
                <c:pt idx="8">
                  <c:v>-2.2761052302236475</c:v>
                </c:pt>
                <c:pt idx="9">
                  <c:v>-2.1537555560688664</c:v>
                </c:pt>
                <c:pt idx="10">
                  <c:v>-2.0356706241422411</c:v>
                </c:pt>
                <c:pt idx="11">
                  <c:v>-1.9221871941265309</c:v>
                </c:pt>
                <c:pt idx="12">
                  <c:v>-1.8135229356803779</c:v>
                </c:pt>
                <c:pt idx="13">
                  <c:v>-1.7097976498941947</c:v>
                </c:pt>
                <c:pt idx="14">
                  <c:v>-1.6110518122145063</c:v>
                </c:pt>
                <c:pt idx="15">
                  <c:v>-1.517262530812135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54-A447-981A-48AC080A3226}"/>
            </c:ext>
          </c:extLst>
        </c:ser>
        <c:ser>
          <c:idx val="13"/>
          <c:order val="13"/>
          <c:tx>
            <c:strRef>
              <c:f>'PART 1'!$EF$5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1'!$B$83:$B$98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1'!$EF$83:$EF$98</c:f>
              <c:numCache>
                <c:formatCode>0.0E+00</c:formatCode>
                <c:ptCount val="16"/>
                <c:pt idx="0">
                  <c:v>-4.0270142293204847</c:v>
                </c:pt>
                <c:pt idx="1">
                  <c:v>-3.8845819777009787</c:v>
                </c:pt>
                <c:pt idx="2">
                  <c:v>-3.7382699537451458</c:v>
                </c:pt>
                <c:pt idx="3">
                  <c:v>-3.5900190517536217</c:v>
                </c:pt>
                <c:pt idx="4">
                  <c:v>-3.4414649060133029</c:v>
                </c:pt>
                <c:pt idx="5">
                  <c:v>-3.2939567853055052</c:v>
                </c:pt>
                <c:pt idx="6">
                  <c:v>-3.1485852336066738</c:v>
                </c:pt>
                <c:pt idx="7">
                  <c:v>-3.0062131035960546</c:v>
                </c:pt>
                <c:pt idx="8">
                  <c:v>-2.8675067475462073</c:v>
                </c:pt>
                <c:pt idx="9">
                  <c:v>-2.7329655259278365</c:v>
                </c:pt>
                <c:pt idx="10">
                  <c:v>-2.6029486901086254</c:v>
                </c:pt>
                <c:pt idx="11">
                  <c:v>-2.4776992545780532</c:v>
                </c:pt>
                <c:pt idx="12">
                  <c:v>-2.3573648104321254</c:v>
                </c:pt>
                <c:pt idx="13">
                  <c:v>-2.2420154235855065</c:v>
                </c:pt>
                <c:pt idx="14">
                  <c:v>-2.1316588608881553</c:v>
                </c:pt>
                <c:pt idx="15">
                  <c:v>-2.026253429822011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54-A447-981A-48AC080A3226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Rho, vol=0.1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30"/>
      <c:rAngAx val="0"/>
      <c:perspective val="6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1'!$DS$5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1'!$DS$101:$DS$116</c:f>
              <c:numCache>
                <c:formatCode>0.0E+00</c:formatCode>
                <c:ptCount val="16"/>
                <c:pt idx="0">
                  <c:v>-9.9900049983337513E-2</c:v>
                </c:pt>
                <c:pt idx="1">
                  <c:v>-9.9900049983337513E-2</c:v>
                </c:pt>
                <c:pt idx="2">
                  <c:v>-9.9900049983337513E-2</c:v>
                </c:pt>
                <c:pt idx="3">
                  <c:v>-9.9900049983337513E-2</c:v>
                </c:pt>
                <c:pt idx="4">
                  <c:v>-9.9900049983241909E-2</c:v>
                </c:pt>
                <c:pt idx="5">
                  <c:v>-9.9900035001622409E-2</c:v>
                </c:pt>
                <c:pt idx="6">
                  <c:v>-9.985443454753605E-2</c:v>
                </c:pt>
                <c:pt idx="7">
                  <c:v>-9.449423440245025E-2</c:v>
                </c:pt>
                <c:pt idx="8">
                  <c:v>-4.9319898584384125E-2</c:v>
                </c:pt>
                <c:pt idx="9">
                  <c:v>-5.9475160906577321E-3</c:v>
                </c:pt>
                <c:pt idx="10">
                  <c:v>-1.2224207973860371E-4</c:v>
                </c:pt>
                <c:pt idx="11">
                  <c:v>-4.5889459193781019E-7</c:v>
                </c:pt>
                <c:pt idx="12">
                  <c:v>-3.7020183036337435E-10</c:v>
                </c:pt>
                <c:pt idx="13">
                  <c:v>-7.6151723059147461E-14</c:v>
                </c:pt>
                <c:pt idx="14">
                  <c:v>-</c:v>
                </c:pt>
                <c:pt idx="15">
                  <c:v>-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D-5344-B07F-527930ACDF67}"/>
            </c:ext>
          </c:extLst>
        </c:ser>
        <c:ser>
          <c:idx val="1"/>
          <c:order val="1"/>
          <c:tx>
            <c:strRef>
              <c:f>'PART 1'!$DT$5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1'!$DT$101:$DT$116</c:f>
              <c:numCache>
                <c:formatCode>0.0E+00</c:formatCode>
                <c:ptCount val="16"/>
                <c:pt idx="0">
                  <c:v>-0.19960039973346663</c:v>
                </c:pt>
                <c:pt idx="1">
                  <c:v>-0.19960039973346663</c:v>
                </c:pt>
                <c:pt idx="2">
                  <c:v>-0.19960039973346647</c:v>
                </c:pt>
                <c:pt idx="3">
                  <c:v>-0.19960039971898239</c:v>
                </c:pt>
                <c:pt idx="4">
                  <c:v>-0.19960033197089475</c:v>
                </c:pt>
                <c:pt idx="5">
                  <c:v>-0.19957003772239573</c:v>
                </c:pt>
                <c:pt idx="6">
                  <c:v>-0.19764250540073477</c:v>
                </c:pt>
                <c:pt idx="7">
                  <c:v>-0.17357631408340382</c:v>
                </c:pt>
                <c:pt idx="8">
                  <c:v>-9.8019788801767246E-2</c:v>
                </c:pt>
                <c:pt idx="9">
                  <c:v>-2.6503101786800827E-2</c:v>
                </c:pt>
                <c:pt idx="10">
                  <c:v>-3.1212121757166339E-3</c:v>
                </c:pt>
                <c:pt idx="11">
                  <c:v>-1.6432569767061279E-4</c:v>
                </c:pt>
                <c:pt idx="12">
                  <c:v>-4.1376194053987772E-6</c:v>
                </c:pt>
                <c:pt idx="13">
                  <c:v>-5.3758969655395189E-8</c:v>
                </c:pt>
                <c:pt idx="14">
                  <c:v>-3.8775381333258547E-10</c:v>
                </c:pt>
                <c:pt idx="15">
                  <c:v>-1.6597911867185122E-12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BD-5344-B07F-527930ACDF67}"/>
            </c:ext>
          </c:extLst>
        </c:ser>
        <c:ser>
          <c:idx val="2"/>
          <c:order val="2"/>
          <c:tx>
            <c:strRef>
              <c:f>'PART 1'!$DU$5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1'!$DU$101:$DU$116</c:f>
              <c:numCache>
                <c:formatCode>0.0E+00</c:formatCode>
                <c:ptCount val="16"/>
                <c:pt idx="0">
                  <c:v>-0.2991013486510119</c:v>
                </c:pt>
                <c:pt idx="1">
                  <c:v>-0.29910134865101118</c:v>
                </c:pt>
                <c:pt idx="2">
                  <c:v>-0.29910134863770477</c:v>
                </c:pt>
                <c:pt idx="3">
                  <c:v>-0.29910132259838007</c:v>
                </c:pt>
                <c:pt idx="4">
                  <c:v>-0.29909357825878441</c:v>
                </c:pt>
                <c:pt idx="5">
                  <c:v>-0.29861017224298614</c:v>
                </c:pt>
                <c:pt idx="6">
                  <c:v>-0.29043783160633652</c:v>
                </c:pt>
                <c:pt idx="7">
                  <c:v>-0.24476975072349658</c:v>
                </c:pt>
                <c:pt idx="8">
                  <c:v>-0.14628325566737618</c:v>
                </c:pt>
                <c:pt idx="9">
                  <c:v>-5.3618495455553854E-2</c:v>
                </c:pt>
                <c:pt idx="10">
                  <c:v>-1.1536916845379729E-2</c:v>
                </c:pt>
                <c:pt idx="11">
                  <c:v>-1.4815132448374967E-3</c:v>
                </c:pt>
                <c:pt idx="12">
                  <c:v>-1.1821674012055364E-4</c:v>
                </c:pt>
                <c:pt idx="13">
                  <c:v>-6.1411164212293508E-6</c:v>
                </c:pt>
                <c:pt idx="14">
                  <c:v>-2.1742039087594481E-7</c:v>
                </c:pt>
                <c:pt idx="15">
                  <c:v>-5.4734607259227742E-9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BD-5344-B07F-527930ACDF67}"/>
            </c:ext>
          </c:extLst>
        </c:ser>
        <c:ser>
          <c:idx val="3"/>
          <c:order val="3"/>
          <c:tx>
            <c:strRef>
              <c:f>'PART 1'!$DV$5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1'!$DV$101:$DV$116</c:f>
              <c:numCache>
                <c:formatCode>0.0E+00</c:formatCode>
                <c:ptCount val="16"/>
                <c:pt idx="0">
                  <c:v>-0.39840319573759647</c:v>
                </c:pt>
                <c:pt idx="1">
                  <c:v>-0.398403195735197</c:v>
                </c:pt>
                <c:pt idx="2">
                  <c:v>-0.39840319165809857</c:v>
                </c:pt>
                <c:pt idx="3">
                  <c:v>-0.39840194648520061</c:v>
                </c:pt>
                <c:pt idx="4">
                  <c:v>-0.39830932167047484</c:v>
                </c:pt>
                <c:pt idx="5">
                  <c:v>-0.39618250939212946</c:v>
                </c:pt>
                <c:pt idx="6">
                  <c:v>-0.37804449596512069</c:v>
                </c:pt>
                <c:pt idx="7">
                  <c:v>-0.31160173252766643</c:v>
                </c:pt>
                <c:pt idx="8">
                  <c:v>-0.19417631512966549</c:v>
                </c:pt>
                <c:pt idx="9">
                  <c:v>-8.4050787077902478E-2</c:v>
                </c:pt>
                <c:pt idx="10">
                  <c:v>-2.4681032286023089E-2</c:v>
                </c:pt>
                <c:pt idx="11">
                  <c:v>-4.979390376682576E-3</c:v>
                </c:pt>
                <c:pt idx="12">
                  <c:v>-7.0994678821788618E-4</c:v>
                </c:pt>
                <c:pt idx="13">
                  <c:v>-7.3922110985880684E-5</c:v>
                </c:pt>
                <c:pt idx="14">
                  <c:v>-5.8077750671044612E-6</c:v>
                </c:pt>
                <c:pt idx="15">
                  <c:v>-3.5498023255249737E-7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BD-5344-B07F-527930ACDF67}"/>
            </c:ext>
          </c:extLst>
        </c:ser>
        <c:ser>
          <c:idx val="4"/>
          <c:order val="4"/>
          <c:tx>
            <c:strRef>
              <c:f>'PART 1'!$DW$5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1'!$DW$101:$DW$116</c:f>
              <c:numCache>
                <c:formatCode>0.0E+00</c:formatCode>
                <c:ptCount val="16"/>
                <c:pt idx="0">
                  <c:v>-0.49750623959617862</c:v>
                </c:pt>
                <c:pt idx="1">
                  <c:v>-0.49750623925100773</c:v>
                </c:pt>
                <c:pt idx="2">
                  <c:v>-0.4975061033461215</c:v>
                </c:pt>
                <c:pt idx="3">
                  <c:v>-0.49749254581248636</c:v>
                </c:pt>
                <c:pt idx="4">
                  <c:v>-0.49705693331611972</c:v>
                </c:pt>
                <c:pt idx="5">
                  <c:v>-0.49162693233839566</c:v>
                </c:pt>
                <c:pt idx="6">
                  <c:v>-0.46124764352636227</c:v>
                </c:pt>
                <c:pt idx="7">
                  <c:v>-0.37557538029528142</c:v>
                </c:pt>
                <c:pt idx="8">
                  <c:v>-0.24173738548666898</c:v>
                </c:pt>
                <c:pt idx="9">
                  <c:v>-0.11647512386205333</c:v>
                </c:pt>
                <c:pt idx="10">
                  <c:v>-4.1439734620382668E-2</c:v>
                </c:pt>
                <c:pt idx="11">
                  <c:v>-1.1002792784816771E-2</c:v>
                </c:pt>
                <c:pt idx="12">
                  <c:v>-2.2275567745076771E-3</c:v>
                </c:pt>
                <c:pt idx="13">
                  <c:v>-3.5258563277927932E-4</c:v>
                </c:pt>
                <c:pt idx="14">
                  <c:v>-4.4740300836914958E-5</c:v>
                </c:pt>
                <c:pt idx="15">
                  <c:v>-4.660004645410418E-6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BD-5344-B07F-527930ACDF67}"/>
            </c:ext>
          </c:extLst>
        </c:ser>
        <c:ser>
          <c:idx val="5"/>
          <c:order val="5"/>
          <c:tx>
            <c:strRef>
              <c:f>'PART 1'!$DX$5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1'!$DX$101:$DX$116</c:f>
              <c:numCache>
                <c:formatCode>0.0E+00</c:formatCode>
                <c:ptCount val="16"/>
                <c:pt idx="0">
                  <c:v>-0.59641077841587931</c:v>
                </c:pt>
                <c:pt idx="1">
                  <c:v>-0.59641076847476215</c:v>
                </c:pt>
                <c:pt idx="2">
                  <c:v>-0.59640929545940014</c:v>
                </c:pt>
                <c:pt idx="3">
                  <c:v>-0.59633991425530064</c:v>
                </c:pt>
                <c:pt idx="4">
                  <c:v>-0.59507405122365842</c:v>
                </c:pt>
                <c:pt idx="5">
                  <c:v>-0.58464424984096153</c:v>
                </c:pt>
                <c:pt idx="6">
                  <c:v>-0.54084164328407514</c:v>
                </c:pt>
                <c:pt idx="7">
                  <c:v>-0.43747332474639966</c:v>
                </c:pt>
                <c:pt idx="8">
                  <c:v>-0.28899256857821798</c:v>
                </c:pt>
                <c:pt idx="9">
                  <c:v>-0.15021961569853939</c:v>
                </c:pt>
                <c:pt idx="10">
                  <c:v>-6.0946395009041206E-2</c:v>
                </c:pt>
                <c:pt idx="11">
                  <c:v>-1.9479340505072669E-2</c:v>
                </c:pt>
                <c:pt idx="12">
                  <c:v>-4.9902996063027043E-3</c:v>
                </c:pt>
                <c:pt idx="13">
                  <c:v>-1.0454860691588006E-3</c:v>
                </c:pt>
                <c:pt idx="14">
                  <c:v>-1.8277187067681445E-4</c:v>
                </c:pt>
                <c:pt idx="15">
                  <c:v>-2.7176224054630909E-5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BD-5344-B07F-527930ACDF67}"/>
            </c:ext>
          </c:extLst>
        </c:ser>
        <c:ser>
          <c:idx val="6"/>
          <c:order val="6"/>
          <c:tx>
            <c:strRef>
              <c:f>'PART 1'!$DY$5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1'!$DY$101:$DY$116</c:f>
              <c:numCache>
                <c:formatCode>0.0E+00</c:formatCode>
                <c:ptCount val="16"/>
                <c:pt idx="0">
                  <c:v>-0.69511710959092698</c:v>
                </c:pt>
                <c:pt idx="1">
                  <c:v>-0.69511699629717827</c:v>
                </c:pt>
                <c:pt idx="2">
                  <c:v>-0.69510866599683718</c:v>
                </c:pt>
                <c:pt idx="3">
                  <c:v>-0.69487999767534259</c:v>
                </c:pt>
                <c:pt idx="4">
                  <c:v>-0.69210769581279641</c:v>
                </c:pt>
                <c:pt idx="5">
                  <c:v>-0.67518489921089653</c:v>
                </c:pt>
                <c:pt idx="6">
                  <c:v>-0.61746316022743397</c:v>
                </c:pt>
                <c:pt idx="7">
                  <c:v>-0.49776030881182393</c:v>
                </c:pt>
                <c:pt idx="8">
                  <c:v>-0.3359611609573559</c:v>
                </c:pt>
                <c:pt idx="9">
                  <c:v>-0.18489405725331284</c:v>
                </c:pt>
                <c:pt idx="10">
                  <c:v>-8.2579818420475543E-2</c:v>
                </c:pt>
                <c:pt idx="11">
                  <c:v>-3.018197603843184E-2</c:v>
                </c:pt>
                <c:pt idx="12">
                  <c:v>-9.1586807596607048E-3</c:v>
                </c:pt>
                <c:pt idx="13">
                  <c:v>-2.3461919494971698E-3</c:v>
                </c:pt>
                <c:pt idx="14">
                  <c:v>-5.1597000135758281E-4</c:v>
                </c:pt>
                <c:pt idx="15">
                  <c:v>-9.8976324948273227E-5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BD-5344-B07F-527930ACDF67}"/>
            </c:ext>
          </c:extLst>
        </c:ser>
        <c:ser>
          <c:idx val="7"/>
          <c:order val="7"/>
          <c:tx>
            <c:strRef>
              <c:f>'PART 1'!$DZ$5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1'!$DZ$101:$DZ$116</c:f>
              <c:numCache>
                <c:formatCode>0.0E+00</c:formatCode>
                <c:ptCount val="16"/>
                <c:pt idx="0">
                  <c:v>-0.79362552608576487</c:v>
                </c:pt>
                <c:pt idx="1">
                  <c:v>-0.79362480654308265</c:v>
                </c:pt>
                <c:pt idx="2">
                  <c:v>-0.79359360430856551</c:v>
                </c:pt>
                <c:pt idx="3">
                  <c:v>-0.79302408550228265</c:v>
                </c:pt>
                <c:pt idx="4">
                  <c:v>-0.78795837941602986</c:v>
                </c:pt>
                <c:pt idx="5">
                  <c:v>-0.76333065645166875</c:v>
                </c:pt>
                <c:pt idx="6">
                  <c:v>-0.6916004561212854</c:v>
                </c:pt>
                <c:pt idx="7">
                  <c:v>-0.55673809412580422</c:v>
                </c:pt>
                <c:pt idx="8">
                  <c:v>-0.3826582197680381</c:v>
                </c:pt>
                <c:pt idx="9">
                  <c:v>-0.22025034744081637</c:v>
                </c:pt>
                <c:pt idx="10">
                  <c:v>-0.10589364670422449</c:v>
                </c:pt>
                <c:pt idx="11">
                  <c:v>-4.2850602886025969E-2</c:v>
                </c:pt>
                <c:pt idx="12">
                  <c:v>-1.4776758266337878E-2</c:v>
                </c:pt>
                <c:pt idx="13">
                  <c:v>-4.4045297688068722E-3</c:v>
                </c:pt>
                <c:pt idx="14">
                  <c:v>-1.1511350758449798E-3</c:v>
                </c:pt>
                <c:pt idx="15">
                  <c:v>-2.6740280174907086E-4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BD-5344-B07F-527930ACDF67}"/>
            </c:ext>
          </c:extLst>
        </c:ser>
        <c:ser>
          <c:idx val="8"/>
          <c:order val="8"/>
          <c:tx>
            <c:strRef>
              <c:f>'PART 1'!$EA$5</c:f>
              <c:strCache>
                <c:ptCount val="1"/>
                <c:pt idx="0">
                  <c:v>0.9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1'!$EA$101:$EA$116</c:f>
              <c:numCache>
                <c:formatCode>0.0E+00</c:formatCode>
                <c:ptCount val="16"/>
                <c:pt idx="0">
                  <c:v>-0.89193629878559966</c:v>
                </c:pt>
                <c:pt idx="1">
                  <c:v>-0.89193321512612056</c:v>
                </c:pt>
                <c:pt idx="2">
                  <c:v>-0.89184472786438262</c:v>
                </c:pt>
                <c:pt idx="3">
                  <c:v>-0.89067167653905843</c:v>
                </c:pt>
                <c:pt idx="4">
                  <c:v>-0.88248936205981077</c:v>
                </c:pt>
                <c:pt idx="5">
                  <c:v>-0.84922150791862017</c:v>
                </c:pt>
                <c:pt idx="6">
                  <c:v>-0.76362775076181977</c:v>
                </c:pt>
                <c:pt idx="7">
                  <c:v>-0.61461560731262421</c:v>
                </c:pt>
                <c:pt idx="8">
                  <c:v>-0.42909594584950789</c:v>
                </c:pt>
                <c:pt idx="9">
                  <c:v>-0.25612022988471977</c:v>
                </c:pt>
                <c:pt idx="10">
                  <c:v>-0.13056052320905745</c:v>
                </c:pt>
                <c:pt idx="11">
                  <c:v>-5.723849373141307E-2</c:v>
                </c:pt>
                <c:pt idx="12">
                  <c:v>-2.181758845268179E-2</c:v>
                </c:pt>
                <c:pt idx="13">
                  <c:v>-7.3201992281897582E-3</c:v>
                </c:pt>
                <c:pt idx="14">
                  <c:v>-2.1889103353476777E-3</c:v>
                </c:pt>
                <c:pt idx="15">
                  <c:v>-5.9028090815697431E-4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BD-5344-B07F-527930ACDF67}"/>
            </c:ext>
          </c:extLst>
        </c:ser>
        <c:ser>
          <c:idx val="9"/>
          <c:order val="9"/>
          <c:tx>
            <c:strRef>
              <c:f>'PART 1'!$EB$5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1'!$EB$101:$EB$116</c:f>
              <c:numCache>
                <c:formatCode>0.0E+00</c:formatCode>
                <c:ptCount val="16"/>
                <c:pt idx="0">
                  <c:v>-0.99004962430033649</c:v>
                </c:pt>
                <c:pt idx="1">
                  <c:v>-0.99003961536586427</c:v>
                </c:pt>
                <c:pt idx="2">
                  <c:v>-0.98983357421253249</c:v>
                </c:pt>
                <c:pt idx="3">
                  <c:v>-0.98772259095825921</c:v>
                </c:pt>
                <c:pt idx="4">
                  <c:v>-0.97561925382655412</c:v>
                </c:pt>
                <c:pt idx="5">
                  <c:v>-0.93301664808441953</c:v>
                </c:pt>
                <c:pt idx="6">
                  <c:v>-0.83383533155302392</c:v>
                </c:pt>
                <c:pt idx="7">
                  <c:v>-0.67154464766556188</c:v>
                </c:pt>
                <c:pt idx="8">
                  <c:v>-0.47528450546914641</c:v>
                </c:pt>
                <c:pt idx="9">
                  <c:v>-0.29238396974088876</c:v>
                </c:pt>
                <c:pt idx="10">
                  <c:v>-0.15633468393362246</c:v>
                </c:pt>
                <c:pt idx="11">
                  <c:v>-7.312682115432162E-2</c:v>
                </c:pt>
                <c:pt idx="12">
                  <c:v>-3.0215639479526008E-2</c:v>
                </c:pt>
                <c:pt idx="13">
                  <c:v>-1.1149292047401185E-2</c:v>
                </c:pt>
                <c:pt idx="14">
                  <c:v>-3.7142887060015975E-3</c:v>
                </c:pt>
                <c:pt idx="15">
                  <c:v>-1.1288829945233889E-3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BD-5344-B07F-527930ACDF67}"/>
            </c:ext>
          </c:extLst>
        </c:ser>
        <c:ser>
          <c:idx val="10"/>
          <c:order val="10"/>
          <c:tx>
            <c:strRef>
              <c:f>'PART 1'!$EC$5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1'!$EC$101:$EC$116</c:f>
              <c:numCache>
                <c:formatCode>0.0E+00</c:formatCode>
                <c:ptCount val="16"/>
                <c:pt idx="0">
                  <c:v>-1.9600071765528573</c:v>
                </c:pt>
                <c:pt idx="1">
                  <c:v>-1.957529074674156</c:v>
                </c:pt>
                <c:pt idx="2">
                  <c:v>-1.9464474795042803</c:v>
                </c:pt>
                <c:pt idx="3">
                  <c:v>-1.9117921496304346</c:v>
                </c:pt>
                <c:pt idx="4">
                  <c:v>-1.8312350274293627</c:v>
                </c:pt>
                <c:pt idx="5">
                  <c:v>-1.6851347130193406</c:v>
                </c:pt>
                <c:pt idx="6">
                  <c:v>-1.470180213210559</c:v>
                </c:pt>
                <c:pt idx="7">
                  <c:v>-1.2053541901517708</c:v>
                </c:pt>
                <c:pt idx="8">
                  <c:v>-0.92494293545844164</c:v>
                </c:pt>
                <c:pt idx="9">
                  <c:v>-0.66420495083359443</c:v>
                </c:pt>
                <c:pt idx="10">
                  <c:v>-0.44744114329833878</c:v>
                </c:pt>
                <c:pt idx="11">
                  <c:v>-0.28387565416432975</c:v>
                </c:pt>
                <c:pt idx="12">
                  <c:v>-0.17041305844647878</c:v>
                </c:pt>
                <c:pt idx="13">
                  <c:v>-9.7269983363962254E-2</c:v>
                </c:pt>
                <c:pt idx="14">
                  <c:v>-5.3044518844668397E-2</c:v>
                </c:pt>
                <c:pt idx="15">
                  <c:v>-2.7763060015189755E-2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BD-5344-B07F-527930ACDF67}"/>
            </c:ext>
          </c:extLst>
        </c:ser>
        <c:ser>
          <c:idx val="11"/>
          <c:order val="11"/>
          <c:tx>
            <c:strRef>
              <c:f>'PART 1'!$ED$5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1'!$ED$101:$ED$116</c:f>
              <c:numCache>
                <c:formatCode>0.0E+00</c:formatCode>
                <c:ptCount val="16"/>
                <c:pt idx="0">
                  <c:v>-2.9052211402699148</c:v>
                </c:pt>
                <c:pt idx="1">
                  <c:v>-2.8875049425784916</c:v>
                </c:pt>
                <c:pt idx="2">
                  <c:v>-2.8406869415859761</c:v>
                </c:pt>
                <c:pt idx="3">
                  <c:v>-2.7433364363860733</c:v>
                </c:pt>
                <c:pt idx="4">
                  <c:v>-2.5772999483671151</c:v>
                </c:pt>
                <c:pt idx="5">
                  <c:v>-2.3372499898052825</c:v>
                </c:pt>
                <c:pt idx="6">
                  <c:v>-2.035196727627282</c:v>
                </c:pt>
                <c:pt idx="7">
                  <c:v>-1.6972697086452215</c:v>
                </c:pt>
                <c:pt idx="8">
                  <c:v>-1.3552089139551935</c:v>
                </c:pt>
                <c:pt idx="9">
                  <c:v>-1.0373893022772123</c:v>
                </c:pt>
                <c:pt idx="10">
                  <c:v>-0.76306938538913072</c:v>
                </c:pt>
                <c:pt idx="11">
                  <c:v>-0.54089660745686829</c:v>
                </c:pt>
                <c:pt idx="12">
                  <c:v>-0.37061971310998387</c:v>
                </c:pt>
                <c:pt idx="13">
                  <c:v>-0.2462342892344723</c:v>
                </c:pt>
                <c:pt idx="14">
                  <c:v>-0.15909940709285941</c:v>
                </c:pt>
                <c:pt idx="15">
                  <c:v>-0.10025507523116212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BD-5344-B07F-527930ACDF67}"/>
            </c:ext>
          </c:extLst>
        </c:ser>
        <c:ser>
          <c:idx val="12"/>
          <c:order val="12"/>
          <c:tx>
            <c:strRef>
              <c:f>'PART 1'!$EE$5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1'!$EE$101:$EE$116</c:f>
              <c:numCache>
                <c:formatCode>0.0E+00</c:formatCode>
                <c:ptCount val="16"/>
                <c:pt idx="0">
                  <c:v>-3.8160199409351754</c:v>
                </c:pt>
                <c:pt idx="1">
                  <c:v>-3.76632542383236</c:v>
                </c:pt>
                <c:pt idx="2">
                  <c:v>-3.6657910800281894</c:v>
                </c:pt>
                <c:pt idx="3">
                  <c:v>-3.4958079648603313</c:v>
                </c:pt>
                <c:pt idx="4">
                  <c:v>-3.2479221622975731</c:v>
                </c:pt>
                <c:pt idx="5">
                  <c:v>-2.9283005382871439</c:v>
                </c:pt>
                <c:pt idx="6">
                  <c:v>-2.5566162545287616</c:v>
                </c:pt>
                <c:pt idx="7">
                  <c:v>-2.1604977247507242</c:v>
                </c:pt>
                <c:pt idx="8">
                  <c:v>-1.7685142165444596</c:v>
                </c:pt>
                <c:pt idx="9">
                  <c:v>-1.4044498566974728</c:v>
                </c:pt>
                <c:pt idx="10">
                  <c:v>-1.0842371938523891</c:v>
                </c:pt>
                <c:pt idx="11">
                  <c:v>-0.81551953305242597</c:v>
                </c:pt>
                <c:pt idx="12">
                  <c:v>-0.5990053722729205</c:v>
                </c:pt>
                <c:pt idx="13">
                  <c:v>-0.43061133337451024</c:v>
                </c:pt>
                <c:pt idx="14">
                  <c:v>-0.30361441765510083</c:v>
                </c:pt>
                <c:pt idx="15">
                  <c:v>-0.21037948457823838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BD-5344-B07F-527930ACDF67}"/>
            </c:ext>
          </c:extLst>
        </c:ser>
        <c:ser>
          <c:idx val="13"/>
          <c:order val="13"/>
          <c:tx>
            <c:strRef>
              <c:f>'PART 1'!$EF$5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'PART 1'!$B$101:$B$116</c:f>
              <c:numCache>
                <c:formatCode>General</c:formatCode>
                <c:ptCount val="16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</c:numCache>
            </c:numRef>
          </c:cat>
          <c:val>
            <c:numRef>
              <c:f>'PART 1'!$EF$101:$EF$116</c:f>
              <c:numCache>
                <c:formatCode>0.0E+00</c:formatCode>
                <c:ptCount val="16"/>
                <c:pt idx="0">
                  <c:v>-4.6852697276379232</c:v>
                </c:pt>
                <c:pt idx="1">
                  <c:v>-4.5907104705252273</c:v>
                </c:pt>
                <c:pt idx="2">
                  <c:v>-4.4279826431888436</c:v>
                </c:pt>
                <c:pt idx="3">
                  <c:v>-4.1851840910857252</c:v>
                </c:pt>
                <c:pt idx="4">
                  <c:v>-3.8630610577321525</c:v>
                </c:pt>
                <c:pt idx="5">
                  <c:v>-3.4754296402903977</c:v>
                </c:pt>
                <c:pt idx="6">
                  <c:v>-3.0455786504962985</c:v>
                </c:pt>
                <c:pt idx="7">
                  <c:v>-2.6006737133094067</c:v>
                </c:pt>
                <c:pt idx="8">
                  <c:v>-2.1663757703673947</c:v>
                </c:pt>
                <c:pt idx="9">
                  <c:v>-1.7631042837691091</c:v>
                </c:pt>
                <c:pt idx="10">
                  <c:v>-1.4043642802347476</c:v>
                </c:pt>
                <c:pt idx="11">
                  <c:v>-1.0968174400128408</c:v>
                </c:pt>
                <c:pt idx="12">
                  <c:v>-0.84145321734060718</c:v>
                </c:pt>
                <c:pt idx="13">
                  <c:v>-0.63521830954418712</c:v>
                </c:pt>
                <c:pt idx="14">
                  <c:v>-0.47263294150338986</c:v>
                </c:pt>
                <c:pt idx="15">
                  <c:v>-0.34712911679763819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BD-5344-B07F-527930ACDF67}"/>
            </c:ext>
          </c:extLst>
        </c:ser>
        <c:bandFmts/>
        <c:axId val="612321472"/>
        <c:axId val="594953088"/>
        <c:axId val="615742976"/>
      </c:surface3DChart>
      <c:catAx>
        <c:axId val="6123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  <c:auto val="1"/>
        <c:lblAlgn val="ctr"/>
        <c:lblOffset val="100"/>
        <c:noMultiLvlLbl val="0"/>
      </c:catAx>
      <c:valAx>
        <c:axId val="5949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2321472"/>
        <c:crosses val="autoZero"/>
        <c:crossBetween val="midCat"/>
      </c:valAx>
      <c:serAx>
        <c:axId val="6157429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495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gradFill>
                <a:gsLst>
                  <a:gs pos="0">
                    <a:schemeClr val="accent1">
                      <a:lumMod val="60000"/>
                      <a:lumOff val="40000"/>
                    </a:schemeClr>
                  </a:gs>
                  <a:gs pos="6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2'!$F$4:$F$7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</c:numCache>
            </c:numRef>
          </c:xVal>
          <c:yVal>
            <c:numRef>
              <c:f>'PART 2'!$G$4:$G$7</c:f>
              <c:numCache>
                <c:formatCode>0.000%</c:formatCode>
                <c:ptCount val="4"/>
                <c:pt idx="0">
                  <c:v>1.992E-2</c:v>
                </c:pt>
                <c:pt idx="1">
                  <c:v>2.2429999999999999E-2</c:v>
                </c:pt>
                <c:pt idx="2">
                  <c:v>2.4750000000000001E-2</c:v>
                </c:pt>
                <c:pt idx="3">
                  <c:v>2.767E-2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31-B647-B2B5-6EBC7FF30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793663"/>
        <c:axId val="1931792319"/>
      </c:scatterChart>
      <c:valAx>
        <c:axId val="1931793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1792319"/>
        <c:crosses val="autoZero"/>
        <c:crossBetween val="midCat"/>
      </c:valAx>
      <c:valAx>
        <c:axId val="19317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1793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[greeks.xlsm]PART 2!Tabella pivot3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</a:t>
            </a:r>
            <a:r>
              <a:rPr lang="it-IT" baseline="0"/>
              <a:t> IV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shade val="53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shade val="76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>
              <a:tint val="77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tint val="54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shade val="45000"/>
            </a:schemeClr>
          </a:solidFill>
          <a:ln/>
          <a:effectLst/>
          <a:sp3d/>
        </c:spPr>
      </c:pivotFmt>
      <c:pivotFmt>
        <c:idx val="11"/>
        <c:spPr>
          <a:solidFill>
            <a:schemeClr val="accent4">
              <a:shade val="61000"/>
            </a:schemeClr>
          </a:solidFill>
          <a:ln/>
          <a:effectLst/>
          <a:sp3d/>
        </c:spPr>
      </c:pivotFmt>
      <c:pivotFmt>
        <c:idx val="12"/>
        <c:spPr>
          <a:solidFill>
            <a:schemeClr val="accent4">
              <a:shade val="76000"/>
            </a:schemeClr>
          </a:solidFill>
          <a:ln/>
          <a:effectLst/>
          <a:sp3d/>
        </c:spPr>
      </c:pivotFmt>
      <c:pivotFmt>
        <c:idx val="13"/>
        <c:spPr>
          <a:solidFill>
            <a:schemeClr val="accent4">
              <a:shade val="92000"/>
            </a:schemeClr>
          </a:solidFill>
          <a:ln/>
          <a:effectLst/>
          <a:sp3d/>
        </c:spPr>
      </c:pivotFmt>
      <c:pivotFmt>
        <c:idx val="14"/>
        <c:spPr>
          <a:solidFill>
            <a:schemeClr val="accent4">
              <a:tint val="93000"/>
            </a:schemeClr>
          </a:solidFill>
          <a:ln/>
          <a:effectLst/>
          <a:sp3d/>
        </c:spPr>
      </c:pivotFmt>
    </c:pivotFmts>
    <c:view3D>
      <c:rotX val="15"/>
      <c:rotY val="20"/>
      <c:rAngAx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719120763570781E-2"/>
          <c:y val="0.11769695696682292"/>
          <c:w val="0.88435091277024858"/>
          <c:h val="0.79378228853975874"/>
        </c:manualLayout>
      </c:layout>
      <c:surface3DChart>
        <c:wireframe val="0"/>
        <c:ser>
          <c:idx val="0"/>
          <c:order val="0"/>
          <c:tx>
            <c:strRef>
              <c:f>'PART 2'!$C$37:$C$38</c:f>
              <c:strCache>
                <c:ptCount val="1"/>
                <c:pt idx="0">
                  <c:v>19</c:v>
                </c:pt>
              </c:strCache>
            </c:strRef>
          </c:tx>
          <c:spPr>
            <a:solidFill>
              <a:schemeClr val="accent4">
                <a:shade val="53000"/>
              </a:schemeClr>
            </a:solidFill>
            <a:ln/>
            <a:effectLst/>
            <a:sp3d/>
          </c:spPr>
          <c:cat>
            <c:strRef>
              <c:f>'PART 2'!$B$39:$B$44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2'!$C$39:$C$44</c:f>
              <c:numCache>
                <c:formatCode>0.00%</c:formatCode>
                <c:ptCount val="5"/>
                <c:pt idx="0">
                  <c:v>0.5374194448813796</c:v>
                </c:pt>
                <c:pt idx="1">
                  <c:v>0.48626504372805357</c:v>
                </c:pt>
                <c:pt idx="2">
                  <c:v>0.47503300476819277</c:v>
                </c:pt>
                <c:pt idx="3">
                  <c:v>0.46417081262916327</c:v>
                </c:pt>
                <c:pt idx="4">
                  <c:v>0.45419363770633936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F-594D-BA40-F73B5C9DA517}"/>
            </c:ext>
          </c:extLst>
        </c:ser>
        <c:ser>
          <c:idx val="1"/>
          <c:order val="1"/>
          <c:tx>
            <c:strRef>
              <c:f>'PART 2'!$D$37:$D$38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/>
            <a:effectLst/>
            <a:sp3d/>
          </c:spPr>
          <c:cat>
            <c:strRef>
              <c:f>'PART 2'!$B$39:$B$44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2'!$D$39:$D$44</c:f>
              <c:numCache>
                <c:formatCode>0.00%</c:formatCode>
                <c:ptCount val="5"/>
                <c:pt idx="0">
                  <c:v>0.51556116435676813</c:v>
                </c:pt>
                <c:pt idx="1">
                  <c:v>0.48520409967750311</c:v>
                </c:pt>
                <c:pt idx="2">
                  <c:v>0.45810549054294825</c:v>
                </c:pt>
                <c:pt idx="3">
                  <c:v>0.45780789572745562</c:v>
                </c:pt>
                <c:pt idx="4">
                  <c:v>0.44661703053861856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0F-594D-BA40-F73B5C9DA517}"/>
            </c:ext>
          </c:extLst>
        </c:ser>
        <c:ser>
          <c:idx val="2"/>
          <c:order val="2"/>
          <c:tx>
            <c:strRef>
              <c:f>'PART 2'!$E$37:$E$38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strRef>
              <c:f>'PART 2'!$B$39:$B$44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2'!$E$39:$E$44</c:f>
              <c:numCache>
                <c:formatCode>0.00%</c:formatCode>
                <c:ptCount val="5"/>
                <c:pt idx="0">
                  <c:v>0.52176357712596655</c:v>
                </c:pt>
                <c:pt idx="1">
                  <c:v>0.46211039181798697</c:v>
                </c:pt>
                <c:pt idx="2">
                  <c:v>0.45288824941962957</c:v>
                </c:pt>
                <c:pt idx="3">
                  <c:v>0.45658888760954142</c:v>
                </c:pt>
                <c:pt idx="4">
                  <c:v>0.44330126140266657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0F-594D-BA40-F73B5C9DA517}"/>
            </c:ext>
          </c:extLst>
        </c:ser>
        <c:ser>
          <c:idx val="3"/>
          <c:order val="3"/>
          <c:tx>
            <c:strRef>
              <c:f>'PART 2'!$F$37:$F$38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/>
            <a:effectLst/>
            <a:sp3d/>
          </c:spPr>
          <c:cat>
            <c:strRef>
              <c:f>'PART 2'!$B$39:$B$44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2'!$F$39:$F$44</c:f>
              <c:numCache>
                <c:formatCode>0.00%</c:formatCode>
                <c:ptCount val="5"/>
                <c:pt idx="0">
                  <c:v>0.52417262922972441</c:v>
                </c:pt>
                <c:pt idx="1">
                  <c:v>0.46041401568800211</c:v>
                </c:pt>
                <c:pt idx="2">
                  <c:v>0.44975407887250185</c:v>
                </c:pt>
                <c:pt idx="3">
                  <c:v>0.4501239350065589</c:v>
                </c:pt>
                <c:pt idx="4">
                  <c:v>0.43863138649612665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0F-594D-BA40-F73B5C9DA517}"/>
            </c:ext>
          </c:extLst>
        </c:ser>
        <c:ser>
          <c:idx val="4"/>
          <c:order val="4"/>
          <c:tx>
            <c:strRef>
              <c:f>'PART 2'!$G$37:$G$38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4">
                <a:tint val="54000"/>
              </a:schemeClr>
            </a:solidFill>
            <a:ln/>
            <a:effectLst/>
            <a:sp3d/>
          </c:spPr>
          <c:cat>
            <c:strRef>
              <c:f>'PART 2'!$B$39:$B$44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2'!$G$39:$G$44</c:f>
              <c:numCache>
                <c:formatCode>0.00%</c:formatCode>
                <c:ptCount val="5"/>
                <c:pt idx="0">
                  <c:v>0.5235246242955327</c:v>
                </c:pt>
                <c:pt idx="1">
                  <c:v>0.46355994883924723</c:v>
                </c:pt>
                <c:pt idx="2">
                  <c:v>0.44778526294976473</c:v>
                </c:pt>
                <c:pt idx="3">
                  <c:v>0.44776103924959898</c:v>
                </c:pt>
                <c:pt idx="4">
                  <c:v>0.43433059472590685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0F-594D-BA40-F73B5C9DA517}"/>
            </c:ext>
          </c:extLst>
        </c:ser>
        <c:bandFmts>
          <c:bandFmt>
            <c:idx val="0"/>
            <c:spPr>
              <a:solidFill>
                <a:schemeClr val="accent4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4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4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4">
                  <a:tint val="93000"/>
                </a:schemeClr>
              </a:solidFill>
              <a:ln/>
              <a:effectLst/>
              <a:sp3d/>
            </c:spPr>
          </c:bandFmt>
        </c:bandFmts>
        <c:axId val="232269439"/>
        <c:axId val="215208319"/>
        <c:axId val="359691263"/>
      </c:surface3DChart>
      <c:catAx>
        <c:axId val="2322694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(maturity)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208319"/>
        <c:crosses val="autoZero"/>
        <c:auto val="1"/>
        <c:lblAlgn val="ctr"/>
        <c:lblOffset val="100"/>
        <c:noMultiLvlLbl val="0"/>
      </c:catAx>
      <c:valAx>
        <c:axId val="215208319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Implied Volatility</a:t>
                </a:r>
              </a:p>
            </c:rich>
          </c:tx>
          <c:layout>
            <c:manualLayout>
              <c:xMode val="edge"/>
              <c:yMode val="edge"/>
              <c:x val="2.3224688609847555E-2"/>
              <c:y val="0.347085938586549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269439"/>
        <c:crosses val="autoZero"/>
        <c:crossBetween val="midCat"/>
      </c:valAx>
      <c:serAx>
        <c:axId val="359691263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 (strike)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208319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[greeks.xlsm]PART 2!Tabella pivot4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IV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shade val="53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shade val="76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>
              <a:tint val="77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tint val="54000"/>
            </a:schemeClr>
          </a:solidFill>
          <a:ln/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shade val="53000"/>
            </a:schemeClr>
          </a:solidFill>
          <a:ln/>
          <a:effectLst/>
          <a:sp3d/>
        </c:spPr>
      </c:pivotFmt>
      <c:pivotFmt>
        <c:idx val="11"/>
        <c:spPr>
          <a:solidFill>
            <a:schemeClr val="accent4">
              <a:shade val="76000"/>
            </a:schemeClr>
          </a:solidFill>
          <a:ln/>
          <a:effectLst/>
          <a:sp3d/>
        </c:spPr>
      </c:pivotFmt>
      <c:pivotFmt>
        <c:idx val="12"/>
        <c:spPr>
          <a:solidFill>
            <a:schemeClr val="accent4"/>
          </a:solidFill>
          <a:ln/>
          <a:effectLst/>
          <a:sp3d/>
        </c:spPr>
      </c:pivotFmt>
      <c:pivotFmt>
        <c:idx val="13"/>
        <c:spPr>
          <a:solidFill>
            <a:schemeClr val="accent4">
              <a:tint val="77000"/>
            </a:schemeClr>
          </a:solidFill>
          <a:ln/>
          <a:effectLst/>
          <a:sp3d/>
        </c:spPr>
      </c:pivotFmt>
      <c:pivotFmt>
        <c:idx val="14"/>
        <c:spPr>
          <a:solidFill>
            <a:schemeClr val="accent4">
              <a:tint val="54000"/>
            </a:schemeClr>
          </a:solidFill>
          <a:ln/>
          <a:effectLst/>
          <a:sp3d/>
        </c:spPr>
      </c:pivotFmt>
    </c:pivotFmts>
    <c:view3D>
      <c:rotX val="15"/>
      <c:rotY val="20"/>
      <c:rAngAx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719134542246648E-2"/>
          <c:y val="0.10348004948318509"/>
          <c:w val="0.88435089302906111"/>
          <c:h val="0.80762098229222135"/>
        </c:manualLayout>
      </c:layout>
      <c:surface3DChart>
        <c:wireframe val="0"/>
        <c:ser>
          <c:idx val="0"/>
          <c:order val="0"/>
          <c:tx>
            <c:strRef>
              <c:f>'PART 2'!$L$37:$L$38</c:f>
              <c:strCache>
                <c:ptCount val="1"/>
                <c:pt idx="0">
                  <c:v>19</c:v>
                </c:pt>
              </c:strCache>
            </c:strRef>
          </c:tx>
          <c:spPr>
            <a:solidFill>
              <a:schemeClr val="accent4">
                <a:shade val="53000"/>
              </a:schemeClr>
            </a:solidFill>
            <a:ln/>
            <a:effectLst/>
            <a:sp3d/>
          </c:spPr>
          <c:cat>
            <c:strRef>
              <c:f>'PART 2'!$K$39:$K$44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2'!$L$39:$L$44</c:f>
              <c:numCache>
                <c:formatCode>0.00%</c:formatCode>
                <c:ptCount val="5"/>
                <c:pt idx="0">
                  <c:v>0.56504502426832914</c:v>
                </c:pt>
                <c:pt idx="1">
                  <c:v>0.48478965181857347</c:v>
                </c:pt>
                <c:pt idx="2">
                  <c:v>0.45738062355667353</c:v>
                </c:pt>
                <c:pt idx="3">
                  <c:v>0.45920164790004492</c:v>
                </c:pt>
                <c:pt idx="4">
                  <c:v>0.45047600287944078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9-DC4C-8C54-65CE25E514B0}"/>
            </c:ext>
          </c:extLst>
        </c:ser>
        <c:ser>
          <c:idx val="1"/>
          <c:order val="1"/>
          <c:tx>
            <c:strRef>
              <c:f>'PART 2'!$M$37:$M$38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/>
            <a:effectLst/>
            <a:sp3d/>
          </c:spPr>
          <c:cat>
            <c:strRef>
              <c:f>'PART 2'!$K$39:$K$44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2'!$M$39:$M$44</c:f>
              <c:numCache>
                <c:formatCode>0.00%</c:formatCode>
                <c:ptCount val="5"/>
                <c:pt idx="0">
                  <c:v>0.52713112439960241</c:v>
                </c:pt>
                <c:pt idx="1">
                  <c:v>0.4759312653914094</c:v>
                </c:pt>
                <c:pt idx="2">
                  <c:v>0.46413103584200144</c:v>
                </c:pt>
                <c:pt idx="3">
                  <c:v>0.45701353345066309</c:v>
                </c:pt>
                <c:pt idx="4">
                  <c:v>0.45304434839636087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9-DC4C-8C54-65CE25E514B0}"/>
            </c:ext>
          </c:extLst>
        </c:ser>
        <c:ser>
          <c:idx val="2"/>
          <c:order val="2"/>
          <c:tx>
            <c:strRef>
              <c:f>'PART 2'!$N$37:$N$38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strRef>
              <c:f>'PART 2'!$K$39:$K$44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2'!$N$39:$N$44</c:f>
              <c:numCache>
                <c:formatCode>0.00%</c:formatCode>
                <c:ptCount val="5"/>
                <c:pt idx="0">
                  <c:v>0.52846841979771852</c:v>
                </c:pt>
                <c:pt idx="1">
                  <c:v>0.47842561732977629</c:v>
                </c:pt>
                <c:pt idx="2">
                  <c:v>0.45711602549999952</c:v>
                </c:pt>
                <c:pt idx="3">
                  <c:v>0.45361574273556471</c:v>
                </c:pt>
                <c:pt idx="4">
                  <c:v>0.44897181447595358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9-DC4C-8C54-65CE25E514B0}"/>
            </c:ext>
          </c:extLst>
        </c:ser>
        <c:ser>
          <c:idx val="3"/>
          <c:order val="3"/>
          <c:tx>
            <c:strRef>
              <c:f>'PART 2'!$O$37:$O$38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/>
            <a:effectLst/>
            <a:sp3d/>
          </c:spPr>
          <c:cat>
            <c:strRef>
              <c:f>'PART 2'!$K$39:$K$44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2'!$O$39:$O$44</c:f>
              <c:numCache>
                <c:formatCode>0.00%</c:formatCode>
                <c:ptCount val="5"/>
                <c:pt idx="0">
                  <c:v>0.51258174236863852</c:v>
                </c:pt>
                <c:pt idx="1">
                  <c:v>0.46431499067693949</c:v>
                </c:pt>
                <c:pt idx="2">
                  <c:v>0.44866961892694235</c:v>
                </c:pt>
                <c:pt idx="3">
                  <c:v>0.45187777373939753</c:v>
                </c:pt>
                <c:pt idx="4">
                  <c:v>0.44389810878783464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19-DC4C-8C54-65CE25E514B0}"/>
            </c:ext>
          </c:extLst>
        </c:ser>
        <c:ser>
          <c:idx val="4"/>
          <c:order val="4"/>
          <c:tx>
            <c:strRef>
              <c:f>'PART 2'!$P$37:$P$38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4">
                <a:tint val="54000"/>
              </a:schemeClr>
            </a:solidFill>
            <a:ln/>
            <a:effectLst/>
            <a:sp3d/>
          </c:spPr>
          <c:cat>
            <c:strRef>
              <c:f>'PART 2'!$K$39:$K$44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</c:strCache>
            </c:strRef>
          </c:cat>
          <c:val>
            <c:numRef>
              <c:f>'PART 2'!$P$39:$P$44</c:f>
              <c:numCache>
                <c:formatCode>0.00%</c:formatCode>
                <c:ptCount val="5"/>
                <c:pt idx="0">
                  <c:v>0.51032455172389746</c:v>
                </c:pt>
                <c:pt idx="1">
                  <c:v>0.46251659747213125</c:v>
                </c:pt>
                <c:pt idx="2">
                  <c:v>0.44578068424016237</c:v>
                </c:pt>
                <c:pt idx="3">
                  <c:v>0.44736838433891535</c:v>
                </c:pt>
                <c:pt idx="4">
                  <c:v>0.43943199794739485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19-DC4C-8C54-65CE25E514B0}"/>
            </c:ext>
          </c:extLst>
        </c:ser>
        <c:bandFmts>
          <c:bandFmt>
            <c:idx val="0"/>
            <c:spPr>
              <a:solidFill>
                <a:schemeClr val="accent4">
                  <a:shade val="53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4">
                  <a:shade val="76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>
                  <a:tint val="77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4">
                  <a:tint val="54000"/>
                </a:schemeClr>
              </a:solidFill>
              <a:ln/>
              <a:effectLst/>
              <a:sp3d/>
            </c:spPr>
          </c:bandFmt>
        </c:bandFmts>
        <c:axId val="228626367"/>
        <c:axId val="228624575"/>
        <c:axId val="320151039"/>
      </c:surface3DChart>
      <c:catAx>
        <c:axId val="228626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 (maturity)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624575"/>
        <c:crosses val="autoZero"/>
        <c:auto val="1"/>
        <c:lblAlgn val="ctr"/>
        <c:lblOffset val="100"/>
        <c:noMultiLvlLbl val="0"/>
      </c:catAx>
      <c:valAx>
        <c:axId val="228624575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Implied Volatility</a:t>
                </a:r>
              </a:p>
            </c:rich>
          </c:tx>
          <c:layout>
            <c:manualLayout>
              <c:xMode val="edge"/>
              <c:yMode val="edge"/>
              <c:x val="3.1351902924517991E-2"/>
              <c:y val="0.3295952774771049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626367"/>
        <c:crosses val="autoZero"/>
        <c:crossBetween val="midCat"/>
      </c:valAx>
      <c:serAx>
        <c:axId val="320151039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  <a:r>
                  <a:rPr lang="it-IT" baseline="0"/>
                  <a:t> (strike)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862457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gradFill>
                <a:gsLst>
                  <a:gs pos="0">
                    <a:schemeClr val="accent1">
                      <a:lumMod val="60000"/>
                      <a:lumOff val="40000"/>
                    </a:schemeClr>
                  </a:gs>
                  <a:gs pos="6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 3'!$F$5:$F$8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</c:numCache>
            </c:numRef>
          </c:xVal>
          <c:yVal>
            <c:numRef>
              <c:f>'PART 3'!$G$5:$G$8</c:f>
              <c:numCache>
                <c:formatCode>0.000%</c:formatCode>
                <c:ptCount val="4"/>
                <c:pt idx="0">
                  <c:v>1.992E-2</c:v>
                </c:pt>
                <c:pt idx="1">
                  <c:v>2.2429999999999999E-2</c:v>
                </c:pt>
                <c:pt idx="2">
                  <c:v>2.4750000000000001E-2</c:v>
                </c:pt>
                <c:pt idx="3">
                  <c:v>2.767E-2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7D-394A-8545-70EFC199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793663"/>
        <c:axId val="1931792319"/>
      </c:scatterChart>
      <c:valAx>
        <c:axId val="1931793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1792319"/>
        <c:crosses val="autoZero"/>
        <c:crossBetween val="midCat"/>
      </c:valAx>
      <c:valAx>
        <c:axId val="19317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1793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[greeks.xlsm]PART 3!Tabella pivot1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2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2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2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2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2">
                <a:shade val="50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2">
                <a:shade val="70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2">
                <a:shade val="90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2">
                <a:tint val="90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2">
                <a:tint val="70000"/>
              </a:schemeClr>
            </a:solidFill>
            <a:round/>
          </a:ln>
          <a:effectLst/>
        </c:spP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3'!$C$39:$C$40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2">
                  <a:shade val="53000"/>
                </a:schemeClr>
              </a:solidFill>
              <a:round/>
            </a:ln>
            <a:effectLst/>
          </c:spPr>
          <c:cat>
            <c:strRef>
              <c:f>'PART 3'!$B$41:$B$46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3'!$C$41:$C$46</c:f>
              <c:numCache>
                <c:formatCode>0.0000</c:formatCode>
                <c:ptCount val="5"/>
                <c:pt idx="0">
                  <c:v>0.90794017754007128</c:v>
                </c:pt>
                <c:pt idx="1">
                  <c:v>0.84929159259667375</c:v>
                </c:pt>
                <c:pt idx="2">
                  <c:v>0.65177250262265152</c:v>
                </c:pt>
                <c:pt idx="3">
                  <c:v>0.42621406769324</c:v>
                </c:pt>
                <c:pt idx="4">
                  <c:v>0.23697346785879758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5C-0747-B741-21EF9B1A48EB}"/>
            </c:ext>
          </c:extLst>
        </c:ser>
        <c:ser>
          <c:idx val="1"/>
          <c:order val="1"/>
          <c:tx>
            <c:strRef>
              <c:f>'PART 3'!$D$39:$D$40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2">
                  <a:shade val="76000"/>
                </a:schemeClr>
              </a:solidFill>
              <a:round/>
            </a:ln>
            <a:effectLst/>
          </c:spPr>
          <c:cat>
            <c:strRef>
              <c:f>'PART 3'!$B$41:$B$46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3'!$D$41:$D$46</c:f>
              <c:numCache>
                <c:formatCode>0.0000</c:formatCode>
                <c:ptCount val="5"/>
                <c:pt idx="0">
                  <c:v>0.86126390459012958</c:v>
                </c:pt>
                <c:pt idx="1">
                  <c:v>0.79645032145037697</c:v>
                </c:pt>
                <c:pt idx="2">
                  <c:v>0.63891788624115053</c:v>
                </c:pt>
                <c:pt idx="3">
                  <c:v>0.45750044087314545</c:v>
                </c:pt>
                <c:pt idx="4">
                  <c:v>0.29886038367324075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C-0747-B741-21EF9B1A48EB}"/>
            </c:ext>
          </c:extLst>
        </c:ser>
        <c:ser>
          <c:idx val="2"/>
          <c:order val="2"/>
          <c:tx>
            <c:strRef>
              <c:f>'PART 3'!$E$39:$E$40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'PART 3'!$B$41:$B$46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3'!$E$41:$E$46</c:f>
              <c:numCache>
                <c:formatCode>0.0000</c:formatCode>
                <c:ptCount val="5"/>
                <c:pt idx="0">
                  <c:v>0.79102558603038464</c:v>
                </c:pt>
                <c:pt idx="1">
                  <c:v>0.74495063521700255</c:v>
                </c:pt>
                <c:pt idx="2">
                  <c:v>0.6318878875397107</c:v>
                </c:pt>
                <c:pt idx="3">
                  <c:v>0.51494138245172705</c:v>
                </c:pt>
                <c:pt idx="4">
                  <c:v>0.40494428520171594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C-0747-B741-21EF9B1A48EB}"/>
            </c:ext>
          </c:extLst>
        </c:ser>
        <c:ser>
          <c:idx val="3"/>
          <c:order val="3"/>
          <c:tx>
            <c:strRef>
              <c:f>'PART 3'!$F$39:$F$40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cat>
            <c:strRef>
              <c:f>'PART 3'!$B$41:$B$46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3'!$F$41:$F$46</c:f>
              <c:numCache>
                <c:formatCode>0.0000</c:formatCode>
                <c:ptCount val="5"/>
                <c:pt idx="0">
                  <c:v>0.76970134177979277</c:v>
                </c:pt>
                <c:pt idx="1">
                  <c:v>0.72912215569189143</c:v>
                </c:pt>
                <c:pt idx="2">
                  <c:v>0.63875556952147128</c:v>
                </c:pt>
                <c:pt idx="3">
                  <c:v>0.54703305614806796</c:v>
                </c:pt>
                <c:pt idx="4">
                  <c:v>0.45934661128927368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C-0747-B741-21EF9B1A48EB}"/>
            </c:ext>
          </c:extLst>
        </c:ser>
        <c:ser>
          <c:idx val="4"/>
          <c:order val="4"/>
          <c:tx>
            <c:strRef>
              <c:f>'PART 3'!$G$39:$G$40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2">
                  <a:tint val="54000"/>
                </a:schemeClr>
              </a:solidFill>
              <a:round/>
            </a:ln>
            <a:effectLst/>
          </c:spPr>
          <c:cat>
            <c:strRef>
              <c:f>'PART 3'!$B$41:$B$46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3'!$G$41:$G$46</c:f>
              <c:numCache>
                <c:formatCode>0.0000</c:formatCode>
                <c:ptCount val="5"/>
                <c:pt idx="0">
                  <c:v>0.76149969397694617</c:v>
                </c:pt>
                <c:pt idx="1">
                  <c:v>0.72640406484764841</c:v>
                </c:pt>
                <c:pt idx="2">
                  <c:v>0.64755519449357646</c:v>
                </c:pt>
                <c:pt idx="3">
                  <c:v>0.5679174915197559</c:v>
                </c:pt>
                <c:pt idx="4">
                  <c:v>0.49048461095628054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5C-0747-B741-21EF9B1A48EB}"/>
            </c:ext>
          </c:extLst>
        </c:ser>
        <c:bandFmts>
          <c:bandFmt>
            <c:idx val="0"/>
            <c:spPr>
              <a:ln w="9525" cap="rnd">
                <a:solidFill>
                  <a:schemeClr val="accent2">
                    <a:shade val="50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>
                    <a:shade val="70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2">
                    <a:shade val="90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2">
                    <a:tint val="90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2">
                    <a:tint val="70000"/>
                  </a:schemeClr>
                </a:solidFill>
                <a:round/>
              </a:ln>
              <a:effectLst/>
            </c:spPr>
          </c:bandFmt>
        </c:bandFmts>
        <c:axId val="623845696"/>
        <c:axId val="623841216"/>
        <c:axId val="748017152"/>
      </c:surface3DChart>
      <c:catAx>
        <c:axId val="6238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3841216"/>
        <c:crosses val="autoZero"/>
        <c:auto val="1"/>
        <c:lblAlgn val="ctr"/>
        <c:lblOffset val="100"/>
        <c:noMultiLvlLbl val="0"/>
      </c:catAx>
      <c:valAx>
        <c:axId val="6238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3845696"/>
        <c:crosses val="autoZero"/>
        <c:crossBetween val="midCat"/>
      </c:valAx>
      <c:serAx>
        <c:axId val="74801715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384121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[greeks.xlsm]PART 3!Tabella pivot5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2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2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2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2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2">
                <a:shade val="58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2">
                <a:shade val="86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2">
                <a:tint val="86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2">
                <a:tint val="58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2">
                <a:tint val="30000"/>
              </a:schemeClr>
            </a:solidFill>
            <a:round/>
          </a:ln>
          <a:effectLst/>
        </c:spPr>
      </c:pivotFmt>
    </c:pivotFmts>
    <c:view3D>
      <c:rotX val="20"/>
      <c:rotY val="50"/>
      <c:rAngAx val="0"/>
      <c:perspective val="4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3'!$K$39:$K$40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2">
                  <a:shade val="53000"/>
                </a:schemeClr>
              </a:solidFill>
              <a:round/>
            </a:ln>
            <a:effectLst/>
          </c:spPr>
          <c:cat>
            <c:strRef>
              <c:f>'PART 3'!$J$41:$J$46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3'!$K$41:$K$46</c:f>
              <c:numCache>
                <c:formatCode>0.0000</c:formatCode>
                <c:ptCount val="5"/>
                <c:pt idx="0">
                  <c:v>4.6220420485950243E-2</c:v>
                </c:pt>
                <c:pt idx="1">
                  <c:v>6.8238850617193078E-2</c:v>
                </c:pt>
                <c:pt idx="2">
                  <c:v>0.10658257630296755</c:v>
                </c:pt>
                <c:pt idx="3">
                  <c:v>0.11251703326920084</c:v>
                </c:pt>
                <c:pt idx="4">
                  <c:v>8.8700370378417118E-2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FA-354E-BF1C-2C3482BC6A6D}"/>
            </c:ext>
          </c:extLst>
        </c:ser>
        <c:ser>
          <c:idx val="1"/>
          <c:order val="1"/>
          <c:tx>
            <c:strRef>
              <c:f>'PART 3'!$L$39:$L$40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2">
                  <a:shade val="76000"/>
                </a:schemeClr>
              </a:solidFill>
              <a:round/>
            </a:ln>
            <a:effectLst/>
          </c:spPr>
          <c:cat>
            <c:strRef>
              <c:f>'PART 3'!$J$41:$J$46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3'!$L$41:$L$46</c:f>
              <c:numCache>
                <c:formatCode>0.0000</c:formatCode>
                <c:ptCount val="5"/>
                <c:pt idx="0">
                  <c:v>4.8384790445601754E-2</c:v>
                </c:pt>
                <c:pt idx="1">
                  <c:v>6.2019975608268885E-2</c:v>
                </c:pt>
                <c:pt idx="2">
                  <c:v>8.6197053358653561E-2</c:v>
                </c:pt>
                <c:pt idx="3">
                  <c:v>9.1636711397315052E-2</c:v>
                </c:pt>
                <c:pt idx="4">
                  <c:v>7.9638266644663475E-2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FA-354E-BF1C-2C3482BC6A6D}"/>
            </c:ext>
          </c:extLst>
        </c:ser>
        <c:ser>
          <c:idx val="2"/>
          <c:order val="2"/>
          <c:tx>
            <c:strRef>
              <c:f>'PART 3'!$M$39:$M$40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'PART 3'!$J$41:$J$46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3'!$M$41:$M$46</c:f>
              <c:numCache>
                <c:formatCode>0.0000</c:formatCode>
                <c:ptCount val="5"/>
                <c:pt idx="0">
                  <c:v>4.0694241174144261E-2</c:v>
                </c:pt>
                <c:pt idx="1">
                  <c:v>4.71567381642891E-2</c:v>
                </c:pt>
                <c:pt idx="2">
                  <c:v>5.5987404303920935E-2</c:v>
                </c:pt>
                <c:pt idx="3">
                  <c:v>5.9626855303446608E-2</c:v>
                </c:pt>
                <c:pt idx="4">
                  <c:v>5.8221690545861467E-2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FA-354E-BF1C-2C3482BC6A6D}"/>
            </c:ext>
          </c:extLst>
        </c:ser>
        <c:ser>
          <c:idx val="3"/>
          <c:order val="3"/>
          <c:tx>
            <c:strRef>
              <c:f>'PART 3'!$N$39:$N$40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cat>
            <c:strRef>
              <c:f>'PART 3'!$J$41:$J$46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3'!$N$41:$N$46</c:f>
              <c:numCache>
                <c:formatCode>0.0000</c:formatCode>
                <c:ptCount val="5"/>
                <c:pt idx="0">
                  <c:v>3.4814461985280355E-2</c:v>
                </c:pt>
                <c:pt idx="1">
                  <c:v>3.8471183208630459E-2</c:v>
                </c:pt>
                <c:pt idx="2">
                  <c:v>4.3626432896335166E-2</c:v>
                </c:pt>
                <c:pt idx="3">
                  <c:v>4.6805558766500437E-2</c:v>
                </c:pt>
                <c:pt idx="4">
                  <c:v>4.7135998677556176E-2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FA-354E-BF1C-2C3482BC6A6D}"/>
            </c:ext>
          </c:extLst>
        </c:ser>
        <c:ser>
          <c:idx val="4"/>
          <c:order val="4"/>
          <c:tx>
            <c:strRef>
              <c:f>'PART 3'!$O$39:$O$40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2">
                  <a:tint val="54000"/>
                </a:schemeClr>
              </a:solidFill>
              <a:round/>
            </a:ln>
            <a:effectLst/>
          </c:spPr>
          <c:cat>
            <c:strRef>
              <c:f>'PART 3'!$J$41:$J$46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3'!$O$41:$O$46</c:f>
              <c:numCache>
                <c:formatCode>0.0000</c:formatCode>
                <c:ptCount val="5"/>
                <c:pt idx="0">
                  <c:v>3.093536156355586E-2</c:v>
                </c:pt>
                <c:pt idx="1">
                  <c:v>3.3797693611119929E-2</c:v>
                </c:pt>
                <c:pt idx="2">
                  <c:v>3.7989615153403961E-2</c:v>
                </c:pt>
                <c:pt idx="3">
                  <c:v>4.0649532131038835E-2</c:v>
                </c:pt>
                <c:pt idx="4">
                  <c:v>4.1645341527858114E-2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FA-354E-BF1C-2C3482BC6A6D}"/>
            </c:ext>
          </c:extLst>
        </c:ser>
        <c:bandFmts>
          <c:bandFmt>
            <c:idx val="0"/>
            <c:spPr>
              <a:ln w="9525" cap="rnd">
                <a:solidFill>
                  <a:schemeClr val="accent2">
                    <a:shade val="58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>
                    <a:shade val="86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2">
                    <a:tint val="86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2">
                    <a:tint val="58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2">
                    <a:tint val="30000"/>
                  </a:schemeClr>
                </a:solidFill>
                <a:round/>
              </a:ln>
              <a:effectLst/>
            </c:spPr>
          </c:bandFmt>
        </c:bandFmts>
        <c:axId val="614134912"/>
        <c:axId val="614665728"/>
        <c:axId val="760330752"/>
      </c:surface3DChart>
      <c:catAx>
        <c:axId val="61413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4665728"/>
        <c:crosses val="autoZero"/>
        <c:auto val="1"/>
        <c:lblAlgn val="ctr"/>
        <c:lblOffset val="100"/>
        <c:noMultiLvlLbl val="0"/>
      </c:catAx>
      <c:valAx>
        <c:axId val="61466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4134912"/>
        <c:crosses val="autoZero"/>
        <c:crossBetween val="midCat"/>
      </c:valAx>
      <c:serAx>
        <c:axId val="76033075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466572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[greeks.xlsm]PART 3!Tabella pivot7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2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2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2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2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2">
                <a:shade val="50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2">
                <a:shade val="70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2">
                <a:shade val="90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2">
                <a:tint val="90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2">
                <a:tint val="70000"/>
              </a:schemeClr>
            </a:solidFill>
            <a:round/>
          </a:ln>
          <a:effectLst/>
        </c:spP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3'!$S$39:$S$40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2">
                  <a:shade val="53000"/>
                </a:schemeClr>
              </a:solidFill>
              <a:round/>
            </a:ln>
            <a:effectLst/>
          </c:spPr>
          <c:cat>
            <c:strRef>
              <c:f>'PART 3'!$R$41:$R$46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3'!$S$41:$S$46</c:f>
              <c:numCache>
                <c:formatCode>0.0000</c:formatCode>
                <c:ptCount val="5"/>
                <c:pt idx="0">
                  <c:v>1.0978775336062429E-2</c:v>
                </c:pt>
                <c:pt idx="1">
                  <c:v>1.5549575196081543E-2</c:v>
                </c:pt>
                <c:pt idx="2">
                  <c:v>2.4579135431584687E-2</c:v>
                </c:pt>
                <c:pt idx="3">
                  <c:v>2.6067491590811502E-2</c:v>
                </c:pt>
                <c:pt idx="4">
                  <c:v>2.0524338890624494E-2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A-F248-AF8D-6CE23C7219C3}"/>
            </c:ext>
          </c:extLst>
        </c:ser>
        <c:ser>
          <c:idx val="1"/>
          <c:order val="1"/>
          <c:tx>
            <c:strRef>
              <c:f>'PART 3'!$T$39:$T$40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2">
                  <a:shade val="76000"/>
                </a:schemeClr>
              </a:solidFill>
              <a:round/>
            </a:ln>
            <a:effectLst/>
          </c:spPr>
          <c:cat>
            <c:strRef>
              <c:f>'PART 3'!$R$41:$R$46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3'!$T$41:$T$46</c:f>
              <c:numCache>
                <c:formatCode>0.0000</c:formatCode>
                <c:ptCount val="5"/>
                <c:pt idx="0">
                  <c:v>2.079785473242771E-2</c:v>
                </c:pt>
                <c:pt idx="1">
                  <c:v>2.660067630180064E-2</c:v>
                </c:pt>
                <c:pt idx="2">
                  <c:v>3.5210709822420805E-2</c:v>
                </c:pt>
                <c:pt idx="3">
                  <c:v>3.7295347355893675E-2</c:v>
                </c:pt>
                <c:pt idx="4">
                  <c:v>3.2633550762624579E-2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9A-F248-AF8D-6CE23C7219C3}"/>
            </c:ext>
          </c:extLst>
        </c:ser>
        <c:ser>
          <c:idx val="2"/>
          <c:order val="2"/>
          <c:tx>
            <c:strRef>
              <c:f>'PART 3'!$U$39:$U$40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'PART 3'!$R$41:$R$46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3'!$U$41:$U$46</c:f>
              <c:numCache>
                <c:formatCode>0.0000</c:formatCode>
                <c:ptCount val="5"/>
                <c:pt idx="0">
                  <c:v>4.2720209498405978E-2</c:v>
                </c:pt>
                <c:pt idx="1">
                  <c:v>4.7740381859133776E-2</c:v>
                </c:pt>
                <c:pt idx="2">
                  <c:v>5.6034825011715111E-2</c:v>
                </c:pt>
                <c:pt idx="3">
                  <c:v>5.9264367036789875E-2</c:v>
                </c:pt>
                <c:pt idx="4">
                  <c:v>5.7614426370751842E-2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9A-F248-AF8D-6CE23C7219C3}"/>
            </c:ext>
          </c:extLst>
        </c:ser>
        <c:ser>
          <c:idx val="3"/>
          <c:order val="3"/>
          <c:tx>
            <c:strRef>
              <c:f>'PART 3'!$V$39:$V$40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cat>
            <c:strRef>
              <c:f>'PART 3'!$R$41:$R$46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3'!$V$41:$V$46</c:f>
              <c:numCache>
                <c:formatCode>0.0000</c:formatCode>
                <c:ptCount val="5"/>
                <c:pt idx="0">
                  <c:v>5.7139197055863684E-2</c:v>
                </c:pt>
                <c:pt idx="1">
                  <c:v>6.2275244172566337E-2</c:v>
                </c:pt>
                <c:pt idx="2">
                  <c:v>7.0432265637050545E-2</c:v>
                </c:pt>
                <c:pt idx="3">
                  <c:v>7.4494834207911864E-2</c:v>
                </c:pt>
                <c:pt idx="4">
                  <c:v>7.4626939579379464E-2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9A-F248-AF8D-6CE23C7219C3}"/>
            </c:ext>
          </c:extLst>
        </c:ser>
        <c:ser>
          <c:idx val="4"/>
          <c:order val="4"/>
          <c:tx>
            <c:strRef>
              <c:f>'PART 3'!$W$39:$W$40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2">
                  <a:tint val="54000"/>
                </a:schemeClr>
              </a:solidFill>
              <a:round/>
            </a:ln>
            <a:effectLst/>
          </c:spPr>
          <c:cat>
            <c:strRef>
              <c:f>'PART 3'!$R$41:$R$46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3'!$W$41:$W$46</c:f>
              <c:numCache>
                <c:formatCode>0.0000</c:formatCode>
                <c:ptCount val="5"/>
                <c:pt idx="0">
                  <c:v>6.8311773050385008E-2</c:v>
                </c:pt>
                <c:pt idx="1">
                  <c:v>7.3387426653671678E-2</c:v>
                </c:pt>
                <c:pt idx="2">
                  <c:v>8.1877236521526467E-2</c:v>
                </c:pt>
                <c:pt idx="3">
                  <c:v>8.6687119263133744E-2</c:v>
                </c:pt>
                <c:pt idx="4">
                  <c:v>8.793994014486485E-2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9A-F248-AF8D-6CE23C7219C3}"/>
            </c:ext>
          </c:extLst>
        </c:ser>
        <c:bandFmts>
          <c:bandFmt>
            <c:idx val="0"/>
            <c:spPr>
              <a:ln w="9525" cap="rnd">
                <a:solidFill>
                  <a:schemeClr val="accent2">
                    <a:shade val="50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>
                    <a:shade val="70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2">
                    <a:shade val="90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2">
                    <a:tint val="90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2">
                    <a:tint val="70000"/>
                  </a:schemeClr>
                </a:solidFill>
                <a:round/>
              </a:ln>
              <a:effectLst/>
            </c:spPr>
          </c:bandFmt>
        </c:bandFmts>
        <c:axId val="596636800"/>
        <c:axId val="596632320"/>
        <c:axId val="719782400"/>
      </c:surface3DChart>
      <c:catAx>
        <c:axId val="596636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6632320"/>
        <c:crosses val="autoZero"/>
        <c:auto val="1"/>
        <c:lblAlgn val="ctr"/>
        <c:lblOffset val="100"/>
        <c:noMultiLvlLbl val="0"/>
      </c:catAx>
      <c:valAx>
        <c:axId val="5966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6636800"/>
        <c:crosses val="autoZero"/>
        <c:crossBetween val="midCat"/>
      </c:valAx>
      <c:serAx>
        <c:axId val="7197824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663232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[greeks.xlsm]PART 3!Tabella pivot9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2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2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2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2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2">
                <a:shade val="50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2">
                <a:shade val="70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2">
                <a:shade val="90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2">
                <a:tint val="90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2">
                <a:tint val="70000"/>
              </a:schemeClr>
            </a:solidFill>
            <a:round/>
          </a:ln>
          <a:effectLst/>
        </c:spP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3'!$AA$39:$AA$40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2">
                  <a:shade val="53000"/>
                </a:schemeClr>
              </a:solidFill>
              <a:round/>
            </a:ln>
            <a:effectLst/>
          </c:spPr>
          <c:cat>
            <c:strRef>
              <c:f>'PART 3'!$Z$41:$Z$46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3'!$AA$41:$AA$46</c:f>
              <c:numCache>
                <c:formatCode>0.0000</c:formatCode>
                <c:ptCount val="5"/>
                <c:pt idx="0">
                  <c:v>-8.788388907437307E-3</c:v>
                </c:pt>
                <c:pt idx="1">
                  <c:v>-1.2293608995696504E-2</c:v>
                </c:pt>
                <c:pt idx="2">
                  <c:v>-2.0368594483346471E-2</c:v>
                </c:pt>
                <c:pt idx="3">
                  <c:v>-2.1980028548026744E-2</c:v>
                </c:pt>
                <c:pt idx="4">
                  <c:v>-1.7389722478115377E-2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D442-888C-79F625721ED9}"/>
            </c:ext>
          </c:extLst>
        </c:ser>
        <c:ser>
          <c:idx val="1"/>
          <c:order val="1"/>
          <c:tx>
            <c:strRef>
              <c:f>'PART 3'!$AB$39:$AB$40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2">
                  <a:shade val="76000"/>
                </a:schemeClr>
              </a:solidFill>
              <a:round/>
            </a:ln>
            <a:effectLst/>
          </c:spPr>
          <c:cat>
            <c:strRef>
              <c:f>'PART 3'!$Z$41:$Z$46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3'!$AB$41:$AB$46</c:f>
              <c:numCache>
                <c:formatCode>0.0000</c:formatCode>
                <c:ptCount val="5"/>
                <c:pt idx="0">
                  <c:v>-7.4197410989486024E-3</c:v>
                </c:pt>
                <c:pt idx="1">
                  <c:v>-9.7573921113912505E-3</c:v>
                </c:pt>
                <c:pt idx="2">
                  <c:v>-1.2653419499675935E-2</c:v>
                </c:pt>
                <c:pt idx="3">
                  <c:v>-1.3580470309791639E-2</c:v>
                </c:pt>
                <c:pt idx="4">
                  <c:v>-1.2077865909206486E-2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6-D442-888C-79F625721ED9}"/>
            </c:ext>
          </c:extLst>
        </c:ser>
        <c:ser>
          <c:idx val="2"/>
          <c:order val="2"/>
          <c:tx>
            <c:strRef>
              <c:f>'PART 3'!$AC$39:$AC$40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'PART 3'!$Z$41:$Z$46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3'!$AC$41:$AC$46</c:f>
              <c:numCache>
                <c:formatCode>0.0000</c:formatCode>
                <c:ptCount val="5"/>
                <c:pt idx="0">
                  <c:v>-5.9002575103599877E-3</c:v>
                </c:pt>
                <c:pt idx="1">
                  <c:v>-6.3555153139784057E-3</c:v>
                </c:pt>
                <c:pt idx="2">
                  <c:v>-7.602486911911675E-3</c:v>
                </c:pt>
                <c:pt idx="3">
                  <c:v>-8.1384393839975047E-3</c:v>
                </c:pt>
                <c:pt idx="4">
                  <c:v>-7.9776033586248605E-3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6-D442-888C-79F625721ED9}"/>
            </c:ext>
          </c:extLst>
        </c:ser>
        <c:ser>
          <c:idx val="3"/>
          <c:order val="3"/>
          <c:tx>
            <c:strRef>
              <c:f>'PART 3'!$AD$39:$AD$40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cat>
            <c:strRef>
              <c:f>'PART 3'!$Z$41:$Z$46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3'!$AD$41:$AD$46</c:f>
              <c:numCache>
                <c:formatCode>0.0000</c:formatCode>
                <c:ptCount val="5"/>
                <c:pt idx="0">
                  <c:v>-4.6884597161717598E-3</c:v>
                </c:pt>
                <c:pt idx="1">
                  <c:v>-5.0360312441592586E-3</c:v>
                </c:pt>
                <c:pt idx="2">
                  <c:v>-5.8566290217513736E-3</c:v>
                </c:pt>
                <c:pt idx="3">
                  <c:v>-6.2224973968218363E-3</c:v>
                </c:pt>
                <c:pt idx="4">
                  <c:v>-6.2897066460378933E-3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6-D442-888C-79F625721ED9}"/>
            </c:ext>
          </c:extLst>
        </c:ser>
        <c:ser>
          <c:idx val="4"/>
          <c:order val="4"/>
          <c:tx>
            <c:strRef>
              <c:f>'PART 3'!$AE$39:$AE$40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2">
                  <a:tint val="54000"/>
                </a:schemeClr>
              </a:solidFill>
              <a:round/>
            </a:ln>
            <a:effectLst/>
          </c:spPr>
          <c:cat>
            <c:strRef>
              <c:f>'PART 3'!$Z$41:$Z$46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3'!$AE$41:$AE$46</c:f>
              <c:numCache>
                <c:formatCode>0.0000</c:formatCode>
                <c:ptCount val="5"/>
                <c:pt idx="0">
                  <c:v>-3.881542904956372E-3</c:v>
                </c:pt>
                <c:pt idx="1">
                  <c:v>-4.0710680146550824E-3</c:v>
                </c:pt>
                <c:pt idx="2">
                  <c:v>-4.6541659733622875E-3</c:v>
                </c:pt>
                <c:pt idx="3">
                  <c:v>-4.9818730357543538E-3</c:v>
                </c:pt>
                <c:pt idx="4">
                  <c:v>-5.0844276642535982E-3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6-D442-888C-79F625721ED9}"/>
            </c:ext>
          </c:extLst>
        </c:ser>
        <c:bandFmts>
          <c:bandFmt>
            <c:idx val="0"/>
            <c:spPr>
              <a:ln w="9525" cap="rnd">
                <a:solidFill>
                  <a:schemeClr val="accent2">
                    <a:shade val="50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>
                    <a:shade val="70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2">
                    <a:shade val="90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2">
                    <a:tint val="90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2">
                    <a:tint val="70000"/>
                  </a:schemeClr>
                </a:solidFill>
                <a:round/>
              </a:ln>
              <a:effectLst/>
            </c:spPr>
          </c:bandFmt>
        </c:bandFmts>
        <c:axId val="794847296"/>
        <c:axId val="794840576"/>
        <c:axId val="705343488"/>
      </c:surface3DChart>
      <c:catAx>
        <c:axId val="79484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4840576"/>
        <c:crosses val="autoZero"/>
        <c:auto val="1"/>
        <c:lblAlgn val="ctr"/>
        <c:lblOffset val="100"/>
        <c:noMultiLvlLbl val="0"/>
      </c:catAx>
      <c:valAx>
        <c:axId val="79484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4847296"/>
        <c:crosses val="autoZero"/>
        <c:crossBetween val="midCat"/>
      </c:valAx>
      <c:serAx>
        <c:axId val="70534348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484057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[greeks.xlsm]PART 3!Tabella pivot11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 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2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2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2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2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2">
                <a:shade val="58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2">
                <a:shade val="86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2">
                <a:tint val="86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2">
                <a:tint val="58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2">
                <a:tint val="30000"/>
              </a:schemeClr>
            </a:solidFill>
            <a:round/>
          </a:ln>
          <a:effectLst/>
        </c:spPr>
      </c:pivotFmt>
    </c:pivotFmts>
    <c:view3D>
      <c:rotX val="2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3'!$AI$39:$AI$40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2">
                  <a:shade val="53000"/>
                </a:schemeClr>
              </a:solidFill>
              <a:round/>
            </a:ln>
            <a:effectLst/>
          </c:spPr>
          <c:cat>
            <c:strRef>
              <c:f>'PART 3'!$AH$41:$AH$46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3'!$AI$41:$AI$46</c:f>
              <c:numCache>
                <c:formatCode>0.0000</c:formatCode>
                <c:ptCount val="5"/>
                <c:pt idx="0">
                  <c:v>1.3904051904945404E-2</c:v>
                </c:pt>
                <c:pt idx="1">
                  <c:v>1.3507654475306628E-2</c:v>
                </c:pt>
                <c:pt idx="2">
                  <c:v>1.0883600604370288E-2</c:v>
                </c:pt>
                <c:pt idx="3">
                  <c:v>7.3464249798308448E-3</c:v>
                </c:pt>
                <c:pt idx="4">
                  <c:v>4.1729158076018865E-3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B-8F46-AB98-8220E72870FD}"/>
            </c:ext>
          </c:extLst>
        </c:ser>
        <c:ser>
          <c:idx val="1"/>
          <c:order val="1"/>
          <c:tx>
            <c:strRef>
              <c:f>'PART 3'!$AJ$39:$AJ$40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2">
                  <a:shade val="76000"/>
                </a:schemeClr>
              </a:solidFill>
              <a:round/>
            </a:ln>
            <a:effectLst/>
          </c:spPr>
          <c:cat>
            <c:strRef>
              <c:f>'PART 3'!$AH$41:$AH$46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3'!$AJ$41:$AJ$46</c:f>
              <c:numCache>
                <c:formatCode>0.0000</c:formatCode>
                <c:ptCount val="5"/>
                <c:pt idx="0">
                  <c:v>2.5641512881374229E-2</c:v>
                </c:pt>
                <c:pt idx="1">
                  <c:v>2.4445418188945727E-2</c:v>
                </c:pt>
                <c:pt idx="2">
                  <c:v>2.0690464878927846E-2</c:v>
                </c:pt>
                <c:pt idx="3">
                  <c:v>1.5310391948668026E-2</c:v>
                </c:pt>
                <c:pt idx="4">
                  <c:v>1.0221257751216026E-2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B-8F46-AB98-8220E72870FD}"/>
            </c:ext>
          </c:extLst>
        </c:ser>
        <c:ser>
          <c:idx val="2"/>
          <c:order val="2"/>
          <c:tx>
            <c:strRef>
              <c:f>'PART 3'!$AK$39:$AK$40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strRef>
              <c:f>'PART 3'!$AH$41:$AH$46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3'!$AK$41:$AK$46</c:f>
              <c:numCache>
                <c:formatCode>0.0000</c:formatCode>
                <c:ptCount val="5"/>
                <c:pt idx="0">
                  <c:v>5.43429967970714E-2</c:v>
                </c:pt>
                <c:pt idx="1">
                  <c:v>5.2942554642051207E-2</c:v>
                </c:pt>
                <c:pt idx="2">
                  <c:v>4.6989075122193399E-2</c:v>
                </c:pt>
                <c:pt idx="3">
                  <c:v>3.9621250109847427E-2</c:v>
                </c:pt>
                <c:pt idx="4">
                  <c:v>3.1982778666266289E-2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B-8F46-AB98-8220E72870FD}"/>
            </c:ext>
          </c:extLst>
        </c:ser>
        <c:ser>
          <c:idx val="3"/>
          <c:order val="3"/>
          <c:tx>
            <c:strRef>
              <c:f>'PART 3'!$AL$39:$AL$40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cat>
            <c:strRef>
              <c:f>'PART 3'!$AH$41:$AH$46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3'!$AL$41:$AL$46</c:f>
              <c:numCache>
                <c:formatCode>0.0000</c:formatCode>
                <c:ptCount val="5"/>
                <c:pt idx="0">
                  <c:v>7.9841479206196775E-2</c:v>
                </c:pt>
                <c:pt idx="1">
                  <c:v>7.7777888473131329E-2</c:v>
                </c:pt>
                <c:pt idx="2">
                  <c:v>7.1070271734818224E-2</c:v>
                </c:pt>
                <c:pt idx="3">
                  <c:v>6.3154475446291963E-2</c:v>
                </c:pt>
                <c:pt idx="4">
                  <c:v>5.4525016418858797E-2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1B-8F46-AB98-8220E72870FD}"/>
            </c:ext>
          </c:extLst>
        </c:ser>
        <c:ser>
          <c:idx val="4"/>
          <c:order val="4"/>
          <c:tx>
            <c:strRef>
              <c:f>'PART 3'!$AM$39:$AM$40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2">
                  <a:tint val="54000"/>
                </a:schemeClr>
              </a:solidFill>
              <a:round/>
            </a:ln>
            <a:effectLst/>
          </c:spPr>
          <c:cat>
            <c:strRef>
              <c:f>'PART 3'!$AH$41:$AH$46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3'!$AM$41:$AM$46</c:f>
              <c:numCache>
                <c:formatCode>0.0000</c:formatCode>
                <c:ptCount val="5"/>
                <c:pt idx="0">
                  <c:v>0.10369643099448318</c:v>
                </c:pt>
                <c:pt idx="1">
                  <c:v>0.10178745137093664</c:v>
                </c:pt>
                <c:pt idx="2">
                  <c:v>9.47667981313524E-2</c:v>
                </c:pt>
                <c:pt idx="3">
                  <c:v>8.620461525727581E-2</c:v>
                </c:pt>
                <c:pt idx="4">
                  <c:v>7.6732888718261283E-2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1B-8F46-AB98-8220E72870FD}"/>
            </c:ext>
          </c:extLst>
        </c:ser>
        <c:bandFmts>
          <c:bandFmt>
            <c:idx val="0"/>
            <c:spPr>
              <a:ln w="9525" cap="rnd">
                <a:solidFill>
                  <a:schemeClr val="accent2">
                    <a:shade val="58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>
                    <a:shade val="86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2">
                    <a:tint val="86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2">
                    <a:tint val="58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2">
                    <a:tint val="30000"/>
                  </a:schemeClr>
                </a:solidFill>
                <a:round/>
              </a:ln>
              <a:effectLst/>
            </c:spPr>
          </c:bandFmt>
        </c:bandFmts>
        <c:axId val="798450432"/>
        <c:axId val="798452224"/>
        <c:axId val="642777600"/>
      </c:surface3DChart>
      <c:catAx>
        <c:axId val="798450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8452224"/>
        <c:crosses val="autoZero"/>
        <c:auto val="1"/>
        <c:lblAlgn val="ctr"/>
        <c:lblOffset val="100"/>
        <c:noMultiLvlLbl val="0"/>
      </c:catAx>
      <c:valAx>
        <c:axId val="79845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8450432"/>
        <c:crosses val="autoZero"/>
        <c:crossBetween val="midCat"/>
      </c:valAx>
      <c:serAx>
        <c:axId val="6427776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845222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Relative errors of Greeks at different maturites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T=1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'PART 3'!$AS$10:$BB$11</c:f>
              <c:multiLvlStrCache>
                <c:ptCount val="10"/>
                <c:lvl>
                  <c:pt idx="0">
                    <c:v>Delta</c:v>
                  </c:pt>
                  <c:pt idx="1">
                    <c:v>Gamma</c:v>
                  </c:pt>
                  <c:pt idx="2">
                    <c:v>Vega</c:v>
                  </c:pt>
                  <c:pt idx="3">
                    <c:v>Theta</c:v>
                  </c:pt>
                  <c:pt idx="4">
                    <c:v>Rho</c:v>
                  </c:pt>
                  <c:pt idx="5">
                    <c:v>Delta</c:v>
                  </c:pt>
                  <c:pt idx="6">
                    <c:v>Gamma</c:v>
                  </c:pt>
                  <c:pt idx="7">
                    <c:v>Vega</c:v>
                  </c:pt>
                  <c:pt idx="8">
                    <c:v>Theta</c:v>
                  </c:pt>
                  <c:pt idx="9">
                    <c:v>Rho</c:v>
                  </c:pt>
                </c:lvl>
                <c:lvl>
                  <c:pt idx="0">
                    <c:v>CALL</c:v>
                  </c:pt>
                  <c:pt idx="5">
                    <c:v>PUT</c:v>
                  </c:pt>
                </c:lvl>
              </c:multiLvlStrCache>
            </c:multiLvlStrRef>
          </c:cat>
          <c:val>
            <c:numRef>
              <c:f>'PART 3'!$AS$12:$BB$12</c:f>
              <c:numCache>
                <c:formatCode>0.00%</c:formatCode>
                <c:ptCount val="10"/>
                <c:pt idx="0">
                  <c:v>1.4428282265977841E-3</c:v>
                </c:pt>
                <c:pt idx="1">
                  <c:v>8.6604998308295947E-3</c:v>
                </c:pt>
                <c:pt idx="2">
                  <c:v>1.2455329190996013E-3</c:v>
                </c:pt>
                <c:pt idx="3">
                  <c:v>0.13464454535327774</c:v>
                </c:pt>
                <c:pt idx="4">
                  <c:v>6.4699272439252886E-2</c:v>
                </c:pt>
                <c:pt idx="5">
                  <c:v>1.627232318071322E-3</c:v>
                </c:pt>
                <c:pt idx="6">
                  <c:v>1.037297785209442E-2</c:v>
                </c:pt>
                <c:pt idx="7">
                  <c:v>2.6834623247588016E-3</c:v>
                </c:pt>
                <c:pt idx="8">
                  <c:v>3.1427471619690797E-2</c:v>
                </c:pt>
                <c:pt idx="9">
                  <c:v>6.3220000110198973E-2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D-9343-9611-12128C33D836}"/>
            </c:ext>
          </c:extLst>
        </c:ser>
        <c:ser>
          <c:idx val="1"/>
          <c:order val="1"/>
          <c:tx>
            <c:v>T=2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'PART 3'!$AS$10:$BB$11</c:f>
              <c:multiLvlStrCache>
                <c:ptCount val="10"/>
                <c:lvl>
                  <c:pt idx="0">
                    <c:v>Delta</c:v>
                  </c:pt>
                  <c:pt idx="1">
                    <c:v>Gamma</c:v>
                  </c:pt>
                  <c:pt idx="2">
                    <c:v>Vega</c:v>
                  </c:pt>
                  <c:pt idx="3">
                    <c:v>Theta</c:v>
                  </c:pt>
                  <c:pt idx="4">
                    <c:v>Rho</c:v>
                  </c:pt>
                  <c:pt idx="5">
                    <c:v>Delta</c:v>
                  </c:pt>
                  <c:pt idx="6">
                    <c:v>Gamma</c:v>
                  </c:pt>
                  <c:pt idx="7">
                    <c:v>Vega</c:v>
                  </c:pt>
                  <c:pt idx="8">
                    <c:v>Theta</c:v>
                  </c:pt>
                  <c:pt idx="9">
                    <c:v>Rho</c:v>
                  </c:pt>
                </c:lvl>
                <c:lvl>
                  <c:pt idx="0">
                    <c:v>CALL</c:v>
                  </c:pt>
                  <c:pt idx="5">
                    <c:v>PUT</c:v>
                  </c:pt>
                </c:lvl>
              </c:multiLvlStrCache>
            </c:multiLvlStrRef>
          </c:cat>
          <c:val>
            <c:numRef>
              <c:f>'PART 3'!$AS$13:$BB$13</c:f>
              <c:numCache>
                <c:formatCode>0.00%</c:formatCode>
                <c:ptCount val="10"/>
                <c:pt idx="0">
                  <c:v>1.3141625588651352E-3</c:v>
                </c:pt>
                <c:pt idx="1">
                  <c:v>9.3328497587561871E-3</c:v>
                </c:pt>
                <c:pt idx="2">
                  <c:v>4.1250710645406738E-2</c:v>
                </c:pt>
                <c:pt idx="3">
                  <c:v>5.0316761553032233E-2</c:v>
                </c:pt>
                <c:pt idx="4">
                  <c:v>4.3100503208248417E-2</c:v>
                </c:pt>
                <c:pt idx="5">
                  <c:v>1.2640340200607151E-3</c:v>
                </c:pt>
                <c:pt idx="6">
                  <c:v>9.9061037352520878E-3</c:v>
                </c:pt>
                <c:pt idx="7">
                  <c:v>4.0999587580381851E-2</c:v>
                </c:pt>
                <c:pt idx="8">
                  <c:v>0.15196409025656565</c:v>
                </c:pt>
                <c:pt idx="9">
                  <c:v>4.5325409640468731E-2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D-9343-9611-12128C33D836}"/>
            </c:ext>
          </c:extLst>
        </c:ser>
        <c:ser>
          <c:idx val="2"/>
          <c:order val="2"/>
          <c:tx>
            <c:v>T=5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'PART 3'!$AS$10:$BB$11</c:f>
              <c:multiLvlStrCache>
                <c:ptCount val="10"/>
                <c:lvl>
                  <c:pt idx="0">
                    <c:v>Delta</c:v>
                  </c:pt>
                  <c:pt idx="1">
                    <c:v>Gamma</c:v>
                  </c:pt>
                  <c:pt idx="2">
                    <c:v>Vega</c:v>
                  </c:pt>
                  <c:pt idx="3">
                    <c:v>Theta</c:v>
                  </c:pt>
                  <c:pt idx="4">
                    <c:v>Rho</c:v>
                  </c:pt>
                  <c:pt idx="5">
                    <c:v>Delta</c:v>
                  </c:pt>
                  <c:pt idx="6">
                    <c:v>Gamma</c:v>
                  </c:pt>
                  <c:pt idx="7">
                    <c:v>Vega</c:v>
                  </c:pt>
                  <c:pt idx="8">
                    <c:v>Theta</c:v>
                  </c:pt>
                  <c:pt idx="9">
                    <c:v>Rho</c:v>
                  </c:pt>
                </c:lvl>
                <c:lvl>
                  <c:pt idx="0">
                    <c:v>CALL</c:v>
                  </c:pt>
                  <c:pt idx="5">
                    <c:v>PUT</c:v>
                  </c:pt>
                </c:lvl>
              </c:multiLvlStrCache>
            </c:multiLvlStrRef>
          </c:cat>
          <c:val>
            <c:numRef>
              <c:f>'PART 3'!$AS$14:$BB$14</c:f>
              <c:numCache>
                <c:formatCode>0.00%</c:formatCode>
                <c:ptCount val="10"/>
                <c:pt idx="0">
                  <c:v>2.4165513952248436E-3</c:v>
                </c:pt>
                <c:pt idx="1">
                  <c:v>6.2190782758898373E-3</c:v>
                </c:pt>
                <c:pt idx="2">
                  <c:v>1.3904042649086948E-2</c:v>
                </c:pt>
                <c:pt idx="3">
                  <c:v>0.11538702347853208</c:v>
                </c:pt>
                <c:pt idx="4">
                  <c:v>1.4396763436631172E-2</c:v>
                </c:pt>
                <c:pt idx="5">
                  <c:v>4.3046156172875062E-3</c:v>
                </c:pt>
                <c:pt idx="6">
                  <c:v>1.3657883868115983E-2</c:v>
                </c:pt>
                <c:pt idx="7">
                  <c:v>1.3881680742028607E-2</c:v>
                </c:pt>
                <c:pt idx="8">
                  <c:v>0.25692596443026083</c:v>
                </c:pt>
                <c:pt idx="9">
                  <c:v>1.1958996542149828E-2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0D-9343-9611-12128C33D836}"/>
            </c:ext>
          </c:extLst>
        </c:ser>
        <c:ser>
          <c:idx val="3"/>
          <c:order val="3"/>
          <c:tx>
            <c:v>T=8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'PART 3'!$AS$10:$BB$11</c:f>
              <c:multiLvlStrCache>
                <c:ptCount val="10"/>
                <c:lvl>
                  <c:pt idx="0">
                    <c:v>Delta</c:v>
                  </c:pt>
                  <c:pt idx="1">
                    <c:v>Gamma</c:v>
                  </c:pt>
                  <c:pt idx="2">
                    <c:v>Vega</c:v>
                  </c:pt>
                  <c:pt idx="3">
                    <c:v>Theta</c:v>
                  </c:pt>
                  <c:pt idx="4">
                    <c:v>Rho</c:v>
                  </c:pt>
                  <c:pt idx="5">
                    <c:v>Delta</c:v>
                  </c:pt>
                  <c:pt idx="6">
                    <c:v>Gamma</c:v>
                  </c:pt>
                  <c:pt idx="7">
                    <c:v>Vega</c:v>
                  </c:pt>
                  <c:pt idx="8">
                    <c:v>Theta</c:v>
                  </c:pt>
                  <c:pt idx="9">
                    <c:v>Rho</c:v>
                  </c:pt>
                </c:lvl>
                <c:lvl>
                  <c:pt idx="0">
                    <c:v>CALL</c:v>
                  </c:pt>
                  <c:pt idx="5">
                    <c:v>PUT</c:v>
                  </c:pt>
                </c:lvl>
              </c:multiLvlStrCache>
            </c:multiLvlStrRef>
          </c:cat>
          <c:val>
            <c:numRef>
              <c:f>'PART 3'!$AS$15:$BB$15</c:f>
              <c:numCache>
                <c:formatCode>0.00%</c:formatCode>
                <c:ptCount val="10"/>
                <c:pt idx="0">
                  <c:v>3.362171951702029E-3</c:v>
                </c:pt>
                <c:pt idx="1">
                  <c:v>4.1370475212673084E-3</c:v>
                </c:pt>
                <c:pt idx="2">
                  <c:v>6.7355438945084414E-3</c:v>
                </c:pt>
                <c:pt idx="3">
                  <c:v>0.1591219734024546</c:v>
                </c:pt>
                <c:pt idx="4">
                  <c:v>5.4413315544572845E-3</c:v>
                </c:pt>
                <c:pt idx="5">
                  <c:v>7.0591208263558547E-3</c:v>
                </c:pt>
                <c:pt idx="6">
                  <c:v>1.8557329635007634E-2</c:v>
                </c:pt>
                <c:pt idx="7">
                  <c:v>6.8499254920506569E-3</c:v>
                </c:pt>
                <c:pt idx="8">
                  <c:v>0.34092928541049017</c:v>
                </c:pt>
                <c:pt idx="9">
                  <c:v>1.4103044596474894E-2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0D-9343-9611-12128C33D836}"/>
            </c:ext>
          </c:extLst>
        </c:ser>
        <c:ser>
          <c:idx val="4"/>
          <c:order val="4"/>
          <c:tx>
            <c:v>T=11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'PART 3'!$AS$10:$BB$11</c:f>
              <c:multiLvlStrCache>
                <c:ptCount val="10"/>
                <c:lvl>
                  <c:pt idx="0">
                    <c:v>Delta</c:v>
                  </c:pt>
                  <c:pt idx="1">
                    <c:v>Gamma</c:v>
                  </c:pt>
                  <c:pt idx="2">
                    <c:v>Vega</c:v>
                  </c:pt>
                  <c:pt idx="3">
                    <c:v>Theta</c:v>
                  </c:pt>
                  <c:pt idx="4">
                    <c:v>Rho</c:v>
                  </c:pt>
                  <c:pt idx="5">
                    <c:v>Delta</c:v>
                  </c:pt>
                  <c:pt idx="6">
                    <c:v>Gamma</c:v>
                  </c:pt>
                  <c:pt idx="7">
                    <c:v>Vega</c:v>
                  </c:pt>
                  <c:pt idx="8">
                    <c:v>Theta</c:v>
                  </c:pt>
                  <c:pt idx="9">
                    <c:v>Rho</c:v>
                  </c:pt>
                </c:lvl>
                <c:lvl>
                  <c:pt idx="0">
                    <c:v>CALL</c:v>
                  </c:pt>
                  <c:pt idx="5">
                    <c:v>PUT</c:v>
                  </c:pt>
                </c:lvl>
              </c:multiLvlStrCache>
            </c:multiLvlStrRef>
          </c:cat>
          <c:val>
            <c:numRef>
              <c:f>'PART 3'!$AS$16:$BB$16</c:f>
              <c:numCache>
                <c:formatCode>0.00%</c:formatCode>
                <c:ptCount val="10"/>
                <c:pt idx="0">
                  <c:v>4.6302698032122357E-3</c:v>
                </c:pt>
                <c:pt idx="1">
                  <c:v>1.2399967803726141E-3</c:v>
                </c:pt>
                <c:pt idx="2">
                  <c:v>3.5963303088074722E-3</c:v>
                </c:pt>
                <c:pt idx="3">
                  <c:v>0.20922650226121367</c:v>
                </c:pt>
                <c:pt idx="4">
                  <c:v>5.3541267700826527E-5</c:v>
                </c:pt>
                <c:pt idx="5">
                  <c:v>1.0993536527169792E-2</c:v>
                </c:pt>
                <c:pt idx="6">
                  <c:v>2.3197883306518237E-2</c:v>
                </c:pt>
                <c:pt idx="7">
                  <c:v>5.2524717638808465E-3</c:v>
                </c:pt>
                <c:pt idx="8">
                  <c:v>0.44509343127072681</c:v>
                </c:pt>
                <c:pt idx="9">
                  <c:v>1.4171394900857651E-2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0D-9343-9611-12128C33D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776640"/>
        <c:axId val="640769920"/>
      </c:barChart>
      <c:catAx>
        <c:axId val="64077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0769920"/>
        <c:crosses val="autoZero"/>
        <c:auto val="1"/>
        <c:lblAlgn val="ctr"/>
        <c:lblOffset val="100"/>
        <c:noMultiLvlLbl val="0"/>
      </c:catAx>
      <c:valAx>
        <c:axId val="64076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077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[greeks.xlsm]PART 3!Tabella pivot16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5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5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5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5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5">
                <a:shade val="53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5">
                <a:shade val="76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5"/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5">
                <a:tint val="77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5">
                <a:tint val="54000"/>
              </a:schemeClr>
            </a:solidFill>
            <a:round/>
          </a:ln>
          <a:effectLst/>
        </c:spP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3'!$C$65:$C$66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5">
                  <a:shade val="53000"/>
                </a:schemeClr>
              </a:solidFill>
              <a:round/>
            </a:ln>
            <a:effectLst/>
          </c:spPr>
          <c:cat>
            <c:strRef>
              <c:f>'PART 3'!$B$67:$B$72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3'!$C$67:$C$72</c:f>
              <c:numCache>
                <c:formatCode>0.0000</c:formatCode>
                <c:ptCount val="5"/>
                <c:pt idx="0">
                  <c:v>-0.10186058135447307</c:v>
                </c:pt>
                <c:pt idx="1">
                  <c:v>-0.15528633101111045</c:v>
                </c:pt>
                <c:pt idx="2">
                  <c:v>-0.34934698075418547</c:v>
                </c:pt>
                <c:pt idx="3">
                  <c:v>-0.57675994788985019</c:v>
                </c:pt>
                <c:pt idx="4">
                  <c:v>-0.7698805990954134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07-CC40-8C8C-3EFDD238DBC2}"/>
            </c:ext>
          </c:extLst>
        </c:ser>
        <c:ser>
          <c:idx val="1"/>
          <c:order val="1"/>
          <c:tx>
            <c:strRef>
              <c:f>'PART 3'!$D$65:$D$66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cat>
            <c:strRef>
              <c:f>'PART 3'!$B$67:$B$72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3'!$D$67:$D$72</c:f>
              <c:numCache>
                <c:formatCode>0.0000</c:formatCode>
                <c:ptCount val="5"/>
                <c:pt idx="0">
                  <c:v>-0.13813929142759096</c:v>
                </c:pt>
                <c:pt idx="1">
                  <c:v>-0.20007917228466376</c:v>
                </c:pt>
                <c:pt idx="2">
                  <c:v>-0.36317332772009181</c:v>
                </c:pt>
                <c:pt idx="3">
                  <c:v>-0.5415146407543231</c:v>
                </c:pt>
                <c:pt idx="4">
                  <c:v>-0.70170054894515377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07-CC40-8C8C-3EFDD238DBC2}"/>
            </c:ext>
          </c:extLst>
        </c:ser>
        <c:ser>
          <c:idx val="2"/>
          <c:order val="2"/>
          <c:tx>
            <c:strRef>
              <c:f>'PART 3'!$E$65:$E$66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'PART 3'!$B$67:$B$72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3'!$E$67:$E$72</c:f>
              <c:numCache>
                <c:formatCode>0.0000</c:formatCode>
                <c:ptCount val="5"/>
                <c:pt idx="0">
                  <c:v>-0.20337358874973377</c:v>
                </c:pt>
                <c:pt idx="1">
                  <c:v>-0.2565569077257398</c:v>
                </c:pt>
                <c:pt idx="2">
                  <c:v>-0.36826257060297762</c:v>
                </c:pt>
                <c:pt idx="3">
                  <c:v>-0.48530193034813407</c:v>
                </c:pt>
                <c:pt idx="4">
                  <c:v>-0.59597732796757863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07-CC40-8C8C-3EFDD238DBC2}"/>
            </c:ext>
          </c:extLst>
        </c:ser>
        <c:ser>
          <c:idx val="3"/>
          <c:order val="3"/>
          <c:tx>
            <c:strRef>
              <c:f>'PART 3'!$F$65:$F$66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cat>
            <c:strRef>
              <c:f>'PART 3'!$B$67:$B$72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3'!$F$67:$F$72</c:f>
              <c:numCache>
                <c:formatCode>0.0000</c:formatCode>
                <c:ptCount val="5"/>
                <c:pt idx="0">
                  <c:v>-0.22911364265321277</c:v>
                </c:pt>
                <c:pt idx="1">
                  <c:v>-0.27074161373437933</c:v>
                </c:pt>
                <c:pt idx="2">
                  <c:v>-0.36128482831643571</c:v>
                </c:pt>
                <c:pt idx="3">
                  <c:v>-0.45258245272734698</c:v>
                </c:pt>
                <c:pt idx="4">
                  <c:v>-0.54081623561508785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07-CC40-8C8C-3EFDD238DBC2}"/>
            </c:ext>
          </c:extLst>
        </c:ser>
        <c:ser>
          <c:idx val="4"/>
          <c:order val="4"/>
          <c:tx>
            <c:strRef>
              <c:f>'PART 3'!$G$65:$G$66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5">
                  <a:tint val="54000"/>
                </a:schemeClr>
              </a:solidFill>
              <a:round/>
            </a:ln>
            <a:effectLst/>
          </c:spPr>
          <c:cat>
            <c:strRef>
              <c:f>'PART 3'!$B$67:$B$72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3'!$G$67:$G$72</c:f>
              <c:numCache>
                <c:formatCode>0.0000</c:formatCode>
                <c:ptCount val="5"/>
                <c:pt idx="0">
                  <c:v>-0.23778995888197163</c:v>
                </c:pt>
                <c:pt idx="1">
                  <c:v>-0.27440534525025306</c:v>
                </c:pt>
                <c:pt idx="2">
                  <c:v>-0.35221776757460321</c:v>
                </c:pt>
                <c:pt idx="3">
                  <c:v>-0.4309101161351121</c:v>
                </c:pt>
                <c:pt idx="4">
                  <c:v>-0.50746816749009316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07-CC40-8C8C-3EFDD238DBC2}"/>
            </c:ext>
          </c:extLst>
        </c:ser>
        <c:bandFmts>
          <c:bandFmt>
            <c:idx val="0"/>
            <c:spPr>
              <a:ln w="9525" cap="rnd">
                <a:solidFill>
                  <a:schemeClr val="accent5">
                    <a:shade val="53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>
                    <a:tint val="54000"/>
                  </a:schemeClr>
                </a:solidFill>
                <a:round/>
              </a:ln>
              <a:effectLst/>
            </c:spPr>
          </c:bandFmt>
        </c:bandFmts>
        <c:axId val="831963584"/>
        <c:axId val="831968064"/>
        <c:axId val="759275008"/>
      </c:surface3DChart>
      <c:catAx>
        <c:axId val="83196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968064"/>
        <c:crosses val="autoZero"/>
        <c:auto val="1"/>
        <c:lblAlgn val="ctr"/>
        <c:lblOffset val="100"/>
        <c:noMultiLvlLbl val="0"/>
      </c:catAx>
      <c:valAx>
        <c:axId val="83196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963584"/>
        <c:crosses val="autoZero"/>
        <c:crossBetween val="midCat"/>
      </c:valAx>
      <c:serAx>
        <c:axId val="7592750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196806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[greeks.xlsm]PART 3!Tabella pivot17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5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5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5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5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5">
                <a:shade val="58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5">
                <a:shade val="86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5">
                <a:tint val="86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5">
                <a:tint val="58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5">
                <a:tint val="30000"/>
              </a:schemeClr>
            </a:solidFill>
            <a:round/>
          </a:ln>
          <a:effectLst/>
        </c:spPr>
      </c:pivotFmt>
    </c:pivotFmts>
    <c:view3D>
      <c:rotX val="20"/>
      <c:rotY val="50"/>
      <c:rAngAx val="0"/>
      <c:perspective val="4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3'!$K$65:$K$66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5">
                  <a:shade val="53000"/>
                </a:schemeClr>
              </a:solidFill>
              <a:round/>
            </a:ln>
            <a:effectLst/>
          </c:spPr>
          <c:cat>
            <c:strRef>
              <c:f>'PART 3'!$J$67:$J$72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3'!$K$67:$K$72</c:f>
              <c:numCache>
                <c:formatCode>0.0000</c:formatCode>
                <c:ptCount val="5"/>
                <c:pt idx="0">
                  <c:v>4.735038608793022E-2</c:v>
                </c:pt>
                <c:pt idx="1">
                  <c:v>6.8078323778180516E-2</c:v>
                </c:pt>
                <c:pt idx="2">
                  <c:v>0.10535415120334249</c:v>
                </c:pt>
                <c:pt idx="3">
                  <c:v>0.11489569727137183</c:v>
                </c:pt>
                <c:pt idx="4">
                  <c:v>8.9525528045154082E-2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0-FD4B-B0E9-7D7775C95D34}"/>
            </c:ext>
          </c:extLst>
        </c:ser>
        <c:ser>
          <c:idx val="1"/>
          <c:order val="1"/>
          <c:tx>
            <c:strRef>
              <c:f>'PART 3'!$L$65:$L$66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cat>
            <c:strRef>
              <c:f>'PART 3'!$J$67:$J$72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3'!$L$67:$L$72</c:f>
              <c:numCache>
                <c:formatCode>0.0000</c:formatCode>
                <c:ptCount val="5"/>
                <c:pt idx="0">
                  <c:v>4.8389667393938442E-2</c:v>
                </c:pt>
                <c:pt idx="1">
                  <c:v>6.2580604080117536E-2</c:v>
                </c:pt>
                <c:pt idx="2">
                  <c:v>8.3421578224025697E-2</c:v>
                </c:pt>
                <c:pt idx="3">
                  <c:v>9.0890619677103865E-2</c:v>
                </c:pt>
                <c:pt idx="4">
                  <c:v>7.9749744507138898E-2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0-FD4B-B0E9-7D7775C95D34}"/>
            </c:ext>
          </c:extLst>
        </c:ser>
        <c:ser>
          <c:idx val="2"/>
          <c:order val="2"/>
          <c:tx>
            <c:strRef>
              <c:f>'PART 3'!$M$65:$M$66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'PART 3'!$J$67:$J$72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3'!$M$67:$M$72</c:f>
              <c:numCache>
                <c:formatCode>0.0000</c:formatCode>
                <c:ptCount val="5"/>
                <c:pt idx="0">
                  <c:v>4.1589534947086906E-2</c:v>
                </c:pt>
                <c:pt idx="1">
                  <c:v>4.6687936050650032E-2</c:v>
                </c:pt>
                <c:pt idx="2">
                  <c:v>5.5477041839176809E-2</c:v>
                </c:pt>
                <c:pt idx="3">
                  <c:v>5.9772332237592173E-2</c:v>
                </c:pt>
                <c:pt idx="4">
                  <c:v>5.8449878954628151E-2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90-FD4B-B0E9-7D7775C95D34}"/>
            </c:ext>
          </c:extLst>
        </c:ser>
        <c:ser>
          <c:idx val="3"/>
          <c:order val="3"/>
          <c:tx>
            <c:strRef>
              <c:f>'PART 3'!$N$65:$N$66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cat>
            <c:strRef>
              <c:f>'PART 3'!$J$67:$J$72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3'!$N$67:$N$72</c:f>
              <c:numCache>
                <c:formatCode>0.0000</c:formatCode>
                <c:ptCount val="5"/>
                <c:pt idx="0">
                  <c:v>3.5089669871708071E-2</c:v>
                </c:pt>
                <c:pt idx="1">
                  <c:v>3.8528376436392682E-2</c:v>
                </c:pt>
                <c:pt idx="2">
                  <c:v>4.3914056403861319E-2</c:v>
                </c:pt>
                <c:pt idx="3">
                  <c:v>4.6618526842337138E-2</c:v>
                </c:pt>
                <c:pt idx="4">
                  <c:v>4.7175389849994961E-2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90-FD4B-B0E9-7D7775C95D34}"/>
            </c:ext>
          </c:extLst>
        </c:ser>
        <c:ser>
          <c:idx val="4"/>
          <c:order val="4"/>
          <c:tx>
            <c:strRef>
              <c:f>'PART 3'!$O$65:$O$66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5">
                  <a:tint val="54000"/>
                </a:schemeClr>
              </a:solidFill>
              <a:round/>
            </a:ln>
            <a:effectLst/>
          </c:spPr>
          <c:cat>
            <c:strRef>
              <c:f>'PART 3'!$J$67:$J$72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3'!$O$67:$O$72</c:f>
              <c:numCache>
                <c:formatCode>0.0000</c:formatCode>
                <c:ptCount val="5"/>
                <c:pt idx="0">
                  <c:v>3.113972213704887E-2</c:v>
                </c:pt>
                <c:pt idx="1">
                  <c:v>3.3366884844979655E-2</c:v>
                </c:pt>
                <c:pt idx="2">
                  <c:v>3.7501110244481765E-2</c:v>
                </c:pt>
                <c:pt idx="3">
                  <c:v>4.0146566996102098E-2</c:v>
                </c:pt>
                <c:pt idx="4">
                  <c:v>4.1166374987185582E-2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0-FD4B-B0E9-7D7775C95D34}"/>
            </c:ext>
          </c:extLst>
        </c:ser>
        <c:bandFmts>
          <c:bandFmt>
            <c:idx val="0"/>
            <c:spPr>
              <a:ln w="9525" cap="rnd">
                <a:solidFill>
                  <a:schemeClr val="accent5">
                    <a:shade val="58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5">
                    <a:shade val="86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5">
                    <a:tint val="86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>
                    <a:tint val="30000"/>
                  </a:schemeClr>
                </a:solidFill>
                <a:round/>
              </a:ln>
              <a:effectLst/>
            </c:spPr>
          </c:bandFmt>
        </c:bandFmts>
        <c:axId val="830433792"/>
        <c:axId val="830429760"/>
        <c:axId val="735690240"/>
      </c:surface3DChart>
      <c:catAx>
        <c:axId val="830433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0429760"/>
        <c:crosses val="autoZero"/>
        <c:auto val="1"/>
        <c:lblAlgn val="ctr"/>
        <c:lblOffset val="100"/>
        <c:noMultiLvlLbl val="0"/>
      </c:catAx>
      <c:valAx>
        <c:axId val="83042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0433792"/>
        <c:crosses val="autoZero"/>
        <c:crossBetween val="midCat"/>
      </c:valAx>
      <c:serAx>
        <c:axId val="73569024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04297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[greeks.xlsm]PART 3!Tabella pivot18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5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5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5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5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5">
                <a:shade val="50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5">
                <a:shade val="70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5">
                <a:shade val="90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5">
                <a:tint val="90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5">
                <a:tint val="70000"/>
              </a:schemeClr>
            </a:solidFill>
            <a:round/>
          </a:ln>
          <a:effectLst/>
        </c:spP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3'!$S$65:$S$66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5">
                  <a:shade val="53000"/>
                </a:schemeClr>
              </a:solidFill>
              <a:round/>
            </a:ln>
            <a:effectLst/>
          </c:spPr>
          <c:cat>
            <c:strRef>
              <c:f>'PART 3'!$R$67:$R$72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3'!$S$67:$S$72</c:f>
              <c:numCache>
                <c:formatCode>0.0000</c:formatCode>
                <c:ptCount val="5"/>
                <c:pt idx="0">
                  <c:v>1.1825328372817596E-2</c:v>
                </c:pt>
                <c:pt idx="1">
                  <c:v>1.5861130696574337E-2</c:v>
                </c:pt>
                <c:pt idx="2">
                  <c:v>2.4608056896283922E-2</c:v>
                </c:pt>
                <c:pt idx="3">
                  <c:v>2.6029961633323797E-2</c:v>
                </c:pt>
                <c:pt idx="4">
                  <c:v>2.0192959949686669E-2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A-C64F-BD24-4C3038EC567B}"/>
            </c:ext>
          </c:extLst>
        </c:ser>
        <c:ser>
          <c:idx val="1"/>
          <c:order val="1"/>
          <c:tx>
            <c:strRef>
              <c:f>'PART 3'!$T$65:$T$66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cat>
            <c:strRef>
              <c:f>'PART 3'!$R$67:$R$72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3'!$T$67:$T$72</c:f>
              <c:numCache>
                <c:formatCode>0.0000</c:formatCode>
                <c:ptCount val="5"/>
                <c:pt idx="0">
                  <c:v>2.0736841274532639E-2</c:v>
                </c:pt>
                <c:pt idx="1">
                  <c:v>2.632816629640345E-2</c:v>
                </c:pt>
                <c:pt idx="2">
                  <c:v>3.5280071232635837E-2</c:v>
                </c:pt>
                <c:pt idx="3">
                  <c:v>3.7305116043123143E-2</c:v>
                </c:pt>
                <c:pt idx="4">
                  <c:v>3.2605678952204321E-2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A-C64F-BD24-4C3038EC567B}"/>
            </c:ext>
          </c:extLst>
        </c:ser>
        <c:ser>
          <c:idx val="2"/>
          <c:order val="2"/>
          <c:tx>
            <c:strRef>
              <c:f>'PART 3'!$U$65:$U$66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'PART 3'!$R$67:$R$72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3'!$U$67:$U$72</c:f>
              <c:numCache>
                <c:formatCode>0.0000</c:formatCode>
                <c:ptCount val="5"/>
                <c:pt idx="0">
                  <c:v>4.2037652960985022E-2</c:v>
                </c:pt>
                <c:pt idx="1">
                  <c:v>4.7887472949608184E-2</c:v>
                </c:pt>
                <c:pt idx="2">
                  <c:v>5.6042354978013541E-2</c:v>
                </c:pt>
                <c:pt idx="3">
                  <c:v>5.9265710987404081E-2</c:v>
                </c:pt>
                <c:pt idx="4">
                  <c:v>5.7581304135900721E-2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5A-C64F-BD24-4C3038EC567B}"/>
            </c:ext>
          </c:extLst>
        </c:ser>
        <c:ser>
          <c:idx val="3"/>
          <c:order val="3"/>
          <c:tx>
            <c:strRef>
              <c:f>'PART 3'!$V$65:$V$66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cat>
            <c:strRef>
              <c:f>'PART 3'!$R$67:$R$72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3'!$V$67:$V$72</c:f>
              <c:numCache>
                <c:formatCode>0.0000</c:formatCode>
                <c:ptCount val="5"/>
                <c:pt idx="0">
                  <c:v>5.6974344483180818E-2</c:v>
                </c:pt>
                <c:pt idx="1">
                  <c:v>6.2259608622924692E-2</c:v>
                </c:pt>
                <c:pt idx="2">
                  <c:v>7.0434962962165309E-2</c:v>
                </c:pt>
                <c:pt idx="3">
                  <c:v>7.4486255588096198E-2</c:v>
                </c:pt>
                <c:pt idx="4">
                  <c:v>7.4623807446162441E-2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5A-C64F-BD24-4C3038EC567B}"/>
            </c:ext>
          </c:extLst>
        </c:ser>
        <c:ser>
          <c:idx val="4"/>
          <c:order val="4"/>
          <c:tx>
            <c:strRef>
              <c:f>'PART 3'!$W$65:$W$66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5">
                  <a:tint val="54000"/>
                </a:schemeClr>
              </a:solidFill>
              <a:round/>
            </a:ln>
            <a:effectLst/>
          </c:spPr>
          <c:cat>
            <c:strRef>
              <c:f>'PART 3'!$R$67:$R$72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3'!$W$67:$W$72</c:f>
              <c:numCache>
                <c:formatCode>0.0000</c:formatCode>
                <c:ptCount val="5"/>
                <c:pt idx="0">
                  <c:v>6.8200209516171187E-2</c:v>
                </c:pt>
                <c:pt idx="1">
                  <c:v>7.3494644687412208E-2</c:v>
                </c:pt>
                <c:pt idx="2">
                  <c:v>8.1858261760232587E-2</c:v>
                </c:pt>
                <c:pt idx="3">
                  <c:v>8.6642509709365975E-2</c:v>
                </c:pt>
                <c:pt idx="4">
                  <c:v>8.7949549325522222E-2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5A-C64F-BD24-4C3038EC567B}"/>
            </c:ext>
          </c:extLst>
        </c:ser>
        <c:bandFmts>
          <c:bandFmt>
            <c:idx val="0"/>
            <c:spPr>
              <a:ln w="9525" cap="rnd">
                <a:solidFill>
                  <a:schemeClr val="accent5">
                    <a:shade val="50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5">
                    <a:shade val="70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5">
                    <a:shade val="90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5">
                    <a:tint val="90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>
                    <a:tint val="70000"/>
                  </a:schemeClr>
                </a:solidFill>
                <a:round/>
              </a:ln>
              <a:effectLst/>
            </c:spPr>
          </c:bandFmt>
        </c:bandFmts>
        <c:axId val="795616000"/>
        <c:axId val="795612864"/>
        <c:axId val="751279104"/>
      </c:surface3DChart>
      <c:catAx>
        <c:axId val="795616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612864"/>
        <c:crosses val="autoZero"/>
        <c:auto val="1"/>
        <c:lblAlgn val="ctr"/>
        <c:lblOffset val="100"/>
        <c:noMultiLvlLbl val="0"/>
      </c:catAx>
      <c:valAx>
        <c:axId val="7956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616000"/>
        <c:crosses val="autoZero"/>
        <c:crossBetween val="midCat"/>
      </c:valAx>
      <c:serAx>
        <c:axId val="7512791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61286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[greeks.xlsm]PART 3!Tabella pivot19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5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5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5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5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5">
                <a:shade val="50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5">
                <a:shade val="70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5">
                <a:shade val="90000"/>
              </a:schemeClr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5">
                <a:tint val="90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5">
                <a:tint val="70000"/>
              </a:schemeClr>
            </a:solidFill>
            <a:round/>
          </a:ln>
          <a:effectLst/>
        </c:spP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3'!$AA$65:$AA$66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5">
                  <a:shade val="53000"/>
                </a:schemeClr>
              </a:solidFill>
              <a:round/>
            </a:ln>
            <a:effectLst/>
          </c:spPr>
          <c:cat>
            <c:strRef>
              <c:f>'PART 3'!$Z$67:$Z$72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3'!$AA$67:$AA$72</c:f>
              <c:numCache>
                <c:formatCode>0.0000</c:formatCode>
                <c:ptCount val="5"/>
                <c:pt idx="0">
                  <c:v>-1.1122519151164811E-2</c:v>
                </c:pt>
                <c:pt idx="1">
                  <c:v>-1.3955758300047102E-2</c:v>
                </c:pt>
                <c:pt idx="2">
                  <c:v>-2.1865594924960381E-2</c:v>
                </c:pt>
                <c:pt idx="3">
                  <c:v>-2.2761454416937266E-2</c:v>
                </c:pt>
                <c:pt idx="4">
                  <c:v>-1.8090132922047683E-2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8-8744-8410-54517FFD3293}"/>
            </c:ext>
          </c:extLst>
        </c:ser>
        <c:ser>
          <c:idx val="1"/>
          <c:order val="1"/>
          <c:tx>
            <c:strRef>
              <c:f>'PART 3'!$AB$65:$AB$66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cat>
            <c:strRef>
              <c:f>'PART 3'!$Z$67:$Z$72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3'!$AB$67:$AB$72</c:f>
              <c:numCache>
                <c:formatCode>0.0000</c:formatCode>
                <c:ptCount val="5"/>
                <c:pt idx="0">
                  <c:v>-8.4676112601611373E-3</c:v>
                </c:pt>
                <c:pt idx="1">
                  <c:v>-1.0598181259282429E-2</c:v>
                </c:pt>
                <c:pt idx="2">
                  <c:v>-1.4430796995516691E-2</c:v>
                </c:pt>
                <c:pt idx="3">
                  <c:v>-1.5090729582361011E-2</c:v>
                </c:pt>
                <c:pt idx="4">
                  <c:v>-1.3542879853063629E-2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C8-8744-8410-54517FFD3293}"/>
            </c:ext>
          </c:extLst>
        </c:ser>
        <c:ser>
          <c:idx val="2"/>
          <c:order val="2"/>
          <c:tx>
            <c:strRef>
              <c:f>'PART 3'!$AC$65:$AC$66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'PART 3'!$Z$67:$Z$72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3'!$AC$67:$AC$72</c:f>
              <c:numCache>
                <c:formatCode>0.0000</c:formatCode>
                <c:ptCount val="5"/>
                <c:pt idx="0">
                  <c:v>-6.6516041412117083E-3</c:v>
                </c:pt>
                <c:pt idx="1">
                  <c:v>-7.77743724156197E-3</c:v>
                </c:pt>
                <c:pt idx="2">
                  <c:v>-9.1140914819640203E-3</c:v>
                </c:pt>
                <c:pt idx="3">
                  <c:v>-9.6783299261130086E-3</c:v>
                </c:pt>
                <c:pt idx="4">
                  <c:v>-9.6263638605780747E-3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C8-8744-8410-54517FFD3293}"/>
            </c:ext>
          </c:extLst>
        </c:ser>
        <c:ser>
          <c:idx val="3"/>
          <c:order val="3"/>
          <c:tx>
            <c:strRef>
              <c:f>'PART 3'!$AD$65:$AD$66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cat>
            <c:strRef>
              <c:f>'PART 3'!$Z$67:$Z$72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3'!$AD$67:$AD$72</c:f>
              <c:numCache>
                <c:formatCode>0.0000</c:formatCode>
                <c:ptCount val="5"/>
                <c:pt idx="0">
                  <c:v>-5.8003293783622546E-3</c:v>
                </c:pt>
                <c:pt idx="1">
                  <c:v>-6.4093608504554728E-3</c:v>
                </c:pt>
                <c:pt idx="2">
                  <c:v>-7.3365274206322103E-3</c:v>
                </c:pt>
                <c:pt idx="3">
                  <c:v>-7.9114827839218919E-3</c:v>
                </c:pt>
                <c:pt idx="4">
                  <c:v>-8.0846476513206159E-3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C8-8744-8410-54517FFD3293}"/>
            </c:ext>
          </c:extLst>
        </c:ser>
        <c:ser>
          <c:idx val="4"/>
          <c:order val="4"/>
          <c:tx>
            <c:strRef>
              <c:f>'PART 3'!$AE$65:$AE$66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5">
                  <a:tint val="54000"/>
                </a:schemeClr>
              </a:solidFill>
              <a:round/>
            </a:ln>
            <a:effectLst/>
          </c:spPr>
          <c:cat>
            <c:strRef>
              <c:f>'PART 3'!$Z$67:$Z$72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3'!$AE$67:$AE$72</c:f>
              <c:numCache>
                <c:formatCode>0.0000</c:formatCode>
                <c:ptCount val="5"/>
                <c:pt idx="0">
                  <c:v>-5.0735142490100343E-3</c:v>
                </c:pt>
                <c:pt idx="1">
                  <c:v>-5.6065599468750858E-3</c:v>
                </c:pt>
                <c:pt idx="2">
                  <c:v>-6.3234690891565823E-3</c:v>
                </c:pt>
                <c:pt idx="3">
                  <c:v>-6.7919391269724164E-3</c:v>
                </c:pt>
                <c:pt idx="4">
                  <c:v>-7.0406230151906215E-3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C8-8744-8410-54517FFD3293}"/>
            </c:ext>
          </c:extLst>
        </c:ser>
        <c:bandFmts>
          <c:bandFmt>
            <c:idx val="0"/>
            <c:spPr>
              <a:ln w="9525" cap="rnd">
                <a:solidFill>
                  <a:schemeClr val="accent5">
                    <a:shade val="50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5">
                    <a:shade val="70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5">
                    <a:shade val="90000"/>
                  </a:schemeClr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5">
                    <a:tint val="90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>
                    <a:tint val="70000"/>
                  </a:schemeClr>
                </a:solidFill>
                <a:round/>
              </a:ln>
              <a:effectLst/>
            </c:spPr>
          </c:bandFmt>
        </c:bandFmts>
        <c:axId val="614873536"/>
        <c:axId val="614858752"/>
        <c:axId val="596684800"/>
      </c:surface3DChart>
      <c:catAx>
        <c:axId val="61487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4858752"/>
        <c:crosses val="autoZero"/>
        <c:auto val="1"/>
        <c:lblAlgn val="ctr"/>
        <c:lblOffset val="100"/>
        <c:noMultiLvlLbl val="0"/>
      </c:catAx>
      <c:valAx>
        <c:axId val="61485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4873536"/>
        <c:crosses val="autoZero"/>
        <c:crossBetween val="midCat"/>
      </c:valAx>
      <c:serAx>
        <c:axId val="5966848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48587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[greeks.xlsm]PART 3!Tabella pivot20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Put 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ln w="9525" cap="rnd">
            <a:solidFill>
              <a:schemeClr val="accent5">
                <a:shade val="53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5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952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9525" cap="rnd">
            <a:solidFill>
              <a:schemeClr val="accent5">
                <a:tint val="77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9525" cap="rnd">
            <a:solidFill>
              <a:schemeClr val="accent5">
                <a:tint val="54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9525" cap="rnd">
            <a:solidFill>
              <a:schemeClr val="accent5">
                <a:shade val="53000"/>
              </a:schemeClr>
            </a:solidFill>
            <a:round/>
          </a:ln>
          <a:effectLst/>
        </c:spPr>
      </c:pivotFmt>
      <c:pivotFmt>
        <c:idx val="6"/>
        <c:spPr>
          <a:ln w="9525" cap="rnd">
            <a:solidFill>
              <a:schemeClr val="accent5">
                <a:shade val="76000"/>
              </a:schemeClr>
            </a:solidFill>
            <a:round/>
          </a:ln>
          <a:effectLst/>
        </c:spPr>
      </c:pivotFmt>
      <c:pivotFmt>
        <c:idx val="7"/>
        <c:spPr>
          <a:ln w="9525" cap="rnd">
            <a:solidFill>
              <a:schemeClr val="accent5"/>
            </a:solidFill>
            <a:round/>
          </a:ln>
          <a:effectLst/>
        </c:spPr>
      </c:pivotFmt>
      <c:pivotFmt>
        <c:idx val="8"/>
        <c:spPr>
          <a:ln w="9525" cap="rnd">
            <a:solidFill>
              <a:schemeClr val="accent5">
                <a:tint val="77000"/>
              </a:schemeClr>
            </a:solidFill>
            <a:round/>
          </a:ln>
          <a:effectLst/>
        </c:spPr>
      </c:pivotFmt>
      <c:pivotFmt>
        <c:idx val="9"/>
        <c:spPr>
          <a:ln w="9525" cap="rnd">
            <a:solidFill>
              <a:schemeClr val="accent5">
                <a:tint val="54000"/>
              </a:schemeClr>
            </a:solidFill>
            <a:round/>
          </a:ln>
          <a:effectLst/>
        </c:spPr>
      </c:pivotFmt>
    </c:pivotFmts>
    <c:view3D>
      <c:rotX val="3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'PART 3'!$AI$65:$AI$66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5">
                  <a:shade val="53000"/>
                </a:schemeClr>
              </a:solidFill>
              <a:round/>
            </a:ln>
            <a:effectLst/>
          </c:spPr>
          <c:cat>
            <c:strRef>
              <c:f>'PART 3'!$AH$67:$AH$72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3'!$AI$67:$AI$72</c:f>
              <c:numCache>
                <c:formatCode>0.0000</c:formatCode>
                <c:ptCount val="5"/>
                <c:pt idx="0">
                  <c:v>-2.1173743195845099E-3</c:v>
                </c:pt>
                <c:pt idx="1">
                  <c:v>-3.2343701688680965E-3</c:v>
                </c:pt>
                <c:pt idx="2">
                  <c:v>-7.4545507968386228E-3</c:v>
                </c:pt>
                <c:pt idx="3">
                  <c:v>-1.2652318001311369E-2</c:v>
                </c:pt>
                <c:pt idx="4">
                  <c:v>-1.7566958499243841E-2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A-B847-AF93-773BA85F7D17}"/>
            </c:ext>
          </c:extLst>
        </c:ser>
        <c:ser>
          <c:idx val="1"/>
          <c:order val="1"/>
          <c:tx>
            <c:strRef>
              <c:f>'PART 3'!$AJ$65:$AJ$66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cat>
            <c:strRef>
              <c:f>'PART 3'!$AH$67:$AH$72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3'!$AJ$67:$AJ$72</c:f>
              <c:numCache>
                <c:formatCode>0.0000</c:formatCode>
                <c:ptCount val="5"/>
                <c:pt idx="0">
                  <c:v>-5.8855798165686809E-3</c:v>
                </c:pt>
                <c:pt idx="1">
                  <c:v>-8.5963722450421755E-3</c:v>
                </c:pt>
                <c:pt idx="2">
                  <c:v>-1.6023136221165583E-2</c:v>
                </c:pt>
                <c:pt idx="3">
                  <c:v>-2.4535136972239954E-2</c:v>
                </c:pt>
                <c:pt idx="4">
                  <c:v>-3.2975272742664798E-2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0A-B847-AF93-773BA85F7D17}"/>
            </c:ext>
          </c:extLst>
        </c:ser>
        <c:ser>
          <c:idx val="2"/>
          <c:order val="2"/>
          <c:tx>
            <c:strRef>
              <c:f>'PART 3'!$AK$65:$AK$66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strRef>
              <c:f>'PART 3'!$AH$67:$AH$72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3'!$AK$67:$AK$72</c:f>
              <c:numCache>
                <c:formatCode>0.0000</c:formatCode>
                <c:ptCount val="5"/>
                <c:pt idx="0">
                  <c:v>-2.3265390676858039E-2</c:v>
                </c:pt>
                <c:pt idx="1">
                  <c:v>-2.9827106613239122E-2</c:v>
                </c:pt>
                <c:pt idx="2">
                  <c:v>-4.3879529204036503E-2</c:v>
                </c:pt>
                <c:pt idx="3">
                  <c:v>-5.9381264307816796E-2</c:v>
                </c:pt>
                <c:pt idx="4">
                  <c:v>-7.5313991077066461E-2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0A-B847-AF93-773BA85F7D17}"/>
            </c:ext>
          </c:extLst>
        </c:ser>
        <c:ser>
          <c:idx val="3"/>
          <c:order val="3"/>
          <c:tx>
            <c:strRef>
              <c:f>'PART 3'!$AL$65:$AL$66</c:f>
              <c:strCache>
                <c:ptCount val="1"/>
                <c:pt idx="0">
                  <c:v>8</c:v>
                </c:pt>
              </c:strCache>
            </c:strRef>
          </c:tx>
          <c:spPr>
            <a:ln w="95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cat>
            <c:strRef>
              <c:f>'PART 3'!$AH$67:$AH$72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3'!$AL$67:$AL$72</c:f>
              <c:numCache>
                <c:formatCode>0.0000</c:formatCode>
                <c:ptCount val="5"/>
                <c:pt idx="0">
                  <c:v>-4.4509914523664144E-2</c:v>
                </c:pt>
                <c:pt idx="1">
                  <c:v>-5.3234529173223744E-2</c:v>
                </c:pt>
                <c:pt idx="2">
                  <c:v>-7.2969264126774999E-2</c:v>
                </c:pt>
                <c:pt idx="3">
                  <c:v>-9.4153159241036649E-2</c:v>
                </c:pt>
                <c:pt idx="4">
                  <c:v>-0.11586665283178028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0A-B847-AF93-773BA85F7D17}"/>
            </c:ext>
          </c:extLst>
        </c:ser>
        <c:ser>
          <c:idx val="4"/>
          <c:order val="4"/>
          <c:tx>
            <c:strRef>
              <c:f>'PART 3'!$AM$65:$AM$66</c:f>
              <c:strCache>
                <c:ptCount val="1"/>
                <c:pt idx="0">
                  <c:v>11</c:v>
                </c:pt>
              </c:strCache>
            </c:strRef>
          </c:tx>
          <c:spPr>
            <a:ln w="9525" cap="rnd">
              <a:solidFill>
                <a:schemeClr val="accent5">
                  <a:tint val="54000"/>
                </a:schemeClr>
              </a:solidFill>
              <a:round/>
            </a:ln>
            <a:effectLst/>
          </c:spPr>
          <c:cat>
            <c:strRef>
              <c:f>'PART 3'!$AH$67:$AH$72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22</c:v>
                </c:pt>
                <c:pt idx="3">
                  <c:v>24</c:v>
                </c:pt>
                <c:pt idx="4">
                  <c:v>26</c:v>
                </c:pt>
              </c:strCache>
            </c:strRef>
          </c:cat>
          <c:val>
            <c:numRef>
              <c:f>'PART 3'!$AM$67:$AM$72</c:f>
              <c:numCache>
                <c:formatCode>0.0000</c:formatCode>
                <c:ptCount val="5"/>
                <c:pt idx="0">
                  <c:v>-6.6241108316601779E-2</c:v>
                </c:pt>
                <c:pt idx="1">
                  <c:v>-7.7637588561772899E-2</c:v>
                </c:pt>
                <c:pt idx="2">
                  <c:v>-0.10231443916493446</c:v>
                </c:pt>
                <c:pt idx="3">
                  <c:v>-0.12855205010492815</c:v>
                </c:pt>
                <c:pt idx="4">
                  <c:v>-0.15571409254377785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0A-B847-AF93-773BA85F7D17}"/>
            </c:ext>
          </c:extLst>
        </c:ser>
        <c:bandFmts>
          <c:bandFmt>
            <c:idx val="0"/>
            <c:spPr>
              <a:ln w="9525" cap="rnd">
                <a:solidFill>
                  <a:schemeClr val="accent5">
                    <a:shade val="53000"/>
                  </a:schemeClr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>
                    <a:tint val="54000"/>
                  </a:schemeClr>
                </a:solidFill>
                <a:round/>
              </a:ln>
              <a:effectLst/>
            </c:spPr>
          </c:bandFmt>
        </c:bandFmts>
        <c:axId val="794162304"/>
        <c:axId val="834994624"/>
        <c:axId val="640512512"/>
      </c:surface3DChart>
      <c:catAx>
        <c:axId val="794162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4994624"/>
        <c:crosses val="autoZero"/>
        <c:auto val="1"/>
        <c:lblAlgn val="ctr"/>
        <c:lblOffset val="100"/>
        <c:noMultiLvlLbl val="0"/>
      </c:catAx>
      <c:valAx>
        <c:axId val="83499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4162304"/>
        <c:crosses val="autoZero"/>
        <c:crossBetween val="midCat"/>
      </c:valAx>
      <c:serAx>
        <c:axId val="64051251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499462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4</xdr:row>
      <xdr:rowOff>16933</xdr:rowOff>
    </xdr:from>
    <xdr:to>
      <xdr:col>23</xdr:col>
      <xdr:colOff>482600</xdr:colOff>
      <xdr:row>21</xdr:row>
      <xdr:rowOff>16933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DBE7E80-5B11-A51C-A084-46F064C763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84666</xdr:colOff>
      <xdr:row>22</xdr:row>
      <xdr:rowOff>16933</xdr:rowOff>
    </xdr:from>
    <xdr:to>
      <xdr:col>23</xdr:col>
      <xdr:colOff>491066</xdr:colOff>
      <xdr:row>39</xdr:row>
      <xdr:rowOff>16933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16428D77-73A7-184D-8FBB-8436EF8D2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84667</xdr:colOff>
      <xdr:row>40</xdr:row>
      <xdr:rowOff>16933</xdr:rowOff>
    </xdr:from>
    <xdr:to>
      <xdr:col>23</xdr:col>
      <xdr:colOff>491067</xdr:colOff>
      <xdr:row>57</xdr:row>
      <xdr:rowOff>16933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FB46495B-10E0-2744-AA3A-638607593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94776</xdr:colOff>
      <xdr:row>63</xdr:row>
      <xdr:rowOff>18955</xdr:rowOff>
    </xdr:from>
    <xdr:to>
      <xdr:col>23</xdr:col>
      <xdr:colOff>501176</xdr:colOff>
      <xdr:row>80</xdr:row>
      <xdr:rowOff>18955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888B874-0DBB-D943-AC89-EACFAD040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94777</xdr:colOff>
      <xdr:row>81</xdr:row>
      <xdr:rowOff>0</xdr:rowOff>
    </xdr:from>
    <xdr:to>
      <xdr:col>23</xdr:col>
      <xdr:colOff>501177</xdr:colOff>
      <xdr:row>98</xdr:row>
      <xdr:rowOff>0</xdr:rowOff>
    </xdr:to>
    <xdr:graphicFrame macro="">
      <xdr:nvGraphicFramePr>
        <xdr:cNvPr id="28" name="Grafico 27">
          <a:extLst>
            <a:ext uri="{FF2B5EF4-FFF2-40B4-BE49-F238E27FC236}">
              <a16:creationId xmlns:a16="http://schemas.microsoft.com/office/drawing/2014/main" id="{2DD75CAE-ECD9-F548-9275-65541B7D5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75821</xdr:colOff>
      <xdr:row>99</xdr:row>
      <xdr:rowOff>18956</xdr:rowOff>
    </xdr:from>
    <xdr:to>
      <xdr:col>23</xdr:col>
      <xdr:colOff>482221</xdr:colOff>
      <xdr:row>116</xdr:row>
      <xdr:rowOff>18956</xdr:rowOff>
    </xdr:to>
    <xdr:graphicFrame macro="">
      <xdr:nvGraphicFramePr>
        <xdr:cNvPr id="29" name="Grafico 28">
          <a:extLst>
            <a:ext uri="{FF2B5EF4-FFF2-40B4-BE49-F238E27FC236}">
              <a16:creationId xmlns:a16="http://schemas.microsoft.com/office/drawing/2014/main" id="{B9A99010-0E5E-1443-AE8B-1C5A32E80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170597</xdr:colOff>
      <xdr:row>4</xdr:row>
      <xdr:rowOff>0</xdr:rowOff>
    </xdr:from>
    <xdr:to>
      <xdr:col>47</xdr:col>
      <xdr:colOff>576997</xdr:colOff>
      <xdr:row>21</xdr:row>
      <xdr:rowOff>0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id="{A1C5A1FE-CCD7-924E-B477-DA77784E9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151641</xdr:colOff>
      <xdr:row>22</xdr:row>
      <xdr:rowOff>18955</xdr:rowOff>
    </xdr:from>
    <xdr:to>
      <xdr:col>47</xdr:col>
      <xdr:colOff>558041</xdr:colOff>
      <xdr:row>39</xdr:row>
      <xdr:rowOff>18955</xdr:rowOff>
    </xdr:to>
    <xdr:graphicFrame macro="">
      <xdr:nvGraphicFramePr>
        <xdr:cNvPr id="31" name="Grafico 30">
          <a:extLst>
            <a:ext uri="{FF2B5EF4-FFF2-40B4-BE49-F238E27FC236}">
              <a16:creationId xmlns:a16="http://schemas.microsoft.com/office/drawing/2014/main" id="{F913A0CA-D51F-A145-9732-6A9678325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151642</xdr:colOff>
      <xdr:row>40</xdr:row>
      <xdr:rowOff>0</xdr:rowOff>
    </xdr:from>
    <xdr:to>
      <xdr:col>47</xdr:col>
      <xdr:colOff>558042</xdr:colOff>
      <xdr:row>57</xdr:row>
      <xdr:rowOff>0</xdr:rowOff>
    </xdr:to>
    <xdr:graphicFrame macro="">
      <xdr:nvGraphicFramePr>
        <xdr:cNvPr id="32" name="Grafico 31">
          <a:extLst>
            <a:ext uri="{FF2B5EF4-FFF2-40B4-BE49-F238E27FC236}">
              <a16:creationId xmlns:a16="http://schemas.microsoft.com/office/drawing/2014/main" id="{41738C39-86F0-9E4C-98B7-781932D3A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40</xdr:col>
      <xdr:colOff>113731</xdr:colOff>
      <xdr:row>63</xdr:row>
      <xdr:rowOff>0</xdr:rowOff>
    </xdr:from>
    <xdr:to>
      <xdr:col>47</xdr:col>
      <xdr:colOff>520131</xdr:colOff>
      <xdr:row>80</xdr:row>
      <xdr:rowOff>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FE93CC67-8138-C147-8060-1AD2B3536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40</xdr:col>
      <xdr:colOff>113731</xdr:colOff>
      <xdr:row>81</xdr:row>
      <xdr:rowOff>0</xdr:rowOff>
    </xdr:from>
    <xdr:to>
      <xdr:col>47</xdr:col>
      <xdr:colOff>520131</xdr:colOff>
      <xdr:row>98</xdr:row>
      <xdr:rowOff>0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D6F2D5DC-C464-BD41-8516-93893A624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132686</xdr:colOff>
      <xdr:row>99</xdr:row>
      <xdr:rowOff>18955</xdr:rowOff>
    </xdr:from>
    <xdr:to>
      <xdr:col>47</xdr:col>
      <xdr:colOff>539086</xdr:colOff>
      <xdr:row>116</xdr:row>
      <xdr:rowOff>18955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42709D7B-4F33-854F-B4B6-D1BC6079E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64</xdr:col>
      <xdr:colOff>132686</xdr:colOff>
      <xdr:row>4</xdr:row>
      <xdr:rowOff>18955</xdr:rowOff>
    </xdr:from>
    <xdr:to>
      <xdr:col>71</xdr:col>
      <xdr:colOff>539087</xdr:colOff>
      <xdr:row>21</xdr:row>
      <xdr:rowOff>18955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5E0E53F6-5DC8-7A45-8BE2-5528E4F20A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64</xdr:col>
      <xdr:colOff>132687</xdr:colOff>
      <xdr:row>22</xdr:row>
      <xdr:rowOff>18956</xdr:rowOff>
    </xdr:from>
    <xdr:to>
      <xdr:col>71</xdr:col>
      <xdr:colOff>539088</xdr:colOff>
      <xdr:row>39</xdr:row>
      <xdr:rowOff>18956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E32B47E1-5F3B-F346-B9B7-E1164E393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151642</xdr:colOff>
      <xdr:row>40</xdr:row>
      <xdr:rowOff>0</xdr:rowOff>
    </xdr:from>
    <xdr:to>
      <xdr:col>71</xdr:col>
      <xdr:colOff>558043</xdr:colOff>
      <xdr:row>57</xdr:row>
      <xdr:rowOff>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70C2E48B-E0EE-2942-B65D-80E475205A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64</xdr:col>
      <xdr:colOff>132686</xdr:colOff>
      <xdr:row>63</xdr:row>
      <xdr:rowOff>18955</xdr:rowOff>
    </xdr:from>
    <xdr:to>
      <xdr:col>71</xdr:col>
      <xdr:colOff>539087</xdr:colOff>
      <xdr:row>80</xdr:row>
      <xdr:rowOff>18955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F708442-A6ED-B343-9A72-2214FE450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64</xdr:col>
      <xdr:colOff>132687</xdr:colOff>
      <xdr:row>81</xdr:row>
      <xdr:rowOff>18956</xdr:rowOff>
    </xdr:from>
    <xdr:to>
      <xdr:col>71</xdr:col>
      <xdr:colOff>539088</xdr:colOff>
      <xdr:row>98</xdr:row>
      <xdr:rowOff>18956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F3518002-3D28-CC4F-9055-00BC8AD23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64</xdr:col>
      <xdr:colOff>151641</xdr:colOff>
      <xdr:row>99</xdr:row>
      <xdr:rowOff>0</xdr:rowOff>
    </xdr:from>
    <xdr:to>
      <xdr:col>71</xdr:col>
      <xdr:colOff>558042</xdr:colOff>
      <xdr:row>116</xdr:row>
      <xdr:rowOff>0</xdr:rowOff>
    </xdr:to>
    <xdr:graphicFrame macro="">
      <xdr:nvGraphicFramePr>
        <xdr:cNvPr id="41" name="Grafico 40">
          <a:extLst>
            <a:ext uri="{FF2B5EF4-FFF2-40B4-BE49-F238E27FC236}">
              <a16:creationId xmlns:a16="http://schemas.microsoft.com/office/drawing/2014/main" id="{23A6099A-246B-464C-B828-AF6151C41B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151642</xdr:colOff>
      <xdr:row>3</xdr:row>
      <xdr:rowOff>170597</xdr:rowOff>
    </xdr:from>
    <xdr:to>
      <xdr:col>95</xdr:col>
      <xdr:colOff>558042</xdr:colOff>
      <xdr:row>20</xdr:row>
      <xdr:rowOff>170597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85F160EC-FD89-FE43-A815-97675527F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88</xdr:col>
      <xdr:colOff>151641</xdr:colOff>
      <xdr:row>22</xdr:row>
      <xdr:rowOff>0</xdr:rowOff>
    </xdr:from>
    <xdr:to>
      <xdr:col>95</xdr:col>
      <xdr:colOff>558041</xdr:colOff>
      <xdr:row>39</xdr:row>
      <xdr:rowOff>0</xdr:rowOff>
    </xdr:to>
    <xdr:graphicFrame macro="">
      <xdr:nvGraphicFramePr>
        <xdr:cNvPr id="43" name="Grafico 42">
          <a:extLst>
            <a:ext uri="{FF2B5EF4-FFF2-40B4-BE49-F238E27FC236}">
              <a16:creationId xmlns:a16="http://schemas.microsoft.com/office/drawing/2014/main" id="{8F14417B-5FAE-AB47-BA3B-1E375EA63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170597</xdr:colOff>
      <xdr:row>40</xdr:row>
      <xdr:rowOff>0</xdr:rowOff>
    </xdr:from>
    <xdr:to>
      <xdr:col>95</xdr:col>
      <xdr:colOff>576997</xdr:colOff>
      <xdr:row>57</xdr:row>
      <xdr:rowOff>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3C9D2109-64C9-3B43-AFAF-CC0EAF318D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88</xdr:col>
      <xdr:colOff>170597</xdr:colOff>
      <xdr:row>63</xdr:row>
      <xdr:rowOff>0</xdr:rowOff>
    </xdr:from>
    <xdr:to>
      <xdr:col>95</xdr:col>
      <xdr:colOff>576997</xdr:colOff>
      <xdr:row>80</xdr:row>
      <xdr:rowOff>0</xdr:rowOff>
    </xdr:to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DF15BAE4-A78B-1A42-B849-4B6DA0EFA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88</xdr:col>
      <xdr:colOff>170597</xdr:colOff>
      <xdr:row>81</xdr:row>
      <xdr:rowOff>0</xdr:rowOff>
    </xdr:from>
    <xdr:to>
      <xdr:col>95</xdr:col>
      <xdr:colOff>576997</xdr:colOff>
      <xdr:row>98</xdr:row>
      <xdr:rowOff>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4462F608-02E2-9C44-81AB-A99E147DA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88</xdr:col>
      <xdr:colOff>189552</xdr:colOff>
      <xdr:row>99</xdr:row>
      <xdr:rowOff>0</xdr:rowOff>
    </xdr:from>
    <xdr:to>
      <xdr:col>95</xdr:col>
      <xdr:colOff>595952</xdr:colOff>
      <xdr:row>116</xdr:row>
      <xdr:rowOff>0</xdr:rowOff>
    </xdr:to>
    <xdr:graphicFrame macro="">
      <xdr:nvGraphicFramePr>
        <xdr:cNvPr id="47" name="Grafico 46">
          <a:extLst>
            <a:ext uri="{FF2B5EF4-FFF2-40B4-BE49-F238E27FC236}">
              <a16:creationId xmlns:a16="http://schemas.microsoft.com/office/drawing/2014/main" id="{822E30B3-927D-9B47-8681-2EB580A0D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112</xdr:col>
      <xdr:colOff>170597</xdr:colOff>
      <xdr:row>4</xdr:row>
      <xdr:rowOff>0</xdr:rowOff>
    </xdr:from>
    <xdr:to>
      <xdr:col>119</xdr:col>
      <xdr:colOff>576998</xdr:colOff>
      <xdr:row>21</xdr:row>
      <xdr:rowOff>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6060EE-6A3F-814D-9236-69CDF7F7D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112</xdr:col>
      <xdr:colOff>181428</xdr:colOff>
      <xdr:row>22</xdr:row>
      <xdr:rowOff>13956</xdr:rowOff>
    </xdr:from>
    <xdr:to>
      <xdr:col>119</xdr:col>
      <xdr:colOff>587829</xdr:colOff>
      <xdr:row>39</xdr:row>
      <xdr:rowOff>13956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B355A071-0427-914F-9A9E-285D5993A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112</xdr:col>
      <xdr:colOff>167472</xdr:colOff>
      <xdr:row>40</xdr:row>
      <xdr:rowOff>0</xdr:rowOff>
    </xdr:from>
    <xdr:to>
      <xdr:col>119</xdr:col>
      <xdr:colOff>573873</xdr:colOff>
      <xdr:row>56</xdr:row>
      <xdr:rowOff>195384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4CDCDC24-786B-8D48-88E1-13FC8DB1C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112</xdr:col>
      <xdr:colOff>125604</xdr:colOff>
      <xdr:row>63</xdr:row>
      <xdr:rowOff>0</xdr:rowOff>
    </xdr:from>
    <xdr:to>
      <xdr:col>119</xdr:col>
      <xdr:colOff>532005</xdr:colOff>
      <xdr:row>80</xdr:row>
      <xdr:rowOff>0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891182F8-15A9-8145-BCAF-935B2C0AE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112</xdr:col>
      <xdr:colOff>125605</xdr:colOff>
      <xdr:row>81</xdr:row>
      <xdr:rowOff>0</xdr:rowOff>
    </xdr:from>
    <xdr:to>
      <xdr:col>119</xdr:col>
      <xdr:colOff>532006</xdr:colOff>
      <xdr:row>98</xdr:row>
      <xdr:rowOff>0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FC6C21DE-DD77-BC47-A4A4-D47203FCA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112</xdr:col>
      <xdr:colOff>139561</xdr:colOff>
      <xdr:row>99</xdr:row>
      <xdr:rowOff>0</xdr:rowOff>
    </xdr:from>
    <xdr:to>
      <xdr:col>119</xdr:col>
      <xdr:colOff>545962</xdr:colOff>
      <xdr:row>116</xdr:row>
      <xdr:rowOff>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288C3C7E-A566-8047-A434-0AFABB18C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136</xdr:col>
      <xdr:colOff>209341</xdr:colOff>
      <xdr:row>4</xdr:row>
      <xdr:rowOff>13956</xdr:rowOff>
    </xdr:from>
    <xdr:to>
      <xdr:col>143</xdr:col>
      <xdr:colOff>615742</xdr:colOff>
      <xdr:row>21</xdr:row>
      <xdr:rowOff>13956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id="{E1C519A0-48E9-7D46-AC44-380311B473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136</xdr:col>
      <xdr:colOff>223297</xdr:colOff>
      <xdr:row>22</xdr:row>
      <xdr:rowOff>0</xdr:rowOff>
    </xdr:from>
    <xdr:to>
      <xdr:col>143</xdr:col>
      <xdr:colOff>629698</xdr:colOff>
      <xdr:row>39</xdr:row>
      <xdr:rowOff>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id="{5E3AD717-D76B-0741-B4BF-A4410CEA49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136</xdr:col>
      <xdr:colOff>237252</xdr:colOff>
      <xdr:row>40</xdr:row>
      <xdr:rowOff>0</xdr:rowOff>
    </xdr:from>
    <xdr:to>
      <xdr:col>143</xdr:col>
      <xdr:colOff>643653</xdr:colOff>
      <xdr:row>56</xdr:row>
      <xdr:rowOff>195384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id="{D866A529-128D-FB47-A41F-450DFA765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161</xdr:col>
      <xdr:colOff>209341</xdr:colOff>
      <xdr:row>4</xdr:row>
      <xdr:rowOff>13956</xdr:rowOff>
    </xdr:from>
    <xdr:to>
      <xdr:col>168</xdr:col>
      <xdr:colOff>615742</xdr:colOff>
      <xdr:row>21</xdr:row>
      <xdr:rowOff>13956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id="{86BFE188-0847-8449-A7FC-F15404D03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161</xdr:col>
      <xdr:colOff>223297</xdr:colOff>
      <xdr:row>22</xdr:row>
      <xdr:rowOff>0</xdr:rowOff>
    </xdr:from>
    <xdr:to>
      <xdr:col>168</xdr:col>
      <xdr:colOff>629698</xdr:colOff>
      <xdr:row>39</xdr:row>
      <xdr:rowOff>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C9C2AFB8-60E2-7246-8F89-7BFBA515E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161</xdr:col>
      <xdr:colOff>237252</xdr:colOff>
      <xdr:row>40</xdr:row>
      <xdr:rowOff>0</xdr:rowOff>
    </xdr:from>
    <xdr:to>
      <xdr:col>168</xdr:col>
      <xdr:colOff>643653</xdr:colOff>
      <xdr:row>56</xdr:row>
      <xdr:rowOff>195384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1B9B7633-5859-5A46-91A0-58CD2A623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136</xdr:col>
      <xdr:colOff>178245</xdr:colOff>
      <xdr:row>63</xdr:row>
      <xdr:rowOff>0</xdr:rowOff>
    </xdr:from>
    <xdr:to>
      <xdr:col>143</xdr:col>
      <xdr:colOff>584646</xdr:colOff>
      <xdr:row>79</xdr:row>
      <xdr:rowOff>195384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BAF9C277-9678-E04A-99AF-EB69B9BE0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136</xdr:col>
      <xdr:colOff>203200</xdr:colOff>
      <xdr:row>81</xdr:row>
      <xdr:rowOff>0</xdr:rowOff>
    </xdr:from>
    <xdr:to>
      <xdr:col>143</xdr:col>
      <xdr:colOff>609601</xdr:colOff>
      <xdr:row>97</xdr:row>
      <xdr:rowOff>195384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id="{57E52AF8-7E3E-D742-9E1F-7958ACA86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136</xdr:col>
      <xdr:colOff>177800</xdr:colOff>
      <xdr:row>99</xdr:row>
      <xdr:rowOff>76200</xdr:rowOff>
    </xdr:from>
    <xdr:to>
      <xdr:col>143</xdr:col>
      <xdr:colOff>584201</xdr:colOff>
      <xdr:row>116</xdr:row>
      <xdr:rowOff>68384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9FAC522A-0515-0548-9C0E-435079CB3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36595</xdr:colOff>
      <xdr:row>0</xdr:row>
      <xdr:rowOff>0</xdr:rowOff>
    </xdr:from>
    <xdr:to>
      <xdr:col>13</xdr:col>
      <xdr:colOff>34213</xdr:colOff>
      <xdr:row>7</xdr:row>
      <xdr:rowOff>127000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71C60EE-4840-B377-5F9F-9D4D043CF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5953</xdr:colOff>
      <xdr:row>44</xdr:row>
      <xdr:rowOff>17462</xdr:rowOff>
    </xdr:from>
    <xdr:to>
      <xdr:col>8</xdr:col>
      <xdr:colOff>13890</xdr:colOff>
      <xdr:row>58</xdr:row>
      <xdr:rowOff>76506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40BAE7B6-25D7-B044-3259-556AA4C052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348901</xdr:colOff>
      <xdr:row>44</xdr:row>
      <xdr:rowOff>671</xdr:rowOff>
    </xdr:from>
    <xdr:to>
      <xdr:col>16</xdr:col>
      <xdr:colOff>214216</xdr:colOff>
      <xdr:row>58</xdr:row>
      <xdr:rowOff>61205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F647090-454B-6415-A52E-CF18FC1EFD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36595</xdr:colOff>
      <xdr:row>0</xdr:row>
      <xdr:rowOff>0</xdr:rowOff>
    </xdr:from>
    <xdr:to>
      <xdr:col>15</xdr:col>
      <xdr:colOff>34213</xdr:colOff>
      <xdr:row>8</xdr:row>
      <xdr:rowOff>127000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7F3A822-5D92-0945-9625-C5014FEE2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</xdr:colOff>
      <xdr:row>48</xdr:row>
      <xdr:rowOff>38100</xdr:rowOff>
    </xdr:from>
    <xdr:to>
      <xdr:col>5</xdr:col>
      <xdr:colOff>88900</xdr:colOff>
      <xdr:row>62</xdr:row>
      <xdr:rowOff>114300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6695265-6F9B-7F87-B460-9B9B17CA5B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10976</xdr:colOff>
      <xdr:row>48</xdr:row>
      <xdr:rowOff>39511</xdr:rowOff>
    </xdr:from>
    <xdr:to>
      <xdr:col>13</xdr:col>
      <xdr:colOff>188776</xdr:colOff>
      <xdr:row>62</xdr:row>
      <xdr:rowOff>115711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13B30B0-E409-B0AF-5E20-8F75A53ED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10976</xdr:colOff>
      <xdr:row>48</xdr:row>
      <xdr:rowOff>39512</xdr:rowOff>
    </xdr:from>
    <xdr:to>
      <xdr:col>21</xdr:col>
      <xdr:colOff>188776</xdr:colOff>
      <xdr:row>62</xdr:row>
      <xdr:rowOff>115712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764ADFAD-1A13-F309-56EE-BD23B9A320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26655</xdr:colOff>
      <xdr:row>48</xdr:row>
      <xdr:rowOff>23832</xdr:rowOff>
    </xdr:from>
    <xdr:to>
      <xdr:col>29</xdr:col>
      <xdr:colOff>102855</xdr:colOff>
      <xdr:row>62</xdr:row>
      <xdr:rowOff>100032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3570478F-7AD7-ACC0-6D1C-7D8584E54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10975</xdr:colOff>
      <xdr:row>48</xdr:row>
      <xdr:rowOff>8154</xdr:rowOff>
    </xdr:from>
    <xdr:to>
      <xdr:col>37</xdr:col>
      <xdr:colOff>87175</xdr:colOff>
      <xdr:row>62</xdr:row>
      <xdr:rowOff>84354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250E407-14C2-B16C-80F4-9A58D9A6ED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45</xdr:col>
      <xdr:colOff>128396</xdr:colOff>
      <xdr:row>17</xdr:row>
      <xdr:rowOff>10048</xdr:rowOff>
    </xdr:from>
    <xdr:to>
      <xdr:col>50</xdr:col>
      <xdr:colOff>778747</xdr:colOff>
      <xdr:row>31</xdr:row>
      <xdr:rowOff>17864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687A4897-F5B2-2439-E3A6-767012C12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304799</xdr:colOff>
      <xdr:row>73</xdr:row>
      <xdr:rowOff>12700</xdr:rowOff>
    </xdr:from>
    <xdr:to>
      <xdr:col>5</xdr:col>
      <xdr:colOff>383216</xdr:colOff>
      <xdr:row>87</xdr:row>
      <xdr:rowOff>88900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57DD5615-E112-E2A9-52DA-94F29FEB9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12700</xdr:colOff>
      <xdr:row>73</xdr:row>
      <xdr:rowOff>0</xdr:rowOff>
    </xdr:from>
    <xdr:to>
      <xdr:col>13</xdr:col>
      <xdr:colOff>190500</xdr:colOff>
      <xdr:row>87</xdr:row>
      <xdr:rowOff>76200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7F29345D-885E-18ED-D8FC-C340293758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12700</xdr:colOff>
      <xdr:row>73</xdr:row>
      <xdr:rowOff>0</xdr:rowOff>
    </xdr:from>
    <xdr:to>
      <xdr:col>21</xdr:col>
      <xdr:colOff>190500</xdr:colOff>
      <xdr:row>87</xdr:row>
      <xdr:rowOff>76200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30FA106A-F02B-50A7-12FA-74F64A7C59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127000</xdr:colOff>
      <xdr:row>73</xdr:row>
      <xdr:rowOff>12700</xdr:rowOff>
    </xdr:from>
    <xdr:to>
      <xdr:col>29</xdr:col>
      <xdr:colOff>203200</xdr:colOff>
      <xdr:row>87</xdr:row>
      <xdr:rowOff>88900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4766CABC-93BB-4AF8-690A-426C5AEE6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393700</xdr:colOff>
      <xdr:row>73</xdr:row>
      <xdr:rowOff>0</xdr:rowOff>
    </xdr:from>
    <xdr:to>
      <xdr:col>37</xdr:col>
      <xdr:colOff>469900</xdr:colOff>
      <xdr:row>87</xdr:row>
      <xdr:rowOff>76200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1A730DFF-7A2F-6062-BEE8-6DE5C4ACD6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8.444148842595" createdVersion="8" refreshedVersion="8" minRefreshableVersion="3" recordCount="25" xr:uid="{78FAF221-3A85-7C41-8E5D-F2D468052903}">
  <cacheSource type="worksheet">
    <worksheetSource ref="A10:I35" sheet="PART 2"/>
  </cacheSource>
  <cacheFields count="14">
    <cacheField name="Expiry" numFmtId="0">
      <sharedItems containsDate="1" containsMixedTypes="1" minDate="2027-03-19T00:00:00" maxDate="2027-03-20T00:00:00"/>
    </cacheField>
    <cacheField name="T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0">
      <sharedItems containsSemiMixedTypes="0" containsString="0" containsNumber="1" minValue="0.25" maxValue="5.65"/>
    </cacheField>
    <cacheField name=" Ask" numFmtId="0">
      <sharedItems containsSemiMixedTypes="0" containsString="0" containsNumber="1" minValue="0.65" maxValue="6.8"/>
    </cacheField>
    <cacheField name="Mid" numFmtId="0">
      <sharedItems containsSemiMixedTypes="0" containsString="0" containsNumber="1" minValue="0.45" maxValue="6.2249999999999996"/>
    </cacheField>
    <cacheField name="ImVol" numFmtId="10">
      <sharedItems containsSemiMixedTypes="0" containsString="0" containsNumber="1" minValue="0.43433059472590685" maxValue="0.5374194448813796"/>
    </cacheField>
    <cacheField name=" IV (%) refinitiv" numFmtId="0">
      <sharedItems containsSemiMixedTypes="0" containsString="0" containsNumber="1" minValue="43.83" maxValue="55.47"/>
    </cacheField>
    <cacheField name=" Delta" numFmtId="0">
      <sharedItems containsSemiMixedTypes="0" containsString="0" containsNumber="1" minValue="0.2359" maxValue="0.90780000000000005"/>
    </cacheField>
    <cacheField name=" Gamma" numFmtId="0">
      <sharedItems containsSemiMixedTypes="0" containsString="0" containsNumber="1" minValue="3.1099999999999999E-2" maxValue="0.1135"/>
    </cacheField>
    <cacheField name=" Vega" numFmtId="0">
      <sharedItems containsSemiMixedTypes="0" containsString="0" containsNumber="1" minValue="1.0200000000000001E-2" maxValue="8.6999999999999994E-2"/>
    </cacheField>
    <cacheField name=" Theta" numFmtId="0">
      <sharedItems containsSemiMixedTypes="0" containsString="0" containsNumber="1" minValue="-2.5399999999999999E-2" maxValue="-5.4000000000000003E-3"/>
    </cacheField>
    <cacheField name=" Rho " numFmtId="0">
      <sharedItems containsSemiMixedTypes="0" containsString="0" containsNumber="1" minValue="3.8999999999999998E-3" maxValue="0.10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8.445947453707" createdVersion="8" refreshedVersion="8" minRefreshableVersion="3" recordCount="25" xr:uid="{F35FB9DB-73F9-6243-BE61-186921E64521}">
  <cacheSource type="worksheet">
    <worksheetSource ref="A10:N35" sheet="PART 2"/>
  </cacheSource>
  <cacheFields count="24">
    <cacheField name="Expiry" numFmtId="0">
      <sharedItems containsDate="1" containsMixedTypes="1" minDate="2027-03-19T00:00:00" maxDate="2027-03-20T00:00:00"/>
    </cacheField>
    <cacheField name="T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0">
      <sharedItems containsSemiMixedTypes="0" containsString="0" containsNumber="1" minValue="0.25" maxValue="5.65"/>
    </cacheField>
    <cacheField name=" Ask" numFmtId="0">
      <sharedItems containsSemiMixedTypes="0" containsString="0" containsNumber="1" minValue="0.65" maxValue="6.8"/>
    </cacheField>
    <cacheField name="Mid" numFmtId="0">
      <sharedItems containsSemiMixedTypes="0" containsString="0" containsNumber="1" minValue="0.45" maxValue="6.2249999999999996"/>
    </cacheField>
    <cacheField name="ImVol" numFmtId="10">
      <sharedItems containsSemiMixedTypes="0" containsString="0" containsNumber="1" minValue="0.43433059472590685" maxValue="0.5374194448813796"/>
    </cacheField>
    <cacheField name=" IV (%) refinitiv" numFmtId="0">
      <sharedItems containsSemiMixedTypes="0" containsString="0" containsNumber="1" minValue="43.83" maxValue="55.47"/>
    </cacheField>
    <cacheField name=" Delta" numFmtId="0">
      <sharedItems containsSemiMixedTypes="0" containsString="0" containsNumber="1" minValue="0.2359" maxValue="0.90780000000000005"/>
    </cacheField>
    <cacheField name=" Gamma" numFmtId="0">
      <sharedItems containsSemiMixedTypes="0" containsString="0" containsNumber="1" minValue="3.1099999999999999E-2" maxValue="0.1135"/>
    </cacheField>
    <cacheField name=" Vega" numFmtId="0">
      <sharedItems containsSemiMixedTypes="0" containsString="0" containsNumber="1" minValue="1.0200000000000001E-2" maxValue="8.6999999999999994E-2"/>
    </cacheField>
    <cacheField name=" Theta" numFmtId="0">
      <sharedItems containsSemiMixedTypes="0" containsString="0" containsNumber="1" minValue="-2.5399999999999999E-2" maxValue="-5.4000000000000003E-3"/>
    </cacheField>
    <cacheField name=" Rho " numFmtId="0">
      <sharedItems containsSemiMixedTypes="0" containsString="0" containsNumber="1" minValue="3.8999999999999998E-3" maxValue="0.1042"/>
    </cacheField>
    <cacheField name=" Bid2" numFmtId="0">
      <sharedItems containsSemiMixedTypes="0" containsString="0" containsNumber="1" minValue="0.02" maxValue="4.8"/>
    </cacheField>
    <cacheField name=" Ask2" numFmtId="0">
      <sharedItems containsSemiMixedTypes="0" containsString="0" containsNumber="1" minValue="0.37" maxValue="5.8"/>
    </cacheField>
    <cacheField name="Mid2" numFmtId="0">
      <sharedItems containsSemiMixedTypes="0" containsString="0" containsNumber="1" minValue="0.19500000000000001" maxValue="5.3"/>
    </cacheField>
    <cacheField name="ImVol2" numFmtId="10">
      <sharedItems containsSemiMixedTypes="0" containsString="0" containsNumber="1" minValue="0.43943199794739485" maxValue="0.56504502426832914"/>
    </cacheField>
    <cacheField name=" IV (%)" numFmtId="0">
      <sharedItems containsSemiMixedTypes="0" containsString="0" containsNumber="1" minValue="43.3" maxValue="71.33"/>
    </cacheField>
    <cacheField name=" Delta2" numFmtId="0">
      <sharedItems containsSemiMixedTypes="0" containsString="0" containsNumber="1" minValue="-0.77170000000000005" maxValue="-0.13750000000000001"/>
    </cacheField>
    <cacheField name=" Gamma2" numFmtId="0">
      <sharedItems containsSemiMixedTypes="0" containsString="0" containsNumber="1" minValue="3.15E-2" maxValue="0.11609999999999999"/>
    </cacheField>
    <cacheField name=" Vega2" numFmtId="0">
      <sharedItems containsSemiMixedTypes="0" containsString="0" containsNumber="1" minValue="1.4200000000000001E-2" maxValue="8.7099999999999997E-2"/>
    </cacheField>
    <cacheField name=" Theta2" numFmtId="0">
      <sharedItems containsSemiMixedTypes="0" containsString="0" containsNumber="1" minValue="-2.35E-2" maxValue="-4.1000000000000003E-3"/>
    </cacheField>
    <cacheField name=" Rho 2" numFmtId="0">
      <sharedItems containsSemiMixedTypes="0" containsString="0" containsNumber="1" minValue="-0.15809999999999999" maxValue="-2.8999999999999998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9.001111805555" createdVersion="8" refreshedVersion="8" minRefreshableVersion="3" recordCount="25" xr:uid="{0387DCC3-4AB2-FC41-9747-2B768BBD727F}">
  <cacheSource type="worksheet">
    <worksheetSource ref="A11:AP36" sheet="PART 3"/>
  </cacheSource>
  <cacheFields count="43">
    <cacheField name="Expiry" numFmtId="0">
      <sharedItems containsDate="1" containsMixedTypes="1" minDate="2027-03-19T00:00:00" maxDate="2027-03-20T00:00:00"/>
    </cacheField>
    <cacheField name="T (months)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2">
      <sharedItems containsSemiMixedTypes="0" containsString="0" containsNumber="1" minValue="0.25" maxValue="5.65"/>
    </cacheField>
    <cacheField name=" Ask" numFmtId="2">
      <sharedItems containsSemiMixedTypes="0" containsString="0" containsNumber="1" minValue="0.65" maxValue="6.8"/>
    </cacheField>
    <cacheField name="Mid" numFmtId="2">
      <sharedItems containsSemiMixedTypes="0" containsString="0" containsNumber="1" minValue="0.45" maxValue="6.2249999999999996"/>
    </cacheField>
    <cacheField name="ImVol" numFmtId="167">
      <sharedItems containsSemiMixedTypes="0" containsString="0" containsNumber="1" minValue="0.43433059472590685" maxValue="0.5374194448813796"/>
    </cacheField>
    <cacheField name="Delta" numFmtId="167">
      <sharedItems containsSemiMixedTypes="0" containsString="0" containsNumber="1" minValue="0.23697346785879758" maxValue="0.90794017754007128"/>
    </cacheField>
    <cacheField name=" Delta refinitiv" numFmtId="167">
      <sharedItems containsSemiMixedTypes="0" containsString="0" containsNumber="1" minValue="0.2359" maxValue="0.90780000000000005"/>
    </cacheField>
    <cacheField name="rel error" numFmtId="168">
      <sharedItems containsSemiMixedTypes="0" containsString="0" containsNumber="1" minValue="9.8992150315611111E-6" maxValue="5.3745931970518857E-3"/>
    </cacheField>
    <cacheField name="Gamma" numFmtId="167">
      <sharedItems containsSemiMixedTypes="0" containsString="0" containsNumber="1" minValue="3.093536156355586E-2" maxValue="0.11251703326920084"/>
    </cacheField>
    <cacheField name=" Gamma refinitiv" numFmtId="167">
      <sharedItems containsSemiMixedTypes="0" containsString="0" containsNumber="1" minValue="3.1099999999999999E-2" maxValue="0.1135"/>
    </cacheField>
    <cacheField name="rel error2" numFmtId="168">
      <sharedItems containsSemiMixedTypes="0" containsString="0" containsNumber="1" minValue="1.2399967803726141E-3" maxValue="2.1773048698455231E-2"/>
    </cacheField>
    <cacheField name="Vega" numFmtId="167">
      <sharedItems containsSemiMixedTypes="0" containsString="0" containsNumber="1" minValue="1.0978775336062429E-2" maxValue="8.793994014486485E-2"/>
    </cacheField>
    <cacheField name=" Vega refinitiv" numFmtId="167">
      <sharedItems containsSemiMixedTypes="0" containsString="0" containsNumber="1" minValue="1.0200000000000001E-2" maxValue="8.6999999999999994E-2"/>
    </cacheField>
    <cacheField name="rel error3" numFmtId="168">
      <sharedItems containsSemiMixedTypes="0" containsString="0" containsNumber="1" minValue="1.2455329190996013E-3" maxValue="7.6350523143375343E-2"/>
    </cacheField>
    <cacheField name="Theta" numFmtId="167">
      <sharedItems containsSemiMixedTypes="0" containsString="0" containsNumber="1" minValue="-2.1980028548026744E-2" maxValue="-3.881542904956372E-3"/>
    </cacheField>
    <cacheField name=" Theta refinitiv" numFmtId="167">
      <sharedItems containsSemiMixedTypes="0" containsString="0" containsNumber="1" minValue="-2.5399999999999999E-2" maxValue="-5.4000000000000003E-3"/>
    </cacheField>
    <cacheField name="rel error4" numFmtId="168">
      <sharedItems containsSemiMixedTypes="0" containsString="0" containsNumber="1" minValue="2.3547958407329369E-2" maxValue="0.28119575834141264"/>
    </cacheField>
    <cacheField name="Rho" numFmtId="167">
      <sharedItems containsSemiMixedTypes="0" containsString="0" containsNumber="1" minValue="4.1729158076018865E-3" maxValue="0.10369643099448318"/>
    </cacheField>
    <cacheField name=" Rho refinitiv" numFmtId="167">
      <sharedItems containsSemiMixedTypes="0" containsString="0" containsNumber="1" minValue="3.8999999999999998E-3" maxValue="0.1042"/>
    </cacheField>
    <cacheField name="rel error5" numFmtId="168">
      <sharedItems containsSemiMixedTypes="0" containsString="0" containsNumber="1" minValue="5.3541267700826527E-5" maxValue="6.9978412205611976E-2"/>
    </cacheField>
    <cacheField name=" Bid2" numFmtId="0">
      <sharedItems containsSemiMixedTypes="0" containsString="0" containsNumber="1" minValue="0.02" maxValue="4.8"/>
    </cacheField>
    <cacheField name=" Ask2" numFmtId="0">
      <sharedItems containsSemiMixedTypes="0" containsString="0" containsNumber="1" minValue="0.37" maxValue="5.8"/>
    </cacheField>
    <cacheField name="Mid2" numFmtId="0">
      <sharedItems containsSemiMixedTypes="0" containsString="0" containsNumber="1" minValue="0.19500000000000001" maxValue="5.3"/>
    </cacheField>
    <cacheField name="ImVol2" numFmtId="167">
      <sharedItems containsSemiMixedTypes="0" containsString="0" containsNumber="1" minValue="0.43943199794739485" maxValue="0.56504502426832914"/>
    </cacheField>
    <cacheField name="Delta2" numFmtId="167">
      <sharedItems containsSemiMixedTypes="0" containsString="0" containsNumber="1" minValue="-0.7698805990954134" maxValue="-0.10186058135447307"/>
    </cacheField>
    <cacheField name=" Delta refinitiv2" numFmtId="167">
      <sharedItems containsSemiMixedTypes="0" containsString="0" containsNumber="1" minValue="-0.77170000000000005" maxValue="-0.13750000000000001"/>
    </cacheField>
    <cacheField name="rel error6" numFmtId="168">
      <sharedItems containsSemiMixedTypes="0" containsString="0" containsNumber="1" minValue="1.3449972569558002E-4" maxValue="0.28368086248612467"/>
    </cacheField>
    <cacheField name="Gamma2" numFmtId="167">
      <sharedItems containsSemiMixedTypes="0" containsString="0" containsNumber="1" minValue="3.113972213704887E-2" maxValue="0.11489569727137183"/>
    </cacheField>
    <cacheField name=" Gamma refinitiv2" numFmtId="167">
      <sharedItems containsSemiMixedTypes="0" containsString="0" containsNumber="1" minValue="3.15E-2" maxValue="0.11609999999999999"/>
    </cacheField>
    <cacheField name="rel error7" numFmtId="168">
      <sharedItems containsSemiMixedTypes="0" containsString="0" containsNumber="1" minValue="4.3278314004435324E-3" maxValue="3.563368456353927E-2"/>
    </cacheField>
    <cacheField name="Vega2" numFmtId="167">
      <sharedItems containsSemiMixedTypes="0" containsString="0" containsNumber="1" minValue="1.1825328372817596E-2" maxValue="8.7949549325522222E-2"/>
    </cacheField>
    <cacheField name=" Vega refinitiv2" numFmtId="167">
      <sharedItems containsSemiMixedTypes="0" containsString="0" containsNumber="1" minValue="1.4200000000000001E-2" maxValue="8.7099999999999997E-2"/>
    </cacheField>
    <cacheField name="rel error8" numFmtId="168">
      <sharedItems containsSemiMixedTypes="0" containsString="0" containsNumber="1" minValue="2.6834623247588016E-3" maxValue="0.16723039628045105"/>
    </cacheField>
    <cacheField name="Theta2" numFmtId="167">
      <sharedItems containsSemiMixedTypes="0" containsString="0" containsNumber="1" minValue="-2.2761454416937266E-2" maxValue="-5.0735142490100343E-3"/>
    </cacheField>
    <cacheField name=" Theta refinitiv2" numFmtId="167">
      <sharedItems containsSemiMixedTypes="0" containsString="0" containsNumber="1" minValue="-2.35E-2" maxValue="-4.1000000000000003E-3"/>
    </cacheField>
    <cacheField name="rel error9" numFmtId="168">
      <sharedItems containsSemiMixedTypes="0" containsString="0" containsNumber="1" minValue="1.2296061340758335E-2" maxValue="0.60014159436150483"/>
    </cacheField>
    <cacheField name="Rho2" numFmtId="167">
      <sharedItems containsSemiMixedTypes="0" containsString="0" containsNumber="1" minValue="-0.15571409254377785" maxValue="-2.1173743195845099E-3"/>
    </cacheField>
    <cacheField name=" Rho refinitiv2" numFmtId="167">
      <sharedItems containsSemiMixedTypes="0" containsString="0" containsNumber="1" minValue="-0.15809999999999999" maxValue="-2.8999999999999998E-3"/>
    </cacheField>
    <cacheField name="rel error10" numFmtId="168">
      <sharedItems containsSemiMixedTypes="0" containsString="0" containsNumber="1" minValue="6.8799352833315737E-3" maxValue="0.26987092428120346"/>
    </cacheField>
    <cacheField name="Campo1" numFmtId="0" formula="'rel error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9.011934027774" createdVersion="8" refreshedVersion="8" minRefreshableVersion="3" recordCount="25" xr:uid="{7805D2A2-2CAA-914C-B75F-30807C99358F}">
  <cacheSource type="worksheet">
    <worksheetSource ref="B11:Q36" sheet="PART 3"/>
  </cacheSource>
  <cacheFields count="16">
    <cacheField name="T (months)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2">
      <sharedItems containsSemiMixedTypes="0" containsString="0" containsNumber="1" minValue="0.25" maxValue="5.65"/>
    </cacheField>
    <cacheField name=" Ask" numFmtId="2">
      <sharedItems containsSemiMixedTypes="0" containsString="0" containsNumber="1" minValue="0.65" maxValue="6.8"/>
    </cacheField>
    <cacheField name="Mid" numFmtId="2">
      <sharedItems containsSemiMixedTypes="0" containsString="0" containsNumber="1" minValue="0.45" maxValue="6.2249999999999996"/>
    </cacheField>
    <cacheField name="ImVol" numFmtId="167">
      <sharedItems containsSemiMixedTypes="0" containsString="0" containsNumber="1" minValue="0.43433059472590685" maxValue="0.5374194448813796"/>
    </cacheField>
    <cacheField name="Delta" numFmtId="167">
      <sharedItems containsSemiMixedTypes="0" containsString="0" containsNumber="1" minValue="0.23697346785879758" maxValue="0.90794017754007128"/>
    </cacheField>
    <cacheField name=" Delta refinitiv" numFmtId="167">
      <sharedItems containsSemiMixedTypes="0" containsString="0" containsNumber="1" minValue="0.2359" maxValue="0.90780000000000005"/>
    </cacheField>
    <cacheField name="rel error" numFmtId="168">
      <sharedItems containsSemiMixedTypes="0" containsString="0" containsNumber="1" minValue="9.8992150315611111E-6" maxValue="5.3745931970518857E-3"/>
    </cacheField>
    <cacheField name="Gamma" numFmtId="167">
      <sharedItems containsSemiMixedTypes="0" containsString="0" containsNumber="1" minValue="3.093536156355586E-2" maxValue="0.11251703326920084"/>
    </cacheField>
    <cacheField name=" Gamma refinitiv" numFmtId="167">
      <sharedItems containsSemiMixedTypes="0" containsString="0" containsNumber="1" minValue="3.1099999999999999E-2" maxValue="0.1135"/>
    </cacheField>
    <cacheField name="rel error2" numFmtId="168">
      <sharedItems containsSemiMixedTypes="0" containsString="0" containsNumber="1" minValue="1.2399967803726141E-3" maxValue="2.1773048698455231E-2"/>
    </cacheField>
    <cacheField name="Vega" numFmtId="167">
      <sharedItems containsSemiMixedTypes="0" containsString="0" containsNumber="1" minValue="1.0978775336062429E-2" maxValue="8.793994014486485E-2"/>
    </cacheField>
    <cacheField name=" Vega refinitiv" numFmtId="167">
      <sharedItems containsSemiMixedTypes="0" containsString="0" containsNumber="1" minValue="1.0200000000000001E-2" maxValue="8.6999999999999994E-2"/>
    </cacheField>
    <cacheField name="rel error3" numFmtId="168">
      <sharedItems containsSemiMixedTypes="0" containsString="0" containsNumber="1" minValue="1.2455329190996013E-3" maxValue="7.635052314337534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9.01370358796" createdVersion="8" refreshedVersion="8" minRefreshableVersion="3" recordCount="25" xr:uid="{C9E2C7C9-24BA-3D4F-9816-DE4BA7EA055F}">
  <cacheSource type="worksheet">
    <worksheetSource ref="B11:T36" sheet="PART 3"/>
  </cacheSource>
  <cacheFields count="19">
    <cacheField name="T (months)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2">
      <sharedItems containsSemiMixedTypes="0" containsString="0" containsNumber="1" minValue="0.25" maxValue="5.65"/>
    </cacheField>
    <cacheField name=" Ask" numFmtId="2">
      <sharedItems containsSemiMixedTypes="0" containsString="0" containsNumber="1" minValue="0.65" maxValue="6.8"/>
    </cacheField>
    <cacheField name="Mid" numFmtId="2">
      <sharedItems containsSemiMixedTypes="0" containsString="0" containsNumber="1" minValue="0.45" maxValue="6.2249999999999996"/>
    </cacheField>
    <cacheField name="ImVol" numFmtId="167">
      <sharedItems containsSemiMixedTypes="0" containsString="0" containsNumber="1" minValue="0.43433059472590685" maxValue="0.5374194448813796"/>
    </cacheField>
    <cacheField name="Delta" numFmtId="167">
      <sharedItems containsSemiMixedTypes="0" containsString="0" containsNumber="1" minValue="0.23697346785879758" maxValue="0.90794017754007128"/>
    </cacheField>
    <cacheField name=" Delta refinitiv" numFmtId="167">
      <sharedItems containsSemiMixedTypes="0" containsString="0" containsNumber="1" minValue="0.2359" maxValue="0.90780000000000005"/>
    </cacheField>
    <cacheField name="rel error" numFmtId="168">
      <sharedItems containsSemiMixedTypes="0" containsString="0" containsNumber="1" minValue="9.8992150315611111E-6" maxValue="5.3745931970518857E-3"/>
    </cacheField>
    <cacheField name="Gamma" numFmtId="167">
      <sharedItems containsSemiMixedTypes="0" containsString="0" containsNumber="1" minValue="3.093536156355586E-2" maxValue="0.11251703326920084"/>
    </cacheField>
    <cacheField name=" Gamma refinitiv" numFmtId="167">
      <sharedItems containsSemiMixedTypes="0" containsString="0" containsNumber="1" minValue="3.1099999999999999E-2" maxValue="0.1135"/>
    </cacheField>
    <cacheField name="rel error2" numFmtId="168">
      <sharedItems containsSemiMixedTypes="0" containsString="0" containsNumber="1" minValue="1.2399967803726141E-3" maxValue="2.1773048698455231E-2"/>
    </cacheField>
    <cacheField name="Vega" numFmtId="167">
      <sharedItems containsSemiMixedTypes="0" containsString="0" containsNumber="1" minValue="1.0978775336062429E-2" maxValue="8.793994014486485E-2"/>
    </cacheField>
    <cacheField name=" Vega refinitiv" numFmtId="167">
      <sharedItems containsSemiMixedTypes="0" containsString="0" containsNumber="1" minValue="1.0200000000000001E-2" maxValue="8.6999999999999994E-2"/>
    </cacheField>
    <cacheField name="rel error3" numFmtId="168">
      <sharedItems containsSemiMixedTypes="0" containsString="0" containsNumber="1" minValue="1.2455329190996013E-3" maxValue="7.6350523143375343E-2"/>
    </cacheField>
    <cacheField name="Theta" numFmtId="167">
      <sharedItems containsSemiMixedTypes="0" containsString="0" containsNumber="1" minValue="-2.1980028548026744E-2" maxValue="-3.881542904956372E-3"/>
    </cacheField>
    <cacheField name=" Theta refinitiv" numFmtId="167">
      <sharedItems containsSemiMixedTypes="0" containsString="0" containsNumber="1" minValue="-2.5399999999999999E-2" maxValue="-5.4000000000000003E-3"/>
    </cacheField>
    <cacheField name="rel error4" numFmtId="168">
      <sharedItems containsSemiMixedTypes="0" containsString="0" containsNumber="1" minValue="2.3547958407329369E-2" maxValue="0.281195758341412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9.017234375002" createdVersion="8" refreshedVersion="8" minRefreshableVersion="3" recordCount="25" xr:uid="{423BA2E8-CBD4-F147-8EB9-3498A63E02DA}">
  <cacheSource type="worksheet">
    <worksheetSource ref="B11:W36" sheet="PART 3"/>
  </cacheSource>
  <cacheFields count="22">
    <cacheField name="T (months)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2">
      <sharedItems containsSemiMixedTypes="0" containsString="0" containsNumber="1" minValue="0.25" maxValue="5.65"/>
    </cacheField>
    <cacheField name=" Ask" numFmtId="2">
      <sharedItems containsSemiMixedTypes="0" containsString="0" containsNumber="1" minValue="0.65" maxValue="6.8"/>
    </cacheField>
    <cacheField name="Mid" numFmtId="2">
      <sharedItems containsSemiMixedTypes="0" containsString="0" containsNumber="1" minValue="0.45" maxValue="6.2249999999999996"/>
    </cacheField>
    <cacheField name="ImVol" numFmtId="167">
      <sharedItems containsSemiMixedTypes="0" containsString="0" containsNumber="1" minValue="0.43433059472590685" maxValue="0.5374194448813796"/>
    </cacheField>
    <cacheField name="Delta" numFmtId="167">
      <sharedItems containsSemiMixedTypes="0" containsString="0" containsNumber="1" minValue="0.23697346785879758" maxValue="0.90794017754007128"/>
    </cacheField>
    <cacheField name=" Delta refinitiv" numFmtId="167">
      <sharedItems containsSemiMixedTypes="0" containsString="0" containsNumber="1" minValue="0.2359" maxValue="0.90780000000000005"/>
    </cacheField>
    <cacheField name="rel error" numFmtId="168">
      <sharedItems containsSemiMixedTypes="0" containsString="0" containsNumber="1" minValue="9.8992150315611111E-6" maxValue="5.3745931970518857E-3"/>
    </cacheField>
    <cacheField name="Gamma" numFmtId="167">
      <sharedItems containsSemiMixedTypes="0" containsString="0" containsNumber="1" minValue="3.093536156355586E-2" maxValue="0.11251703326920084"/>
    </cacheField>
    <cacheField name=" Gamma refinitiv" numFmtId="167">
      <sharedItems containsSemiMixedTypes="0" containsString="0" containsNumber="1" minValue="3.1099999999999999E-2" maxValue="0.1135"/>
    </cacheField>
    <cacheField name="rel error2" numFmtId="168">
      <sharedItems containsSemiMixedTypes="0" containsString="0" containsNumber="1" minValue="1.2399967803726141E-3" maxValue="2.1773048698455231E-2"/>
    </cacheField>
    <cacheField name="Vega" numFmtId="167">
      <sharedItems containsSemiMixedTypes="0" containsString="0" containsNumber="1" minValue="1.0978775336062429E-2" maxValue="8.793994014486485E-2"/>
    </cacheField>
    <cacheField name=" Vega refinitiv" numFmtId="167">
      <sharedItems containsSemiMixedTypes="0" containsString="0" containsNumber="1" minValue="1.0200000000000001E-2" maxValue="8.6999999999999994E-2"/>
    </cacheField>
    <cacheField name="rel error3" numFmtId="168">
      <sharedItems containsSemiMixedTypes="0" containsString="0" containsNumber="1" minValue="1.2455329190996013E-3" maxValue="7.6350523143375343E-2"/>
    </cacheField>
    <cacheField name="Theta" numFmtId="167">
      <sharedItems containsSemiMixedTypes="0" containsString="0" containsNumber="1" minValue="-2.1980028548026744E-2" maxValue="-3.881542904956372E-3"/>
    </cacheField>
    <cacheField name=" Theta refinitiv" numFmtId="167">
      <sharedItems containsSemiMixedTypes="0" containsString="0" containsNumber="1" minValue="-2.5399999999999999E-2" maxValue="-5.4000000000000003E-3"/>
    </cacheField>
    <cacheField name="rel error4" numFmtId="168">
      <sharedItems containsSemiMixedTypes="0" containsString="0" containsNumber="1" minValue="2.3547958407329369E-2" maxValue="0.28119575834141264"/>
    </cacheField>
    <cacheField name="Rho" numFmtId="167">
      <sharedItems containsSemiMixedTypes="0" containsString="0" containsNumber="1" minValue="4.1729158076018865E-3" maxValue="0.10369643099448318"/>
    </cacheField>
    <cacheField name=" Rho refinitiv" numFmtId="167">
      <sharedItems containsSemiMixedTypes="0" containsString="0" containsNumber="1" minValue="3.8999999999999998E-3" maxValue="0.1042"/>
    </cacheField>
    <cacheField name="rel error5" numFmtId="168">
      <sharedItems containsSemiMixedTypes="0" containsString="0" containsNumber="1" minValue="5.3541267700826527E-5" maxValue="6.997841220561197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9.681746064816" createdVersion="8" refreshedVersion="8" minRefreshableVersion="3" recordCount="25" xr:uid="{2106D612-525E-0847-897E-926E82944571}">
  <cacheSource type="worksheet">
    <worksheetSource ref="B11:AP36" sheet="PART 3"/>
  </cacheSource>
  <cacheFields count="41">
    <cacheField name="T (months)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2">
      <sharedItems containsSemiMixedTypes="0" containsString="0" containsNumber="1" minValue="0.25" maxValue="5.65"/>
    </cacheField>
    <cacheField name=" Ask" numFmtId="2">
      <sharedItems containsSemiMixedTypes="0" containsString="0" containsNumber="1" minValue="0.65" maxValue="6.8"/>
    </cacheField>
    <cacheField name="Mid" numFmtId="2">
      <sharedItems containsSemiMixedTypes="0" containsString="0" containsNumber="1" minValue="0.45" maxValue="6.2249999999999996"/>
    </cacheField>
    <cacheField name="ImVol" numFmtId="167">
      <sharedItems containsSemiMixedTypes="0" containsString="0" containsNumber="1" minValue="0.43433059472590685" maxValue="0.5374194448813796"/>
    </cacheField>
    <cacheField name="Delta" numFmtId="167">
      <sharedItems containsSemiMixedTypes="0" containsString="0" containsNumber="1" minValue="0.23697346785879758" maxValue="0.90794017754007128"/>
    </cacheField>
    <cacheField name=" Delta refinitiv" numFmtId="167">
      <sharedItems containsSemiMixedTypes="0" containsString="0" containsNumber="1" minValue="0.2359" maxValue="0.90780000000000005"/>
    </cacheField>
    <cacheField name="rel error D C" numFmtId="168">
      <sharedItems containsSemiMixedTypes="0" containsString="0" containsNumber="1" minValue="9.8992150315611111E-6" maxValue="5.3745931970518857E-3"/>
    </cacheField>
    <cacheField name="Gamma" numFmtId="167">
      <sharedItems containsSemiMixedTypes="0" containsString="0" containsNumber="1" minValue="3.093536156355586E-2" maxValue="0.11251703326920084"/>
    </cacheField>
    <cacheField name=" Gamma refinitiv" numFmtId="167">
      <sharedItems containsSemiMixedTypes="0" containsString="0" containsNumber="1" minValue="3.1099999999999999E-2" maxValue="0.1135"/>
    </cacheField>
    <cacheField name="rel error G C" numFmtId="168">
      <sharedItems containsSemiMixedTypes="0" containsString="0" containsNumber="1" minValue="1.2399967803726141E-3" maxValue="2.1773048698455231E-2"/>
    </cacheField>
    <cacheField name="Vega" numFmtId="167">
      <sharedItems containsSemiMixedTypes="0" containsString="0" containsNumber="1" minValue="1.0978775336062429E-2" maxValue="8.793994014486485E-2"/>
    </cacheField>
    <cacheField name=" Vega refinitiv" numFmtId="167">
      <sharedItems containsSemiMixedTypes="0" containsString="0" containsNumber="1" minValue="1.0200000000000001E-2" maxValue="8.6999999999999994E-2"/>
    </cacheField>
    <cacheField name="rel error V C" numFmtId="168">
      <sharedItems containsSemiMixedTypes="0" containsString="0" containsNumber="1" minValue="1.2455329190996013E-3" maxValue="7.6350523143375343E-2"/>
    </cacheField>
    <cacheField name="Theta" numFmtId="167">
      <sharedItems containsSemiMixedTypes="0" containsString="0" containsNumber="1" minValue="-2.1980028548026744E-2" maxValue="-3.881542904956372E-3"/>
    </cacheField>
    <cacheField name=" Theta refinitiv" numFmtId="167">
      <sharedItems containsSemiMixedTypes="0" containsString="0" containsNumber="1" minValue="-2.5399999999999999E-2" maxValue="-5.4000000000000003E-3"/>
    </cacheField>
    <cacheField name="rel error T C" numFmtId="168">
      <sharedItems containsSemiMixedTypes="0" containsString="0" containsNumber="1" minValue="2.3547958407329369E-2" maxValue="0.28119575834141264"/>
    </cacheField>
    <cacheField name="Rho" numFmtId="167">
      <sharedItems containsSemiMixedTypes="0" containsString="0" containsNumber="1" minValue="4.1729158076018865E-3" maxValue="0.10369643099448318"/>
    </cacheField>
    <cacheField name=" Rho refinitiv" numFmtId="167">
      <sharedItems containsSemiMixedTypes="0" containsString="0" containsNumber="1" minValue="3.8999999999999998E-3" maxValue="0.1042"/>
    </cacheField>
    <cacheField name="rel error R C" numFmtId="168">
      <sharedItems containsSemiMixedTypes="0" containsString="0" containsNumber="1" minValue="5.3541267700826527E-5" maxValue="6.9978412205611976E-2"/>
    </cacheField>
    <cacheField name=" Bid2" numFmtId="0">
      <sharedItems containsSemiMixedTypes="0" containsString="0" containsNumber="1" minValue="0.02" maxValue="4.8"/>
    </cacheField>
    <cacheField name=" Ask2" numFmtId="0">
      <sharedItems containsSemiMixedTypes="0" containsString="0" containsNumber="1" minValue="0.37" maxValue="5.8"/>
    </cacheField>
    <cacheField name="Mid2" numFmtId="0">
      <sharedItems containsSemiMixedTypes="0" containsString="0" containsNumber="1" minValue="0.19500000000000001" maxValue="5.3"/>
    </cacheField>
    <cacheField name="ImVol2" numFmtId="167">
      <sharedItems containsSemiMixedTypes="0" containsString="0" containsNumber="1" minValue="0.43943199794739485" maxValue="0.56504502426832914"/>
    </cacheField>
    <cacheField name="Delta2" numFmtId="167">
      <sharedItems containsSemiMixedTypes="0" containsString="0" containsNumber="1" minValue="-0.7698805990954134" maxValue="-0.10186058135447307"/>
    </cacheField>
    <cacheField name=" Delta refinitiv2" numFmtId="167">
      <sharedItems containsSemiMixedTypes="0" containsString="0" containsNumber="1" minValue="-0.77170000000000005" maxValue="-0.13750000000000001"/>
    </cacheField>
    <cacheField name="rel error D P" numFmtId="168">
      <sharedItems containsSemiMixedTypes="0" containsString="0" containsNumber="1" minValue="1.3449972569558002E-4" maxValue="0.28368086248612467"/>
    </cacheField>
    <cacheField name="Gamma2" numFmtId="167">
      <sharedItems containsSemiMixedTypes="0" containsString="0" containsNumber="1" minValue="3.113972213704887E-2" maxValue="0.11489569727137183"/>
    </cacheField>
    <cacheField name=" Gamma refinitiv2" numFmtId="167">
      <sharedItems containsSemiMixedTypes="0" containsString="0" containsNumber="1" minValue="3.15E-2" maxValue="0.11609999999999999"/>
    </cacheField>
    <cacheField name="rel error G P" numFmtId="168">
      <sharedItems containsSemiMixedTypes="0" containsString="0" containsNumber="1" minValue="4.3278314004435324E-3" maxValue="3.563368456353927E-2"/>
    </cacheField>
    <cacheField name="Vega2" numFmtId="167">
      <sharedItems containsSemiMixedTypes="0" containsString="0" containsNumber="1" minValue="1.1825328372817596E-2" maxValue="8.7949549325522222E-2"/>
    </cacheField>
    <cacheField name=" Vega refinitiv2" numFmtId="167">
      <sharedItems containsSemiMixedTypes="0" containsString="0" containsNumber="1" minValue="1.4200000000000001E-2" maxValue="8.7099999999999997E-2"/>
    </cacheField>
    <cacheField name="rel error V P" numFmtId="168">
      <sharedItems containsSemiMixedTypes="0" containsString="0" containsNumber="1" minValue="2.6834623247588016E-3" maxValue="0.16723039628045105"/>
    </cacheField>
    <cacheField name="Theta2" numFmtId="167">
      <sharedItems containsSemiMixedTypes="0" containsString="0" containsNumber="1" minValue="-2.2761454416937266E-2" maxValue="-5.0735142490100343E-3"/>
    </cacheField>
    <cacheField name=" Theta refinitiv2" numFmtId="167">
      <sharedItems containsSemiMixedTypes="0" containsString="0" containsNumber="1" minValue="-2.35E-2" maxValue="-4.1000000000000003E-3"/>
    </cacheField>
    <cacheField name="rel error T P" numFmtId="168">
      <sharedItems containsSemiMixedTypes="0" containsString="0" containsNumber="1" minValue="1.2296061340758335E-2" maxValue="0.60014159436150483"/>
    </cacheField>
    <cacheField name="Rho2" numFmtId="167">
      <sharedItems containsSemiMixedTypes="0" containsString="0" containsNumber="1" minValue="-0.15571409254377785" maxValue="-2.1173743195845099E-3"/>
    </cacheField>
    <cacheField name=" Rho refinitiv2" numFmtId="167">
      <sharedItems containsSemiMixedTypes="0" containsString="0" containsNumber="1" minValue="-0.15809999999999999" maxValue="-2.8999999999999998E-3"/>
    </cacheField>
    <cacheField name="rel error R P" numFmtId="168">
      <sharedItems containsSemiMixedTypes="0" containsString="0" containsNumber="1" minValue="6.8799352833315737E-3" maxValue="0.269870924281203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Bortolato" refreshedDate="46129.683936458336" createdVersion="8" refreshedVersion="8" minRefreshableVersion="3" recordCount="25" xr:uid="{467DA345-1D55-9540-AD94-C573F8A5064F}">
  <cacheSource type="worksheet">
    <worksheetSource ref="B11:AO36" sheet="PART 3"/>
  </cacheSource>
  <cacheFields count="40">
    <cacheField name="T (months)" numFmtId="0">
      <sharedItems containsSemiMixedTypes="0" containsString="0" containsNumber="1" containsInteger="1" minValue="1" maxValue="11" count="5">
        <n v="1"/>
        <n v="2"/>
        <n v="5"/>
        <n v="8"/>
        <n v="11"/>
      </sharedItems>
    </cacheField>
    <cacheField name="r" numFmtId="165">
      <sharedItems containsSemiMixedTypes="0" containsString="0" containsNumber="1" minValue="1.992E-2" maxValue="2.7183333333333334E-2"/>
    </cacheField>
    <cacheField name="Strike" numFmtId="0">
      <sharedItems containsSemiMixedTypes="0" containsString="0" containsNumber="1" containsInteger="1" minValue="19" maxValue="26" count="5">
        <n v="19"/>
        <n v="20"/>
        <n v="22"/>
        <n v="24"/>
        <n v="26"/>
      </sharedItems>
    </cacheField>
    <cacheField name=" Bid" numFmtId="2">
      <sharedItems containsSemiMixedTypes="0" containsString="0" containsNumber="1" minValue="0.25" maxValue="5.65"/>
    </cacheField>
    <cacheField name=" Ask" numFmtId="2">
      <sharedItems containsSemiMixedTypes="0" containsString="0" containsNumber="1" minValue="0.65" maxValue="6.8"/>
    </cacheField>
    <cacheField name="Mid" numFmtId="2">
      <sharedItems containsSemiMixedTypes="0" containsString="0" containsNumber="1" minValue="0.45" maxValue="6.2249999999999996"/>
    </cacheField>
    <cacheField name="ImVol" numFmtId="167">
      <sharedItems containsSemiMixedTypes="0" containsString="0" containsNumber="1" minValue="0.43433059472590685" maxValue="0.5374194448813796"/>
    </cacheField>
    <cacheField name="Delta" numFmtId="167">
      <sharedItems containsSemiMixedTypes="0" containsString="0" containsNumber="1" minValue="0.23697346785879758" maxValue="0.90794017754007128"/>
    </cacheField>
    <cacheField name=" Delta refinitiv" numFmtId="167">
      <sharedItems containsSemiMixedTypes="0" containsString="0" containsNumber="1" minValue="0.2359" maxValue="0.90780000000000005"/>
    </cacheField>
    <cacheField name="rel error D C" numFmtId="168">
      <sharedItems containsSemiMixedTypes="0" containsString="0" containsNumber="1" minValue="9.8992150315611111E-6" maxValue="5.3745931970518857E-3"/>
    </cacheField>
    <cacheField name="Gamma" numFmtId="167">
      <sharedItems containsSemiMixedTypes="0" containsString="0" containsNumber="1" minValue="3.093536156355586E-2" maxValue="0.11251703326920084"/>
    </cacheField>
    <cacheField name=" Gamma refinitiv" numFmtId="167">
      <sharedItems containsSemiMixedTypes="0" containsString="0" containsNumber="1" minValue="3.1099999999999999E-2" maxValue="0.1135"/>
    </cacheField>
    <cacheField name="rel error G C" numFmtId="168">
      <sharedItems containsSemiMixedTypes="0" containsString="0" containsNumber="1" minValue="1.2399967803726141E-3" maxValue="2.1773048698455231E-2"/>
    </cacheField>
    <cacheField name="Vega" numFmtId="167">
      <sharedItems containsSemiMixedTypes="0" containsString="0" containsNumber="1" minValue="1.0978775336062429E-2" maxValue="8.793994014486485E-2"/>
    </cacheField>
    <cacheField name=" Vega refinitiv" numFmtId="167">
      <sharedItems containsSemiMixedTypes="0" containsString="0" containsNumber="1" minValue="1.0200000000000001E-2" maxValue="8.6999999999999994E-2"/>
    </cacheField>
    <cacheField name="rel error V C" numFmtId="168">
      <sharedItems containsSemiMixedTypes="0" containsString="0" containsNumber="1" minValue="1.2455329190996013E-3" maxValue="7.6350523143375343E-2"/>
    </cacheField>
    <cacheField name="Theta" numFmtId="167">
      <sharedItems containsSemiMixedTypes="0" containsString="0" containsNumber="1" minValue="-2.1980028548026744E-2" maxValue="-3.881542904956372E-3"/>
    </cacheField>
    <cacheField name=" Theta refinitiv" numFmtId="167">
      <sharedItems containsSemiMixedTypes="0" containsString="0" containsNumber="1" minValue="-2.5399999999999999E-2" maxValue="-5.4000000000000003E-3"/>
    </cacheField>
    <cacheField name="rel error T C" numFmtId="168">
      <sharedItems containsSemiMixedTypes="0" containsString="0" containsNumber="1" minValue="2.3547958407329369E-2" maxValue="0.28119575834141264"/>
    </cacheField>
    <cacheField name="Rho" numFmtId="167">
      <sharedItems containsSemiMixedTypes="0" containsString="0" containsNumber="1" minValue="4.1729158076018865E-3" maxValue="0.10369643099448318"/>
    </cacheField>
    <cacheField name=" Rho refinitiv" numFmtId="167">
      <sharedItems containsSemiMixedTypes="0" containsString="0" containsNumber="1" minValue="3.8999999999999998E-3" maxValue="0.1042"/>
    </cacheField>
    <cacheField name="rel error R C" numFmtId="168">
      <sharedItems containsSemiMixedTypes="0" containsString="0" containsNumber="1" minValue="5.3541267700826527E-5" maxValue="6.9978412205611976E-2"/>
    </cacheField>
    <cacheField name=" Bid2" numFmtId="0">
      <sharedItems containsSemiMixedTypes="0" containsString="0" containsNumber="1" minValue="0.02" maxValue="4.8"/>
    </cacheField>
    <cacheField name=" Ask2" numFmtId="0">
      <sharedItems containsSemiMixedTypes="0" containsString="0" containsNumber="1" minValue="0.37" maxValue="5.8"/>
    </cacheField>
    <cacheField name="Mid2" numFmtId="0">
      <sharedItems containsSemiMixedTypes="0" containsString="0" containsNumber="1" minValue="0.19500000000000001" maxValue="5.3"/>
    </cacheField>
    <cacheField name="ImVol2" numFmtId="167">
      <sharedItems containsSemiMixedTypes="0" containsString="0" containsNumber="1" minValue="0.43943199794739485" maxValue="0.56504502426832914"/>
    </cacheField>
    <cacheField name="Delta2" numFmtId="167">
      <sharedItems containsSemiMixedTypes="0" containsString="0" containsNumber="1" minValue="-0.7698805990954134" maxValue="-0.10186058135447307"/>
    </cacheField>
    <cacheField name=" Delta refinitiv2" numFmtId="167">
      <sharedItems containsSemiMixedTypes="0" containsString="0" containsNumber="1" minValue="-0.77170000000000005" maxValue="-0.13750000000000001"/>
    </cacheField>
    <cacheField name="rel error D P" numFmtId="168">
      <sharedItems containsSemiMixedTypes="0" containsString="0" containsNumber="1" minValue="1.3449972569558002E-4" maxValue="0.28368086248612467"/>
    </cacheField>
    <cacheField name="Gamma2" numFmtId="167">
      <sharedItems containsSemiMixedTypes="0" containsString="0" containsNumber="1" minValue="3.113972213704887E-2" maxValue="0.11489569727137183"/>
    </cacheField>
    <cacheField name=" Gamma refinitiv2" numFmtId="167">
      <sharedItems containsSemiMixedTypes="0" containsString="0" containsNumber="1" minValue="3.15E-2" maxValue="0.11609999999999999"/>
    </cacheField>
    <cacheField name="rel error G P" numFmtId="168">
      <sharedItems containsSemiMixedTypes="0" containsString="0" containsNumber="1" minValue="4.3278314004435324E-3" maxValue="3.563368456353927E-2"/>
    </cacheField>
    <cacheField name="Vega2" numFmtId="167">
      <sharedItems containsSemiMixedTypes="0" containsString="0" containsNumber="1" minValue="1.1825328372817596E-2" maxValue="8.7949549325522222E-2"/>
    </cacheField>
    <cacheField name=" Vega refinitiv2" numFmtId="167">
      <sharedItems containsSemiMixedTypes="0" containsString="0" containsNumber="1" minValue="1.4200000000000001E-2" maxValue="8.7099999999999997E-2"/>
    </cacheField>
    <cacheField name="rel error V P" numFmtId="168">
      <sharedItems containsSemiMixedTypes="0" containsString="0" containsNumber="1" minValue="2.6834623247588016E-3" maxValue="0.16723039628045105"/>
    </cacheField>
    <cacheField name="Theta2" numFmtId="167">
      <sharedItems containsSemiMixedTypes="0" containsString="0" containsNumber="1" minValue="-2.2761454416937266E-2" maxValue="-5.0735142490100343E-3"/>
    </cacheField>
    <cacheField name=" Theta refinitiv2" numFmtId="167">
      <sharedItems containsSemiMixedTypes="0" containsString="0" containsNumber="1" minValue="-2.35E-2" maxValue="-4.1000000000000003E-3"/>
    </cacheField>
    <cacheField name="rel error T P" numFmtId="168">
      <sharedItems containsSemiMixedTypes="0" containsString="0" containsNumber="1" minValue="1.2296061340758335E-2" maxValue="0.60014159436150483"/>
    </cacheField>
    <cacheField name="Rho2" numFmtId="167">
      <sharedItems containsSemiMixedTypes="0" containsString="0" containsNumber="1" minValue="-0.15571409254377785" maxValue="-2.1173743195845099E-3"/>
    </cacheField>
    <cacheField name=" Rho refinitiv2" numFmtId="167">
      <sharedItems containsSemiMixedTypes="0" containsString="0" containsNumber="1" minValue="-0.15809999999999999" maxValue="-2.8999999999999998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15-May-26"/>
    <x v="0"/>
    <n v="1.992E-2"/>
    <x v="0"/>
    <n v="3.85"/>
    <n v="4.5999999999999996"/>
    <n v="4.2249999999999996"/>
    <n v="0.5374194448813796"/>
    <n v="55.47"/>
    <n v="0.90780000000000005"/>
    <n v="4.6399999999999997E-2"/>
    <n v="1.0200000000000001E-2"/>
    <n v="-1.09E-2"/>
    <n v="1.3100000000000001E-2"/>
  </r>
  <r>
    <s v="15-May-26"/>
    <x v="0"/>
    <n v="1.992E-2"/>
    <x v="1"/>
    <n v="3.05"/>
    <n v="3.65"/>
    <n v="3.3499999999999996"/>
    <n v="0.51556116435676813"/>
    <n v="53.12"/>
    <n v="0.84930000000000005"/>
    <n v="6.8599999999999994E-2"/>
    <n v="1.4500000000000001E-2"/>
    <n v="-1.4500000000000001E-2"/>
    <n v="1.2699999999999999E-2"/>
  </r>
  <r>
    <s v="15-May-26"/>
    <x v="0"/>
    <n v="1.992E-2"/>
    <x v="2"/>
    <n v="1.75"/>
    <n v="2.15"/>
    <n v="1.95"/>
    <n v="0.52176357712596655"/>
    <n v="53.97"/>
    <n v="0.65169999999999995"/>
    <n v="0.1075"/>
    <n v="2.29E-2"/>
    <n v="-2.2499999999999999E-2"/>
    <n v="1.0200000000000001E-2"/>
  </r>
  <r>
    <s v="15-May-26"/>
    <x v="0"/>
    <n v="1.992E-2"/>
    <x v="3"/>
    <n v="0.8"/>
    <n v="1.2"/>
    <n v="1"/>
    <n v="0.52417262922972441"/>
    <n v="54.25"/>
    <n v="0.42559999999999998"/>
    <n v="0.1135"/>
    <n v="2.6100000000000002E-2"/>
    <n v="-2.5399999999999999E-2"/>
    <n v="6.8999999999999999E-3"/>
  </r>
  <r>
    <s v="15-May-26"/>
    <x v="0"/>
    <n v="1.992E-2"/>
    <x v="4"/>
    <n v="0.25"/>
    <n v="0.65"/>
    <n v="0.45"/>
    <n v="0.5235246242955327"/>
    <n v="54"/>
    <n v="0.2359"/>
    <n v="8.9099999999999999E-2"/>
    <n v="2.1499999999999998E-2"/>
    <n v="-2.07E-2"/>
    <n v="3.8999999999999998E-3"/>
  </r>
  <r>
    <s v="19-Jun-26"/>
    <x v="1"/>
    <n v="2.1174999999999999E-2"/>
    <x v="0"/>
    <n v="4.05"/>
    <n v="4.8499999999999996"/>
    <n v="4.4499999999999993"/>
    <n v="0.48626504372805357"/>
    <n v="47.43"/>
    <n v="0.86170000000000002"/>
    <n v="4.8599999999999997E-2"/>
    <n v="2.0899999999999998E-2"/>
    <n v="-8.6999999999999994E-3"/>
    <n v="2.6800000000000001E-2"/>
  </r>
  <r>
    <s v="19-Jun-26"/>
    <x v="1"/>
    <n v="2.1174999999999999E-2"/>
    <x v="1"/>
    <n v="3.35"/>
    <n v="4"/>
    <n v="3.6749999999999998"/>
    <n v="0.48520409967750311"/>
    <n v="47.27"/>
    <n v="0.79690000000000005"/>
    <n v="6.2399999999999997E-2"/>
    <n v="2.7400000000000001E-2"/>
    <n v="-1.0999999999999999E-2"/>
    <n v="2.5600000000000001E-2"/>
  </r>
  <r>
    <s v="19-Jun-26"/>
    <x v="1"/>
    <n v="2.1174999999999999E-2"/>
    <x v="2"/>
    <n v="2.1"/>
    <n v="2.5"/>
    <n v="2.2999999999999998"/>
    <n v="0.46211039181798697"/>
    <n v="45.2"/>
    <n v="0.63919999999999999"/>
    <n v="8.6999999999999994E-2"/>
    <n v="3.6900000000000002E-2"/>
    <n v="-1.38E-2"/>
    <n v="2.1700000000000001E-2"/>
  </r>
  <r>
    <s v="19-Jun-26"/>
    <x v="1"/>
    <n v="2.1174999999999999E-2"/>
    <x v="3"/>
    <n v="1.1499999999999999"/>
    <n v="1.55"/>
    <n v="1.35"/>
    <n v="0.46041401568800211"/>
    <n v="44.94"/>
    <n v="0.45689999999999997"/>
    <n v="9.2499999999999999E-2"/>
    <n v="3.8899999999999997E-2"/>
    <n v="-1.43E-2"/>
    <n v="1.6E-2"/>
  </r>
  <r>
    <s v="19-Jun-26"/>
    <x v="1"/>
    <n v="2.1174999999999999E-2"/>
    <x v="4"/>
    <n v="0.55000000000000004"/>
    <n v="0.95"/>
    <n v="0.75"/>
    <n v="0.46355994883924723"/>
    <n v="45.24"/>
    <n v="0.29809999999999998"/>
    <n v="8.0199999999999994E-2"/>
    <n v="3.2099999999999997E-2"/>
    <n v="-1.18E-2"/>
    <n v="1.0699999999999999E-2"/>
  </r>
  <r>
    <s v="18-Sep-26"/>
    <x v="2"/>
    <n v="2.1593333333333332E-2"/>
    <x v="0"/>
    <n v="4.75"/>
    <n v="5.6"/>
    <n v="5.1749999999999998"/>
    <n v="0.47503300476819277"/>
    <n v="45.82"/>
    <n v="0.79530000000000001"/>
    <n v="4.1599999999999998E-2"/>
    <n v="4.1000000000000002E-2"/>
    <n v="-6.8999999999999999E-3"/>
    <n v="5.5899999999999998E-2"/>
  </r>
  <r>
    <s v="18-Sep-26"/>
    <x v="2"/>
    <n v="2.3976666666666667E-2"/>
    <x v="1"/>
    <n v="4.05"/>
    <n v="4.8499999999999996"/>
    <n v="4.4499999999999993"/>
    <n v="0.45810549054294825"/>
    <n v="45.51"/>
    <n v="0.74390000000000001"/>
    <n v="4.7399999999999998E-2"/>
    <n v="4.9599999999999998E-2"/>
    <n v="-8.0999999999999996E-3"/>
    <n v="5.3699999999999998E-2"/>
  </r>
  <r>
    <s v="18-Sep-26"/>
    <x v="2"/>
    <n v="2.3976666666666667E-2"/>
    <x v="2"/>
    <n v="3"/>
    <n v="3.55"/>
    <n v="3.2749999999999999"/>
    <n v="0.45288824941962957"/>
    <n v="44.88"/>
    <n v="0.63080000000000003"/>
    <n v="5.6300000000000003E-2"/>
    <n v="5.7000000000000002E-2"/>
    <n v="-8.8999999999999999E-3"/>
    <n v="4.7699999999999999E-2"/>
  </r>
  <r>
    <s v="18-Sep-26"/>
    <x v="2"/>
    <n v="2.3976666666666667E-2"/>
    <x v="3"/>
    <n v="2.15"/>
    <n v="2.5499999999999998"/>
    <n v="2.3499999999999996"/>
    <n v="0.44975407887250185"/>
    <n v="44.53"/>
    <n v="0.51370000000000005"/>
    <n v="0.06"/>
    <n v="6.0100000000000001E-2"/>
    <n v="-9.1999999999999998E-3"/>
    <n v="4.02E-2"/>
  </r>
  <r>
    <s v="18-Sep-26"/>
    <x v="2"/>
    <n v="2.3976666666666667E-2"/>
    <x v="4"/>
    <n v="1.45"/>
    <n v="1.85"/>
    <n v="1.65"/>
    <n v="0.44778526294976473"/>
    <n v="44.32"/>
    <n v="0.40360000000000001"/>
    <n v="5.8500000000000003E-2"/>
    <n v="5.8200000000000002E-2"/>
    <n v="-8.8000000000000005E-3"/>
    <n v="3.2399999999999998E-2"/>
  </r>
  <r>
    <s v="18-Dec-26"/>
    <x v="3"/>
    <n v="2.3203333333333333E-2"/>
    <x v="0"/>
    <n v="5.25"/>
    <n v="6.25"/>
    <n v="5.75"/>
    <n v="0.46417081262916327"/>
    <n v="46.2"/>
    <n v="0.76980000000000004"/>
    <n v="3.5000000000000003E-2"/>
    <n v="0.06"/>
    <n v="-6.4000000000000003E-3"/>
    <n v="8.0600000000000005E-2"/>
  </r>
  <r>
    <s v="18-Dec-26"/>
    <x v="3"/>
    <n v="2.5723333333333334E-2"/>
    <x v="1"/>
    <n v="4.6500000000000004"/>
    <n v="5.6"/>
    <n v="5.125"/>
    <n v="0.45780789572745562"/>
    <n v="45.78"/>
    <n v="0.72689999999999999"/>
    <n v="3.8699999999999998E-2"/>
    <n v="6.1899999999999997E-2"/>
    <n v="-6.4999999999999997E-3"/>
    <n v="7.8200000000000006E-2"/>
  </r>
  <r>
    <s v="18-Dec-26"/>
    <x v="3"/>
    <n v="2.5723333333333334E-2"/>
    <x v="2"/>
    <n v="3.6"/>
    <n v="4.5"/>
    <n v="4.05"/>
    <n v="0.45658888760954142"/>
    <n v="45.53"/>
    <n v="0.63680000000000003"/>
    <n v="4.3799999999999999E-2"/>
    <n v="7.1099999999999997E-2"/>
    <n v="-7.1999999999999998E-3"/>
    <n v="7.1400000000000005E-2"/>
  </r>
  <r>
    <s v="18-Dec-26"/>
    <x v="3"/>
    <n v="2.5723333333333334E-2"/>
    <x v="3"/>
    <n v="2.7"/>
    <n v="3.55"/>
    <n v="3.125"/>
    <n v="0.4501239350065589"/>
    <n v="44.85"/>
    <n v="0.54520000000000002"/>
    <n v="4.7E-2"/>
    <n v="7.4999999999999997E-2"/>
    <n v="-7.4000000000000003E-3"/>
    <n v="6.3500000000000001E-2"/>
  </r>
  <r>
    <s v="18-Dec-26"/>
    <x v="3"/>
    <n v="2.5723333333333334E-2"/>
    <x v="4"/>
    <n v="2"/>
    <n v="2.8"/>
    <n v="2.4"/>
    <n v="0.44776103924959898"/>
    <n v="44.77"/>
    <n v="0.45760000000000001"/>
    <n v="4.7300000000000002E-2"/>
    <n v="7.2700000000000001E-2"/>
    <n v="-7.1000000000000004E-3"/>
    <n v="5.4800000000000001E-2"/>
  </r>
  <r>
    <d v="2027-03-19T00:00:00"/>
    <x v="4"/>
    <n v="2.4363333333333334E-2"/>
    <x v="0"/>
    <n v="5.65"/>
    <n v="6.8"/>
    <n v="6.2249999999999996"/>
    <n v="0.45419363770633936"/>
    <n v="45.23"/>
    <n v="0.76090000000000002"/>
    <n v="3.1099999999999999E-2"/>
    <n v="6.9500000000000006E-2"/>
    <n v="-5.4000000000000003E-3"/>
    <n v="0.1042"/>
  </r>
  <r>
    <d v="2027-03-19T00:00:00"/>
    <x v="4"/>
    <n v="2.7183333333333334E-2"/>
    <x v="1"/>
    <n v="5.05"/>
    <n v="6.2"/>
    <n v="5.625"/>
    <n v="0.44661703053861856"/>
    <n v="45.06"/>
    <n v="0.72309999999999997"/>
    <n v="3.39E-2"/>
    <n v="7.17E-2"/>
    <n v="-5.4999999999999997E-3"/>
    <n v="0.1017"/>
  </r>
  <r>
    <d v="2027-03-19T00:00:00"/>
    <x v="4"/>
    <n v="2.7183333333333334E-2"/>
    <x v="2"/>
    <n v="4.05"/>
    <n v="5.0999999999999996"/>
    <n v="4.5749999999999993"/>
    <n v="0.44330126140266657"/>
    <n v="44.45"/>
    <n v="0.64449999999999996"/>
    <n v="3.8100000000000002E-2"/>
    <n v="8.2400000000000001E-2"/>
    <n v="-6.1000000000000004E-3"/>
    <n v="9.4700000000000006E-2"/>
  </r>
  <r>
    <d v="2027-03-19T00:00:00"/>
    <x v="4"/>
    <n v="2.7183333333333334E-2"/>
    <x v="3"/>
    <n v="3.2"/>
    <n v="4.1500000000000004"/>
    <n v="3.6750000000000003"/>
    <n v="0.43863138649612665"/>
    <n v="43.94"/>
    <n v="0.56530000000000002"/>
    <n v="4.07E-2"/>
    <n v="8.6999999999999994E-2"/>
    <n v="-6.3E-3"/>
    <n v="8.6199999999999999E-2"/>
  </r>
  <r>
    <d v="2027-03-19T00:00:00"/>
    <x v="4"/>
    <n v="2.7183333333333334E-2"/>
    <x v="4"/>
    <n v="2.4500000000000002"/>
    <n v="3.4"/>
    <n v="2.9249999999999998"/>
    <n v="0.43433059472590685"/>
    <n v="43.83"/>
    <n v="0.4879"/>
    <n v="4.1700000000000001E-2"/>
    <n v="8.4400000000000003E-2"/>
    <n v="-6.0000000000000001E-3"/>
    <n v="7.670000000000000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15-May-26"/>
    <x v="0"/>
    <n v="1.992E-2"/>
    <x v="0"/>
    <n v="3.85"/>
    <n v="4.5999999999999996"/>
    <n v="4.2249999999999996"/>
    <n v="0.5374194448813796"/>
    <n v="55.47"/>
    <n v="0.90780000000000005"/>
    <n v="4.6399999999999997E-2"/>
    <n v="1.0200000000000001E-2"/>
    <n v="-1.09E-2"/>
    <n v="1.3100000000000001E-2"/>
    <n v="0.02"/>
    <n v="0.37"/>
    <n v="0.19500000000000001"/>
    <n v="0.56504502426832914"/>
    <n v="71.33"/>
    <n v="-0.14219999999999999"/>
    <n v="4.9099999999999998E-2"/>
    <n v="1.4200000000000001E-2"/>
    <n v="-1.7600000000000001E-2"/>
    <n v="-2.8999999999999998E-3"/>
  </r>
  <r>
    <s v="15-May-26"/>
    <x v="0"/>
    <n v="1.992E-2"/>
    <x v="1"/>
    <n v="3.05"/>
    <n v="3.65"/>
    <n v="3.3499999999999996"/>
    <n v="0.51556116435676813"/>
    <n v="53.12"/>
    <n v="0.84930000000000005"/>
    <n v="6.8599999999999994E-2"/>
    <n v="1.4500000000000001E-2"/>
    <n v="-1.4500000000000001E-2"/>
    <n v="1.2699999999999999E-2"/>
    <n v="0.11"/>
    <n v="0.5"/>
    <n v="0.30499999999999999"/>
    <n v="0.52713112439960241"/>
    <n v="54.21"/>
    <n v="-0.1547"/>
    <n v="6.8500000000000005E-2"/>
    <n v="1.46E-2"/>
    <n v="-1.37E-2"/>
    <n v="-3.0000000000000001E-3"/>
  </r>
  <r>
    <s v="15-May-26"/>
    <x v="0"/>
    <n v="1.992E-2"/>
    <x v="2"/>
    <n v="1.75"/>
    <n v="2.15"/>
    <n v="1.95"/>
    <n v="0.52176357712596655"/>
    <n v="53.97"/>
    <n v="0.65169999999999995"/>
    <n v="0.1075"/>
    <n v="2.29E-2"/>
    <n v="-2.2499999999999999E-2"/>
    <n v="1.0200000000000001E-2"/>
    <n v="0.7"/>
    <n v="1.1000000000000001"/>
    <n v="0.9"/>
    <n v="0.52846841979771852"/>
    <n v="54.58"/>
    <n v="-0.3493"/>
    <n v="0.1065"/>
    <n v="2.29E-2"/>
    <n v="-2.1600000000000001E-2"/>
    <n v="-7.0000000000000001E-3"/>
  </r>
  <r>
    <s v="15-May-26"/>
    <x v="0"/>
    <n v="1.992E-2"/>
    <x v="3"/>
    <n v="0.8"/>
    <n v="1.2"/>
    <n v="1"/>
    <n v="0.52417262922972441"/>
    <n v="54.25"/>
    <n v="0.42559999999999998"/>
    <n v="0.1135"/>
    <n v="2.6100000000000002E-2"/>
    <n v="-2.5399999999999999E-2"/>
    <n v="6.8999999999999999E-3"/>
    <n v="1.7"/>
    <n v="2.1"/>
    <n v="1.9"/>
    <n v="0.51258174236863852"/>
    <n v="52.99"/>
    <n v="-0.57769999999999999"/>
    <n v="0.11609999999999999"/>
    <n v="2.6100000000000002E-2"/>
    <n v="-2.35E-2"/>
    <n v="-1.1900000000000001E-2"/>
  </r>
  <r>
    <s v="15-May-26"/>
    <x v="0"/>
    <n v="1.992E-2"/>
    <x v="4"/>
    <n v="0.25"/>
    <n v="0.65"/>
    <n v="0.45"/>
    <n v="0.5235246242955327"/>
    <n v="54"/>
    <n v="0.2359"/>
    <n v="8.9099999999999999E-2"/>
    <n v="2.1499999999999998E-2"/>
    <n v="-2.07E-2"/>
    <n v="3.8999999999999998E-3"/>
    <n v="3.05"/>
    <n v="3.65"/>
    <n v="3.3499999999999996"/>
    <n v="0.51032455172389746"/>
    <n v="52.61"/>
    <n v="-0.77170000000000005"/>
    <n v="0.09"/>
    <n v="2.1499999999999998E-2"/>
    <n v="-1.8800000000000001E-2"/>
    <n v="-1.66E-2"/>
  </r>
  <r>
    <s v="19-Jun-26"/>
    <x v="1"/>
    <n v="2.1174999999999999E-2"/>
    <x v="0"/>
    <n v="4.05"/>
    <n v="4.8499999999999996"/>
    <n v="4.4499999999999993"/>
    <n v="0.48626504372805357"/>
    <n v="47.43"/>
    <n v="0.86170000000000002"/>
    <n v="4.8599999999999997E-2"/>
    <n v="2.0899999999999998E-2"/>
    <n v="-8.6999999999999994E-3"/>
    <n v="2.6800000000000001E-2"/>
    <n v="0.15"/>
    <n v="0.55000000000000004"/>
    <n v="0.35000000000000003"/>
    <n v="0.48478965181857347"/>
    <n v="47.23"/>
    <n v="-0.13750000000000001"/>
    <n v="4.8599999999999997E-2"/>
    <n v="2.0899999999999998E-2"/>
    <n v="-7.6E-3"/>
    <n v="-6.1000000000000004E-3"/>
  </r>
  <r>
    <s v="19-Jun-26"/>
    <x v="1"/>
    <n v="2.1174999999999999E-2"/>
    <x v="1"/>
    <n v="3.35"/>
    <n v="4"/>
    <n v="3.6749999999999998"/>
    <n v="0.48520409967750311"/>
    <n v="47.27"/>
    <n v="0.79690000000000005"/>
    <n v="6.2399999999999997E-2"/>
    <n v="2.7400000000000001E-2"/>
    <n v="-1.0999999999999999E-2"/>
    <n v="2.5600000000000001E-2"/>
    <n v="0.35"/>
    <n v="0.75"/>
    <n v="0.55000000000000004"/>
    <n v="0.4759312653914094"/>
    <n v="46.33"/>
    <n v="-0.19950000000000001"/>
    <n v="6.3E-2"/>
    <n v="2.7400000000000001E-2"/>
    <n v="-9.7000000000000003E-3"/>
    <n v="-8.9999999999999993E-3"/>
  </r>
  <r>
    <s v="19-Jun-26"/>
    <x v="1"/>
    <n v="2.1174999999999999E-2"/>
    <x v="2"/>
    <n v="2.1"/>
    <n v="2.5"/>
    <n v="2.2999999999999998"/>
    <n v="0.46211039181798697"/>
    <n v="45.2"/>
    <n v="0.63919999999999999"/>
    <n v="8.6999999999999994E-2"/>
    <n v="3.6900000000000002E-2"/>
    <n v="-1.38E-2"/>
    <n v="2.1700000000000001E-2"/>
    <n v="1.05"/>
    <n v="1.45"/>
    <n v="1.25"/>
    <n v="0.47842561732977629"/>
    <n v="46.73"/>
    <n v="-0.3629"/>
    <n v="8.4199999999999997E-2"/>
    <n v="3.6900000000000002E-2"/>
    <n v="-1.3100000000000001E-2"/>
    <n v="-1.6799999999999999E-2"/>
  </r>
  <r>
    <s v="19-Jun-26"/>
    <x v="1"/>
    <n v="2.1174999999999999E-2"/>
    <x v="3"/>
    <n v="1.1499999999999999"/>
    <n v="1.55"/>
    <n v="1.35"/>
    <n v="0.46041401568800211"/>
    <n v="44.94"/>
    <n v="0.45689999999999997"/>
    <n v="9.2499999999999999E-2"/>
    <n v="3.8899999999999997E-2"/>
    <n v="-1.43E-2"/>
    <n v="1.6E-2"/>
    <n v="2.0499999999999998"/>
    <n v="2.4500000000000002"/>
    <n v="2.25"/>
    <n v="0.46431499067693949"/>
    <n v="45.28"/>
    <n v="-0.54220000000000002"/>
    <n v="9.1800000000000007E-2"/>
    <n v="3.8899999999999997E-2"/>
    <n v="-1.3100000000000001E-2"/>
    <n v="-2.5700000000000001E-2"/>
  </r>
  <r>
    <s v="19-Jun-26"/>
    <x v="1"/>
    <n v="2.1174999999999999E-2"/>
    <x v="4"/>
    <n v="0.55000000000000004"/>
    <n v="0.95"/>
    <n v="0.75"/>
    <n v="0.46355994883924723"/>
    <n v="45.24"/>
    <n v="0.29809999999999998"/>
    <n v="8.0199999999999994E-2"/>
    <n v="3.2099999999999997E-2"/>
    <n v="-1.18E-2"/>
    <n v="1.0699999999999999E-2"/>
    <n v="3.3"/>
    <n v="3.95"/>
    <n v="3.625"/>
    <n v="0.46251659747213125"/>
    <n v="45.1"/>
    <n v="-0.7026"/>
    <n v="8.0399999999999999E-2"/>
    <n v="3.2099999999999997E-2"/>
    <n v="-1.03E-2"/>
    <n v="-3.4500000000000003E-2"/>
  </r>
  <r>
    <s v="18-Sep-26"/>
    <x v="2"/>
    <n v="2.1593333333333332E-2"/>
    <x v="0"/>
    <n v="4.75"/>
    <n v="5.6"/>
    <n v="5.1749999999999998"/>
    <n v="0.47503300476819277"/>
    <n v="45.82"/>
    <n v="0.79530000000000001"/>
    <n v="4.1599999999999998E-2"/>
    <n v="4.1000000000000002E-2"/>
    <n v="-6.8999999999999999E-3"/>
    <n v="5.5899999999999998E-2"/>
    <n v="0.7"/>
    <n v="1.1000000000000001"/>
    <n v="0.9"/>
    <n v="0.45738062355667353"/>
    <n v="45.25"/>
    <n v="-0.2029"/>
    <n v="4.19E-2"/>
    <n v="4.1000000000000002E-2"/>
    <n v="-5.7000000000000002E-3"/>
    <n v="-2.3599999999999999E-2"/>
  </r>
  <r>
    <s v="18-Sep-26"/>
    <x v="2"/>
    <n v="2.3976666666666667E-2"/>
    <x v="1"/>
    <n v="4.05"/>
    <n v="4.8499999999999996"/>
    <n v="4.4499999999999993"/>
    <n v="0.45810549054294825"/>
    <n v="45.51"/>
    <n v="0.74390000000000001"/>
    <n v="4.7399999999999998E-2"/>
    <n v="4.9599999999999998E-2"/>
    <n v="-8.0999999999999996E-3"/>
    <n v="5.3699999999999998E-2"/>
    <n v="1.05"/>
    <n v="1.45"/>
    <n v="1.25"/>
    <n v="0.46413103584200144"/>
    <n v="45.73"/>
    <n v="-0.25669999999999998"/>
    <n v="4.7300000000000002E-2"/>
    <n v="4.9599999999999998E-2"/>
    <n v="-6.8999999999999999E-3"/>
    <n v="-2.8899999999999999E-2"/>
  </r>
  <r>
    <s v="18-Sep-26"/>
    <x v="2"/>
    <n v="2.3976666666666667E-2"/>
    <x v="2"/>
    <n v="3"/>
    <n v="3.55"/>
    <n v="3.2749999999999999"/>
    <n v="0.45288824941962957"/>
    <n v="44.88"/>
    <n v="0.63080000000000003"/>
    <n v="5.6300000000000003E-2"/>
    <n v="5.7000000000000002E-2"/>
    <n v="-8.8999999999999999E-3"/>
    <n v="4.7699999999999999E-2"/>
    <n v="1.85"/>
    <n v="2.25"/>
    <n v="2.0499999999999998"/>
    <n v="0.45711602549999952"/>
    <n v="44.94"/>
    <n v="-0.36930000000000002"/>
    <n v="5.6300000000000003E-2"/>
    <n v="5.7000000000000002E-2"/>
    <n v="-7.7000000000000002E-3"/>
    <n v="-4.4699999999999997E-2"/>
  </r>
  <r>
    <s v="18-Sep-26"/>
    <x v="2"/>
    <n v="2.3976666666666667E-2"/>
    <x v="3"/>
    <n v="2.15"/>
    <n v="2.5499999999999998"/>
    <n v="2.3499999999999996"/>
    <n v="0.44975407887250185"/>
    <n v="44.53"/>
    <n v="0.51370000000000005"/>
    <n v="0.06"/>
    <n v="6.0100000000000001E-2"/>
    <n v="-9.1999999999999998E-3"/>
    <n v="4.02E-2"/>
    <n v="2.8"/>
    <n v="3.35"/>
    <n v="3.0750000000000002"/>
    <n v="0.44866961892694235"/>
    <n v="44.06"/>
    <n v="-0.4874"/>
    <n v="6.0600000000000001E-2"/>
    <n v="6.0100000000000001E-2"/>
    <n v="-7.7000000000000002E-3"/>
    <n v="-6.0100000000000001E-2"/>
  </r>
  <r>
    <s v="18-Sep-26"/>
    <x v="2"/>
    <n v="2.3976666666666667E-2"/>
    <x v="4"/>
    <n v="1.45"/>
    <n v="1.85"/>
    <n v="1.65"/>
    <n v="0.44778526294976473"/>
    <n v="44.32"/>
    <n v="0.40360000000000001"/>
    <n v="5.8500000000000003E-2"/>
    <n v="5.8200000000000002E-2"/>
    <n v="-8.8000000000000005E-3"/>
    <n v="3.2399999999999998E-2"/>
    <n v="4"/>
    <n v="4.7"/>
    <n v="4.3499999999999996"/>
    <n v="0.44578068424016237"/>
    <n v="43.72"/>
    <n v="-0.59919999999999995"/>
    <n v="5.9200000000000003E-2"/>
    <n v="5.8299999999999998E-2"/>
    <n v="-7.1999999999999998E-3"/>
    <n v="-7.6899999999999996E-2"/>
  </r>
  <r>
    <s v="18-Dec-26"/>
    <x v="3"/>
    <n v="2.3203333333333333E-2"/>
    <x v="0"/>
    <n v="5.25"/>
    <n v="6.25"/>
    <n v="5.75"/>
    <n v="0.46417081262916327"/>
    <n v="46.2"/>
    <n v="0.76980000000000004"/>
    <n v="3.5000000000000003E-2"/>
    <n v="0.06"/>
    <n v="-6.4000000000000003E-3"/>
    <n v="8.0600000000000005E-2"/>
    <n v="1"/>
    <n v="1.8"/>
    <n v="1.4"/>
    <n v="0.45920164790004492"/>
    <n v="45.63"/>
    <n v="-0.2288"/>
    <n v="3.5400000000000001E-2"/>
    <n v="0.06"/>
    <n v="-5.1999999999999998E-3"/>
    <n v="-4.4900000000000002E-2"/>
  </r>
  <r>
    <s v="18-Dec-26"/>
    <x v="3"/>
    <n v="2.5723333333333334E-2"/>
    <x v="1"/>
    <n v="4.6500000000000004"/>
    <n v="5.6"/>
    <n v="5.125"/>
    <n v="0.45780789572745562"/>
    <n v="45.78"/>
    <n v="0.72689999999999999"/>
    <n v="3.8699999999999998E-2"/>
    <n v="6.1899999999999997E-2"/>
    <n v="-6.4999999999999997E-3"/>
    <n v="7.8200000000000006E-2"/>
    <n v="1.35"/>
    <n v="2.15"/>
    <n v="1.75"/>
    <n v="0.45701353345066309"/>
    <n v="45.06"/>
    <n v="-0.27189999999999998"/>
    <n v="3.9199999999999999E-2"/>
    <n v="6.1899999999999997E-2"/>
    <n v="-5.1999999999999998E-3"/>
    <n v="-5.3900000000000003E-2"/>
  </r>
  <r>
    <s v="18-Dec-26"/>
    <x v="3"/>
    <n v="2.5723333333333334E-2"/>
    <x v="2"/>
    <n v="3.6"/>
    <n v="4.5"/>
    <n v="4.05"/>
    <n v="0.45658888760954142"/>
    <n v="45.53"/>
    <n v="0.63680000000000003"/>
    <n v="4.3799999999999999E-2"/>
    <n v="7.1099999999999997E-2"/>
    <n v="-7.1999999999999998E-3"/>
    <n v="7.1400000000000005E-2"/>
    <n v="2.25"/>
    <n v="3"/>
    <n v="2.625"/>
    <n v="0.45361574273556471"/>
    <n v="44.63"/>
    <n v="-0.3634"/>
    <n v="4.4699999999999997E-2"/>
    <n v="7.1099999999999997E-2"/>
    <n v="-5.7999999999999996E-3"/>
    <n v="-7.3999999999999996E-2"/>
  </r>
  <r>
    <s v="18-Dec-26"/>
    <x v="3"/>
    <n v="2.5723333333333334E-2"/>
    <x v="3"/>
    <n v="2.7"/>
    <n v="3.55"/>
    <n v="3.125"/>
    <n v="0.4501239350065589"/>
    <n v="44.85"/>
    <n v="0.54520000000000002"/>
    <n v="4.7E-2"/>
    <n v="7.4999999999999997E-2"/>
    <n v="-7.4000000000000003E-3"/>
    <n v="6.3500000000000001E-2"/>
    <n v="3.3"/>
    <n v="4.0999999999999996"/>
    <n v="3.6999999999999997"/>
    <n v="0.45187777373939753"/>
    <n v="44.4"/>
    <n v="-0.45579999999999998"/>
    <n v="4.7500000000000001E-2"/>
    <n v="7.4999999999999997E-2"/>
    <n v="-5.8999999999999999E-3"/>
    <n v="-9.5500000000000002E-2"/>
  </r>
  <r>
    <s v="18-Dec-26"/>
    <x v="3"/>
    <n v="2.5723333333333334E-2"/>
    <x v="4"/>
    <n v="2"/>
    <n v="2.8"/>
    <n v="2.4"/>
    <n v="0.44776103924959898"/>
    <n v="44.77"/>
    <n v="0.45760000000000001"/>
    <n v="4.7300000000000002E-2"/>
    <n v="7.2700000000000001E-2"/>
    <n v="-7.1000000000000004E-3"/>
    <n v="5.4800000000000001E-2"/>
    <n v="4.5"/>
    <n v="5.35"/>
    <n v="4.9249999999999998"/>
    <n v="0.44736838433891535"/>
    <n v="44.03"/>
    <n v="-0.5454"/>
    <n v="4.8000000000000001E-2"/>
    <n v="7.2800000000000004E-2"/>
    <n v="-5.4000000000000003E-3"/>
    <n v="-0.1177"/>
  </r>
  <r>
    <d v="2027-03-19T00:00:00"/>
    <x v="4"/>
    <n v="2.4363333333333334E-2"/>
    <x v="0"/>
    <n v="5.65"/>
    <n v="6.8"/>
    <n v="6.2249999999999996"/>
    <n v="0.45419363770633936"/>
    <n v="45.23"/>
    <n v="0.76090000000000002"/>
    <n v="3.1099999999999999E-2"/>
    <n v="6.9500000000000006E-2"/>
    <n v="-5.4000000000000003E-3"/>
    <n v="0.1042"/>
    <n v="1.35"/>
    <n v="2.15"/>
    <n v="1.75"/>
    <n v="0.45047600287944078"/>
    <n v="44.61"/>
    <n v="-0.2379"/>
    <n v="3.15E-2"/>
    <n v="6.9500000000000006E-2"/>
    <n v="-4.1000000000000003E-3"/>
    <n v="-6.6699999999999995E-2"/>
  </r>
  <r>
    <d v="2027-03-19T00:00:00"/>
    <x v="4"/>
    <n v="2.7183333333333334E-2"/>
    <x v="1"/>
    <n v="5.05"/>
    <n v="6.2"/>
    <n v="5.625"/>
    <n v="0.44661703053861856"/>
    <n v="45.06"/>
    <n v="0.72309999999999997"/>
    <n v="3.39E-2"/>
    <n v="7.17E-2"/>
    <n v="-5.4999999999999997E-3"/>
    <n v="0.1017"/>
    <n v="1.75"/>
    <n v="2.5499999999999998"/>
    <n v="2.15"/>
    <n v="0.45304434839636087"/>
    <n v="44.76"/>
    <n v="-0.27660000000000001"/>
    <n v="3.4099999999999998E-2"/>
    <n v="7.17E-2"/>
    <n v="-4.1999999999999997E-3"/>
    <n v="-7.8600000000000003E-2"/>
  </r>
  <r>
    <d v="2027-03-19T00:00:00"/>
    <x v="4"/>
    <n v="2.7183333333333334E-2"/>
    <x v="2"/>
    <n v="4.05"/>
    <n v="5.0999999999999996"/>
    <n v="4.5749999999999993"/>
    <n v="0.44330126140266657"/>
    <n v="44.45"/>
    <n v="0.64449999999999996"/>
    <n v="3.8100000000000002E-2"/>
    <n v="8.2400000000000001E-2"/>
    <n v="-6.1000000000000004E-3"/>
    <n v="9.4700000000000006E-2"/>
    <n v="2.6"/>
    <n v="3.5"/>
    <n v="3.05"/>
    <n v="0.44897181447595358"/>
    <n v="44.09"/>
    <n v="-0.35560000000000003"/>
    <n v="3.8399999999999997E-2"/>
    <n v="8.2400000000000001E-2"/>
    <n v="-4.7000000000000002E-3"/>
    <n v="-0.1037"/>
  </r>
  <r>
    <d v="2027-03-19T00:00:00"/>
    <x v="4"/>
    <n v="2.7183333333333334E-2"/>
    <x v="3"/>
    <n v="3.2"/>
    <n v="4.1500000000000004"/>
    <n v="3.6750000000000003"/>
    <n v="0.43863138649612665"/>
    <n v="43.94"/>
    <n v="0.56530000000000002"/>
    <n v="4.07E-2"/>
    <n v="8.6999999999999994E-2"/>
    <n v="-6.3E-3"/>
    <n v="8.6199999999999999E-2"/>
    <n v="3.65"/>
    <n v="4.55"/>
    <n v="4.0999999999999996"/>
    <n v="0.44389810878783464"/>
    <n v="43.51"/>
    <n v="-0.43569999999999998"/>
    <n v="4.1099999999999998E-2"/>
    <n v="8.7099999999999997E-2"/>
    <n v="-4.7000000000000002E-3"/>
    <n v="-0.13039999999999999"/>
  </r>
  <r>
    <d v="2027-03-19T00:00:00"/>
    <x v="4"/>
    <n v="2.7183333333333334E-2"/>
    <x v="4"/>
    <n v="2.4500000000000002"/>
    <n v="3.4"/>
    <n v="2.9249999999999998"/>
    <n v="0.43433059472590685"/>
    <n v="43.83"/>
    <n v="0.4879"/>
    <n v="4.1700000000000001E-2"/>
    <n v="8.4400000000000003E-2"/>
    <n v="-6.0000000000000001E-3"/>
    <n v="7.6700000000000004E-2"/>
    <n v="4.8"/>
    <n v="5.8"/>
    <n v="5.3"/>
    <n v="0.43943199794739485"/>
    <n v="43.3"/>
    <n v="-0.51419999999999999"/>
    <n v="4.2099999999999999E-2"/>
    <n v="8.4500000000000006E-2"/>
    <n v="-4.4000000000000003E-3"/>
    <n v="-0.15809999999999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15-May-26"/>
    <x v="0"/>
    <n v="1.992E-2"/>
    <x v="0"/>
    <n v="3.85"/>
    <n v="4.5999999999999996"/>
    <n v="4.2249999999999996"/>
    <n v="0.5374194448813796"/>
    <n v="0.90794017754007128"/>
    <n v="0.90780000000000005"/>
    <n v="1.5441456275746757E-4"/>
    <n v="4.6220420485950243E-2"/>
    <n v="4.6399999999999997E-2"/>
    <n v="3.8702481476239939E-3"/>
    <n v="1.0978775336062429E-2"/>
    <n v="1.0200000000000001E-2"/>
    <n v="7.6350523143375343E-2"/>
    <n v="-8.788388907437307E-3"/>
    <n v="-1.09E-2"/>
    <n v="0.19372578830850395"/>
    <n v="1.3904051904945404E-2"/>
    <n v="1.3100000000000001E-2"/>
    <n v="6.1378008011099494E-2"/>
    <n v="0.02"/>
    <n v="0.37"/>
    <n v="0.19500000000000001"/>
    <n v="0.56504502426832914"/>
    <n v="-0.10186058135447307"/>
    <n v="-0.14219999999999999"/>
    <n v="0.28368086248612467"/>
    <n v="4.735038608793022E-2"/>
    <n v="4.9099999999999998E-2"/>
    <n v="3.563368456353927E-2"/>
    <n v="1.1825328372817596E-2"/>
    <n v="1.4200000000000001E-2"/>
    <n v="0.16723039628045105"/>
    <n v="-1.1122519151164811E-2"/>
    <n v="-1.7600000000000001E-2"/>
    <n v="0.3680386845929085"/>
    <n v="-2.1173743195845099E-3"/>
    <n v="-2.8999999999999998E-3"/>
    <n v="0.26987092428120346"/>
  </r>
  <r>
    <s v="15-May-26"/>
    <x v="0"/>
    <n v="1.992E-2"/>
    <x v="1"/>
    <n v="3.05"/>
    <n v="3.65"/>
    <n v="3.3499999999999996"/>
    <n v="0.51556116435676813"/>
    <n v="0.84929159259667375"/>
    <n v="0.84930000000000005"/>
    <n v="9.8992150315611111E-6"/>
    <n v="6.8238850617193078E-2"/>
    <n v="6.8599999999999994E-2"/>
    <n v="5.2645682624914902E-3"/>
    <n v="1.5549575196081543E-2"/>
    <n v="1.4500000000000001E-2"/>
    <n v="7.2384496281485661E-2"/>
    <n v="-1.2293608995696504E-2"/>
    <n v="-1.4500000000000001E-2"/>
    <n v="0.15216489684851703"/>
    <n v="1.3507654475306628E-2"/>
    <n v="1.2699999999999999E-2"/>
    <n v="6.3594840575325107E-2"/>
    <n v="0.11"/>
    <n v="0.5"/>
    <n v="0.30499999999999999"/>
    <n v="0.52713112439960241"/>
    <n v="-0.15528633101111045"/>
    <n v="-0.1547"/>
    <n v="3.7901164260532734E-3"/>
    <n v="6.8078323778180516E-2"/>
    <n v="6.8500000000000005E-2"/>
    <n v="6.1558572528392572E-3"/>
    <n v="1.5861130696574337E-2"/>
    <n v="1.46E-2"/>
    <n v="8.6378814833858716E-2"/>
    <n v="-1.3955758300047102E-2"/>
    <n v="-1.37E-2"/>
    <n v="1.8668489054532975E-2"/>
    <n v="-3.2343701688680965E-3"/>
    <n v="-3.0000000000000001E-3"/>
    <n v="7.8123389622698797E-2"/>
  </r>
  <r>
    <s v="15-May-26"/>
    <x v="0"/>
    <n v="1.992E-2"/>
    <x v="2"/>
    <n v="1.75"/>
    <n v="2.15"/>
    <n v="1.95"/>
    <n v="0.52176357712596655"/>
    <n v="0.65177250262265152"/>
    <n v="0.65169999999999995"/>
    <n v="1.1125153084482317E-4"/>
    <n v="0.10658257630296755"/>
    <n v="0.1075"/>
    <n v="8.5341739258832199E-3"/>
    <n v="2.4579135431584687E-2"/>
    <n v="2.29E-2"/>
    <n v="7.3324691335575828E-2"/>
    <n v="-2.0368594483346471E-2"/>
    <n v="-2.2499999999999999E-2"/>
    <n v="9.4729134073490151E-2"/>
    <n v="1.0883600604370288E-2"/>
    <n v="1.0200000000000001E-2"/>
    <n v="6.7019667095126231E-2"/>
    <n v="0.7"/>
    <n v="1.1000000000000001"/>
    <n v="0.9"/>
    <n v="0.52846841979771852"/>
    <n v="-0.34934698075418547"/>
    <n v="-0.3493"/>
    <n v="1.3449972569558002E-4"/>
    <n v="0.10535415120334249"/>
    <n v="0.1065"/>
    <n v="1.0759143630586937E-2"/>
    <n v="2.4608056896283922E-2"/>
    <n v="2.29E-2"/>
    <n v="7.4587637392310988E-2"/>
    <n v="-2.1865594924960381E-2"/>
    <n v="-2.1600000000000001E-2"/>
    <n v="1.2296061340758335E-2"/>
    <n v="-7.4545507968386228E-3"/>
    <n v="-7.0000000000000001E-3"/>
    <n v="6.4935828119803224E-2"/>
  </r>
  <r>
    <s v="15-May-26"/>
    <x v="0"/>
    <n v="1.992E-2"/>
    <x v="3"/>
    <n v="0.8"/>
    <n v="1.2"/>
    <n v="1"/>
    <n v="0.52417262922972441"/>
    <n v="0.42621406769324"/>
    <n v="0.42559999999999998"/>
    <n v="1.4428282265977841E-3"/>
    <n v="0.11251703326920084"/>
    <n v="0.1135"/>
    <n v="8.6604998308295947E-3"/>
    <n v="2.6067491590811502E-2"/>
    <n v="2.6100000000000002E-2"/>
    <n v="1.2455329190996013E-3"/>
    <n v="-2.1980028548026744E-2"/>
    <n v="-2.5399999999999999E-2"/>
    <n v="0.13464454535327774"/>
    <n v="7.3464249798308448E-3"/>
    <n v="6.8999999999999999E-3"/>
    <n v="6.4699272439252886E-2"/>
    <n v="1.7"/>
    <n v="2.1"/>
    <n v="1.9"/>
    <n v="0.51258174236863852"/>
    <n v="-0.57675994788985019"/>
    <n v="-0.57769999999999999"/>
    <n v="1.627232318071322E-3"/>
    <n v="0.11489569727137183"/>
    <n v="0.11609999999999999"/>
    <n v="1.037297785209442E-2"/>
    <n v="2.6029961633323797E-2"/>
    <n v="2.6100000000000002E-2"/>
    <n v="2.6834623247588016E-3"/>
    <n v="-2.2761454416937266E-2"/>
    <n v="-2.35E-2"/>
    <n v="3.1427471619690797E-2"/>
    <n v="-1.2652318001311369E-2"/>
    <n v="-1.1900000000000001E-2"/>
    <n v="6.3220000110198973E-2"/>
  </r>
  <r>
    <s v="15-May-26"/>
    <x v="0"/>
    <n v="1.992E-2"/>
    <x v="4"/>
    <n v="0.25"/>
    <n v="0.65"/>
    <n v="0.45"/>
    <n v="0.5235246242955327"/>
    <n v="0.23697346785879758"/>
    <n v="0.2359"/>
    <n v="4.5505208088070506E-3"/>
    <n v="8.8700370378417118E-2"/>
    <n v="8.9099999999999999E-2"/>
    <n v="4.4851809380794718E-3"/>
    <n v="2.0524338890624494E-2"/>
    <n v="2.1499999999999998E-2"/>
    <n v="4.5379586482581599E-2"/>
    <n v="-1.7389722478115377E-2"/>
    <n v="-2.07E-2"/>
    <n v="0.15991678849684168"/>
    <n v="4.1729158076018865E-3"/>
    <n v="3.8999999999999998E-3"/>
    <n v="6.9978412205611976E-2"/>
    <n v="3.05"/>
    <n v="3.65"/>
    <n v="3.3499999999999996"/>
    <n v="0.51032455172389746"/>
    <n v="-0.7698805990954134"/>
    <n v="-0.77170000000000005"/>
    <n v="2.3576531094812157E-3"/>
    <n v="8.9525528045154082E-2"/>
    <n v="0.09"/>
    <n v="5.2719106093990532E-3"/>
    <n v="2.0192959949686669E-2"/>
    <n v="2.1499999999999998E-2"/>
    <n v="6.0792560479689714E-2"/>
    <n v="-1.8090132922047683E-2"/>
    <n v="-1.8800000000000001E-2"/>
    <n v="3.7758887125123278E-2"/>
    <n v="-1.7566958499243841E-2"/>
    <n v="-1.66E-2"/>
    <n v="5.8250512002641031E-2"/>
  </r>
  <r>
    <s v="19-Jun-26"/>
    <x v="1"/>
    <n v="2.1174999999999999E-2"/>
    <x v="0"/>
    <n v="4.05"/>
    <n v="4.8499999999999996"/>
    <n v="4.4499999999999993"/>
    <n v="0.48626504372805357"/>
    <n v="0.86126390459012958"/>
    <n v="0.86170000000000002"/>
    <n v="5.0608728080589601E-4"/>
    <n v="4.8384790445601754E-2"/>
    <n v="4.8599999999999997E-2"/>
    <n v="4.4281801316511018E-3"/>
    <n v="2.079785473242771E-2"/>
    <n v="2.0899999999999998E-2"/>
    <n v="4.8873333766645292E-3"/>
    <n v="-7.4197410989486024E-3"/>
    <n v="-8.6999999999999994E-3"/>
    <n v="0.1471561955231491"/>
    <n v="2.5641512881374229E-2"/>
    <n v="2.6800000000000001E-2"/>
    <n v="4.3227131292006421E-2"/>
    <n v="0.15"/>
    <n v="0.55000000000000004"/>
    <n v="0.35000000000000003"/>
    <n v="0.48478965181857347"/>
    <n v="-0.13813929142759096"/>
    <n v="-0.13750000000000001"/>
    <n v="4.6493922006614462E-3"/>
    <n v="4.8389667393938442E-2"/>
    <n v="4.8599999999999997E-2"/>
    <n v="4.3278314004435324E-3"/>
    <n v="2.0736841274532639E-2"/>
    <n v="2.0899999999999998E-2"/>
    <n v="7.8066375821703284E-3"/>
    <n v="-8.4676112601611373E-3"/>
    <n v="-7.6E-3"/>
    <n v="0.11415937633699176"/>
    <n v="-5.8855798165686809E-3"/>
    <n v="-6.1000000000000004E-3"/>
    <n v="3.515084974283926E-2"/>
  </r>
  <r>
    <s v="19-Jun-26"/>
    <x v="1"/>
    <n v="2.1174999999999999E-2"/>
    <x v="1"/>
    <n v="3.35"/>
    <n v="4"/>
    <n v="3.6749999999999998"/>
    <n v="0.48520409967750311"/>
    <n v="0.79645032145037697"/>
    <n v="0.79690000000000005"/>
    <n v="5.6428479059239317E-4"/>
    <n v="6.2019975608268885E-2"/>
    <n v="6.2399999999999997E-2"/>
    <n v="6.0901344828703926E-3"/>
    <n v="2.660067630180064E-2"/>
    <n v="2.7400000000000001E-2"/>
    <n v="2.9172397744502209E-2"/>
    <n v="-9.7573921113912505E-3"/>
    <n v="-1.0999999999999999E-2"/>
    <n v="0.11296435350988626"/>
    <n v="2.4445418188945727E-2"/>
    <n v="2.5600000000000001E-2"/>
    <n v="4.5100851994307578E-2"/>
    <n v="0.35"/>
    <n v="0.75"/>
    <n v="0.55000000000000004"/>
    <n v="0.4759312653914094"/>
    <n v="-0.20007917228466376"/>
    <n v="-0.19950000000000001"/>
    <n v="2.9031192213721988E-3"/>
    <n v="6.2580604080117536E-2"/>
    <n v="6.3E-2"/>
    <n v="6.6570780933724576E-3"/>
    <n v="2.632816629640345E-2"/>
    <n v="2.7400000000000001E-2"/>
    <n v="3.911801837943614E-2"/>
    <n v="-1.0598181259282429E-2"/>
    <n v="-9.7000000000000003E-3"/>
    <n v="9.2596006111590565E-2"/>
    <n v="-8.5963722450421755E-3"/>
    <n v="-8.9999999999999993E-3"/>
    <n v="4.4847528328647093E-2"/>
  </r>
  <r>
    <s v="19-Jun-26"/>
    <x v="1"/>
    <n v="2.1174999999999999E-2"/>
    <x v="2"/>
    <n v="2.1"/>
    <n v="2.5"/>
    <n v="2.2999999999999998"/>
    <n v="0.46211039181798697"/>
    <n v="0.63891788624115053"/>
    <n v="0.63919999999999999"/>
    <n v="4.4135444125384231E-4"/>
    <n v="8.6197053358653561E-2"/>
    <n v="8.6999999999999994E-2"/>
    <n v="9.2292717396141744E-3"/>
    <n v="3.5210709822420805E-2"/>
    <n v="3.6900000000000002E-2"/>
    <n v="4.5780221614612392E-2"/>
    <n v="-1.2653419499675935E-2"/>
    <n v="-1.38E-2"/>
    <n v="8.3085543501743811E-2"/>
    <n v="2.0690464878927846E-2"/>
    <n v="2.1700000000000001E-2"/>
    <n v="4.6522355809776712E-2"/>
    <n v="1.05"/>
    <n v="1.45"/>
    <n v="1.25"/>
    <n v="0.47842561732977629"/>
    <n v="-0.36317332772009181"/>
    <n v="-0.3629"/>
    <n v="7.531764124877635E-4"/>
    <n v="8.3421578224025697E-2"/>
    <n v="8.4199999999999997E-2"/>
    <n v="9.2449142039703093E-3"/>
    <n v="3.5280071232635837E-2"/>
    <n v="3.6900000000000002E-2"/>
    <n v="4.3900508600654871E-2"/>
    <n v="-1.4430796995516691E-2"/>
    <n v="-1.3100000000000001E-2"/>
    <n v="0.10158755690967101"/>
    <n v="-1.6023136221165583E-2"/>
    <n v="-1.6799999999999999E-2"/>
    <n v="4.6241891597286686E-2"/>
  </r>
  <r>
    <s v="19-Jun-26"/>
    <x v="1"/>
    <n v="2.1174999999999999E-2"/>
    <x v="3"/>
    <n v="1.1499999999999999"/>
    <n v="1.55"/>
    <n v="1.35"/>
    <n v="0.46041401568800211"/>
    <n v="0.45750044087314545"/>
    <n v="0.45689999999999997"/>
    <n v="1.3141625588651352E-3"/>
    <n v="9.1636711397315052E-2"/>
    <n v="9.2499999999999999E-2"/>
    <n v="9.3328497587561871E-3"/>
    <n v="3.7295347355893675E-2"/>
    <n v="3.8899999999999997E-2"/>
    <n v="4.1250710645406738E-2"/>
    <n v="-1.3580470309791639E-2"/>
    <n v="-1.43E-2"/>
    <n v="5.0316761553032233E-2"/>
    <n v="1.5310391948668026E-2"/>
    <n v="1.6E-2"/>
    <n v="4.3100503208248417E-2"/>
    <n v="2.0499999999999998"/>
    <n v="2.4500000000000002"/>
    <n v="2.25"/>
    <n v="0.46431499067693949"/>
    <n v="-0.5415146407543231"/>
    <n v="-0.54220000000000002"/>
    <n v="1.2640340200607151E-3"/>
    <n v="9.0890619677103865E-2"/>
    <n v="9.1800000000000007E-2"/>
    <n v="9.9061037352520878E-3"/>
    <n v="3.7305116043123143E-2"/>
    <n v="3.8899999999999997E-2"/>
    <n v="4.0999587580381851E-2"/>
    <n v="-1.5090729582361011E-2"/>
    <n v="-1.3100000000000001E-2"/>
    <n v="0.15196409025656565"/>
    <n v="-2.4535136972239954E-2"/>
    <n v="-2.5700000000000001E-2"/>
    <n v="4.5325409640468731E-2"/>
  </r>
  <r>
    <s v="19-Jun-26"/>
    <x v="1"/>
    <n v="2.1174999999999999E-2"/>
    <x v="4"/>
    <n v="0.55000000000000004"/>
    <n v="0.95"/>
    <n v="0.75"/>
    <n v="0.46355994883924723"/>
    <n v="0.29886038367324075"/>
    <n v="0.29809999999999998"/>
    <n v="2.550767102451433E-3"/>
    <n v="7.9638266644663475E-2"/>
    <n v="8.0199999999999994E-2"/>
    <n v="7.0041565503306605E-3"/>
    <n v="3.2633550762624579E-2"/>
    <n v="3.2099999999999997E-2"/>
    <n v="1.6621519084877953E-2"/>
    <n v="-1.2077865909206486E-2"/>
    <n v="-1.18E-2"/>
    <n v="2.3547958407329369E-2"/>
    <n v="1.0221257751216026E-2"/>
    <n v="1.0699999999999999E-2"/>
    <n v="4.4742266241492835E-2"/>
    <n v="3.3"/>
    <n v="3.95"/>
    <n v="3.625"/>
    <n v="0.46251659747213125"/>
    <n v="-0.70170054894515377"/>
    <n v="-0.7026"/>
    <n v="1.2801751421096417E-3"/>
    <n v="7.9749744507138898E-2"/>
    <n v="8.0399999999999999E-2"/>
    <n v="8.0877548863321092E-3"/>
    <n v="3.2605678952204321E-2"/>
    <n v="3.2099999999999997E-2"/>
    <n v="1.5753238386427566E-2"/>
    <n v="-1.3542879853063629E-2"/>
    <n v="-1.03E-2"/>
    <n v="0.31484270418093485"/>
    <n v="-3.2975272742664798E-2"/>
    <n v="-3.4500000000000003E-2"/>
    <n v="4.4194992966237828E-2"/>
  </r>
  <r>
    <s v="18-Sep-26"/>
    <x v="2"/>
    <n v="2.1593333333333332E-2"/>
    <x v="0"/>
    <n v="4.75"/>
    <n v="5.6"/>
    <n v="5.1749999999999998"/>
    <n v="0.47503300476819277"/>
    <n v="0.79102558603038464"/>
    <n v="0.79530000000000001"/>
    <n v="5.3745931970518857E-3"/>
    <n v="4.0694241174144261E-2"/>
    <n v="4.1599999999999998E-2"/>
    <n v="2.1773048698455231E-2"/>
    <n v="4.2720209498405978E-2"/>
    <n v="4.1000000000000002E-2"/>
    <n v="4.1956329229414058E-2"/>
    <n v="-5.9002575103599877E-3"/>
    <n v="-6.8999999999999999E-3"/>
    <n v="0.14489021588985684"/>
    <n v="5.43429967970714E-2"/>
    <n v="5.5899999999999998E-2"/>
    <n v="2.7853366778686921E-2"/>
    <n v="0.7"/>
    <n v="1.1000000000000001"/>
    <n v="0.9"/>
    <n v="0.45738062355667353"/>
    <n v="-0.20337358874973377"/>
    <n v="-0.2029"/>
    <n v="2.3340993086928144E-3"/>
    <n v="4.1589534947086906E-2"/>
    <n v="4.19E-2"/>
    <n v="7.409667133964043E-3"/>
    <n v="4.2037652960985022E-2"/>
    <n v="4.1000000000000002E-2"/>
    <n v="2.5308608804512699E-2"/>
    <n v="-6.6516041412117083E-3"/>
    <n v="-5.7000000000000002E-3"/>
    <n v="0.16694809494942248"/>
    <n v="-2.3265390676858039E-2"/>
    <n v="-2.3599999999999999E-2"/>
    <n v="1.4178361150083082E-2"/>
  </r>
  <r>
    <s v="18-Sep-26"/>
    <x v="2"/>
    <n v="2.3976666666666667E-2"/>
    <x v="1"/>
    <n v="4.05"/>
    <n v="4.8499999999999996"/>
    <n v="4.4499999999999993"/>
    <n v="0.45810549054294825"/>
    <n v="0.74495063521700255"/>
    <n v="0.74390000000000001"/>
    <n v="1.4123339387048649E-3"/>
    <n v="4.71567381642891E-2"/>
    <n v="4.7399999999999998E-2"/>
    <n v="5.1321062386265378E-3"/>
    <n v="4.7740381859133776E-2"/>
    <n v="4.9599999999999998E-2"/>
    <n v="3.7492301227141568E-2"/>
    <n v="-6.3555153139784057E-3"/>
    <n v="-8.0999999999999996E-3"/>
    <n v="0.21536847975575235"/>
    <n v="5.2942554642051207E-2"/>
    <n v="5.3699999999999998E-2"/>
    <n v="1.4105127708543596E-2"/>
    <n v="1.05"/>
    <n v="1.45"/>
    <n v="1.25"/>
    <n v="0.46413103584200144"/>
    <n v="-0.2565569077257398"/>
    <n v="-0.25669999999999998"/>
    <n v="5.574299737443766E-4"/>
    <n v="4.6687936050650032E-2"/>
    <n v="4.7300000000000002E-2"/>
    <n v="1.2940041212472931E-2"/>
    <n v="4.7887472949608184E-2"/>
    <n v="4.9599999999999998E-2"/>
    <n v="3.4526755048222058E-2"/>
    <n v="-7.77743724156197E-3"/>
    <n v="-6.8999999999999999E-3"/>
    <n v="0.12716481761767684"/>
    <n v="-2.9827106613239122E-2"/>
    <n v="-2.8899999999999999E-2"/>
    <n v="3.2079813606890079E-2"/>
  </r>
  <r>
    <s v="18-Sep-26"/>
    <x v="2"/>
    <n v="2.3976666666666667E-2"/>
    <x v="2"/>
    <n v="3"/>
    <n v="3.55"/>
    <n v="3.2749999999999999"/>
    <n v="0.45288824941962957"/>
    <n v="0.6318878875397107"/>
    <n v="0.63080000000000003"/>
    <n v="1.7246156304861677E-3"/>
    <n v="5.5987404303920935E-2"/>
    <n v="5.6300000000000003E-2"/>
    <n v="5.5523214223635563E-3"/>
    <n v="5.6034825011715111E-2"/>
    <n v="5.7000000000000002E-2"/>
    <n v="1.6932894531313868E-2"/>
    <n v="-7.602486911911675E-3"/>
    <n v="-8.8999999999999999E-3"/>
    <n v="0.14578798742565449"/>
    <n v="4.6989075122193399E-2"/>
    <n v="4.7699999999999999E-2"/>
    <n v="1.4904085488607964E-2"/>
    <n v="1.85"/>
    <n v="2.25"/>
    <n v="2.0499999999999998"/>
    <n v="0.45711602549999952"/>
    <n v="-0.36826257060297762"/>
    <n v="-0.36930000000000002"/>
    <n v="2.8091778960801341E-3"/>
    <n v="5.5477041839176809E-2"/>
    <n v="5.6300000000000003E-2"/>
    <n v="1.4617374082117116E-2"/>
    <n v="5.6042354978013541E-2"/>
    <n v="5.7000000000000002E-2"/>
    <n v="1.6800789859411601E-2"/>
    <n v="-9.1140914819640203E-3"/>
    <n v="-7.7000000000000002E-3"/>
    <n v="0.18364824441091168"/>
    <n v="-4.3879529204036503E-2"/>
    <n v="-4.4699999999999997E-2"/>
    <n v="1.8355051363836538E-2"/>
  </r>
  <r>
    <s v="18-Sep-26"/>
    <x v="2"/>
    <n v="2.3976666666666667E-2"/>
    <x v="3"/>
    <n v="2.15"/>
    <n v="2.5499999999999998"/>
    <n v="2.3499999999999996"/>
    <n v="0.44975407887250185"/>
    <n v="0.51494138245172705"/>
    <n v="0.51370000000000005"/>
    <n v="2.4165513952248436E-3"/>
    <n v="5.9626855303446608E-2"/>
    <n v="0.06"/>
    <n v="6.2190782758898373E-3"/>
    <n v="5.9264367036789875E-2"/>
    <n v="6.0100000000000001E-2"/>
    <n v="1.3904042649086948E-2"/>
    <n v="-8.1384393839975047E-3"/>
    <n v="-9.1999999999999998E-3"/>
    <n v="0.11538702347853208"/>
    <n v="3.9621250109847427E-2"/>
    <n v="4.02E-2"/>
    <n v="1.4396763436631172E-2"/>
    <n v="2.8"/>
    <n v="3.35"/>
    <n v="3.0750000000000002"/>
    <n v="0.44866961892694235"/>
    <n v="-0.48530193034813407"/>
    <n v="-0.4874"/>
    <n v="4.3046156172875062E-3"/>
    <n v="5.9772332237592173E-2"/>
    <n v="6.0600000000000001E-2"/>
    <n v="1.3657883868115983E-2"/>
    <n v="5.9265710987404081E-2"/>
    <n v="6.0100000000000001E-2"/>
    <n v="1.3881680742028607E-2"/>
    <n v="-9.6783299261130086E-3"/>
    <n v="-7.7000000000000002E-3"/>
    <n v="0.25692596443026083"/>
    <n v="-5.9381264307816796E-2"/>
    <n v="-6.0100000000000001E-2"/>
    <n v="1.1958996542149828E-2"/>
  </r>
  <r>
    <s v="18-Sep-26"/>
    <x v="2"/>
    <n v="2.3976666666666667E-2"/>
    <x v="4"/>
    <n v="1.45"/>
    <n v="1.85"/>
    <n v="1.65"/>
    <n v="0.44778526294976473"/>
    <n v="0.40494428520171594"/>
    <n v="0.40360000000000001"/>
    <n v="3.3307363768977261E-3"/>
    <n v="5.8221690545861467E-2"/>
    <n v="5.8500000000000003E-2"/>
    <n v="4.7574265664707127E-3"/>
    <n v="5.7614426370751842E-2"/>
    <n v="5.8200000000000002E-2"/>
    <n v="1.0061402564401365E-2"/>
    <n v="-7.9776033586248605E-3"/>
    <n v="-8.8000000000000005E-3"/>
    <n v="9.3454163792629538E-2"/>
    <n v="3.1982778666266289E-2"/>
    <n v="3.2399999999999998E-2"/>
    <n v="1.2877201658447831E-2"/>
    <n v="4"/>
    <n v="4.7"/>
    <n v="4.3499999999999996"/>
    <n v="0.44578068424016237"/>
    <n v="-0.59597732796757863"/>
    <n v="-0.59919999999999995"/>
    <n v="5.3782911088473394E-3"/>
    <n v="5.8449878954628151E-2"/>
    <n v="5.9200000000000003E-2"/>
    <n v="1.2670963604254248E-2"/>
    <n v="5.7581304135900721E-2"/>
    <n v="5.8299999999999998E-2"/>
    <n v="1.2327544838752601E-2"/>
    <n v="-9.6263638605780747E-3"/>
    <n v="-7.1999999999999998E-3"/>
    <n v="0.33699498063584377"/>
    <n v="-7.5313991077066461E-2"/>
    <n v="-7.6899999999999996E-2"/>
    <n v="2.0624303289122695E-2"/>
  </r>
  <r>
    <s v="18-Dec-26"/>
    <x v="3"/>
    <n v="2.3203333333333333E-2"/>
    <x v="0"/>
    <n v="5.25"/>
    <n v="6.25"/>
    <n v="5.75"/>
    <n v="0.46417081262916327"/>
    <n v="0.76970134177979277"/>
    <n v="0.76980000000000004"/>
    <n v="1.2816084724249227E-4"/>
    <n v="3.4814461985280355E-2"/>
    <n v="3.5000000000000003E-2"/>
    <n v="5.3010861348470875E-3"/>
    <n v="5.7139197055863684E-2"/>
    <n v="0.06"/>
    <n v="4.7680049068938558E-2"/>
    <n v="-4.6884597161717598E-3"/>
    <n v="-6.4000000000000003E-3"/>
    <n v="0.26742816934816255"/>
    <n v="7.9841479206196775E-2"/>
    <n v="8.0600000000000005E-2"/>
    <n v="9.4109279628192318E-3"/>
    <n v="1"/>
    <n v="1.8"/>
    <n v="1.4"/>
    <n v="0.45920164790004492"/>
    <n v="-0.22911364265321277"/>
    <n v="-0.2288"/>
    <n v="1.3708157920138309E-3"/>
    <n v="3.5089669871708071E-2"/>
    <n v="3.5400000000000001E-2"/>
    <n v="8.7663878048567841E-3"/>
    <n v="5.6974344483180818E-2"/>
    <n v="0.06"/>
    <n v="5.042759194698633E-2"/>
    <n v="-5.8003293783622546E-3"/>
    <n v="-5.1999999999999998E-3"/>
    <n v="0.11544795737735671"/>
    <n v="-4.4509914523664144E-2"/>
    <n v="-4.4900000000000002E-2"/>
    <n v="8.6878725241839195E-3"/>
  </r>
  <r>
    <s v="18-Dec-26"/>
    <x v="3"/>
    <n v="2.5723333333333334E-2"/>
    <x v="1"/>
    <n v="4.6500000000000004"/>
    <n v="5.6"/>
    <n v="5.125"/>
    <n v="0.45780789572745562"/>
    <n v="0.72912215569189143"/>
    <n v="0.72689999999999999"/>
    <n v="3.0570308046381023E-3"/>
    <n v="3.8471183208630459E-2"/>
    <n v="3.8699999999999998E-2"/>
    <n v="5.9125785883601834E-3"/>
    <n v="6.2275244172566337E-2"/>
    <n v="6.1899999999999997E-2"/>
    <n v="6.0621029493754443E-3"/>
    <n v="-5.0360312441592586E-3"/>
    <n v="-6.4999999999999997E-3"/>
    <n v="0.2252259624370371"/>
    <n v="7.7777888473131329E-2"/>
    <n v="7.8200000000000006E-2"/>
    <n v="5.3978456121314125E-3"/>
    <n v="1.35"/>
    <n v="2.15"/>
    <n v="1.75"/>
    <n v="0.45701353345066309"/>
    <n v="-0.27074161373437933"/>
    <n v="-0.27189999999999998"/>
    <n v="4.2603393365967194E-3"/>
    <n v="3.8528376436392682E-2"/>
    <n v="3.9199999999999999E-2"/>
    <n v="1.7133254173656038E-2"/>
    <n v="6.2259608622924692E-2"/>
    <n v="6.1899999999999997E-2"/>
    <n v="5.8095092556493593E-3"/>
    <n v="-6.4093608504554728E-3"/>
    <n v="-5.1999999999999998E-3"/>
    <n v="0.23256939431836021"/>
    <n v="-5.3234529173223744E-2"/>
    <n v="-5.3900000000000003E-2"/>
    <n v="1.2346397528316509E-2"/>
  </r>
  <r>
    <s v="18-Dec-26"/>
    <x v="3"/>
    <n v="2.5723333333333334E-2"/>
    <x v="2"/>
    <n v="3.6"/>
    <n v="4.5"/>
    <n v="4.05"/>
    <n v="0.45658888760954142"/>
    <n v="0.63875556952147128"/>
    <n v="0.63680000000000003"/>
    <n v="3.0709320374862521E-3"/>
    <n v="4.3626432896335166E-2"/>
    <n v="4.3799999999999999E-2"/>
    <n v="3.9627192617541817E-3"/>
    <n v="7.0432265637050545E-2"/>
    <n v="7.1099999999999997E-2"/>
    <n v="9.3914818980232271E-3"/>
    <n v="-5.8566290217513736E-3"/>
    <n v="-7.1999999999999998E-3"/>
    <n v="0.18657930253453142"/>
    <n v="7.1070271734818224E-2"/>
    <n v="7.1400000000000005E-2"/>
    <n v="4.6180429297168158E-3"/>
    <n v="2.25"/>
    <n v="3"/>
    <n v="2.625"/>
    <n v="0.45361574273556471"/>
    <n v="-0.36128482831643571"/>
    <n v="-0.3634"/>
    <n v="5.8205054583497177E-3"/>
    <n v="4.3914056403861319E-2"/>
    <n v="4.4699999999999997E-2"/>
    <n v="1.7582630786100166E-2"/>
    <n v="7.0434962962165309E-2"/>
    <n v="7.1099999999999997E-2"/>
    <n v="9.353544835930901E-3"/>
    <n v="-7.3365274206322103E-3"/>
    <n v="-5.7999999999999996E-3"/>
    <n v="0.26491852079865702"/>
    <n v="-7.2969264126774999E-2"/>
    <n v="-7.3999999999999996E-2"/>
    <n v="1.3928863151689152E-2"/>
  </r>
  <r>
    <s v="18-Dec-26"/>
    <x v="3"/>
    <n v="2.5723333333333334E-2"/>
    <x v="3"/>
    <n v="2.7"/>
    <n v="3.55"/>
    <n v="3.125"/>
    <n v="0.4501239350065589"/>
    <n v="0.54703305614806796"/>
    <n v="0.54520000000000002"/>
    <n v="3.362171951702029E-3"/>
    <n v="4.6805558766500437E-2"/>
    <n v="4.7E-2"/>
    <n v="4.1370475212673084E-3"/>
    <n v="7.4494834207911864E-2"/>
    <n v="7.4999999999999997E-2"/>
    <n v="6.7355438945084414E-3"/>
    <n v="-6.2224973968218363E-3"/>
    <n v="-7.4000000000000003E-3"/>
    <n v="0.1591219734024546"/>
    <n v="6.3154475446291963E-2"/>
    <n v="6.3500000000000001E-2"/>
    <n v="5.4413315544572845E-3"/>
    <n v="3.3"/>
    <n v="4.0999999999999996"/>
    <n v="3.6999999999999997"/>
    <n v="0.45187777373939753"/>
    <n v="-0.45258245272734698"/>
    <n v="-0.45579999999999998"/>
    <n v="7.0591208263558547E-3"/>
    <n v="4.6618526842337138E-2"/>
    <n v="4.7500000000000001E-2"/>
    <n v="1.8557329635007634E-2"/>
    <n v="7.4486255588096198E-2"/>
    <n v="7.4999999999999997E-2"/>
    <n v="6.8499254920506569E-3"/>
    <n v="-7.9114827839218919E-3"/>
    <n v="-5.8999999999999999E-3"/>
    <n v="0.34092928541049017"/>
    <n v="-9.4153159241036649E-2"/>
    <n v="-9.5500000000000002E-2"/>
    <n v="1.4103044596474894E-2"/>
  </r>
  <r>
    <s v="18-Dec-26"/>
    <x v="3"/>
    <n v="2.5723333333333334E-2"/>
    <x v="4"/>
    <n v="2"/>
    <n v="2.8"/>
    <n v="2.4"/>
    <n v="0.44776103924959898"/>
    <n v="0.45934661128927368"/>
    <n v="0.45760000000000001"/>
    <n v="3.816895299986166E-3"/>
    <n v="4.7135998677556176E-2"/>
    <n v="4.7300000000000002E-2"/>
    <n v="3.4672584026178761E-3"/>
    <n v="7.4626939579379464E-2"/>
    <n v="7.2700000000000001E-2"/>
    <n v="2.6505358725989869E-2"/>
    <n v="-6.2897066460378933E-3"/>
    <n v="-7.1000000000000004E-3"/>
    <n v="0.11412582450170522"/>
    <n v="5.4525016418858797E-2"/>
    <n v="5.4800000000000001E-2"/>
    <n v="5.0179485609708769E-3"/>
    <n v="4.5"/>
    <n v="5.35"/>
    <n v="4.9249999999999998"/>
    <n v="0.44736838433891535"/>
    <n v="-0.54081623561508785"/>
    <n v="-0.5454"/>
    <n v="8.4044084798535895E-3"/>
    <n v="4.7175389849994961E-2"/>
    <n v="4.8000000000000001E-2"/>
    <n v="1.7179378125104991E-2"/>
    <n v="7.4623807446162441E-2"/>
    <n v="7.2800000000000004E-2"/>
    <n v="2.505230008464886E-2"/>
    <n v="-8.0846476513206159E-3"/>
    <n v="-5.4000000000000003E-3"/>
    <n v="0.49715697246678064"/>
    <n v="-0.11586665283178028"/>
    <n v="-0.1177"/>
    <n v="1.5576441531178547E-2"/>
  </r>
  <r>
    <d v="2027-03-19T00:00:00"/>
    <x v="4"/>
    <n v="2.4363333333333334E-2"/>
    <x v="0"/>
    <n v="5.65"/>
    <n v="6.8"/>
    <n v="6.2249999999999996"/>
    <n v="0.45419363770633936"/>
    <n v="0.76149969397694617"/>
    <n v="0.76090000000000002"/>
    <n v="7.8813770133545451E-4"/>
    <n v="3.093536156355586E-2"/>
    <n v="3.1099999999999999E-2"/>
    <n v="5.2938404001331013E-3"/>
    <n v="6.8311773050385008E-2"/>
    <n v="6.9500000000000006E-2"/>
    <n v="1.709679064194242E-2"/>
    <n v="-3.881542904956372E-3"/>
    <n v="-5.4000000000000003E-3"/>
    <n v="0.28119575834141264"/>
    <n v="0.10369643099448318"/>
    <n v="0.1042"/>
    <n v="4.8327159838466261E-3"/>
    <n v="1.35"/>
    <n v="2.15"/>
    <n v="1.75"/>
    <n v="0.45047600287944078"/>
    <n v="-0.23778995888197163"/>
    <n v="-0.2379"/>
    <n v="4.6255198834960074E-4"/>
    <n v="3.113972213704887E-2"/>
    <n v="3.15E-2"/>
    <n v="1.1437392474639041E-2"/>
    <n v="6.8200209516171187E-2"/>
    <n v="6.9500000000000006E-2"/>
    <n v="1.8702021350054953E-2"/>
    <n v="-5.0735142490100343E-3"/>
    <n v="-4.1000000000000003E-3"/>
    <n v="0.23744249975854484"/>
    <n v="-6.6241108316601779E-2"/>
    <n v="-6.6699999999999995E-2"/>
    <n v="6.8799352833315737E-3"/>
  </r>
  <r>
    <d v="2027-03-19T00:00:00"/>
    <x v="4"/>
    <n v="2.7183333333333334E-2"/>
    <x v="1"/>
    <n v="5.05"/>
    <n v="6.2"/>
    <n v="5.625"/>
    <n v="0.44661703053861856"/>
    <n v="0.72640406484764841"/>
    <n v="0.72309999999999997"/>
    <n v="4.5693055561449964E-3"/>
    <n v="3.3797693611119929E-2"/>
    <n v="3.39E-2"/>
    <n v="3.0178875775831986E-3"/>
    <n v="7.3387426653671678E-2"/>
    <n v="7.17E-2"/>
    <n v="2.3534541892213084E-2"/>
    <n v="-4.0710680146550824E-3"/>
    <n v="-5.4999999999999997E-3"/>
    <n v="0.25980581551725768"/>
    <n v="0.10178745137093664"/>
    <n v="0.1017"/>
    <n v="8.5989548610270199E-4"/>
    <n v="1.75"/>
    <n v="2.5499999999999998"/>
    <n v="2.15"/>
    <n v="0.45304434839636087"/>
    <n v="-0.27440534525025306"/>
    <n v="-0.27660000000000001"/>
    <n v="7.9343989506397289E-3"/>
    <n v="3.3366884844979655E-2"/>
    <n v="3.4099999999999998E-2"/>
    <n v="2.1498978153089245E-2"/>
    <n v="7.3494644687412208E-2"/>
    <n v="7.17E-2"/>
    <n v="2.5029911958329269E-2"/>
    <n v="-5.6065599468750858E-3"/>
    <n v="-4.1999999999999997E-3"/>
    <n v="0.33489522544644906"/>
    <n v="-7.7637588561772899E-2"/>
    <n v="-7.8600000000000003E-2"/>
    <n v="1.2244420333678164E-2"/>
  </r>
  <r>
    <d v="2027-03-19T00:00:00"/>
    <x v="4"/>
    <n v="2.7183333333333334E-2"/>
    <x v="2"/>
    <n v="4.05"/>
    <n v="5.0999999999999996"/>
    <n v="4.5749999999999993"/>
    <n v="0.44330126140266657"/>
    <n v="0.64755519449357646"/>
    <n v="0.64449999999999996"/>
    <n v="4.7404103856889005E-3"/>
    <n v="3.7989615153403961E-2"/>
    <n v="3.8100000000000002E-2"/>
    <n v="2.8972400681375686E-3"/>
    <n v="8.1877236521526467E-2"/>
    <n v="8.2400000000000001E-2"/>
    <n v="6.3442169717661907E-3"/>
    <n v="-4.6541659733622875E-3"/>
    <n v="-6.1000000000000004E-3"/>
    <n v="0.23702197157995292"/>
    <n v="9.47667981313524E-2"/>
    <n v="9.4700000000000006E-2"/>
    <n v="7.0536569537902954E-4"/>
    <n v="2.6"/>
    <n v="3.5"/>
    <n v="3.05"/>
    <n v="0.44897181447595358"/>
    <n v="-0.35221776757460321"/>
    <n v="-0.35560000000000003"/>
    <n v="9.5113397789561693E-3"/>
    <n v="3.7501110244481765E-2"/>
    <n v="3.8399999999999997E-2"/>
    <n v="2.3408587383287275E-2"/>
    <n v="8.1858261760232587E-2"/>
    <n v="8.2400000000000001E-2"/>
    <n v="6.5744932010608518E-3"/>
    <n v="-6.3234690891565823E-3"/>
    <n v="-4.7000000000000002E-3"/>
    <n v="0.34541895513969828"/>
    <n v="-0.10231443916493446"/>
    <n v="-0.1037"/>
    <n v="1.3361242382502782E-2"/>
  </r>
  <r>
    <d v="2027-03-19T00:00:00"/>
    <x v="4"/>
    <n v="2.7183333333333334E-2"/>
    <x v="3"/>
    <n v="3.2"/>
    <n v="4.1500000000000004"/>
    <n v="3.6750000000000003"/>
    <n v="0.43863138649612665"/>
    <n v="0.5679174915197559"/>
    <n v="0.56530000000000002"/>
    <n v="4.6302698032122357E-3"/>
    <n v="4.0649532131038835E-2"/>
    <n v="4.07E-2"/>
    <n v="1.2399967803726141E-3"/>
    <n v="8.6687119263133744E-2"/>
    <n v="8.6999999999999994E-2"/>
    <n v="3.5963303088074722E-3"/>
    <n v="-4.9818730357543538E-3"/>
    <n v="-6.3E-3"/>
    <n v="0.20922650226121367"/>
    <n v="8.620461525727581E-2"/>
    <n v="8.6199999999999999E-2"/>
    <n v="5.3541267700826527E-5"/>
    <n v="3.65"/>
    <n v="4.55"/>
    <n v="4.0999999999999996"/>
    <n v="0.44389810878783464"/>
    <n v="-0.4309101161351121"/>
    <n v="-0.43569999999999998"/>
    <n v="1.0993536527169792E-2"/>
    <n v="4.0146566996102098E-2"/>
    <n v="4.1099999999999998E-2"/>
    <n v="2.3197883306518237E-2"/>
    <n v="8.6642509709365975E-2"/>
    <n v="8.7099999999999997E-2"/>
    <n v="5.2524717638808465E-3"/>
    <n v="-6.7919391269724164E-3"/>
    <n v="-4.7000000000000002E-3"/>
    <n v="0.44509343127072681"/>
    <n v="-0.12855205010492815"/>
    <n v="-0.13039999999999999"/>
    <n v="1.4171394900857651E-2"/>
  </r>
  <r>
    <d v="2027-03-19T00:00:00"/>
    <x v="4"/>
    <n v="2.7183333333333334E-2"/>
    <x v="4"/>
    <n v="2.4500000000000002"/>
    <n v="3.4"/>
    <n v="2.9249999999999998"/>
    <n v="0.43433059472590685"/>
    <n v="0.49048461095628054"/>
    <n v="0.4879"/>
    <n v="5.2974194635797131E-3"/>
    <n v="4.1645341527858114E-2"/>
    <n v="4.1700000000000001E-2"/>
    <n v="1.3107547276231938E-3"/>
    <n v="8.793994014486485E-2"/>
    <n v="8.4400000000000003E-2"/>
    <n v="4.1942418778019519E-2"/>
    <n v="-5.0844276642535982E-3"/>
    <n v="-6.0000000000000001E-3"/>
    <n v="0.152595389291067"/>
    <n v="7.6732888718261283E-2"/>
    <n v="7.6700000000000004E-2"/>
    <n v="4.2879684825656574E-4"/>
    <n v="4.8"/>
    <n v="5.8"/>
    <n v="5.3"/>
    <n v="0.43943199794739485"/>
    <n v="-0.50746816749009316"/>
    <n v="-0.51419999999999999"/>
    <n v="1.3091856300868985E-2"/>
    <n v="4.1166374987185582E-2"/>
    <n v="4.2099999999999999E-2"/>
    <n v="2.217636610010491E-2"/>
    <n v="8.7949549325522222E-2"/>
    <n v="8.4500000000000006E-2"/>
    <n v="4.082306894109132E-2"/>
    <n v="-7.0406230151906215E-3"/>
    <n v="-4.4000000000000003E-3"/>
    <n v="0.60014159436150483"/>
    <n v="-0.15571409254377785"/>
    <n v="-0.15809999999999999"/>
    <n v="1.509112875535823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n v="1.992E-2"/>
    <x v="0"/>
    <n v="3.85"/>
    <n v="4.5999999999999996"/>
    <n v="4.2249999999999996"/>
    <n v="0.5374194448813796"/>
    <n v="0.90794017754007128"/>
    <n v="0.90780000000000005"/>
    <n v="1.5441456275746757E-4"/>
    <n v="4.6220420485950243E-2"/>
    <n v="4.6399999999999997E-2"/>
    <n v="3.8702481476239939E-3"/>
    <n v="1.0978775336062429E-2"/>
    <n v="1.0200000000000001E-2"/>
    <n v="7.6350523143375343E-2"/>
  </r>
  <r>
    <x v="0"/>
    <n v="1.992E-2"/>
    <x v="1"/>
    <n v="3.05"/>
    <n v="3.65"/>
    <n v="3.3499999999999996"/>
    <n v="0.51556116435676813"/>
    <n v="0.84929159259667375"/>
    <n v="0.84930000000000005"/>
    <n v="9.8992150315611111E-6"/>
    <n v="6.8238850617193078E-2"/>
    <n v="6.8599999999999994E-2"/>
    <n v="5.2645682624914902E-3"/>
    <n v="1.5549575196081543E-2"/>
    <n v="1.4500000000000001E-2"/>
    <n v="7.2384496281485661E-2"/>
  </r>
  <r>
    <x v="0"/>
    <n v="1.992E-2"/>
    <x v="2"/>
    <n v="1.75"/>
    <n v="2.15"/>
    <n v="1.95"/>
    <n v="0.52176357712596655"/>
    <n v="0.65177250262265152"/>
    <n v="0.65169999999999995"/>
    <n v="1.1125153084482317E-4"/>
    <n v="0.10658257630296755"/>
    <n v="0.1075"/>
    <n v="8.5341739258832199E-3"/>
    <n v="2.4579135431584687E-2"/>
    <n v="2.29E-2"/>
    <n v="7.3324691335575828E-2"/>
  </r>
  <r>
    <x v="0"/>
    <n v="1.992E-2"/>
    <x v="3"/>
    <n v="0.8"/>
    <n v="1.2"/>
    <n v="1"/>
    <n v="0.52417262922972441"/>
    <n v="0.42621406769324"/>
    <n v="0.42559999999999998"/>
    <n v="1.4428282265977841E-3"/>
    <n v="0.11251703326920084"/>
    <n v="0.1135"/>
    <n v="8.6604998308295947E-3"/>
    <n v="2.6067491590811502E-2"/>
    <n v="2.6100000000000002E-2"/>
    <n v="1.2455329190996013E-3"/>
  </r>
  <r>
    <x v="0"/>
    <n v="1.992E-2"/>
    <x v="4"/>
    <n v="0.25"/>
    <n v="0.65"/>
    <n v="0.45"/>
    <n v="0.5235246242955327"/>
    <n v="0.23697346785879758"/>
    <n v="0.2359"/>
    <n v="4.5505208088070506E-3"/>
    <n v="8.8700370378417118E-2"/>
    <n v="8.9099999999999999E-2"/>
    <n v="4.4851809380794718E-3"/>
    <n v="2.0524338890624494E-2"/>
    <n v="2.1499999999999998E-2"/>
    <n v="4.5379586482581599E-2"/>
  </r>
  <r>
    <x v="1"/>
    <n v="2.1174999999999999E-2"/>
    <x v="0"/>
    <n v="4.05"/>
    <n v="4.8499999999999996"/>
    <n v="4.4499999999999993"/>
    <n v="0.48626504372805357"/>
    <n v="0.86126390459012958"/>
    <n v="0.86170000000000002"/>
    <n v="5.0608728080589601E-4"/>
    <n v="4.8384790445601754E-2"/>
    <n v="4.8599999999999997E-2"/>
    <n v="4.4281801316511018E-3"/>
    <n v="2.079785473242771E-2"/>
    <n v="2.0899999999999998E-2"/>
    <n v="4.8873333766645292E-3"/>
  </r>
  <r>
    <x v="1"/>
    <n v="2.1174999999999999E-2"/>
    <x v="1"/>
    <n v="3.35"/>
    <n v="4"/>
    <n v="3.6749999999999998"/>
    <n v="0.48520409967750311"/>
    <n v="0.79645032145037697"/>
    <n v="0.79690000000000005"/>
    <n v="5.6428479059239317E-4"/>
    <n v="6.2019975608268885E-2"/>
    <n v="6.2399999999999997E-2"/>
    <n v="6.0901344828703926E-3"/>
    <n v="2.660067630180064E-2"/>
    <n v="2.7400000000000001E-2"/>
    <n v="2.9172397744502209E-2"/>
  </r>
  <r>
    <x v="1"/>
    <n v="2.1174999999999999E-2"/>
    <x v="2"/>
    <n v="2.1"/>
    <n v="2.5"/>
    <n v="2.2999999999999998"/>
    <n v="0.46211039181798697"/>
    <n v="0.63891788624115053"/>
    <n v="0.63919999999999999"/>
    <n v="4.4135444125384231E-4"/>
    <n v="8.6197053358653561E-2"/>
    <n v="8.6999999999999994E-2"/>
    <n v="9.2292717396141744E-3"/>
    <n v="3.5210709822420805E-2"/>
    <n v="3.6900000000000002E-2"/>
    <n v="4.5780221614612392E-2"/>
  </r>
  <r>
    <x v="1"/>
    <n v="2.1174999999999999E-2"/>
    <x v="3"/>
    <n v="1.1499999999999999"/>
    <n v="1.55"/>
    <n v="1.35"/>
    <n v="0.46041401568800211"/>
    <n v="0.45750044087314545"/>
    <n v="0.45689999999999997"/>
    <n v="1.3141625588651352E-3"/>
    <n v="9.1636711397315052E-2"/>
    <n v="9.2499999999999999E-2"/>
    <n v="9.3328497587561871E-3"/>
    <n v="3.7295347355893675E-2"/>
    <n v="3.8899999999999997E-2"/>
    <n v="4.1250710645406738E-2"/>
  </r>
  <r>
    <x v="1"/>
    <n v="2.1174999999999999E-2"/>
    <x v="4"/>
    <n v="0.55000000000000004"/>
    <n v="0.95"/>
    <n v="0.75"/>
    <n v="0.46355994883924723"/>
    <n v="0.29886038367324075"/>
    <n v="0.29809999999999998"/>
    <n v="2.550767102451433E-3"/>
    <n v="7.9638266644663475E-2"/>
    <n v="8.0199999999999994E-2"/>
    <n v="7.0041565503306605E-3"/>
    <n v="3.2633550762624579E-2"/>
    <n v="3.2099999999999997E-2"/>
    <n v="1.6621519084877953E-2"/>
  </r>
  <r>
    <x v="2"/>
    <n v="2.1593333333333332E-2"/>
    <x v="0"/>
    <n v="4.75"/>
    <n v="5.6"/>
    <n v="5.1749999999999998"/>
    <n v="0.47503300476819277"/>
    <n v="0.79102558603038464"/>
    <n v="0.79530000000000001"/>
    <n v="5.3745931970518857E-3"/>
    <n v="4.0694241174144261E-2"/>
    <n v="4.1599999999999998E-2"/>
    <n v="2.1773048698455231E-2"/>
    <n v="4.2720209498405978E-2"/>
    <n v="4.1000000000000002E-2"/>
    <n v="4.1956329229414058E-2"/>
  </r>
  <r>
    <x v="2"/>
    <n v="2.3976666666666667E-2"/>
    <x v="1"/>
    <n v="4.05"/>
    <n v="4.8499999999999996"/>
    <n v="4.4499999999999993"/>
    <n v="0.45810549054294825"/>
    <n v="0.74495063521700255"/>
    <n v="0.74390000000000001"/>
    <n v="1.4123339387048649E-3"/>
    <n v="4.71567381642891E-2"/>
    <n v="4.7399999999999998E-2"/>
    <n v="5.1321062386265378E-3"/>
    <n v="4.7740381859133776E-2"/>
    <n v="4.9599999999999998E-2"/>
    <n v="3.7492301227141568E-2"/>
  </r>
  <r>
    <x v="2"/>
    <n v="2.3976666666666667E-2"/>
    <x v="2"/>
    <n v="3"/>
    <n v="3.55"/>
    <n v="3.2749999999999999"/>
    <n v="0.45288824941962957"/>
    <n v="0.6318878875397107"/>
    <n v="0.63080000000000003"/>
    <n v="1.7246156304861677E-3"/>
    <n v="5.5987404303920935E-2"/>
    <n v="5.6300000000000003E-2"/>
    <n v="5.5523214223635563E-3"/>
    <n v="5.6034825011715111E-2"/>
    <n v="5.7000000000000002E-2"/>
    <n v="1.6932894531313868E-2"/>
  </r>
  <r>
    <x v="2"/>
    <n v="2.3976666666666667E-2"/>
    <x v="3"/>
    <n v="2.15"/>
    <n v="2.5499999999999998"/>
    <n v="2.3499999999999996"/>
    <n v="0.44975407887250185"/>
    <n v="0.51494138245172705"/>
    <n v="0.51370000000000005"/>
    <n v="2.4165513952248436E-3"/>
    <n v="5.9626855303446608E-2"/>
    <n v="0.06"/>
    <n v="6.2190782758898373E-3"/>
    <n v="5.9264367036789875E-2"/>
    <n v="6.0100000000000001E-2"/>
    <n v="1.3904042649086948E-2"/>
  </r>
  <r>
    <x v="2"/>
    <n v="2.3976666666666667E-2"/>
    <x v="4"/>
    <n v="1.45"/>
    <n v="1.85"/>
    <n v="1.65"/>
    <n v="0.44778526294976473"/>
    <n v="0.40494428520171594"/>
    <n v="0.40360000000000001"/>
    <n v="3.3307363768977261E-3"/>
    <n v="5.8221690545861467E-2"/>
    <n v="5.8500000000000003E-2"/>
    <n v="4.7574265664707127E-3"/>
    <n v="5.7614426370751842E-2"/>
    <n v="5.8200000000000002E-2"/>
    <n v="1.0061402564401365E-2"/>
  </r>
  <r>
    <x v="3"/>
    <n v="2.3203333333333333E-2"/>
    <x v="0"/>
    <n v="5.25"/>
    <n v="6.25"/>
    <n v="5.75"/>
    <n v="0.46417081262916327"/>
    <n v="0.76970134177979277"/>
    <n v="0.76980000000000004"/>
    <n v="1.2816084724249227E-4"/>
    <n v="3.4814461985280355E-2"/>
    <n v="3.5000000000000003E-2"/>
    <n v="5.3010861348470875E-3"/>
    <n v="5.7139197055863684E-2"/>
    <n v="0.06"/>
    <n v="4.7680049068938558E-2"/>
  </r>
  <r>
    <x v="3"/>
    <n v="2.5723333333333334E-2"/>
    <x v="1"/>
    <n v="4.6500000000000004"/>
    <n v="5.6"/>
    <n v="5.125"/>
    <n v="0.45780789572745562"/>
    <n v="0.72912215569189143"/>
    <n v="0.72689999999999999"/>
    <n v="3.0570308046381023E-3"/>
    <n v="3.8471183208630459E-2"/>
    <n v="3.8699999999999998E-2"/>
    <n v="5.9125785883601834E-3"/>
    <n v="6.2275244172566337E-2"/>
    <n v="6.1899999999999997E-2"/>
    <n v="6.0621029493754443E-3"/>
  </r>
  <r>
    <x v="3"/>
    <n v="2.5723333333333334E-2"/>
    <x v="2"/>
    <n v="3.6"/>
    <n v="4.5"/>
    <n v="4.05"/>
    <n v="0.45658888760954142"/>
    <n v="0.63875556952147128"/>
    <n v="0.63680000000000003"/>
    <n v="3.0709320374862521E-3"/>
    <n v="4.3626432896335166E-2"/>
    <n v="4.3799999999999999E-2"/>
    <n v="3.9627192617541817E-3"/>
    <n v="7.0432265637050545E-2"/>
    <n v="7.1099999999999997E-2"/>
    <n v="9.3914818980232271E-3"/>
  </r>
  <r>
    <x v="3"/>
    <n v="2.5723333333333334E-2"/>
    <x v="3"/>
    <n v="2.7"/>
    <n v="3.55"/>
    <n v="3.125"/>
    <n v="0.4501239350065589"/>
    <n v="0.54703305614806796"/>
    <n v="0.54520000000000002"/>
    <n v="3.362171951702029E-3"/>
    <n v="4.6805558766500437E-2"/>
    <n v="4.7E-2"/>
    <n v="4.1370475212673084E-3"/>
    <n v="7.4494834207911864E-2"/>
    <n v="7.4999999999999997E-2"/>
    <n v="6.7355438945084414E-3"/>
  </r>
  <r>
    <x v="3"/>
    <n v="2.5723333333333334E-2"/>
    <x v="4"/>
    <n v="2"/>
    <n v="2.8"/>
    <n v="2.4"/>
    <n v="0.44776103924959898"/>
    <n v="0.45934661128927368"/>
    <n v="0.45760000000000001"/>
    <n v="3.816895299986166E-3"/>
    <n v="4.7135998677556176E-2"/>
    <n v="4.7300000000000002E-2"/>
    <n v="3.4672584026178761E-3"/>
    <n v="7.4626939579379464E-2"/>
    <n v="7.2700000000000001E-2"/>
    <n v="2.6505358725989869E-2"/>
  </r>
  <r>
    <x v="4"/>
    <n v="2.4363333333333334E-2"/>
    <x v="0"/>
    <n v="5.65"/>
    <n v="6.8"/>
    <n v="6.2249999999999996"/>
    <n v="0.45419363770633936"/>
    <n v="0.76149969397694617"/>
    <n v="0.76090000000000002"/>
    <n v="7.8813770133545451E-4"/>
    <n v="3.093536156355586E-2"/>
    <n v="3.1099999999999999E-2"/>
    <n v="5.2938404001331013E-3"/>
    <n v="6.8311773050385008E-2"/>
    <n v="6.9500000000000006E-2"/>
    <n v="1.709679064194242E-2"/>
  </r>
  <r>
    <x v="4"/>
    <n v="2.7183333333333334E-2"/>
    <x v="1"/>
    <n v="5.05"/>
    <n v="6.2"/>
    <n v="5.625"/>
    <n v="0.44661703053861856"/>
    <n v="0.72640406484764841"/>
    <n v="0.72309999999999997"/>
    <n v="4.5693055561449964E-3"/>
    <n v="3.3797693611119929E-2"/>
    <n v="3.39E-2"/>
    <n v="3.0178875775831986E-3"/>
    <n v="7.3387426653671678E-2"/>
    <n v="7.17E-2"/>
    <n v="2.3534541892213084E-2"/>
  </r>
  <r>
    <x v="4"/>
    <n v="2.7183333333333334E-2"/>
    <x v="2"/>
    <n v="4.05"/>
    <n v="5.0999999999999996"/>
    <n v="4.5749999999999993"/>
    <n v="0.44330126140266657"/>
    <n v="0.64755519449357646"/>
    <n v="0.64449999999999996"/>
    <n v="4.7404103856889005E-3"/>
    <n v="3.7989615153403961E-2"/>
    <n v="3.8100000000000002E-2"/>
    <n v="2.8972400681375686E-3"/>
    <n v="8.1877236521526467E-2"/>
    <n v="8.2400000000000001E-2"/>
    <n v="6.3442169717661907E-3"/>
  </r>
  <r>
    <x v="4"/>
    <n v="2.7183333333333334E-2"/>
    <x v="3"/>
    <n v="3.2"/>
    <n v="4.1500000000000004"/>
    <n v="3.6750000000000003"/>
    <n v="0.43863138649612665"/>
    <n v="0.5679174915197559"/>
    <n v="0.56530000000000002"/>
    <n v="4.6302698032122357E-3"/>
    <n v="4.0649532131038835E-2"/>
    <n v="4.07E-2"/>
    <n v="1.2399967803726141E-3"/>
    <n v="8.6687119263133744E-2"/>
    <n v="8.6999999999999994E-2"/>
    <n v="3.5963303088074722E-3"/>
  </r>
  <r>
    <x v="4"/>
    <n v="2.7183333333333334E-2"/>
    <x v="4"/>
    <n v="2.4500000000000002"/>
    <n v="3.4"/>
    <n v="2.9249999999999998"/>
    <n v="0.43433059472590685"/>
    <n v="0.49048461095628054"/>
    <n v="0.4879"/>
    <n v="5.2974194635797131E-3"/>
    <n v="4.1645341527858114E-2"/>
    <n v="4.1700000000000001E-2"/>
    <n v="1.3107547276231938E-3"/>
    <n v="8.793994014486485E-2"/>
    <n v="8.4400000000000003E-2"/>
    <n v="4.1942418778019519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n v="1.992E-2"/>
    <x v="0"/>
    <n v="3.85"/>
    <n v="4.5999999999999996"/>
    <n v="4.2249999999999996"/>
    <n v="0.5374194448813796"/>
    <n v="0.90794017754007128"/>
    <n v="0.90780000000000005"/>
    <n v="1.5441456275746757E-4"/>
    <n v="4.6220420485950243E-2"/>
    <n v="4.6399999999999997E-2"/>
    <n v="3.8702481476239939E-3"/>
    <n v="1.0978775336062429E-2"/>
    <n v="1.0200000000000001E-2"/>
    <n v="7.6350523143375343E-2"/>
    <n v="-8.788388907437307E-3"/>
    <n v="-1.09E-2"/>
    <n v="0.19372578830850395"/>
  </r>
  <r>
    <x v="0"/>
    <n v="1.992E-2"/>
    <x v="1"/>
    <n v="3.05"/>
    <n v="3.65"/>
    <n v="3.3499999999999996"/>
    <n v="0.51556116435676813"/>
    <n v="0.84929159259667375"/>
    <n v="0.84930000000000005"/>
    <n v="9.8992150315611111E-6"/>
    <n v="6.8238850617193078E-2"/>
    <n v="6.8599999999999994E-2"/>
    <n v="5.2645682624914902E-3"/>
    <n v="1.5549575196081543E-2"/>
    <n v="1.4500000000000001E-2"/>
    <n v="7.2384496281485661E-2"/>
    <n v="-1.2293608995696504E-2"/>
    <n v="-1.4500000000000001E-2"/>
    <n v="0.15216489684851703"/>
  </r>
  <r>
    <x v="0"/>
    <n v="1.992E-2"/>
    <x v="2"/>
    <n v="1.75"/>
    <n v="2.15"/>
    <n v="1.95"/>
    <n v="0.52176357712596655"/>
    <n v="0.65177250262265152"/>
    <n v="0.65169999999999995"/>
    <n v="1.1125153084482317E-4"/>
    <n v="0.10658257630296755"/>
    <n v="0.1075"/>
    <n v="8.5341739258832199E-3"/>
    <n v="2.4579135431584687E-2"/>
    <n v="2.29E-2"/>
    <n v="7.3324691335575828E-2"/>
    <n v="-2.0368594483346471E-2"/>
    <n v="-2.2499999999999999E-2"/>
    <n v="9.4729134073490151E-2"/>
  </r>
  <r>
    <x v="0"/>
    <n v="1.992E-2"/>
    <x v="3"/>
    <n v="0.8"/>
    <n v="1.2"/>
    <n v="1"/>
    <n v="0.52417262922972441"/>
    <n v="0.42621406769324"/>
    <n v="0.42559999999999998"/>
    <n v="1.4428282265977841E-3"/>
    <n v="0.11251703326920084"/>
    <n v="0.1135"/>
    <n v="8.6604998308295947E-3"/>
    <n v="2.6067491590811502E-2"/>
    <n v="2.6100000000000002E-2"/>
    <n v="1.2455329190996013E-3"/>
    <n v="-2.1980028548026744E-2"/>
    <n v="-2.5399999999999999E-2"/>
    <n v="0.13464454535327774"/>
  </r>
  <r>
    <x v="0"/>
    <n v="1.992E-2"/>
    <x v="4"/>
    <n v="0.25"/>
    <n v="0.65"/>
    <n v="0.45"/>
    <n v="0.5235246242955327"/>
    <n v="0.23697346785879758"/>
    <n v="0.2359"/>
    <n v="4.5505208088070506E-3"/>
    <n v="8.8700370378417118E-2"/>
    <n v="8.9099999999999999E-2"/>
    <n v="4.4851809380794718E-3"/>
    <n v="2.0524338890624494E-2"/>
    <n v="2.1499999999999998E-2"/>
    <n v="4.5379586482581599E-2"/>
    <n v="-1.7389722478115377E-2"/>
    <n v="-2.07E-2"/>
    <n v="0.15991678849684168"/>
  </r>
  <r>
    <x v="1"/>
    <n v="2.1174999999999999E-2"/>
    <x v="0"/>
    <n v="4.05"/>
    <n v="4.8499999999999996"/>
    <n v="4.4499999999999993"/>
    <n v="0.48626504372805357"/>
    <n v="0.86126390459012958"/>
    <n v="0.86170000000000002"/>
    <n v="5.0608728080589601E-4"/>
    <n v="4.8384790445601754E-2"/>
    <n v="4.8599999999999997E-2"/>
    <n v="4.4281801316511018E-3"/>
    <n v="2.079785473242771E-2"/>
    <n v="2.0899999999999998E-2"/>
    <n v="4.8873333766645292E-3"/>
    <n v="-7.4197410989486024E-3"/>
    <n v="-8.6999999999999994E-3"/>
    <n v="0.1471561955231491"/>
  </r>
  <r>
    <x v="1"/>
    <n v="2.1174999999999999E-2"/>
    <x v="1"/>
    <n v="3.35"/>
    <n v="4"/>
    <n v="3.6749999999999998"/>
    <n v="0.48520409967750311"/>
    <n v="0.79645032145037697"/>
    <n v="0.79690000000000005"/>
    <n v="5.6428479059239317E-4"/>
    <n v="6.2019975608268885E-2"/>
    <n v="6.2399999999999997E-2"/>
    <n v="6.0901344828703926E-3"/>
    <n v="2.660067630180064E-2"/>
    <n v="2.7400000000000001E-2"/>
    <n v="2.9172397744502209E-2"/>
    <n v="-9.7573921113912505E-3"/>
    <n v="-1.0999999999999999E-2"/>
    <n v="0.11296435350988626"/>
  </r>
  <r>
    <x v="1"/>
    <n v="2.1174999999999999E-2"/>
    <x v="2"/>
    <n v="2.1"/>
    <n v="2.5"/>
    <n v="2.2999999999999998"/>
    <n v="0.46211039181798697"/>
    <n v="0.63891788624115053"/>
    <n v="0.63919999999999999"/>
    <n v="4.4135444125384231E-4"/>
    <n v="8.6197053358653561E-2"/>
    <n v="8.6999999999999994E-2"/>
    <n v="9.2292717396141744E-3"/>
    <n v="3.5210709822420805E-2"/>
    <n v="3.6900000000000002E-2"/>
    <n v="4.5780221614612392E-2"/>
    <n v="-1.2653419499675935E-2"/>
    <n v="-1.38E-2"/>
    <n v="8.3085543501743811E-2"/>
  </r>
  <r>
    <x v="1"/>
    <n v="2.1174999999999999E-2"/>
    <x v="3"/>
    <n v="1.1499999999999999"/>
    <n v="1.55"/>
    <n v="1.35"/>
    <n v="0.46041401568800211"/>
    <n v="0.45750044087314545"/>
    <n v="0.45689999999999997"/>
    <n v="1.3141625588651352E-3"/>
    <n v="9.1636711397315052E-2"/>
    <n v="9.2499999999999999E-2"/>
    <n v="9.3328497587561871E-3"/>
    <n v="3.7295347355893675E-2"/>
    <n v="3.8899999999999997E-2"/>
    <n v="4.1250710645406738E-2"/>
    <n v="-1.3580470309791639E-2"/>
    <n v="-1.43E-2"/>
    <n v="5.0316761553032233E-2"/>
  </r>
  <r>
    <x v="1"/>
    <n v="2.1174999999999999E-2"/>
    <x v="4"/>
    <n v="0.55000000000000004"/>
    <n v="0.95"/>
    <n v="0.75"/>
    <n v="0.46355994883924723"/>
    <n v="0.29886038367324075"/>
    <n v="0.29809999999999998"/>
    <n v="2.550767102451433E-3"/>
    <n v="7.9638266644663475E-2"/>
    <n v="8.0199999999999994E-2"/>
    <n v="7.0041565503306605E-3"/>
    <n v="3.2633550762624579E-2"/>
    <n v="3.2099999999999997E-2"/>
    <n v="1.6621519084877953E-2"/>
    <n v="-1.2077865909206486E-2"/>
    <n v="-1.18E-2"/>
    <n v="2.3547958407329369E-2"/>
  </r>
  <r>
    <x v="2"/>
    <n v="2.1593333333333332E-2"/>
    <x v="0"/>
    <n v="4.75"/>
    <n v="5.6"/>
    <n v="5.1749999999999998"/>
    <n v="0.47503300476819277"/>
    <n v="0.79102558603038464"/>
    <n v="0.79530000000000001"/>
    <n v="5.3745931970518857E-3"/>
    <n v="4.0694241174144261E-2"/>
    <n v="4.1599999999999998E-2"/>
    <n v="2.1773048698455231E-2"/>
    <n v="4.2720209498405978E-2"/>
    <n v="4.1000000000000002E-2"/>
    <n v="4.1956329229414058E-2"/>
    <n v="-5.9002575103599877E-3"/>
    <n v="-6.8999999999999999E-3"/>
    <n v="0.14489021588985684"/>
  </r>
  <r>
    <x v="2"/>
    <n v="2.3976666666666667E-2"/>
    <x v="1"/>
    <n v="4.05"/>
    <n v="4.8499999999999996"/>
    <n v="4.4499999999999993"/>
    <n v="0.45810549054294825"/>
    <n v="0.74495063521700255"/>
    <n v="0.74390000000000001"/>
    <n v="1.4123339387048649E-3"/>
    <n v="4.71567381642891E-2"/>
    <n v="4.7399999999999998E-2"/>
    <n v="5.1321062386265378E-3"/>
    <n v="4.7740381859133776E-2"/>
    <n v="4.9599999999999998E-2"/>
    <n v="3.7492301227141568E-2"/>
    <n v="-6.3555153139784057E-3"/>
    <n v="-8.0999999999999996E-3"/>
    <n v="0.21536847975575235"/>
  </r>
  <r>
    <x v="2"/>
    <n v="2.3976666666666667E-2"/>
    <x v="2"/>
    <n v="3"/>
    <n v="3.55"/>
    <n v="3.2749999999999999"/>
    <n v="0.45288824941962957"/>
    <n v="0.6318878875397107"/>
    <n v="0.63080000000000003"/>
    <n v="1.7246156304861677E-3"/>
    <n v="5.5987404303920935E-2"/>
    <n v="5.6300000000000003E-2"/>
    <n v="5.5523214223635563E-3"/>
    <n v="5.6034825011715111E-2"/>
    <n v="5.7000000000000002E-2"/>
    <n v="1.6932894531313868E-2"/>
    <n v="-7.602486911911675E-3"/>
    <n v="-8.8999999999999999E-3"/>
    <n v="0.14578798742565449"/>
  </r>
  <r>
    <x v="2"/>
    <n v="2.3976666666666667E-2"/>
    <x v="3"/>
    <n v="2.15"/>
    <n v="2.5499999999999998"/>
    <n v="2.3499999999999996"/>
    <n v="0.44975407887250185"/>
    <n v="0.51494138245172705"/>
    <n v="0.51370000000000005"/>
    <n v="2.4165513952248436E-3"/>
    <n v="5.9626855303446608E-2"/>
    <n v="0.06"/>
    <n v="6.2190782758898373E-3"/>
    <n v="5.9264367036789875E-2"/>
    <n v="6.0100000000000001E-2"/>
    <n v="1.3904042649086948E-2"/>
    <n v="-8.1384393839975047E-3"/>
    <n v="-9.1999999999999998E-3"/>
    <n v="0.11538702347853208"/>
  </r>
  <r>
    <x v="2"/>
    <n v="2.3976666666666667E-2"/>
    <x v="4"/>
    <n v="1.45"/>
    <n v="1.85"/>
    <n v="1.65"/>
    <n v="0.44778526294976473"/>
    <n v="0.40494428520171594"/>
    <n v="0.40360000000000001"/>
    <n v="3.3307363768977261E-3"/>
    <n v="5.8221690545861467E-2"/>
    <n v="5.8500000000000003E-2"/>
    <n v="4.7574265664707127E-3"/>
    <n v="5.7614426370751842E-2"/>
    <n v="5.8200000000000002E-2"/>
    <n v="1.0061402564401365E-2"/>
    <n v="-7.9776033586248605E-3"/>
    <n v="-8.8000000000000005E-3"/>
    <n v="9.3454163792629538E-2"/>
  </r>
  <r>
    <x v="3"/>
    <n v="2.3203333333333333E-2"/>
    <x v="0"/>
    <n v="5.25"/>
    <n v="6.25"/>
    <n v="5.75"/>
    <n v="0.46417081262916327"/>
    <n v="0.76970134177979277"/>
    <n v="0.76980000000000004"/>
    <n v="1.2816084724249227E-4"/>
    <n v="3.4814461985280355E-2"/>
    <n v="3.5000000000000003E-2"/>
    <n v="5.3010861348470875E-3"/>
    <n v="5.7139197055863684E-2"/>
    <n v="0.06"/>
    <n v="4.7680049068938558E-2"/>
    <n v="-4.6884597161717598E-3"/>
    <n v="-6.4000000000000003E-3"/>
    <n v="0.26742816934816255"/>
  </r>
  <r>
    <x v="3"/>
    <n v="2.5723333333333334E-2"/>
    <x v="1"/>
    <n v="4.6500000000000004"/>
    <n v="5.6"/>
    <n v="5.125"/>
    <n v="0.45780789572745562"/>
    <n v="0.72912215569189143"/>
    <n v="0.72689999999999999"/>
    <n v="3.0570308046381023E-3"/>
    <n v="3.8471183208630459E-2"/>
    <n v="3.8699999999999998E-2"/>
    <n v="5.9125785883601834E-3"/>
    <n v="6.2275244172566337E-2"/>
    <n v="6.1899999999999997E-2"/>
    <n v="6.0621029493754443E-3"/>
    <n v="-5.0360312441592586E-3"/>
    <n v="-6.4999999999999997E-3"/>
    <n v="0.2252259624370371"/>
  </r>
  <r>
    <x v="3"/>
    <n v="2.5723333333333334E-2"/>
    <x v="2"/>
    <n v="3.6"/>
    <n v="4.5"/>
    <n v="4.05"/>
    <n v="0.45658888760954142"/>
    <n v="0.63875556952147128"/>
    <n v="0.63680000000000003"/>
    <n v="3.0709320374862521E-3"/>
    <n v="4.3626432896335166E-2"/>
    <n v="4.3799999999999999E-2"/>
    <n v="3.9627192617541817E-3"/>
    <n v="7.0432265637050545E-2"/>
    <n v="7.1099999999999997E-2"/>
    <n v="9.3914818980232271E-3"/>
    <n v="-5.8566290217513736E-3"/>
    <n v="-7.1999999999999998E-3"/>
    <n v="0.18657930253453142"/>
  </r>
  <r>
    <x v="3"/>
    <n v="2.5723333333333334E-2"/>
    <x v="3"/>
    <n v="2.7"/>
    <n v="3.55"/>
    <n v="3.125"/>
    <n v="0.4501239350065589"/>
    <n v="0.54703305614806796"/>
    <n v="0.54520000000000002"/>
    <n v="3.362171951702029E-3"/>
    <n v="4.6805558766500437E-2"/>
    <n v="4.7E-2"/>
    <n v="4.1370475212673084E-3"/>
    <n v="7.4494834207911864E-2"/>
    <n v="7.4999999999999997E-2"/>
    <n v="6.7355438945084414E-3"/>
    <n v="-6.2224973968218363E-3"/>
    <n v="-7.4000000000000003E-3"/>
    <n v="0.1591219734024546"/>
  </r>
  <r>
    <x v="3"/>
    <n v="2.5723333333333334E-2"/>
    <x v="4"/>
    <n v="2"/>
    <n v="2.8"/>
    <n v="2.4"/>
    <n v="0.44776103924959898"/>
    <n v="0.45934661128927368"/>
    <n v="0.45760000000000001"/>
    <n v="3.816895299986166E-3"/>
    <n v="4.7135998677556176E-2"/>
    <n v="4.7300000000000002E-2"/>
    <n v="3.4672584026178761E-3"/>
    <n v="7.4626939579379464E-2"/>
    <n v="7.2700000000000001E-2"/>
    <n v="2.6505358725989869E-2"/>
    <n v="-6.2897066460378933E-3"/>
    <n v="-7.1000000000000004E-3"/>
    <n v="0.11412582450170522"/>
  </r>
  <r>
    <x v="4"/>
    <n v="2.4363333333333334E-2"/>
    <x v="0"/>
    <n v="5.65"/>
    <n v="6.8"/>
    <n v="6.2249999999999996"/>
    <n v="0.45419363770633936"/>
    <n v="0.76149969397694617"/>
    <n v="0.76090000000000002"/>
    <n v="7.8813770133545451E-4"/>
    <n v="3.093536156355586E-2"/>
    <n v="3.1099999999999999E-2"/>
    <n v="5.2938404001331013E-3"/>
    <n v="6.8311773050385008E-2"/>
    <n v="6.9500000000000006E-2"/>
    <n v="1.709679064194242E-2"/>
    <n v="-3.881542904956372E-3"/>
    <n v="-5.4000000000000003E-3"/>
    <n v="0.28119575834141264"/>
  </r>
  <r>
    <x v="4"/>
    <n v="2.7183333333333334E-2"/>
    <x v="1"/>
    <n v="5.05"/>
    <n v="6.2"/>
    <n v="5.625"/>
    <n v="0.44661703053861856"/>
    <n v="0.72640406484764841"/>
    <n v="0.72309999999999997"/>
    <n v="4.5693055561449964E-3"/>
    <n v="3.3797693611119929E-2"/>
    <n v="3.39E-2"/>
    <n v="3.0178875775831986E-3"/>
    <n v="7.3387426653671678E-2"/>
    <n v="7.17E-2"/>
    <n v="2.3534541892213084E-2"/>
    <n v="-4.0710680146550824E-3"/>
    <n v="-5.4999999999999997E-3"/>
    <n v="0.25980581551725768"/>
  </r>
  <r>
    <x v="4"/>
    <n v="2.7183333333333334E-2"/>
    <x v="2"/>
    <n v="4.05"/>
    <n v="5.0999999999999996"/>
    <n v="4.5749999999999993"/>
    <n v="0.44330126140266657"/>
    <n v="0.64755519449357646"/>
    <n v="0.64449999999999996"/>
    <n v="4.7404103856889005E-3"/>
    <n v="3.7989615153403961E-2"/>
    <n v="3.8100000000000002E-2"/>
    <n v="2.8972400681375686E-3"/>
    <n v="8.1877236521526467E-2"/>
    <n v="8.2400000000000001E-2"/>
    <n v="6.3442169717661907E-3"/>
    <n v="-4.6541659733622875E-3"/>
    <n v="-6.1000000000000004E-3"/>
    <n v="0.23702197157995292"/>
  </r>
  <r>
    <x v="4"/>
    <n v="2.7183333333333334E-2"/>
    <x v="3"/>
    <n v="3.2"/>
    <n v="4.1500000000000004"/>
    <n v="3.6750000000000003"/>
    <n v="0.43863138649612665"/>
    <n v="0.5679174915197559"/>
    <n v="0.56530000000000002"/>
    <n v="4.6302698032122357E-3"/>
    <n v="4.0649532131038835E-2"/>
    <n v="4.07E-2"/>
    <n v="1.2399967803726141E-3"/>
    <n v="8.6687119263133744E-2"/>
    <n v="8.6999999999999994E-2"/>
    <n v="3.5963303088074722E-3"/>
    <n v="-4.9818730357543538E-3"/>
    <n v="-6.3E-3"/>
    <n v="0.20922650226121367"/>
  </r>
  <r>
    <x v="4"/>
    <n v="2.7183333333333334E-2"/>
    <x v="4"/>
    <n v="2.4500000000000002"/>
    <n v="3.4"/>
    <n v="2.9249999999999998"/>
    <n v="0.43433059472590685"/>
    <n v="0.49048461095628054"/>
    <n v="0.4879"/>
    <n v="5.2974194635797131E-3"/>
    <n v="4.1645341527858114E-2"/>
    <n v="4.1700000000000001E-2"/>
    <n v="1.3107547276231938E-3"/>
    <n v="8.793994014486485E-2"/>
    <n v="8.4400000000000003E-2"/>
    <n v="4.1942418778019519E-2"/>
    <n v="-5.0844276642535982E-3"/>
    <n v="-6.0000000000000001E-3"/>
    <n v="0.15259538929106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n v="1.992E-2"/>
    <x v="0"/>
    <n v="3.85"/>
    <n v="4.5999999999999996"/>
    <n v="4.2249999999999996"/>
    <n v="0.5374194448813796"/>
    <n v="0.90794017754007128"/>
    <n v="0.90780000000000005"/>
    <n v="1.5441456275746757E-4"/>
    <n v="4.6220420485950243E-2"/>
    <n v="4.6399999999999997E-2"/>
    <n v="3.8702481476239939E-3"/>
    <n v="1.0978775336062429E-2"/>
    <n v="1.0200000000000001E-2"/>
    <n v="7.6350523143375343E-2"/>
    <n v="-8.788388907437307E-3"/>
    <n v="-1.09E-2"/>
    <n v="0.19372578830850395"/>
    <n v="1.3904051904945404E-2"/>
    <n v="1.3100000000000001E-2"/>
    <n v="6.1378008011099494E-2"/>
  </r>
  <r>
    <x v="0"/>
    <n v="1.992E-2"/>
    <x v="1"/>
    <n v="3.05"/>
    <n v="3.65"/>
    <n v="3.3499999999999996"/>
    <n v="0.51556116435676813"/>
    <n v="0.84929159259667375"/>
    <n v="0.84930000000000005"/>
    <n v="9.8992150315611111E-6"/>
    <n v="6.8238850617193078E-2"/>
    <n v="6.8599999999999994E-2"/>
    <n v="5.2645682624914902E-3"/>
    <n v="1.5549575196081543E-2"/>
    <n v="1.4500000000000001E-2"/>
    <n v="7.2384496281485661E-2"/>
    <n v="-1.2293608995696504E-2"/>
    <n v="-1.4500000000000001E-2"/>
    <n v="0.15216489684851703"/>
    <n v="1.3507654475306628E-2"/>
    <n v="1.2699999999999999E-2"/>
    <n v="6.3594840575325107E-2"/>
  </r>
  <r>
    <x v="0"/>
    <n v="1.992E-2"/>
    <x v="2"/>
    <n v="1.75"/>
    <n v="2.15"/>
    <n v="1.95"/>
    <n v="0.52176357712596655"/>
    <n v="0.65177250262265152"/>
    <n v="0.65169999999999995"/>
    <n v="1.1125153084482317E-4"/>
    <n v="0.10658257630296755"/>
    <n v="0.1075"/>
    <n v="8.5341739258832199E-3"/>
    <n v="2.4579135431584687E-2"/>
    <n v="2.29E-2"/>
    <n v="7.3324691335575828E-2"/>
    <n v="-2.0368594483346471E-2"/>
    <n v="-2.2499999999999999E-2"/>
    <n v="9.4729134073490151E-2"/>
    <n v="1.0883600604370288E-2"/>
    <n v="1.0200000000000001E-2"/>
    <n v="6.7019667095126231E-2"/>
  </r>
  <r>
    <x v="0"/>
    <n v="1.992E-2"/>
    <x v="3"/>
    <n v="0.8"/>
    <n v="1.2"/>
    <n v="1"/>
    <n v="0.52417262922972441"/>
    <n v="0.42621406769324"/>
    <n v="0.42559999999999998"/>
    <n v="1.4428282265977841E-3"/>
    <n v="0.11251703326920084"/>
    <n v="0.1135"/>
    <n v="8.6604998308295947E-3"/>
    <n v="2.6067491590811502E-2"/>
    <n v="2.6100000000000002E-2"/>
    <n v="1.2455329190996013E-3"/>
    <n v="-2.1980028548026744E-2"/>
    <n v="-2.5399999999999999E-2"/>
    <n v="0.13464454535327774"/>
    <n v="7.3464249798308448E-3"/>
    <n v="6.8999999999999999E-3"/>
    <n v="6.4699272439252886E-2"/>
  </r>
  <r>
    <x v="0"/>
    <n v="1.992E-2"/>
    <x v="4"/>
    <n v="0.25"/>
    <n v="0.65"/>
    <n v="0.45"/>
    <n v="0.5235246242955327"/>
    <n v="0.23697346785879758"/>
    <n v="0.2359"/>
    <n v="4.5505208088070506E-3"/>
    <n v="8.8700370378417118E-2"/>
    <n v="8.9099999999999999E-2"/>
    <n v="4.4851809380794718E-3"/>
    <n v="2.0524338890624494E-2"/>
    <n v="2.1499999999999998E-2"/>
    <n v="4.5379586482581599E-2"/>
    <n v="-1.7389722478115377E-2"/>
    <n v="-2.07E-2"/>
    <n v="0.15991678849684168"/>
    <n v="4.1729158076018865E-3"/>
    <n v="3.8999999999999998E-3"/>
    <n v="6.9978412205611976E-2"/>
  </r>
  <r>
    <x v="1"/>
    <n v="2.1174999999999999E-2"/>
    <x v="0"/>
    <n v="4.05"/>
    <n v="4.8499999999999996"/>
    <n v="4.4499999999999993"/>
    <n v="0.48626504372805357"/>
    <n v="0.86126390459012958"/>
    <n v="0.86170000000000002"/>
    <n v="5.0608728080589601E-4"/>
    <n v="4.8384790445601754E-2"/>
    <n v="4.8599999999999997E-2"/>
    <n v="4.4281801316511018E-3"/>
    <n v="2.079785473242771E-2"/>
    <n v="2.0899999999999998E-2"/>
    <n v="4.8873333766645292E-3"/>
    <n v="-7.4197410989486024E-3"/>
    <n v="-8.6999999999999994E-3"/>
    <n v="0.1471561955231491"/>
    <n v="2.5641512881374229E-2"/>
    <n v="2.6800000000000001E-2"/>
    <n v="4.3227131292006421E-2"/>
  </r>
  <r>
    <x v="1"/>
    <n v="2.1174999999999999E-2"/>
    <x v="1"/>
    <n v="3.35"/>
    <n v="4"/>
    <n v="3.6749999999999998"/>
    <n v="0.48520409967750311"/>
    <n v="0.79645032145037697"/>
    <n v="0.79690000000000005"/>
    <n v="5.6428479059239317E-4"/>
    <n v="6.2019975608268885E-2"/>
    <n v="6.2399999999999997E-2"/>
    <n v="6.0901344828703926E-3"/>
    <n v="2.660067630180064E-2"/>
    <n v="2.7400000000000001E-2"/>
    <n v="2.9172397744502209E-2"/>
    <n v="-9.7573921113912505E-3"/>
    <n v="-1.0999999999999999E-2"/>
    <n v="0.11296435350988626"/>
    <n v="2.4445418188945727E-2"/>
    <n v="2.5600000000000001E-2"/>
    <n v="4.5100851994307578E-2"/>
  </r>
  <r>
    <x v="1"/>
    <n v="2.1174999999999999E-2"/>
    <x v="2"/>
    <n v="2.1"/>
    <n v="2.5"/>
    <n v="2.2999999999999998"/>
    <n v="0.46211039181798697"/>
    <n v="0.63891788624115053"/>
    <n v="0.63919999999999999"/>
    <n v="4.4135444125384231E-4"/>
    <n v="8.6197053358653561E-2"/>
    <n v="8.6999999999999994E-2"/>
    <n v="9.2292717396141744E-3"/>
    <n v="3.5210709822420805E-2"/>
    <n v="3.6900000000000002E-2"/>
    <n v="4.5780221614612392E-2"/>
    <n v="-1.2653419499675935E-2"/>
    <n v="-1.38E-2"/>
    <n v="8.3085543501743811E-2"/>
    <n v="2.0690464878927846E-2"/>
    <n v="2.1700000000000001E-2"/>
    <n v="4.6522355809776712E-2"/>
  </r>
  <r>
    <x v="1"/>
    <n v="2.1174999999999999E-2"/>
    <x v="3"/>
    <n v="1.1499999999999999"/>
    <n v="1.55"/>
    <n v="1.35"/>
    <n v="0.46041401568800211"/>
    <n v="0.45750044087314545"/>
    <n v="0.45689999999999997"/>
    <n v="1.3141625588651352E-3"/>
    <n v="9.1636711397315052E-2"/>
    <n v="9.2499999999999999E-2"/>
    <n v="9.3328497587561871E-3"/>
    <n v="3.7295347355893675E-2"/>
    <n v="3.8899999999999997E-2"/>
    <n v="4.1250710645406738E-2"/>
    <n v="-1.3580470309791639E-2"/>
    <n v="-1.43E-2"/>
    <n v="5.0316761553032233E-2"/>
    <n v="1.5310391948668026E-2"/>
    <n v="1.6E-2"/>
    <n v="4.3100503208248417E-2"/>
  </r>
  <r>
    <x v="1"/>
    <n v="2.1174999999999999E-2"/>
    <x v="4"/>
    <n v="0.55000000000000004"/>
    <n v="0.95"/>
    <n v="0.75"/>
    <n v="0.46355994883924723"/>
    <n v="0.29886038367324075"/>
    <n v="0.29809999999999998"/>
    <n v="2.550767102451433E-3"/>
    <n v="7.9638266644663475E-2"/>
    <n v="8.0199999999999994E-2"/>
    <n v="7.0041565503306605E-3"/>
    <n v="3.2633550762624579E-2"/>
    <n v="3.2099999999999997E-2"/>
    <n v="1.6621519084877953E-2"/>
    <n v="-1.2077865909206486E-2"/>
    <n v="-1.18E-2"/>
    <n v="2.3547958407329369E-2"/>
    <n v="1.0221257751216026E-2"/>
    <n v="1.0699999999999999E-2"/>
    <n v="4.4742266241492835E-2"/>
  </r>
  <r>
    <x v="2"/>
    <n v="2.1593333333333332E-2"/>
    <x v="0"/>
    <n v="4.75"/>
    <n v="5.6"/>
    <n v="5.1749999999999998"/>
    <n v="0.47503300476819277"/>
    <n v="0.79102558603038464"/>
    <n v="0.79530000000000001"/>
    <n v="5.3745931970518857E-3"/>
    <n v="4.0694241174144261E-2"/>
    <n v="4.1599999999999998E-2"/>
    <n v="2.1773048698455231E-2"/>
    <n v="4.2720209498405978E-2"/>
    <n v="4.1000000000000002E-2"/>
    <n v="4.1956329229414058E-2"/>
    <n v="-5.9002575103599877E-3"/>
    <n v="-6.8999999999999999E-3"/>
    <n v="0.14489021588985684"/>
    <n v="5.43429967970714E-2"/>
    <n v="5.5899999999999998E-2"/>
    <n v="2.7853366778686921E-2"/>
  </r>
  <r>
    <x v="2"/>
    <n v="2.3976666666666667E-2"/>
    <x v="1"/>
    <n v="4.05"/>
    <n v="4.8499999999999996"/>
    <n v="4.4499999999999993"/>
    <n v="0.45810549054294825"/>
    <n v="0.74495063521700255"/>
    <n v="0.74390000000000001"/>
    <n v="1.4123339387048649E-3"/>
    <n v="4.71567381642891E-2"/>
    <n v="4.7399999999999998E-2"/>
    <n v="5.1321062386265378E-3"/>
    <n v="4.7740381859133776E-2"/>
    <n v="4.9599999999999998E-2"/>
    <n v="3.7492301227141568E-2"/>
    <n v="-6.3555153139784057E-3"/>
    <n v="-8.0999999999999996E-3"/>
    <n v="0.21536847975575235"/>
    <n v="5.2942554642051207E-2"/>
    <n v="5.3699999999999998E-2"/>
    <n v="1.4105127708543596E-2"/>
  </r>
  <r>
    <x v="2"/>
    <n v="2.3976666666666667E-2"/>
    <x v="2"/>
    <n v="3"/>
    <n v="3.55"/>
    <n v="3.2749999999999999"/>
    <n v="0.45288824941962957"/>
    <n v="0.6318878875397107"/>
    <n v="0.63080000000000003"/>
    <n v="1.7246156304861677E-3"/>
    <n v="5.5987404303920935E-2"/>
    <n v="5.6300000000000003E-2"/>
    <n v="5.5523214223635563E-3"/>
    <n v="5.6034825011715111E-2"/>
    <n v="5.7000000000000002E-2"/>
    <n v="1.6932894531313868E-2"/>
    <n v="-7.602486911911675E-3"/>
    <n v="-8.8999999999999999E-3"/>
    <n v="0.14578798742565449"/>
    <n v="4.6989075122193399E-2"/>
    <n v="4.7699999999999999E-2"/>
    <n v="1.4904085488607964E-2"/>
  </r>
  <r>
    <x v="2"/>
    <n v="2.3976666666666667E-2"/>
    <x v="3"/>
    <n v="2.15"/>
    <n v="2.5499999999999998"/>
    <n v="2.3499999999999996"/>
    <n v="0.44975407887250185"/>
    <n v="0.51494138245172705"/>
    <n v="0.51370000000000005"/>
    <n v="2.4165513952248436E-3"/>
    <n v="5.9626855303446608E-2"/>
    <n v="0.06"/>
    <n v="6.2190782758898373E-3"/>
    <n v="5.9264367036789875E-2"/>
    <n v="6.0100000000000001E-2"/>
    <n v="1.3904042649086948E-2"/>
    <n v="-8.1384393839975047E-3"/>
    <n v="-9.1999999999999998E-3"/>
    <n v="0.11538702347853208"/>
    <n v="3.9621250109847427E-2"/>
    <n v="4.02E-2"/>
    <n v="1.4396763436631172E-2"/>
  </r>
  <r>
    <x v="2"/>
    <n v="2.3976666666666667E-2"/>
    <x v="4"/>
    <n v="1.45"/>
    <n v="1.85"/>
    <n v="1.65"/>
    <n v="0.44778526294976473"/>
    <n v="0.40494428520171594"/>
    <n v="0.40360000000000001"/>
    <n v="3.3307363768977261E-3"/>
    <n v="5.8221690545861467E-2"/>
    <n v="5.8500000000000003E-2"/>
    <n v="4.7574265664707127E-3"/>
    <n v="5.7614426370751842E-2"/>
    <n v="5.8200000000000002E-2"/>
    <n v="1.0061402564401365E-2"/>
    <n v="-7.9776033586248605E-3"/>
    <n v="-8.8000000000000005E-3"/>
    <n v="9.3454163792629538E-2"/>
    <n v="3.1982778666266289E-2"/>
    <n v="3.2399999999999998E-2"/>
    <n v="1.2877201658447831E-2"/>
  </r>
  <r>
    <x v="3"/>
    <n v="2.3203333333333333E-2"/>
    <x v="0"/>
    <n v="5.25"/>
    <n v="6.25"/>
    <n v="5.75"/>
    <n v="0.46417081262916327"/>
    <n v="0.76970134177979277"/>
    <n v="0.76980000000000004"/>
    <n v="1.2816084724249227E-4"/>
    <n v="3.4814461985280355E-2"/>
    <n v="3.5000000000000003E-2"/>
    <n v="5.3010861348470875E-3"/>
    <n v="5.7139197055863684E-2"/>
    <n v="0.06"/>
    <n v="4.7680049068938558E-2"/>
    <n v="-4.6884597161717598E-3"/>
    <n v="-6.4000000000000003E-3"/>
    <n v="0.26742816934816255"/>
    <n v="7.9841479206196775E-2"/>
    <n v="8.0600000000000005E-2"/>
    <n v="9.4109279628192318E-3"/>
  </r>
  <r>
    <x v="3"/>
    <n v="2.5723333333333334E-2"/>
    <x v="1"/>
    <n v="4.6500000000000004"/>
    <n v="5.6"/>
    <n v="5.125"/>
    <n v="0.45780789572745562"/>
    <n v="0.72912215569189143"/>
    <n v="0.72689999999999999"/>
    <n v="3.0570308046381023E-3"/>
    <n v="3.8471183208630459E-2"/>
    <n v="3.8699999999999998E-2"/>
    <n v="5.9125785883601834E-3"/>
    <n v="6.2275244172566337E-2"/>
    <n v="6.1899999999999997E-2"/>
    <n v="6.0621029493754443E-3"/>
    <n v="-5.0360312441592586E-3"/>
    <n v="-6.4999999999999997E-3"/>
    <n v="0.2252259624370371"/>
    <n v="7.7777888473131329E-2"/>
    <n v="7.8200000000000006E-2"/>
    <n v="5.3978456121314125E-3"/>
  </r>
  <r>
    <x v="3"/>
    <n v="2.5723333333333334E-2"/>
    <x v="2"/>
    <n v="3.6"/>
    <n v="4.5"/>
    <n v="4.05"/>
    <n v="0.45658888760954142"/>
    <n v="0.63875556952147128"/>
    <n v="0.63680000000000003"/>
    <n v="3.0709320374862521E-3"/>
    <n v="4.3626432896335166E-2"/>
    <n v="4.3799999999999999E-2"/>
    <n v="3.9627192617541817E-3"/>
    <n v="7.0432265637050545E-2"/>
    <n v="7.1099999999999997E-2"/>
    <n v="9.3914818980232271E-3"/>
    <n v="-5.8566290217513736E-3"/>
    <n v="-7.1999999999999998E-3"/>
    <n v="0.18657930253453142"/>
    <n v="7.1070271734818224E-2"/>
    <n v="7.1400000000000005E-2"/>
    <n v="4.6180429297168158E-3"/>
  </r>
  <r>
    <x v="3"/>
    <n v="2.5723333333333334E-2"/>
    <x v="3"/>
    <n v="2.7"/>
    <n v="3.55"/>
    <n v="3.125"/>
    <n v="0.4501239350065589"/>
    <n v="0.54703305614806796"/>
    <n v="0.54520000000000002"/>
    <n v="3.362171951702029E-3"/>
    <n v="4.6805558766500437E-2"/>
    <n v="4.7E-2"/>
    <n v="4.1370475212673084E-3"/>
    <n v="7.4494834207911864E-2"/>
    <n v="7.4999999999999997E-2"/>
    <n v="6.7355438945084414E-3"/>
    <n v="-6.2224973968218363E-3"/>
    <n v="-7.4000000000000003E-3"/>
    <n v="0.1591219734024546"/>
    <n v="6.3154475446291963E-2"/>
    <n v="6.3500000000000001E-2"/>
    <n v="5.4413315544572845E-3"/>
  </r>
  <r>
    <x v="3"/>
    <n v="2.5723333333333334E-2"/>
    <x v="4"/>
    <n v="2"/>
    <n v="2.8"/>
    <n v="2.4"/>
    <n v="0.44776103924959898"/>
    <n v="0.45934661128927368"/>
    <n v="0.45760000000000001"/>
    <n v="3.816895299986166E-3"/>
    <n v="4.7135998677556176E-2"/>
    <n v="4.7300000000000002E-2"/>
    <n v="3.4672584026178761E-3"/>
    <n v="7.4626939579379464E-2"/>
    <n v="7.2700000000000001E-2"/>
    <n v="2.6505358725989869E-2"/>
    <n v="-6.2897066460378933E-3"/>
    <n v="-7.1000000000000004E-3"/>
    <n v="0.11412582450170522"/>
    <n v="5.4525016418858797E-2"/>
    <n v="5.4800000000000001E-2"/>
    <n v="5.0179485609708769E-3"/>
  </r>
  <r>
    <x v="4"/>
    <n v="2.4363333333333334E-2"/>
    <x v="0"/>
    <n v="5.65"/>
    <n v="6.8"/>
    <n v="6.2249999999999996"/>
    <n v="0.45419363770633936"/>
    <n v="0.76149969397694617"/>
    <n v="0.76090000000000002"/>
    <n v="7.8813770133545451E-4"/>
    <n v="3.093536156355586E-2"/>
    <n v="3.1099999999999999E-2"/>
    <n v="5.2938404001331013E-3"/>
    <n v="6.8311773050385008E-2"/>
    <n v="6.9500000000000006E-2"/>
    <n v="1.709679064194242E-2"/>
    <n v="-3.881542904956372E-3"/>
    <n v="-5.4000000000000003E-3"/>
    <n v="0.28119575834141264"/>
    <n v="0.10369643099448318"/>
    <n v="0.1042"/>
    <n v="4.8327159838466261E-3"/>
  </r>
  <r>
    <x v="4"/>
    <n v="2.7183333333333334E-2"/>
    <x v="1"/>
    <n v="5.05"/>
    <n v="6.2"/>
    <n v="5.625"/>
    <n v="0.44661703053861856"/>
    <n v="0.72640406484764841"/>
    <n v="0.72309999999999997"/>
    <n v="4.5693055561449964E-3"/>
    <n v="3.3797693611119929E-2"/>
    <n v="3.39E-2"/>
    <n v="3.0178875775831986E-3"/>
    <n v="7.3387426653671678E-2"/>
    <n v="7.17E-2"/>
    <n v="2.3534541892213084E-2"/>
    <n v="-4.0710680146550824E-3"/>
    <n v="-5.4999999999999997E-3"/>
    <n v="0.25980581551725768"/>
    <n v="0.10178745137093664"/>
    <n v="0.1017"/>
    <n v="8.5989548610270199E-4"/>
  </r>
  <r>
    <x v="4"/>
    <n v="2.7183333333333334E-2"/>
    <x v="2"/>
    <n v="4.05"/>
    <n v="5.0999999999999996"/>
    <n v="4.5749999999999993"/>
    <n v="0.44330126140266657"/>
    <n v="0.64755519449357646"/>
    <n v="0.64449999999999996"/>
    <n v="4.7404103856889005E-3"/>
    <n v="3.7989615153403961E-2"/>
    <n v="3.8100000000000002E-2"/>
    <n v="2.8972400681375686E-3"/>
    <n v="8.1877236521526467E-2"/>
    <n v="8.2400000000000001E-2"/>
    <n v="6.3442169717661907E-3"/>
    <n v="-4.6541659733622875E-3"/>
    <n v="-6.1000000000000004E-3"/>
    <n v="0.23702197157995292"/>
    <n v="9.47667981313524E-2"/>
    <n v="9.4700000000000006E-2"/>
    <n v="7.0536569537902954E-4"/>
  </r>
  <r>
    <x v="4"/>
    <n v="2.7183333333333334E-2"/>
    <x v="3"/>
    <n v="3.2"/>
    <n v="4.1500000000000004"/>
    <n v="3.6750000000000003"/>
    <n v="0.43863138649612665"/>
    <n v="0.5679174915197559"/>
    <n v="0.56530000000000002"/>
    <n v="4.6302698032122357E-3"/>
    <n v="4.0649532131038835E-2"/>
    <n v="4.07E-2"/>
    <n v="1.2399967803726141E-3"/>
    <n v="8.6687119263133744E-2"/>
    <n v="8.6999999999999994E-2"/>
    <n v="3.5963303088074722E-3"/>
    <n v="-4.9818730357543538E-3"/>
    <n v="-6.3E-3"/>
    <n v="0.20922650226121367"/>
    <n v="8.620461525727581E-2"/>
    <n v="8.6199999999999999E-2"/>
    <n v="5.3541267700826527E-5"/>
  </r>
  <r>
    <x v="4"/>
    <n v="2.7183333333333334E-2"/>
    <x v="4"/>
    <n v="2.4500000000000002"/>
    <n v="3.4"/>
    <n v="2.9249999999999998"/>
    <n v="0.43433059472590685"/>
    <n v="0.49048461095628054"/>
    <n v="0.4879"/>
    <n v="5.2974194635797131E-3"/>
    <n v="4.1645341527858114E-2"/>
    <n v="4.1700000000000001E-2"/>
    <n v="1.3107547276231938E-3"/>
    <n v="8.793994014486485E-2"/>
    <n v="8.4400000000000003E-2"/>
    <n v="4.1942418778019519E-2"/>
    <n v="-5.0844276642535982E-3"/>
    <n v="-6.0000000000000001E-3"/>
    <n v="0.152595389291067"/>
    <n v="7.6732888718261283E-2"/>
    <n v="7.6700000000000004E-2"/>
    <n v="4.2879684825656574E-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n v="1.992E-2"/>
    <x v="0"/>
    <n v="3.85"/>
    <n v="4.5999999999999996"/>
    <n v="4.2249999999999996"/>
    <n v="0.5374194448813796"/>
    <n v="0.90794017754007128"/>
    <n v="0.90780000000000005"/>
    <n v="1.5441456275746757E-4"/>
    <n v="4.6220420485950243E-2"/>
    <n v="4.6399999999999997E-2"/>
    <n v="3.8702481476239939E-3"/>
    <n v="1.0978775336062429E-2"/>
    <n v="1.0200000000000001E-2"/>
    <n v="7.6350523143375343E-2"/>
    <n v="-8.788388907437307E-3"/>
    <n v="-1.09E-2"/>
    <n v="0.19372578830850395"/>
    <n v="1.3904051904945404E-2"/>
    <n v="1.3100000000000001E-2"/>
    <n v="6.1378008011099494E-2"/>
    <n v="0.02"/>
    <n v="0.37"/>
    <n v="0.19500000000000001"/>
    <n v="0.56504502426832914"/>
    <n v="-0.10186058135447307"/>
    <n v="-0.14219999999999999"/>
    <n v="0.28368086248612467"/>
    <n v="4.735038608793022E-2"/>
    <n v="4.9099999999999998E-2"/>
    <n v="3.563368456353927E-2"/>
    <n v="1.1825328372817596E-2"/>
    <n v="1.4200000000000001E-2"/>
    <n v="0.16723039628045105"/>
    <n v="-1.1122519151164811E-2"/>
    <n v="-1.7600000000000001E-2"/>
    <n v="0.3680386845929085"/>
    <n v="-2.1173743195845099E-3"/>
    <n v="-2.8999999999999998E-3"/>
    <n v="0.26987092428120346"/>
  </r>
  <r>
    <x v="0"/>
    <n v="1.992E-2"/>
    <x v="1"/>
    <n v="3.05"/>
    <n v="3.65"/>
    <n v="3.3499999999999996"/>
    <n v="0.51556116435676813"/>
    <n v="0.84929159259667375"/>
    <n v="0.84930000000000005"/>
    <n v="9.8992150315611111E-6"/>
    <n v="6.8238850617193078E-2"/>
    <n v="6.8599999999999994E-2"/>
    <n v="5.2645682624914902E-3"/>
    <n v="1.5549575196081543E-2"/>
    <n v="1.4500000000000001E-2"/>
    <n v="7.2384496281485661E-2"/>
    <n v="-1.2293608995696504E-2"/>
    <n v="-1.4500000000000001E-2"/>
    <n v="0.15216489684851703"/>
    <n v="1.3507654475306628E-2"/>
    <n v="1.2699999999999999E-2"/>
    <n v="6.3594840575325107E-2"/>
    <n v="0.11"/>
    <n v="0.5"/>
    <n v="0.30499999999999999"/>
    <n v="0.52713112439960241"/>
    <n v="-0.15528633101111045"/>
    <n v="-0.1547"/>
    <n v="3.7901164260532734E-3"/>
    <n v="6.8078323778180516E-2"/>
    <n v="6.8500000000000005E-2"/>
    <n v="6.1558572528392572E-3"/>
    <n v="1.5861130696574337E-2"/>
    <n v="1.46E-2"/>
    <n v="8.6378814833858716E-2"/>
    <n v="-1.3955758300047102E-2"/>
    <n v="-1.37E-2"/>
    <n v="1.8668489054532975E-2"/>
    <n v="-3.2343701688680965E-3"/>
    <n v="-3.0000000000000001E-3"/>
    <n v="7.8123389622698797E-2"/>
  </r>
  <r>
    <x v="0"/>
    <n v="1.992E-2"/>
    <x v="2"/>
    <n v="1.75"/>
    <n v="2.15"/>
    <n v="1.95"/>
    <n v="0.52176357712596655"/>
    <n v="0.65177250262265152"/>
    <n v="0.65169999999999995"/>
    <n v="1.1125153084482317E-4"/>
    <n v="0.10658257630296755"/>
    <n v="0.1075"/>
    <n v="8.5341739258832199E-3"/>
    <n v="2.4579135431584687E-2"/>
    <n v="2.29E-2"/>
    <n v="7.3324691335575828E-2"/>
    <n v="-2.0368594483346471E-2"/>
    <n v="-2.2499999999999999E-2"/>
    <n v="9.4729134073490151E-2"/>
    <n v="1.0883600604370288E-2"/>
    <n v="1.0200000000000001E-2"/>
    <n v="6.7019667095126231E-2"/>
    <n v="0.7"/>
    <n v="1.1000000000000001"/>
    <n v="0.9"/>
    <n v="0.52846841979771852"/>
    <n v="-0.34934698075418547"/>
    <n v="-0.3493"/>
    <n v="1.3449972569558002E-4"/>
    <n v="0.10535415120334249"/>
    <n v="0.1065"/>
    <n v="1.0759143630586937E-2"/>
    <n v="2.4608056896283922E-2"/>
    <n v="2.29E-2"/>
    <n v="7.4587637392310988E-2"/>
    <n v="-2.1865594924960381E-2"/>
    <n v="-2.1600000000000001E-2"/>
    <n v="1.2296061340758335E-2"/>
    <n v="-7.4545507968386228E-3"/>
    <n v="-7.0000000000000001E-3"/>
    <n v="6.4935828119803224E-2"/>
  </r>
  <r>
    <x v="0"/>
    <n v="1.992E-2"/>
    <x v="3"/>
    <n v="0.8"/>
    <n v="1.2"/>
    <n v="1"/>
    <n v="0.52417262922972441"/>
    <n v="0.42621406769324"/>
    <n v="0.42559999999999998"/>
    <n v="1.4428282265977841E-3"/>
    <n v="0.11251703326920084"/>
    <n v="0.1135"/>
    <n v="8.6604998308295947E-3"/>
    <n v="2.6067491590811502E-2"/>
    <n v="2.6100000000000002E-2"/>
    <n v="1.2455329190996013E-3"/>
    <n v="-2.1980028548026744E-2"/>
    <n v="-2.5399999999999999E-2"/>
    <n v="0.13464454535327774"/>
    <n v="7.3464249798308448E-3"/>
    <n v="6.8999999999999999E-3"/>
    <n v="6.4699272439252886E-2"/>
    <n v="1.7"/>
    <n v="2.1"/>
    <n v="1.9"/>
    <n v="0.51258174236863852"/>
    <n v="-0.57675994788985019"/>
    <n v="-0.57769999999999999"/>
    <n v="1.627232318071322E-3"/>
    <n v="0.11489569727137183"/>
    <n v="0.11609999999999999"/>
    <n v="1.037297785209442E-2"/>
    <n v="2.6029961633323797E-2"/>
    <n v="2.6100000000000002E-2"/>
    <n v="2.6834623247588016E-3"/>
    <n v="-2.2761454416937266E-2"/>
    <n v="-2.35E-2"/>
    <n v="3.1427471619690797E-2"/>
    <n v="-1.2652318001311369E-2"/>
    <n v="-1.1900000000000001E-2"/>
    <n v="6.3220000110198973E-2"/>
  </r>
  <r>
    <x v="0"/>
    <n v="1.992E-2"/>
    <x v="4"/>
    <n v="0.25"/>
    <n v="0.65"/>
    <n v="0.45"/>
    <n v="0.5235246242955327"/>
    <n v="0.23697346785879758"/>
    <n v="0.2359"/>
    <n v="4.5505208088070506E-3"/>
    <n v="8.8700370378417118E-2"/>
    <n v="8.9099999999999999E-2"/>
    <n v="4.4851809380794718E-3"/>
    <n v="2.0524338890624494E-2"/>
    <n v="2.1499999999999998E-2"/>
    <n v="4.5379586482581599E-2"/>
    <n v="-1.7389722478115377E-2"/>
    <n v="-2.07E-2"/>
    <n v="0.15991678849684168"/>
    <n v="4.1729158076018865E-3"/>
    <n v="3.8999999999999998E-3"/>
    <n v="6.9978412205611976E-2"/>
    <n v="3.05"/>
    <n v="3.65"/>
    <n v="3.3499999999999996"/>
    <n v="0.51032455172389746"/>
    <n v="-0.7698805990954134"/>
    <n v="-0.77170000000000005"/>
    <n v="2.3576531094812157E-3"/>
    <n v="8.9525528045154082E-2"/>
    <n v="0.09"/>
    <n v="5.2719106093990532E-3"/>
    <n v="2.0192959949686669E-2"/>
    <n v="2.1499999999999998E-2"/>
    <n v="6.0792560479689714E-2"/>
    <n v="-1.8090132922047683E-2"/>
    <n v="-1.8800000000000001E-2"/>
    <n v="3.7758887125123278E-2"/>
    <n v="-1.7566958499243841E-2"/>
    <n v="-1.66E-2"/>
    <n v="5.8250512002641031E-2"/>
  </r>
  <r>
    <x v="1"/>
    <n v="2.1174999999999999E-2"/>
    <x v="0"/>
    <n v="4.05"/>
    <n v="4.8499999999999996"/>
    <n v="4.4499999999999993"/>
    <n v="0.48626504372805357"/>
    <n v="0.86126390459012958"/>
    <n v="0.86170000000000002"/>
    <n v="5.0608728080589601E-4"/>
    <n v="4.8384790445601754E-2"/>
    <n v="4.8599999999999997E-2"/>
    <n v="4.4281801316511018E-3"/>
    <n v="2.079785473242771E-2"/>
    <n v="2.0899999999999998E-2"/>
    <n v="4.8873333766645292E-3"/>
    <n v="-7.4197410989486024E-3"/>
    <n v="-8.6999999999999994E-3"/>
    <n v="0.1471561955231491"/>
    <n v="2.5641512881374229E-2"/>
    <n v="2.6800000000000001E-2"/>
    <n v="4.3227131292006421E-2"/>
    <n v="0.15"/>
    <n v="0.55000000000000004"/>
    <n v="0.35000000000000003"/>
    <n v="0.48478965181857347"/>
    <n v="-0.13813929142759096"/>
    <n v="-0.13750000000000001"/>
    <n v="4.6493922006614462E-3"/>
    <n v="4.8389667393938442E-2"/>
    <n v="4.8599999999999997E-2"/>
    <n v="4.3278314004435324E-3"/>
    <n v="2.0736841274532639E-2"/>
    <n v="2.0899999999999998E-2"/>
    <n v="7.8066375821703284E-3"/>
    <n v="-8.4676112601611373E-3"/>
    <n v="-7.6E-3"/>
    <n v="0.11415937633699176"/>
    <n v="-5.8855798165686809E-3"/>
    <n v="-6.1000000000000004E-3"/>
    <n v="3.515084974283926E-2"/>
  </r>
  <r>
    <x v="1"/>
    <n v="2.1174999999999999E-2"/>
    <x v="1"/>
    <n v="3.35"/>
    <n v="4"/>
    <n v="3.6749999999999998"/>
    <n v="0.48520409967750311"/>
    <n v="0.79645032145037697"/>
    <n v="0.79690000000000005"/>
    <n v="5.6428479059239317E-4"/>
    <n v="6.2019975608268885E-2"/>
    <n v="6.2399999999999997E-2"/>
    <n v="6.0901344828703926E-3"/>
    <n v="2.660067630180064E-2"/>
    <n v="2.7400000000000001E-2"/>
    <n v="2.9172397744502209E-2"/>
    <n v="-9.7573921113912505E-3"/>
    <n v="-1.0999999999999999E-2"/>
    <n v="0.11296435350988626"/>
    <n v="2.4445418188945727E-2"/>
    <n v="2.5600000000000001E-2"/>
    <n v="4.5100851994307578E-2"/>
    <n v="0.35"/>
    <n v="0.75"/>
    <n v="0.55000000000000004"/>
    <n v="0.4759312653914094"/>
    <n v="-0.20007917228466376"/>
    <n v="-0.19950000000000001"/>
    <n v="2.9031192213721988E-3"/>
    <n v="6.2580604080117536E-2"/>
    <n v="6.3E-2"/>
    <n v="6.6570780933724576E-3"/>
    <n v="2.632816629640345E-2"/>
    <n v="2.7400000000000001E-2"/>
    <n v="3.911801837943614E-2"/>
    <n v="-1.0598181259282429E-2"/>
    <n v="-9.7000000000000003E-3"/>
    <n v="9.2596006111590565E-2"/>
    <n v="-8.5963722450421755E-3"/>
    <n v="-8.9999999999999993E-3"/>
    <n v="4.4847528328647093E-2"/>
  </r>
  <r>
    <x v="1"/>
    <n v="2.1174999999999999E-2"/>
    <x v="2"/>
    <n v="2.1"/>
    <n v="2.5"/>
    <n v="2.2999999999999998"/>
    <n v="0.46211039181798697"/>
    <n v="0.63891788624115053"/>
    <n v="0.63919999999999999"/>
    <n v="4.4135444125384231E-4"/>
    <n v="8.6197053358653561E-2"/>
    <n v="8.6999999999999994E-2"/>
    <n v="9.2292717396141744E-3"/>
    <n v="3.5210709822420805E-2"/>
    <n v="3.6900000000000002E-2"/>
    <n v="4.5780221614612392E-2"/>
    <n v="-1.2653419499675935E-2"/>
    <n v="-1.38E-2"/>
    <n v="8.3085543501743811E-2"/>
    <n v="2.0690464878927846E-2"/>
    <n v="2.1700000000000001E-2"/>
    <n v="4.6522355809776712E-2"/>
    <n v="1.05"/>
    <n v="1.45"/>
    <n v="1.25"/>
    <n v="0.47842561732977629"/>
    <n v="-0.36317332772009181"/>
    <n v="-0.3629"/>
    <n v="7.531764124877635E-4"/>
    <n v="8.3421578224025697E-2"/>
    <n v="8.4199999999999997E-2"/>
    <n v="9.2449142039703093E-3"/>
    <n v="3.5280071232635837E-2"/>
    <n v="3.6900000000000002E-2"/>
    <n v="4.3900508600654871E-2"/>
    <n v="-1.4430796995516691E-2"/>
    <n v="-1.3100000000000001E-2"/>
    <n v="0.10158755690967101"/>
    <n v="-1.6023136221165583E-2"/>
    <n v="-1.6799999999999999E-2"/>
    <n v="4.6241891597286686E-2"/>
  </r>
  <r>
    <x v="1"/>
    <n v="2.1174999999999999E-2"/>
    <x v="3"/>
    <n v="1.1499999999999999"/>
    <n v="1.55"/>
    <n v="1.35"/>
    <n v="0.46041401568800211"/>
    <n v="0.45750044087314545"/>
    <n v="0.45689999999999997"/>
    <n v="1.3141625588651352E-3"/>
    <n v="9.1636711397315052E-2"/>
    <n v="9.2499999999999999E-2"/>
    <n v="9.3328497587561871E-3"/>
    <n v="3.7295347355893675E-2"/>
    <n v="3.8899999999999997E-2"/>
    <n v="4.1250710645406738E-2"/>
    <n v="-1.3580470309791639E-2"/>
    <n v="-1.43E-2"/>
    <n v="5.0316761553032233E-2"/>
    <n v="1.5310391948668026E-2"/>
    <n v="1.6E-2"/>
    <n v="4.3100503208248417E-2"/>
    <n v="2.0499999999999998"/>
    <n v="2.4500000000000002"/>
    <n v="2.25"/>
    <n v="0.46431499067693949"/>
    <n v="-0.5415146407543231"/>
    <n v="-0.54220000000000002"/>
    <n v="1.2640340200607151E-3"/>
    <n v="9.0890619677103865E-2"/>
    <n v="9.1800000000000007E-2"/>
    <n v="9.9061037352520878E-3"/>
    <n v="3.7305116043123143E-2"/>
    <n v="3.8899999999999997E-2"/>
    <n v="4.0999587580381851E-2"/>
    <n v="-1.5090729582361011E-2"/>
    <n v="-1.3100000000000001E-2"/>
    <n v="0.15196409025656565"/>
    <n v="-2.4535136972239954E-2"/>
    <n v="-2.5700000000000001E-2"/>
    <n v="4.5325409640468731E-2"/>
  </r>
  <r>
    <x v="1"/>
    <n v="2.1174999999999999E-2"/>
    <x v="4"/>
    <n v="0.55000000000000004"/>
    <n v="0.95"/>
    <n v="0.75"/>
    <n v="0.46355994883924723"/>
    <n v="0.29886038367324075"/>
    <n v="0.29809999999999998"/>
    <n v="2.550767102451433E-3"/>
    <n v="7.9638266644663475E-2"/>
    <n v="8.0199999999999994E-2"/>
    <n v="7.0041565503306605E-3"/>
    <n v="3.2633550762624579E-2"/>
    <n v="3.2099999999999997E-2"/>
    <n v="1.6621519084877953E-2"/>
    <n v="-1.2077865909206486E-2"/>
    <n v="-1.18E-2"/>
    <n v="2.3547958407329369E-2"/>
    <n v="1.0221257751216026E-2"/>
    <n v="1.0699999999999999E-2"/>
    <n v="4.4742266241492835E-2"/>
    <n v="3.3"/>
    <n v="3.95"/>
    <n v="3.625"/>
    <n v="0.46251659747213125"/>
    <n v="-0.70170054894515377"/>
    <n v="-0.7026"/>
    <n v="1.2801751421096417E-3"/>
    <n v="7.9749744507138898E-2"/>
    <n v="8.0399999999999999E-2"/>
    <n v="8.0877548863321092E-3"/>
    <n v="3.2605678952204321E-2"/>
    <n v="3.2099999999999997E-2"/>
    <n v="1.5753238386427566E-2"/>
    <n v="-1.3542879853063629E-2"/>
    <n v="-1.03E-2"/>
    <n v="0.31484270418093485"/>
    <n v="-3.2975272742664798E-2"/>
    <n v="-3.4500000000000003E-2"/>
    <n v="4.4194992966237828E-2"/>
  </r>
  <r>
    <x v="2"/>
    <n v="2.1593333333333332E-2"/>
    <x v="0"/>
    <n v="4.75"/>
    <n v="5.6"/>
    <n v="5.1749999999999998"/>
    <n v="0.47503300476819277"/>
    <n v="0.79102558603038464"/>
    <n v="0.79530000000000001"/>
    <n v="5.3745931970518857E-3"/>
    <n v="4.0694241174144261E-2"/>
    <n v="4.1599999999999998E-2"/>
    <n v="2.1773048698455231E-2"/>
    <n v="4.2720209498405978E-2"/>
    <n v="4.1000000000000002E-2"/>
    <n v="4.1956329229414058E-2"/>
    <n v="-5.9002575103599877E-3"/>
    <n v="-6.8999999999999999E-3"/>
    <n v="0.14489021588985684"/>
    <n v="5.43429967970714E-2"/>
    <n v="5.5899999999999998E-2"/>
    <n v="2.7853366778686921E-2"/>
    <n v="0.7"/>
    <n v="1.1000000000000001"/>
    <n v="0.9"/>
    <n v="0.45738062355667353"/>
    <n v="-0.20337358874973377"/>
    <n v="-0.2029"/>
    <n v="2.3340993086928144E-3"/>
    <n v="4.1589534947086906E-2"/>
    <n v="4.19E-2"/>
    <n v="7.409667133964043E-3"/>
    <n v="4.2037652960985022E-2"/>
    <n v="4.1000000000000002E-2"/>
    <n v="2.5308608804512699E-2"/>
    <n v="-6.6516041412117083E-3"/>
    <n v="-5.7000000000000002E-3"/>
    <n v="0.16694809494942248"/>
    <n v="-2.3265390676858039E-2"/>
    <n v="-2.3599999999999999E-2"/>
    <n v="1.4178361150083082E-2"/>
  </r>
  <r>
    <x v="2"/>
    <n v="2.3976666666666667E-2"/>
    <x v="1"/>
    <n v="4.05"/>
    <n v="4.8499999999999996"/>
    <n v="4.4499999999999993"/>
    <n v="0.45810549054294825"/>
    <n v="0.74495063521700255"/>
    <n v="0.74390000000000001"/>
    <n v="1.4123339387048649E-3"/>
    <n v="4.71567381642891E-2"/>
    <n v="4.7399999999999998E-2"/>
    <n v="5.1321062386265378E-3"/>
    <n v="4.7740381859133776E-2"/>
    <n v="4.9599999999999998E-2"/>
    <n v="3.7492301227141568E-2"/>
    <n v="-6.3555153139784057E-3"/>
    <n v="-8.0999999999999996E-3"/>
    <n v="0.21536847975575235"/>
    <n v="5.2942554642051207E-2"/>
    <n v="5.3699999999999998E-2"/>
    <n v="1.4105127708543596E-2"/>
    <n v="1.05"/>
    <n v="1.45"/>
    <n v="1.25"/>
    <n v="0.46413103584200144"/>
    <n v="-0.2565569077257398"/>
    <n v="-0.25669999999999998"/>
    <n v="5.574299737443766E-4"/>
    <n v="4.6687936050650032E-2"/>
    <n v="4.7300000000000002E-2"/>
    <n v="1.2940041212472931E-2"/>
    <n v="4.7887472949608184E-2"/>
    <n v="4.9599999999999998E-2"/>
    <n v="3.4526755048222058E-2"/>
    <n v="-7.77743724156197E-3"/>
    <n v="-6.8999999999999999E-3"/>
    <n v="0.12716481761767684"/>
    <n v="-2.9827106613239122E-2"/>
    <n v="-2.8899999999999999E-2"/>
    <n v="3.2079813606890079E-2"/>
  </r>
  <r>
    <x v="2"/>
    <n v="2.3976666666666667E-2"/>
    <x v="2"/>
    <n v="3"/>
    <n v="3.55"/>
    <n v="3.2749999999999999"/>
    <n v="0.45288824941962957"/>
    <n v="0.6318878875397107"/>
    <n v="0.63080000000000003"/>
    <n v="1.7246156304861677E-3"/>
    <n v="5.5987404303920935E-2"/>
    <n v="5.6300000000000003E-2"/>
    <n v="5.5523214223635563E-3"/>
    <n v="5.6034825011715111E-2"/>
    <n v="5.7000000000000002E-2"/>
    <n v="1.6932894531313868E-2"/>
    <n v="-7.602486911911675E-3"/>
    <n v="-8.8999999999999999E-3"/>
    <n v="0.14578798742565449"/>
    <n v="4.6989075122193399E-2"/>
    <n v="4.7699999999999999E-2"/>
    <n v="1.4904085488607964E-2"/>
    <n v="1.85"/>
    <n v="2.25"/>
    <n v="2.0499999999999998"/>
    <n v="0.45711602549999952"/>
    <n v="-0.36826257060297762"/>
    <n v="-0.36930000000000002"/>
    <n v="2.8091778960801341E-3"/>
    <n v="5.5477041839176809E-2"/>
    <n v="5.6300000000000003E-2"/>
    <n v="1.4617374082117116E-2"/>
    <n v="5.6042354978013541E-2"/>
    <n v="5.7000000000000002E-2"/>
    <n v="1.6800789859411601E-2"/>
    <n v="-9.1140914819640203E-3"/>
    <n v="-7.7000000000000002E-3"/>
    <n v="0.18364824441091168"/>
    <n v="-4.3879529204036503E-2"/>
    <n v="-4.4699999999999997E-2"/>
    <n v="1.8355051363836538E-2"/>
  </r>
  <r>
    <x v="2"/>
    <n v="2.3976666666666667E-2"/>
    <x v="3"/>
    <n v="2.15"/>
    <n v="2.5499999999999998"/>
    <n v="2.3499999999999996"/>
    <n v="0.44975407887250185"/>
    <n v="0.51494138245172705"/>
    <n v="0.51370000000000005"/>
    <n v="2.4165513952248436E-3"/>
    <n v="5.9626855303446608E-2"/>
    <n v="0.06"/>
    <n v="6.2190782758898373E-3"/>
    <n v="5.9264367036789875E-2"/>
    <n v="6.0100000000000001E-2"/>
    <n v="1.3904042649086948E-2"/>
    <n v="-8.1384393839975047E-3"/>
    <n v="-9.1999999999999998E-3"/>
    <n v="0.11538702347853208"/>
    <n v="3.9621250109847427E-2"/>
    <n v="4.02E-2"/>
    <n v="1.4396763436631172E-2"/>
    <n v="2.8"/>
    <n v="3.35"/>
    <n v="3.0750000000000002"/>
    <n v="0.44866961892694235"/>
    <n v="-0.48530193034813407"/>
    <n v="-0.4874"/>
    <n v="4.3046156172875062E-3"/>
    <n v="5.9772332237592173E-2"/>
    <n v="6.0600000000000001E-2"/>
    <n v="1.3657883868115983E-2"/>
    <n v="5.9265710987404081E-2"/>
    <n v="6.0100000000000001E-2"/>
    <n v="1.3881680742028607E-2"/>
    <n v="-9.6783299261130086E-3"/>
    <n v="-7.7000000000000002E-3"/>
    <n v="0.25692596443026083"/>
    <n v="-5.9381264307816796E-2"/>
    <n v="-6.0100000000000001E-2"/>
    <n v="1.1958996542149828E-2"/>
  </r>
  <r>
    <x v="2"/>
    <n v="2.3976666666666667E-2"/>
    <x v="4"/>
    <n v="1.45"/>
    <n v="1.85"/>
    <n v="1.65"/>
    <n v="0.44778526294976473"/>
    <n v="0.40494428520171594"/>
    <n v="0.40360000000000001"/>
    <n v="3.3307363768977261E-3"/>
    <n v="5.8221690545861467E-2"/>
    <n v="5.8500000000000003E-2"/>
    <n v="4.7574265664707127E-3"/>
    <n v="5.7614426370751842E-2"/>
    <n v="5.8200000000000002E-2"/>
    <n v="1.0061402564401365E-2"/>
    <n v="-7.9776033586248605E-3"/>
    <n v="-8.8000000000000005E-3"/>
    <n v="9.3454163792629538E-2"/>
    <n v="3.1982778666266289E-2"/>
    <n v="3.2399999999999998E-2"/>
    <n v="1.2877201658447831E-2"/>
    <n v="4"/>
    <n v="4.7"/>
    <n v="4.3499999999999996"/>
    <n v="0.44578068424016237"/>
    <n v="-0.59597732796757863"/>
    <n v="-0.59919999999999995"/>
    <n v="5.3782911088473394E-3"/>
    <n v="5.8449878954628151E-2"/>
    <n v="5.9200000000000003E-2"/>
    <n v="1.2670963604254248E-2"/>
    <n v="5.7581304135900721E-2"/>
    <n v="5.8299999999999998E-2"/>
    <n v="1.2327544838752601E-2"/>
    <n v="-9.6263638605780747E-3"/>
    <n v="-7.1999999999999998E-3"/>
    <n v="0.33699498063584377"/>
    <n v="-7.5313991077066461E-2"/>
    <n v="-7.6899999999999996E-2"/>
    <n v="2.0624303289122695E-2"/>
  </r>
  <r>
    <x v="3"/>
    <n v="2.3203333333333333E-2"/>
    <x v="0"/>
    <n v="5.25"/>
    <n v="6.25"/>
    <n v="5.75"/>
    <n v="0.46417081262916327"/>
    <n v="0.76970134177979277"/>
    <n v="0.76980000000000004"/>
    <n v="1.2816084724249227E-4"/>
    <n v="3.4814461985280355E-2"/>
    <n v="3.5000000000000003E-2"/>
    <n v="5.3010861348470875E-3"/>
    <n v="5.7139197055863684E-2"/>
    <n v="0.06"/>
    <n v="4.7680049068938558E-2"/>
    <n v="-4.6884597161717598E-3"/>
    <n v="-6.4000000000000003E-3"/>
    <n v="0.26742816934816255"/>
    <n v="7.9841479206196775E-2"/>
    <n v="8.0600000000000005E-2"/>
    <n v="9.4109279628192318E-3"/>
    <n v="1"/>
    <n v="1.8"/>
    <n v="1.4"/>
    <n v="0.45920164790004492"/>
    <n v="-0.22911364265321277"/>
    <n v="-0.2288"/>
    <n v="1.3708157920138309E-3"/>
    <n v="3.5089669871708071E-2"/>
    <n v="3.5400000000000001E-2"/>
    <n v="8.7663878048567841E-3"/>
    <n v="5.6974344483180818E-2"/>
    <n v="0.06"/>
    <n v="5.042759194698633E-2"/>
    <n v="-5.8003293783622546E-3"/>
    <n v="-5.1999999999999998E-3"/>
    <n v="0.11544795737735671"/>
    <n v="-4.4509914523664144E-2"/>
    <n v="-4.4900000000000002E-2"/>
    <n v="8.6878725241839195E-3"/>
  </r>
  <r>
    <x v="3"/>
    <n v="2.5723333333333334E-2"/>
    <x v="1"/>
    <n v="4.6500000000000004"/>
    <n v="5.6"/>
    <n v="5.125"/>
    <n v="0.45780789572745562"/>
    <n v="0.72912215569189143"/>
    <n v="0.72689999999999999"/>
    <n v="3.0570308046381023E-3"/>
    <n v="3.8471183208630459E-2"/>
    <n v="3.8699999999999998E-2"/>
    <n v="5.9125785883601834E-3"/>
    <n v="6.2275244172566337E-2"/>
    <n v="6.1899999999999997E-2"/>
    <n v="6.0621029493754443E-3"/>
    <n v="-5.0360312441592586E-3"/>
    <n v="-6.4999999999999997E-3"/>
    <n v="0.2252259624370371"/>
    <n v="7.7777888473131329E-2"/>
    <n v="7.8200000000000006E-2"/>
    <n v="5.3978456121314125E-3"/>
    <n v="1.35"/>
    <n v="2.15"/>
    <n v="1.75"/>
    <n v="0.45701353345066309"/>
    <n v="-0.27074161373437933"/>
    <n v="-0.27189999999999998"/>
    <n v="4.2603393365967194E-3"/>
    <n v="3.8528376436392682E-2"/>
    <n v="3.9199999999999999E-2"/>
    <n v="1.7133254173656038E-2"/>
    <n v="6.2259608622924692E-2"/>
    <n v="6.1899999999999997E-2"/>
    <n v="5.8095092556493593E-3"/>
    <n v="-6.4093608504554728E-3"/>
    <n v="-5.1999999999999998E-3"/>
    <n v="0.23256939431836021"/>
    <n v="-5.3234529173223744E-2"/>
    <n v="-5.3900000000000003E-2"/>
    <n v="1.2346397528316509E-2"/>
  </r>
  <r>
    <x v="3"/>
    <n v="2.5723333333333334E-2"/>
    <x v="2"/>
    <n v="3.6"/>
    <n v="4.5"/>
    <n v="4.05"/>
    <n v="0.45658888760954142"/>
    <n v="0.63875556952147128"/>
    <n v="0.63680000000000003"/>
    <n v="3.0709320374862521E-3"/>
    <n v="4.3626432896335166E-2"/>
    <n v="4.3799999999999999E-2"/>
    <n v="3.9627192617541817E-3"/>
    <n v="7.0432265637050545E-2"/>
    <n v="7.1099999999999997E-2"/>
    <n v="9.3914818980232271E-3"/>
    <n v="-5.8566290217513736E-3"/>
    <n v="-7.1999999999999998E-3"/>
    <n v="0.18657930253453142"/>
    <n v="7.1070271734818224E-2"/>
    <n v="7.1400000000000005E-2"/>
    <n v="4.6180429297168158E-3"/>
    <n v="2.25"/>
    <n v="3"/>
    <n v="2.625"/>
    <n v="0.45361574273556471"/>
    <n v="-0.36128482831643571"/>
    <n v="-0.3634"/>
    <n v="5.8205054583497177E-3"/>
    <n v="4.3914056403861319E-2"/>
    <n v="4.4699999999999997E-2"/>
    <n v="1.7582630786100166E-2"/>
    <n v="7.0434962962165309E-2"/>
    <n v="7.1099999999999997E-2"/>
    <n v="9.353544835930901E-3"/>
    <n v="-7.3365274206322103E-3"/>
    <n v="-5.7999999999999996E-3"/>
    <n v="0.26491852079865702"/>
    <n v="-7.2969264126774999E-2"/>
    <n v="-7.3999999999999996E-2"/>
    <n v="1.3928863151689152E-2"/>
  </r>
  <r>
    <x v="3"/>
    <n v="2.5723333333333334E-2"/>
    <x v="3"/>
    <n v="2.7"/>
    <n v="3.55"/>
    <n v="3.125"/>
    <n v="0.4501239350065589"/>
    <n v="0.54703305614806796"/>
    <n v="0.54520000000000002"/>
    <n v="3.362171951702029E-3"/>
    <n v="4.6805558766500437E-2"/>
    <n v="4.7E-2"/>
    <n v="4.1370475212673084E-3"/>
    <n v="7.4494834207911864E-2"/>
    <n v="7.4999999999999997E-2"/>
    <n v="6.7355438945084414E-3"/>
    <n v="-6.2224973968218363E-3"/>
    <n v="-7.4000000000000003E-3"/>
    <n v="0.1591219734024546"/>
    <n v="6.3154475446291963E-2"/>
    <n v="6.3500000000000001E-2"/>
    <n v="5.4413315544572845E-3"/>
    <n v="3.3"/>
    <n v="4.0999999999999996"/>
    <n v="3.6999999999999997"/>
    <n v="0.45187777373939753"/>
    <n v="-0.45258245272734698"/>
    <n v="-0.45579999999999998"/>
    <n v="7.0591208263558547E-3"/>
    <n v="4.6618526842337138E-2"/>
    <n v="4.7500000000000001E-2"/>
    <n v="1.8557329635007634E-2"/>
    <n v="7.4486255588096198E-2"/>
    <n v="7.4999999999999997E-2"/>
    <n v="6.8499254920506569E-3"/>
    <n v="-7.9114827839218919E-3"/>
    <n v="-5.8999999999999999E-3"/>
    <n v="0.34092928541049017"/>
    <n v="-9.4153159241036649E-2"/>
    <n v="-9.5500000000000002E-2"/>
    <n v="1.4103044596474894E-2"/>
  </r>
  <r>
    <x v="3"/>
    <n v="2.5723333333333334E-2"/>
    <x v="4"/>
    <n v="2"/>
    <n v="2.8"/>
    <n v="2.4"/>
    <n v="0.44776103924959898"/>
    <n v="0.45934661128927368"/>
    <n v="0.45760000000000001"/>
    <n v="3.816895299986166E-3"/>
    <n v="4.7135998677556176E-2"/>
    <n v="4.7300000000000002E-2"/>
    <n v="3.4672584026178761E-3"/>
    <n v="7.4626939579379464E-2"/>
    <n v="7.2700000000000001E-2"/>
    <n v="2.6505358725989869E-2"/>
    <n v="-6.2897066460378933E-3"/>
    <n v="-7.1000000000000004E-3"/>
    <n v="0.11412582450170522"/>
    <n v="5.4525016418858797E-2"/>
    <n v="5.4800000000000001E-2"/>
    <n v="5.0179485609708769E-3"/>
    <n v="4.5"/>
    <n v="5.35"/>
    <n v="4.9249999999999998"/>
    <n v="0.44736838433891535"/>
    <n v="-0.54081623561508785"/>
    <n v="-0.5454"/>
    <n v="8.4044084798535895E-3"/>
    <n v="4.7175389849994961E-2"/>
    <n v="4.8000000000000001E-2"/>
    <n v="1.7179378125104991E-2"/>
    <n v="7.4623807446162441E-2"/>
    <n v="7.2800000000000004E-2"/>
    <n v="2.505230008464886E-2"/>
    <n v="-8.0846476513206159E-3"/>
    <n v="-5.4000000000000003E-3"/>
    <n v="0.49715697246678064"/>
    <n v="-0.11586665283178028"/>
    <n v="-0.1177"/>
    <n v="1.5576441531178547E-2"/>
  </r>
  <r>
    <x v="4"/>
    <n v="2.4363333333333334E-2"/>
    <x v="0"/>
    <n v="5.65"/>
    <n v="6.8"/>
    <n v="6.2249999999999996"/>
    <n v="0.45419363770633936"/>
    <n v="0.76149969397694617"/>
    <n v="0.76090000000000002"/>
    <n v="7.8813770133545451E-4"/>
    <n v="3.093536156355586E-2"/>
    <n v="3.1099999999999999E-2"/>
    <n v="5.2938404001331013E-3"/>
    <n v="6.8311773050385008E-2"/>
    <n v="6.9500000000000006E-2"/>
    <n v="1.709679064194242E-2"/>
    <n v="-3.881542904956372E-3"/>
    <n v="-5.4000000000000003E-3"/>
    <n v="0.28119575834141264"/>
    <n v="0.10369643099448318"/>
    <n v="0.1042"/>
    <n v="4.8327159838466261E-3"/>
    <n v="1.35"/>
    <n v="2.15"/>
    <n v="1.75"/>
    <n v="0.45047600287944078"/>
    <n v="-0.23778995888197163"/>
    <n v="-0.2379"/>
    <n v="4.6255198834960074E-4"/>
    <n v="3.113972213704887E-2"/>
    <n v="3.15E-2"/>
    <n v="1.1437392474639041E-2"/>
    <n v="6.8200209516171187E-2"/>
    <n v="6.9500000000000006E-2"/>
    <n v="1.8702021350054953E-2"/>
    <n v="-5.0735142490100343E-3"/>
    <n v="-4.1000000000000003E-3"/>
    <n v="0.23744249975854484"/>
    <n v="-6.6241108316601779E-2"/>
    <n v="-6.6699999999999995E-2"/>
    <n v="6.8799352833315737E-3"/>
  </r>
  <r>
    <x v="4"/>
    <n v="2.7183333333333334E-2"/>
    <x v="1"/>
    <n v="5.05"/>
    <n v="6.2"/>
    <n v="5.625"/>
    <n v="0.44661703053861856"/>
    <n v="0.72640406484764841"/>
    <n v="0.72309999999999997"/>
    <n v="4.5693055561449964E-3"/>
    <n v="3.3797693611119929E-2"/>
    <n v="3.39E-2"/>
    <n v="3.0178875775831986E-3"/>
    <n v="7.3387426653671678E-2"/>
    <n v="7.17E-2"/>
    <n v="2.3534541892213084E-2"/>
    <n v="-4.0710680146550824E-3"/>
    <n v="-5.4999999999999997E-3"/>
    <n v="0.25980581551725768"/>
    <n v="0.10178745137093664"/>
    <n v="0.1017"/>
    <n v="8.5989548610270199E-4"/>
    <n v="1.75"/>
    <n v="2.5499999999999998"/>
    <n v="2.15"/>
    <n v="0.45304434839636087"/>
    <n v="-0.27440534525025306"/>
    <n v="-0.27660000000000001"/>
    <n v="7.9343989506397289E-3"/>
    <n v="3.3366884844979655E-2"/>
    <n v="3.4099999999999998E-2"/>
    <n v="2.1498978153089245E-2"/>
    <n v="7.3494644687412208E-2"/>
    <n v="7.17E-2"/>
    <n v="2.5029911958329269E-2"/>
    <n v="-5.6065599468750858E-3"/>
    <n v="-4.1999999999999997E-3"/>
    <n v="0.33489522544644906"/>
    <n v="-7.7637588561772899E-2"/>
    <n v="-7.8600000000000003E-2"/>
    <n v="1.2244420333678164E-2"/>
  </r>
  <r>
    <x v="4"/>
    <n v="2.7183333333333334E-2"/>
    <x v="2"/>
    <n v="4.05"/>
    <n v="5.0999999999999996"/>
    <n v="4.5749999999999993"/>
    <n v="0.44330126140266657"/>
    <n v="0.64755519449357646"/>
    <n v="0.64449999999999996"/>
    <n v="4.7404103856889005E-3"/>
    <n v="3.7989615153403961E-2"/>
    <n v="3.8100000000000002E-2"/>
    <n v="2.8972400681375686E-3"/>
    <n v="8.1877236521526467E-2"/>
    <n v="8.2400000000000001E-2"/>
    <n v="6.3442169717661907E-3"/>
    <n v="-4.6541659733622875E-3"/>
    <n v="-6.1000000000000004E-3"/>
    <n v="0.23702197157995292"/>
    <n v="9.47667981313524E-2"/>
    <n v="9.4700000000000006E-2"/>
    <n v="7.0536569537902954E-4"/>
    <n v="2.6"/>
    <n v="3.5"/>
    <n v="3.05"/>
    <n v="0.44897181447595358"/>
    <n v="-0.35221776757460321"/>
    <n v="-0.35560000000000003"/>
    <n v="9.5113397789561693E-3"/>
    <n v="3.7501110244481765E-2"/>
    <n v="3.8399999999999997E-2"/>
    <n v="2.3408587383287275E-2"/>
    <n v="8.1858261760232587E-2"/>
    <n v="8.2400000000000001E-2"/>
    <n v="6.5744932010608518E-3"/>
    <n v="-6.3234690891565823E-3"/>
    <n v="-4.7000000000000002E-3"/>
    <n v="0.34541895513969828"/>
    <n v="-0.10231443916493446"/>
    <n v="-0.1037"/>
    <n v="1.3361242382502782E-2"/>
  </r>
  <r>
    <x v="4"/>
    <n v="2.7183333333333334E-2"/>
    <x v="3"/>
    <n v="3.2"/>
    <n v="4.1500000000000004"/>
    <n v="3.6750000000000003"/>
    <n v="0.43863138649612665"/>
    <n v="0.5679174915197559"/>
    <n v="0.56530000000000002"/>
    <n v="4.6302698032122357E-3"/>
    <n v="4.0649532131038835E-2"/>
    <n v="4.07E-2"/>
    <n v="1.2399967803726141E-3"/>
    <n v="8.6687119263133744E-2"/>
    <n v="8.6999999999999994E-2"/>
    <n v="3.5963303088074722E-3"/>
    <n v="-4.9818730357543538E-3"/>
    <n v="-6.3E-3"/>
    <n v="0.20922650226121367"/>
    <n v="8.620461525727581E-2"/>
    <n v="8.6199999999999999E-2"/>
    <n v="5.3541267700826527E-5"/>
    <n v="3.65"/>
    <n v="4.55"/>
    <n v="4.0999999999999996"/>
    <n v="0.44389810878783464"/>
    <n v="-0.4309101161351121"/>
    <n v="-0.43569999999999998"/>
    <n v="1.0993536527169792E-2"/>
    <n v="4.0146566996102098E-2"/>
    <n v="4.1099999999999998E-2"/>
    <n v="2.3197883306518237E-2"/>
    <n v="8.6642509709365975E-2"/>
    <n v="8.7099999999999997E-2"/>
    <n v="5.2524717638808465E-3"/>
    <n v="-6.7919391269724164E-3"/>
    <n v="-4.7000000000000002E-3"/>
    <n v="0.44509343127072681"/>
    <n v="-0.12855205010492815"/>
    <n v="-0.13039999999999999"/>
    <n v="1.4171394900857651E-2"/>
  </r>
  <r>
    <x v="4"/>
    <n v="2.7183333333333334E-2"/>
    <x v="4"/>
    <n v="2.4500000000000002"/>
    <n v="3.4"/>
    <n v="2.9249999999999998"/>
    <n v="0.43433059472590685"/>
    <n v="0.49048461095628054"/>
    <n v="0.4879"/>
    <n v="5.2974194635797131E-3"/>
    <n v="4.1645341527858114E-2"/>
    <n v="4.1700000000000001E-2"/>
    <n v="1.3107547276231938E-3"/>
    <n v="8.793994014486485E-2"/>
    <n v="8.4400000000000003E-2"/>
    <n v="4.1942418778019519E-2"/>
    <n v="-5.0844276642535982E-3"/>
    <n v="-6.0000000000000001E-3"/>
    <n v="0.152595389291067"/>
    <n v="7.6732888718261283E-2"/>
    <n v="7.6700000000000004E-2"/>
    <n v="4.2879684825656574E-4"/>
    <n v="4.8"/>
    <n v="5.8"/>
    <n v="5.3"/>
    <n v="0.43943199794739485"/>
    <n v="-0.50746816749009316"/>
    <n v="-0.51419999999999999"/>
    <n v="1.3091856300868985E-2"/>
    <n v="4.1166374987185582E-2"/>
    <n v="4.2099999999999999E-2"/>
    <n v="2.217636610010491E-2"/>
    <n v="8.7949549325522222E-2"/>
    <n v="8.4500000000000006E-2"/>
    <n v="4.082306894109132E-2"/>
    <n v="-7.0406230151906215E-3"/>
    <n v="-4.4000000000000003E-3"/>
    <n v="0.60014159436150483"/>
    <n v="-0.15571409254377785"/>
    <n v="-0.15809999999999999"/>
    <n v="1.509112875535823E-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n v="1.992E-2"/>
    <x v="0"/>
    <n v="3.85"/>
    <n v="4.5999999999999996"/>
    <n v="4.2249999999999996"/>
    <n v="0.5374194448813796"/>
    <n v="0.90794017754007128"/>
    <n v="0.90780000000000005"/>
    <n v="1.5441456275746757E-4"/>
    <n v="4.6220420485950243E-2"/>
    <n v="4.6399999999999997E-2"/>
    <n v="3.8702481476239939E-3"/>
    <n v="1.0978775336062429E-2"/>
    <n v="1.0200000000000001E-2"/>
    <n v="7.6350523143375343E-2"/>
    <n v="-8.788388907437307E-3"/>
    <n v="-1.09E-2"/>
    <n v="0.19372578830850395"/>
    <n v="1.3904051904945404E-2"/>
    <n v="1.3100000000000001E-2"/>
    <n v="6.1378008011099494E-2"/>
    <n v="0.02"/>
    <n v="0.37"/>
    <n v="0.19500000000000001"/>
    <n v="0.56504502426832914"/>
    <n v="-0.10186058135447307"/>
    <n v="-0.14219999999999999"/>
    <n v="0.28368086248612467"/>
    <n v="4.735038608793022E-2"/>
    <n v="4.9099999999999998E-2"/>
    <n v="3.563368456353927E-2"/>
    <n v="1.1825328372817596E-2"/>
    <n v="1.4200000000000001E-2"/>
    <n v="0.16723039628045105"/>
    <n v="-1.1122519151164811E-2"/>
    <n v="-1.7600000000000001E-2"/>
    <n v="0.3680386845929085"/>
    <n v="-2.1173743195845099E-3"/>
    <n v="-2.8999999999999998E-3"/>
  </r>
  <r>
    <x v="0"/>
    <n v="1.992E-2"/>
    <x v="1"/>
    <n v="3.05"/>
    <n v="3.65"/>
    <n v="3.3499999999999996"/>
    <n v="0.51556116435676813"/>
    <n v="0.84929159259667375"/>
    <n v="0.84930000000000005"/>
    <n v="9.8992150315611111E-6"/>
    <n v="6.8238850617193078E-2"/>
    <n v="6.8599999999999994E-2"/>
    <n v="5.2645682624914902E-3"/>
    <n v="1.5549575196081543E-2"/>
    <n v="1.4500000000000001E-2"/>
    <n v="7.2384496281485661E-2"/>
    <n v="-1.2293608995696504E-2"/>
    <n v="-1.4500000000000001E-2"/>
    <n v="0.15216489684851703"/>
    <n v="1.3507654475306628E-2"/>
    <n v="1.2699999999999999E-2"/>
    <n v="6.3594840575325107E-2"/>
    <n v="0.11"/>
    <n v="0.5"/>
    <n v="0.30499999999999999"/>
    <n v="0.52713112439960241"/>
    <n v="-0.15528633101111045"/>
    <n v="-0.1547"/>
    <n v="3.7901164260532734E-3"/>
    <n v="6.8078323778180516E-2"/>
    <n v="6.8500000000000005E-2"/>
    <n v="6.1558572528392572E-3"/>
    <n v="1.5861130696574337E-2"/>
    <n v="1.46E-2"/>
    <n v="8.6378814833858716E-2"/>
    <n v="-1.3955758300047102E-2"/>
    <n v="-1.37E-2"/>
    <n v="1.8668489054532975E-2"/>
    <n v="-3.2343701688680965E-3"/>
    <n v="-3.0000000000000001E-3"/>
  </r>
  <r>
    <x v="0"/>
    <n v="1.992E-2"/>
    <x v="2"/>
    <n v="1.75"/>
    <n v="2.15"/>
    <n v="1.95"/>
    <n v="0.52176357712596655"/>
    <n v="0.65177250262265152"/>
    <n v="0.65169999999999995"/>
    <n v="1.1125153084482317E-4"/>
    <n v="0.10658257630296755"/>
    <n v="0.1075"/>
    <n v="8.5341739258832199E-3"/>
    <n v="2.4579135431584687E-2"/>
    <n v="2.29E-2"/>
    <n v="7.3324691335575828E-2"/>
    <n v="-2.0368594483346471E-2"/>
    <n v="-2.2499999999999999E-2"/>
    <n v="9.4729134073490151E-2"/>
    <n v="1.0883600604370288E-2"/>
    <n v="1.0200000000000001E-2"/>
    <n v="6.7019667095126231E-2"/>
    <n v="0.7"/>
    <n v="1.1000000000000001"/>
    <n v="0.9"/>
    <n v="0.52846841979771852"/>
    <n v="-0.34934698075418547"/>
    <n v="-0.3493"/>
    <n v="1.3449972569558002E-4"/>
    <n v="0.10535415120334249"/>
    <n v="0.1065"/>
    <n v="1.0759143630586937E-2"/>
    <n v="2.4608056896283922E-2"/>
    <n v="2.29E-2"/>
    <n v="7.4587637392310988E-2"/>
    <n v="-2.1865594924960381E-2"/>
    <n v="-2.1600000000000001E-2"/>
    <n v="1.2296061340758335E-2"/>
    <n v="-7.4545507968386228E-3"/>
    <n v="-7.0000000000000001E-3"/>
  </r>
  <r>
    <x v="0"/>
    <n v="1.992E-2"/>
    <x v="3"/>
    <n v="0.8"/>
    <n v="1.2"/>
    <n v="1"/>
    <n v="0.52417262922972441"/>
    <n v="0.42621406769324"/>
    <n v="0.42559999999999998"/>
    <n v="1.4428282265977841E-3"/>
    <n v="0.11251703326920084"/>
    <n v="0.1135"/>
    <n v="8.6604998308295947E-3"/>
    <n v="2.6067491590811502E-2"/>
    <n v="2.6100000000000002E-2"/>
    <n v="1.2455329190996013E-3"/>
    <n v="-2.1980028548026744E-2"/>
    <n v="-2.5399999999999999E-2"/>
    <n v="0.13464454535327774"/>
    <n v="7.3464249798308448E-3"/>
    <n v="6.8999999999999999E-3"/>
    <n v="6.4699272439252886E-2"/>
    <n v="1.7"/>
    <n v="2.1"/>
    <n v="1.9"/>
    <n v="0.51258174236863852"/>
    <n v="-0.57675994788985019"/>
    <n v="-0.57769999999999999"/>
    <n v="1.627232318071322E-3"/>
    <n v="0.11489569727137183"/>
    <n v="0.11609999999999999"/>
    <n v="1.037297785209442E-2"/>
    <n v="2.6029961633323797E-2"/>
    <n v="2.6100000000000002E-2"/>
    <n v="2.6834623247588016E-3"/>
    <n v="-2.2761454416937266E-2"/>
    <n v="-2.35E-2"/>
    <n v="3.1427471619690797E-2"/>
    <n v="-1.2652318001311369E-2"/>
    <n v="-1.1900000000000001E-2"/>
  </r>
  <r>
    <x v="0"/>
    <n v="1.992E-2"/>
    <x v="4"/>
    <n v="0.25"/>
    <n v="0.65"/>
    <n v="0.45"/>
    <n v="0.5235246242955327"/>
    <n v="0.23697346785879758"/>
    <n v="0.2359"/>
    <n v="4.5505208088070506E-3"/>
    <n v="8.8700370378417118E-2"/>
    <n v="8.9099999999999999E-2"/>
    <n v="4.4851809380794718E-3"/>
    <n v="2.0524338890624494E-2"/>
    <n v="2.1499999999999998E-2"/>
    <n v="4.5379586482581599E-2"/>
    <n v="-1.7389722478115377E-2"/>
    <n v="-2.07E-2"/>
    <n v="0.15991678849684168"/>
    <n v="4.1729158076018865E-3"/>
    <n v="3.8999999999999998E-3"/>
    <n v="6.9978412205611976E-2"/>
    <n v="3.05"/>
    <n v="3.65"/>
    <n v="3.3499999999999996"/>
    <n v="0.51032455172389746"/>
    <n v="-0.7698805990954134"/>
    <n v="-0.77170000000000005"/>
    <n v="2.3576531094812157E-3"/>
    <n v="8.9525528045154082E-2"/>
    <n v="0.09"/>
    <n v="5.2719106093990532E-3"/>
    <n v="2.0192959949686669E-2"/>
    <n v="2.1499999999999998E-2"/>
    <n v="6.0792560479689714E-2"/>
    <n v="-1.8090132922047683E-2"/>
    <n v="-1.8800000000000001E-2"/>
    <n v="3.7758887125123278E-2"/>
    <n v="-1.7566958499243841E-2"/>
    <n v="-1.66E-2"/>
  </r>
  <r>
    <x v="1"/>
    <n v="2.1174999999999999E-2"/>
    <x v="0"/>
    <n v="4.05"/>
    <n v="4.8499999999999996"/>
    <n v="4.4499999999999993"/>
    <n v="0.48626504372805357"/>
    <n v="0.86126390459012958"/>
    <n v="0.86170000000000002"/>
    <n v="5.0608728080589601E-4"/>
    <n v="4.8384790445601754E-2"/>
    <n v="4.8599999999999997E-2"/>
    <n v="4.4281801316511018E-3"/>
    <n v="2.079785473242771E-2"/>
    <n v="2.0899999999999998E-2"/>
    <n v="4.8873333766645292E-3"/>
    <n v="-7.4197410989486024E-3"/>
    <n v="-8.6999999999999994E-3"/>
    <n v="0.1471561955231491"/>
    <n v="2.5641512881374229E-2"/>
    <n v="2.6800000000000001E-2"/>
    <n v="4.3227131292006421E-2"/>
    <n v="0.15"/>
    <n v="0.55000000000000004"/>
    <n v="0.35000000000000003"/>
    <n v="0.48478965181857347"/>
    <n v="-0.13813929142759096"/>
    <n v="-0.13750000000000001"/>
    <n v="4.6493922006614462E-3"/>
    <n v="4.8389667393938442E-2"/>
    <n v="4.8599999999999997E-2"/>
    <n v="4.3278314004435324E-3"/>
    <n v="2.0736841274532639E-2"/>
    <n v="2.0899999999999998E-2"/>
    <n v="7.8066375821703284E-3"/>
    <n v="-8.4676112601611373E-3"/>
    <n v="-7.6E-3"/>
    <n v="0.11415937633699176"/>
    <n v="-5.8855798165686809E-3"/>
    <n v="-6.1000000000000004E-3"/>
  </r>
  <r>
    <x v="1"/>
    <n v="2.1174999999999999E-2"/>
    <x v="1"/>
    <n v="3.35"/>
    <n v="4"/>
    <n v="3.6749999999999998"/>
    <n v="0.48520409967750311"/>
    <n v="0.79645032145037697"/>
    <n v="0.79690000000000005"/>
    <n v="5.6428479059239317E-4"/>
    <n v="6.2019975608268885E-2"/>
    <n v="6.2399999999999997E-2"/>
    <n v="6.0901344828703926E-3"/>
    <n v="2.660067630180064E-2"/>
    <n v="2.7400000000000001E-2"/>
    <n v="2.9172397744502209E-2"/>
    <n v="-9.7573921113912505E-3"/>
    <n v="-1.0999999999999999E-2"/>
    <n v="0.11296435350988626"/>
    <n v="2.4445418188945727E-2"/>
    <n v="2.5600000000000001E-2"/>
    <n v="4.5100851994307578E-2"/>
    <n v="0.35"/>
    <n v="0.75"/>
    <n v="0.55000000000000004"/>
    <n v="0.4759312653914094"/>
    <n v="-0.20007917228466376"/>
    <n v="-0.19950000000000001"/>
    <n v="2.9031192213721988E-3"/>
    <n v="6.2580604080117536E-2"/>
    <n v="6.3E-2"/>
    <n v="6.6570780933724576E-3"/>
    <n v="2.632816629640345E-2"/>
    <n v="2.7400000000000001E-2"/>
    <n v="3.911801837943614E-2"/>
    <n v="-1.0598181259282429E-2"/>
    <n v="-9.7000000000000003E-3"/>
    <n v="9.2596006111590565E-2"/>
    <n v="-8.5963722450421755E-3"/>
    <n v="-8.9999999999999993E-3"/>
  </r>
  <r>
    <x v="1"/>
    <n v="2.1174999999999999E-2"/>
    <x v="2"/>
    <n v="2.1"/>
    <n v="2.5"/>
    <n v="2.2999999999999998"/>
    <n v="0.46211039181798697"/>
    <n v="0.63891788624115053"/>
    <n v="0.63919999999999999"/>
    <n v="4.4135444125384231E-4"/>
    <n v="8.6197053358653561E-2"/>
    <n v="8.6999999999999994E-2"/>
    <n v="9.2292717396141744E-3"/>
    <n v="3.5210709822420805E-2"/>
    <n v="3.6900000000000002E-2"/>
    <n v="4.5780221614612392E-2"/>
    <n v="-1.2653419499675935E-2"/>
    <n v="-1.38E-2"/>
    <n v="8.3085543501743811E-2"/>
    <n v="2.0690464878927846E-2"/>
    <n v="2.1700000000000001E-2"/>
    <n v="4.6522355809776712E-2"/>
    <n v="1.05"/>
    <n v="1.45"/>
    <n v="1.25"/>
    <n v="0.47842561732977629"/>
    <n v="-0.36317332772009181"/>
    <n v="-0.3629"/>
    <n v="7.531764124877635E-4"/>
    <n v="8.3421578224025697E-2"/>
    <n v="8.4199999999999997E-2"/>
    <n v="9.2449142039703093E-3"/>
    <n v="3.5280071232635837E-2"/>
    <n v="3.6900000000000002E-2"/>
    <n v="4.3900508600654871E-2"/>
    <n v="-1.4430796995516691E-2"/>
    <n v="-1.3100000000000001E-2"/>
    <n v="0.10158755690967101"/>
    <n v="-1.6023136221165583E-2"/>
    <n v="-1.6799999999999999E-2"/>
  </r>
  <r>
    <x v="1"/>
    <n v="2.1174999999999999E-2"/>
    <x v="3"/>
    <n v="1.1499999999999999"/>
    <n v="1.55"/>
    <n v="1.35"/>
    <n v="0.46041401568800211"/>
    <n v="0.45750044087314545"/>
    <n v="0.45689999999999997"/>
    <n v="1.3141625588651352E-3"/>
    <n v="9.1636711397315052E-2"/>
    <n v="9.2499999999999999E-2"/>
    <n v="9.3328497587561871E-3"/>
    <n v="3.7295347355893675E-2"/>
    <n v="3.8899999999999997E-2"/>
    <n v="4.1250710645406738E-2"/>
    <n v="-1.3580470309791639E-2"/>
    <n v="-1.43E-2"/>
    <n v="5.0316761553032233E-2"/>
    <n v="1.5310391948668026E-2"/>
    <n v="1.6E-2"/>
    <n v="4.3100503208248417E-2"/>
    <n v="2.0499999999999998"/>
    <n v="2.4500000000000002"/>
    <n v="2.25"/>
    <n v="0.46431499067693949"/>
    <n v="-0.5415146407543231"/>
    <n v="-0.54220000000000002"/>
    <n v="1.2640340200607151E-3"/>
    <n v="9.0890619677103865E-2"/>
    <n v="9.1800000000000007E-2"/>
    <n v="9.9061037352520878E-3"/>
    <n v="3.7305116043123143E-2"/>
    <n v="3.8899999999999997E-2"/>
    <n v="4.0999587580381851E-2"/>
    <n v="-1.5090729582361011E-2"/>
    <n v="-1.3100000000000001E-2"/>
    <n v="0.15196409025656565"/>
    <n v="-2.4535136972239954E-2"/>
    <n v="-2.5700000000000001E-2"/>
  </r>
  <r>
    <x v="1"/>
    <n v="2.1174999999999999E-2"/>
    <x v="4"/>
    <n v="0.55000000000000004"/>
    <n v="0.95"/>
    <n v="0.75"/>
    <n v="0.46355994883924723"/>
    <n v="0.29886038367324075"/>
    <n v="0.29809999999999998"/>
    <n v="2.550767102451433E-3"/>
    <n v="7.9638266644663475E-2"/>
    <n v="8.0199999999999994E-2"/>
    <n v="7.0041565503306605E-3"/>
    <n v="3.2633550762624579E-2"/>
    <n v="3.2099999999999997E-2"/>
    <n v="1.6621519084877953E-2"/>
    <n v="-1.2077865909206486E-2"/>
    <n v="-1.18E-2"/>
    <n v="2.3547958407329369E-2"/>
    <n v="1.0221257751216026E-2"/>
    <n v="1.0699999999999999E-2"/>
    <n v="4.4742266241492835E-2"/>
    <n v="3.3"/>
    <n v="3.95"/>
    <n v="3.625"/>
    <n v="0.46251659747213125"/>
    <n v="-0.70170054894515377"/>
    <n v="-0.7026"/>
    <n v="1.2801751421096417E-3"/>
    <n v="7.9749744507138898E-2"/>
    <n v="8.0399999999999999E-2"/>
    <n v="8.0877548863321092E-3"/>
    <n v="3.2605678952204321E-2"/>
    <n v="3.2099999999999997E-2"/>
    <n v="1.5753238386427566E-2"/>
    <n v="-1.3542879853063629E-2"/>
    <n v="-1.03E-2"/>
    <n v="0.31484270418093485"/>
    <n v="-3.2975272742664798E-2"/>
    <n v="-3.4500000000000003E-2"/>
  </r>
  <r>
    <x v="2"/>
    <n v="2.1593333333333332E-2"/>
    <x v="0"/>
    <n v="4.75"/>
    <n v="5.6"/>
    <n v="5.1749999999999998"/>
    <n v="0.47503300476819277"/>
    <n v="0.79102558603038464"/>
    <n v="0.79530000000000001"/>
    <n v="5.3745931970518857E-3"/>
    <n v="4.0694241174144261E-2"/>
    <n v="4.1599999999999998E-2"/>
    <n v="2.1773048698455231E-2"/>
    <n v="4.2720209498405978E-2"/>
    <n v="4.1000000000000002E-2"/>
    <n v="4.1956329229414058E-2"/>
    <n v="-5.9002575103599877E-3"/>
    <n v="-6.8999999999999999E-3"/>
    <n v="0.14489021588985684"/>
    <n v="5.43429967970714E-2"/>
    <n v="5.5899999999999998E-2"/>
    <n v="2.7853366778686921E-2"/>
    <n v="0.7"/>
    <n v="1.1000000000000001"/>
    <n v="0.9"/>
    <n v="0.45738062355667353"/>
    <n v="-0.20337358874973377"/>
    <n v="-0.2029"/>
    <n v="2.3340993086928144E-3"/>
    <n v="4.1589534947086906E-2"/>
    <n v="4.19E-2"/>
    <n v="7.409667133964043E-3"/>
    <n v="4.2037652960985022E-2"/>
    <n v="4.1000000000000002E-2"/>
    <n v="2.5308608804512699E-2"/>
    <n v="-6.6516041412117083E-3"/>
    <n v="-5.7000000000000002E-3"/>
    <n v="0.16694809494942248"/>
    <n v="-2.3265390676858039E-2"/>
    <n v="-2.3599999999999999E-2"/>
  </r>
  <r>
    <x v="2"/>
    <n v="2.3976666666666667E-2"/>
    <x v="1"/>
    <n v="4.05"/>
    <n v="4.8499999999999996"/>
    <n v="4.4499999999999993"/>
    <n v="0.45810549054294825"/>
    <n v="0.74495063521700255"/>
    <n v="0.74390000000000001"/>
    <n v="1.4123339387048649E-3"/>
    <n v="4.71567381642891E-2"/>
    <n v="4.7399999999999998E-2"/>
    <n v="5.1321062386265378E-3"/>
    <n v="4.7740381859133776E-2"/>
    <n v="4.9599999999999998E-2"/>
    <n v="3.7492301227141568E-2"/>
    <n v="-6.3555153139784057E-3"/>
    <n v="-8.0999999999999996E-3"/>
    <n v="0.21536847975575235"/>
    <n v="5.2942554642051207E-2"/>
    <n v="5.3699999999999998E-2"/>
    <n v="1.4105127708543596E-2"/>
    <n v="1.05"/>
    <n v="1.45"/>
    <n v="1.25"/>
    <n v="0.46413103584200144"/>
    <n v="-0.2565569077257398"/>
    <n v="-0.25669999999999998"/>
    <n v="5.574299737443766E-4"/>
    <n v="4.6687936050650032E-2"/>
    <n v="4.7300000000000002E-2"/>
    <n v="1.2940041212472931E-2"/>
    <n v="4.7887472949608184E-2"/>
    <n v="4.9599999999999998E-2"/>
    <n v="3.4526755048222058E-2"/>
    <n v="-7.77743724156197E-3"/>
    <n v="-6.8999999999999999E-3"/>
    <n v="0.12716481761767684"/>
    <n v="-2.9827106613239122E-2"/>
    <n v="-2.8899999999999999E-2"/>
  </r>
  <r>
    <x v="2"/>
    <n v="2.3976666666666667E-2"/>
    <x v="2"/>
    <n v="3"/>
    <n v="3.55"/>
    <n v="3.2749999999999999"/>
    <n v="0.45288824941962957"/>
    <n v="0.6318878875397107"/>
    <n v="0.63080000000000003"/>
    <n v="1.7246156304861677E-3"/>
    <n v="5.5987404303920935E-2"/>
    <n v="5.6300000000000003E-2"/>
    <n v="5.5523214223635563E-3"/>
    <n v="5.6034825011715111E-2"/>
    <n v="5.7000000000000002E-2"/>
    <n v="1.6932894531313868E-2"/>
    <n v="-7.602486911911675E-3"/>
    <n v="-8.8999999999999999E-3"/>
    <n v="0.14578798742565449"/>
    <n v="4.6989075122193399E-2"/>
    <n v="4.7699999999999999E-2"/>
    <n v="1.4904085488607964E-2"/>
    <n v="1.85"/>
    <n v="2.25"/>
    <n v="2.0499999999999998"/>
    <n v="0.45711602549999952"/>
    <n v="-0.36826257060297762"/>
    <n v="-0.36930000000000002"/>
    <n v="2.8091778960801341E-3"/>
    <n v="5.5477041839176809E-2"/>
    <n v="5.6300000000000003E-2"/>
    <n v="1.4617374082117116E-2"/>
    <n v="5.6042354978013541E-2"/>
    <n v="5.7000000000000002E-2"/>
    <n v="1.6800789859411601E-2"/>
    <n v="-9.1140914819640203E-3"/>
    <n v="-7.7000000000000002E-3"/>
    <n v="0.18364824441091168"/>
    <n v="-4.3879529204036503E-2"/>
    <n v="-4.4699999999999997E-2"/>
  </r>
  <r>
    <x v="2"/>
    <n v="2.3976666666666667E-2"/>
    <x v="3"/>
    <n v="2.15"/>
    <n v="2.5499999999999998"/>
    <n v="2.3499999999999996"/>
    <n v="0.44975407887250185"/>
    <n v="0.51494138245172705"/>
    <n v="0.51370000000000005"/>
    <n v="2.4165513952248436E-3"/>
    <n v="5.9626855303446608E-2"/>
    <n v="0.06"/>
    <n v="6.2190782758898373E-3"/>
    <n v="5.9264367036789875E-2"/>
    <n v="6.0100000000000001E-2"/>
    <n v="1.3904042649086948E-2"/>
    <n v="-8.1384393839975047E-3"/>
    <n v="-9.1999999999999998E-3"/>
    <n v="0.11538702347853208"/>
    <n v="3.9621250109847427E-2"/>
    <n v="4.02E-2"/>
    <n v="1.4396763436631172E-2"/>
    <n v="2.8"/>
    <n v="3.35"/>
    <n v="3.0750000000000002"/>
    <n v="0.44866961892694235"/>
    <n v="-0.48530193034813407"/>
    <n v="-0.4874"/>
    <n v="4.3046156172875062E-3"/>
    <n v="5.9772332237592173E-2"/>
    <n v="6.0600000000000001E-2"/>
    <n v="1.3657883868115983E-2"/>
    <n v="5.9265710987404081E-2"/>
    <n v="6.0100000000000001E-2"/>
    <n v="1.3881680742028607E-2"/>
    <n v="-9.6783299261130086E-3"/>
    <n v="-7.7000000000000002E-3"/>
    <n v="0.25692596443026083"/>
    <n v="-5.9381264307816796E-2"/>
    <n v="-6.0100000000000001E-2"/>
  </r>
  <r>
    <x v="2"/>
    <n v="2.3976666666666667E-2"/>
    <x v="4"/>
    <n v="1.45"/>
    <n v="1.85"/>
    <n v="1.65"/>
    <n v="0.44778526294976473"/>
    <n v="0.40494428520171594"/>
    <n v="0.40360000000000001"/>
    <n v="3.3307363768977261E-3"/>
    <n v="5.8221690545861467E-2"/>
    <n v="5.8500000000000003E-2"/>
    <n v="4.7574265664707127E-3"/>
    <n v="5.7614426370751842E-2"/>
    <n v="5.8200000000000002E-2"/>
    <n v="1.0061402564401365E-2"/>
    <n v="-7.9776033586248605E-3"/>
    <n v="-8.8000000000000005E-3"/>
    <n v="9.3454163792629538E-2"/>
    <n v="3.1982778666266289E-2"/>
    <n v="3.2399999999999998E-2"/>
    <n v="1.2877201658447831E-2"/>
    <n v="4"/>
    <n v="4.7"/>
    <n v="4.3499999999999996"/>
    <n v="0.44578068424016237"/>
    <n v="-0.59597732796757863"/>
    <n v="-0.59919999999999995"/>
    <n v="5.3782911088473394E-3"/>
    <n v="5.8449878954628151E-2"/>
    <n v="5.9200000000000003E-2"/>
    <n v="1.2670963604254248E-2"/>
    <n v="5.7581304135900721E-2"/>
    <n v="5.8299999999999998E-2"/>
    <n v="1.2327544838752601E-2"/>
    <n v="-9.6263638605780747E-3"/>
    <n v="-7.1999999999999998E-3"/>
    <n v="0.33699498063584377"/>
    <n v="-7.5313991077066461E-2"/>
    <n v="-7.6899999999999996E-2"/>
  </r>
  <r>
    <x v="3"/>
    <n v="2.3203333333333333E-2"/>
    <x v="0"/>
    <n v="5.25"/>
    <n v="6.25"/>
    <n v="5.75"/>
    <n v="0.46417081262916327"/>
    <n v="0.76970134177979277"/>
    <n v="0.76980000000000004"/>
    <n v="1.2816084724249227E-4"/>
    <n v="3.4814461985280355E-2"/>
    <n v="3.5000000000000003E-2"/>
    <n v="5.3010861348470875E-3"/>
    <n v="5.7139197055863684E-2"/>
    <n v="0.06"/>
    <n v="4.7680049068938558E-2"/>
    <n v="-4.6884597161717598E-3"/>
    <n v="-6.4000000000000003E-3"/>
    <n v="0.26742816934816255"/>
    <n v="7.9841479206196775E-2"/>
    <n v="8.0600000000000005E-2"/>
    <n v="9.4109279628192318E-3"/>
    <n v="1"/>
    <n v="1.8"/>
    <n v="1.4"/>
    <n v="0.45920164790004492"/>
    <n v="-0.22911364265321277"/>
    <n v="-0.2288"/>
    <n v="1.3708157920138309E-3"/>
    <n v="3.5089669871708071E-2"/>
    <n v="3.5400000000000001E-2"/>
    <n v="8.7663878048567841E-3"/>
    <n v="5.6974344483180818E-2"/>
    <n v="0.06"/>
    <n v="5.042759194698633E-2"/>
    <n v="-5.8003293783622546E-3"/>
    <n v="-5.1999999999999998E-3"/>
    <n v="0.11544795737735671"/>
    <n v="-4.4509914523664144E-2"/>
    <n v="-4.4900000000000002E-2"/>
  </r>
  <r>
    <x v="3"/>
    <n v="2.5723333333333334E-2"/>
    <x v="1"/>
    <n v="4.6500000000000004"/>
    <n v="5.6"/>
    <n v="5.125"/>
    <n v="0.45780789572745562"/>
    <n v="0.72912215569189143"/>
    <n v="0.72689999999999999"/>
    <n v="3.0570308046381023E-3"/>
    <n v="3.8471183208630459E-2"/>
    <n v="3.8699999999999998E-2"/>
    <n v="5.9125785883601834E-3"/>
    <n v="6.2275244172566337E-2"/>
    <n v="6.1899999999999997E-2"/>
    <n v="6.0621029493754443E-3"/>
    <n v="-5.0360312441592586E-3"/>
    <n v="-6.4999999999999997E-3"/>
    <n v="0.2252259624370371"/>
    <n v="7.7777888473131329E-2"/>
    <n v="7.8200000000000006E-2"/>
    <n v="5.3978456121314125E-3"/>
    <n v="1.35"/>
    <n v="2.15"/>
    <n v="1.75"/>
    <n v="0.45701353345066309"/>
    <n v="-0.27074161373437933"/>
    <n v="-0.27189999999999998"/>
    <n v="4.2603393365967194E-3"/>
    <n v="3.8528376436392682E-2"/>
    <n v="3.9199999999999999E-2"/>
    <n v="1.7133254173656038E-2"/>
    <n v="6.2259608622924692E-2"/>
    <n v="6.1899999999999997E-2"/>
    <n v="5.8095092556493593E-3"/>
    <n v="-6.4093608504554728E-3"/>
    <n v="-5.1999999999999998E-3"/>
    <n v="0.23256939431836021"/>
    <n v="-5.3234529173223744E-2"/>
    <n v="-5.3900000000000003E-2"/>
  </r>
  <r>
    <x v="3"/>
    <n v="2.5723333333333334E-2"/>
    <x v="2"/>
    <n v="3.6"/>
    <n v="4.5"/>
    <n v="4.05"/>
    <n v="0.45658888760954142"/>
    <n v="0.63875556952147128"/>
    <n v="0.63680000000000003"/>
    <n v="3.0709320374862521E-3"/>
    <n v="4.3626432896335166E-2"/>
    <n v="4.3799999999999999E-2"/>
    <n v="3.9627192617541817E-3"/>
    <n v="7.0432265637050545E-2"/>
    <n v="7.1099999999999997E-2"/>
    <n v="9.3914818980232271E-3"/>
    <n v="-5.8566290217513736E-3"/>
    <n v="-7.1999999999999998E-3"/>
    <n v="0.18657930253453142"/>
    <n v="7.1070271734818224E-2"/>
    <n v="7.1400000000000005E-2"/>
    <n v="4.6180429297168158E-3"/>
    <n v="2.25"/>
    <n v="3"/>
    <n v="2.625"/>
    <n v="0.45361574273556471"/>
    <n v="-0.36128482831643571"/>
    <n v="-0.3634"/>
    <n v="5.8205054583497177E-3"/>
    <n v="4.3914056403861319E-2"/>
    <n v="4.4699999999999997E-2"/>
    <n v="1.7582630786100166E-2"/>
    <n v="7.0434962962165309E-2"/>
    <n v="7.1099999999999997E-2"/>
    <n v="9.353544835930901E-3"/>
    <n v="-7.3365274206322103E-3"/>
    <n v="-5.7999999999999996E-3"/>
    <n v="0.26491852079865702"/>
    <n v="-7.2969264126774999E-2"/>
    <n v="-7.3999999999999996E-2"/>
  </r>
  <r>
    <x v="3"/>
    <n v="2.5723333333333334E-2"/>
    <x v="3"/>
    <n v="2.7"/>
    <n v="3.55"/>
    <n v="3.125"/>
    <n v="0.4501239350065589"/>
    <n v="0.54703305614806796"/>
    <n v="0.54520000000000002"/>
    <n v="3.362171951702029E-3"/>
    <n v="4.6805558766500437E-2"/>
    <n v="4.7E-2"/>
    <n v="4.1370475212673084E-3"/>
    <n v="7.4494834207911864E-2"/>
    <n v="7.4999999999999997E-2"/>
    <n v="6.7355438945084414E-3"/>
    <n v="-6.2224973968218363E-3"/>
    <n v="-7.4000000000000003E-3"/>
    <n v="0.1591219734024546"/>
    <n v="6.3154475446291963E-2"/>
    <n v="6.3500000000000001E-2"/>
    <n v="5.4413315544572845E-3"/>
    <n v="3.3"/>
    <n v="4.0999999999999996"/>
    <n v="3.6999999999999997"/>
    <n v="0.45187777373939753"/>
    <n v="-0.45258245272734698"/>
    <n v="-0.45579999999999998"/>
    <n v="7.0591208263558547E-3"/>
    <n v="4.6618526842337138E-2"/>
    <n v="4.7500000000000001E-2"/>
    <n v="1.8557329635007634E-2"/>
    <n v="7.4486255588096198E-2"/>
    <n v="7.4999999999999997E-2"/>
    <n v="6.8499254920506569E-3"/>
    <n v="-7.9114827839218919E-3"/>
    <n v="-5.8999999999999999E-3"/>
    <n v="0.34092928541049017"/>
    <n v="-9.4153159241036649E-2"/>
    <n v="-9.5500000000000002E-2"/>
  </r>
  <r>
    <x v="3"/>
    <n v="2.5723333333333334E-2"/>
    <x v="4"/>
    <n v="2"/>
    <n v="2.8"/>
    <n v="2.4"/>
    <n v="0.44776103924959898"/>
    <n v="0.45934661128927368"/>
    <n v="0.45760000000000001"/>
    <n v="3.816895299986166E-3"/>
    <n v="4.7135998677556176E-2"/>
    <n v="4.7300000000000002E-2"/>
    <n v="3.4672584026178761E-3"/>
    <n v="7.4626939579379464E-2"/>
    <n v="7.2700000000000001E-2"/>
    <n v="2.6505358725989869E-2"/>
    <n v="-6.2897066460378933E-3"/>
    <n v="-7.1000000000000004E-3"/>
    <n v="0.11412582450170522"/>
    <n v="5.4525016418858797E-2"/>
    <n v="5.4800000000000001E-2"/>
    <n v="5.0179485609708769E-3"/>
    <n v="4.5"/>
    <n v="5.35"/>
    <n v="4.9249999999999998"/>
    <n v="0.44736838433891535"/>
    <n v="-0.54081623561508785"/>
    <n v="-0.5454"/>
    <n v="8.4044084798535895E-3"/>
    <n v="4.7175389849994961E-2"/>
    <n v="4.8000000000000001E-2"/>
    <n v="1.7179378125104991E-2"/>
    <n v="7.4623807446162441E-2"/>
    <n v="7.2800000000000004E-2"/>
    <n v="2.505230008464886E-2"/>
    <n v="-8.0846476513206159E-3"/>
    <n v="-5.4000000000000003E-3"/>
    <n v="0.49715697246678064"/>
    <n v="-0.11586665283178028"/>
    <n v="-0.1177"/>
  </r>
  <r>
    <x v="4"/>
    <n v="2.4363333333333334E-2"/>
    <x v="0"/>
    <n v="5.65"/>
    <n v="6.8"/>
    <n v="6.2249999999999996"/>
    <n v="0.45419363770633936"/>
    <n v="0.76149969397694617"/>
    <n v="0.76090000000000002"/>
    <n v="7.8813770133545451E-4"/>
    <n v="3.093536156355586E-2"/>
    <n v="3.1099999999999999E-2"/>
    <n v="5.2938404001331013E-3"/>
    <n v="6.8311773050385008E-2"/>
    <n v="6.9500000000000006E-2"/>
    <n v="1.709679064194242E-2"/>
    <n v="-3.881542904956372E-3"/>
    <n v="-5.4000000000000003E-3"/>
    <n v="0.28119575834141264"/>
    <n v="0.10369643099448318"/>
    <n v="0.1042"/>
    <n v="4.8327159838466261E-3"/>
    <n v="1.35"/>
    <n v="2.15"/>
    <n v="1.75"/>
    <n v="0.45047600287944078"/>
    <n v="-0.23778995888197163"/>
    <n v="-0.2379"/>
    <n v="4.6255198834960074E-4"/>
    <n v="3.113972213704887E-2"/>
    <n v="3.15E-2"/>
    <n v="1.1437392474639041E-2"/>
    <n v="6.8200209516171187E-2"/>
    <n v="6.9500000000000006E-2"/>
    <n v="1.8702021350054953E-2"/>
    <n v="-5.0735142490100343E-3"/>
    <n v="-4.1000000000000003E-3"/>
    <n v="0.23744249975854484"/>
    <n v="-6.6241108316601779E-2"/>
    <n v="-6.6699999999999995E-2"/>
  </r>
  <r>
    <x v="4"/>
    <n v="2.7183333333333334E-2"/>
    <x v="1"/>
    <n v="5.05"/>
    <n v="6.2"/>
    <n v="5.625"/>
    <n v="0.44661703053861856"/>
    <n v="0.72640406484764841"/>
    <n v="0.72309999999999997"/>
    <n v="4.5693055561449964E-3"/>
    <n v="3.3797693611119929E-2"/>
    <n v="3.39E-2"/>
    <n v="3.0178875775831986E-3"/>
    <n v="7.3387426653671678E-2"/>
    <n v="7.17E-2"/>
    <n v="2.3534541892213084E-2"/>
    <n v="-4.0710680146550824E-3"/>
    <n v="-5.4999999999999997E-3"/>
    <n v="0.25980581551725768"/>
    <n v="0.10178745137093664"/>
    <n v="0.1017"/>
    <n v="8.5989548610270199E-4"/>
    <n v="1.75"/>
    <n v="2.5499999999999998"/>
    <n v="2.15"/>
    <n v="0.45304434839636087"/>
    <n v="-0.27440534525025306"/>
    <n v="-0.27660000000000001"/>
    <n v="7.9343989506397289E-3"/>
    <n v="3.3366884844979655E-2"/>
    <n v="3.4099999999999998E-2"/>
    <n v="2.1498978153089245E-2"/>
    <n v="7.3494644687412208E-2"/>
    <n v="7.17E-2"/>
    <n v="2.5029911958329269E-2"/>
    <n v="-5.6065599468750858E-3"/>
    <n v="-4.1999999999999997E-3"/>
    <n v="0.33489522544644906"/>
    <n v="-7.7637588561772899E-2"/>
    <n v="-7.8600000000000003E-2"/>
  </r>
  <r>
    <x v="4"/>
    <n v="2.7183333333333334E-2"/>
    <x v="2"/>
    <n v="4.05"/>
    <n v="5.0999999999999996"/>
    <n v="4.5749999999999993"/>
    <n v="0.44330126140266657"/>
    <n v="0.64755519449357646"/>
    <n v="0.64449999999999996"/>
    <n v="4.7404103856889005E-3"/>
    <n v="3.7989615153403961E-2"/>
    <n v="3.8100000000000002E-2"/>
    <n v="2.8972400681375686E-3"/>
    <n v="8.1877236521526467E-2"/>
    <n v="8.2400000000000001E-2"/>
    <n v="6.3442169717661907E-3"/>
    <n v="-4.6541659733622875E-3"/>
    <n v="-6.1000000000000004E-3"/>
    <n v="0.23702197157995292"/>
    <n v="9.47667981313524E-2"/>
    <n v="9.4700000000000006E-2"/>
    <n v="7.0536569537902954E-4"/>
    <n v="2.6"/>
    <n v="3.5"/>
    <n v="3.05"/>
    <n v="0.44897181447595358"/>
    <n v="-0.35221776757460321"/>
    <n v="-0.35560000000000003"/>
    <n v="9.5113397789561693E-3"/>
    <n v="3.7501110244481765E-2"/>
    <n v="3.8399999999999997E-2"/>
    <n v="2.3408587383287275E-2"/>
    <n v="8.1858261760232587E-2"/>
    <n v="8.2400000000000001E-2"/>
    <n v="6.5744932010608518E-3"/>
    <n v="-6.3234690891565823E-3"/>
    <n v="-4.7000000000000002E-3"/>
    <n v="0.34541895513969828"/>
    <n v="-0.10231443916493446"/>
    <n v="-0.1037"/>
  </r>
  <r>
    <x v="4"/>
    <n v="2.7183333333333334E-2"/>
    <x v="3"/>
    <n v="3.2"/>
    <n v="4.1500000000000004"/>
    <n v="3.6750000000000003"/>
    <n v="0.43863138649612665"/>
    <n v="0.5679174915197559"/>
    <n v="0.56530000000000002"/>
    <n v="4.6302698032122357E-3"/>
    <n v="4.0649532131038835E-2"/>
    <n v="4.07E-2"/>
    <n v="1.2399967803726141E-3"/>
    <n v="8.6687119263133744E-2"/>
    <n v="8.6999999999999994E-2"/>
    <n v="3.5963303088074722E-3"/>
    <n v="-4.9818730357543538E-3"/>
    <n v="-6.3E-3"/>
    <n v="0.20922650226121367"/>
    <n v="8.620461525727581E-2"/>
    <n v="8.6199999999999999E-2"/>
    <n v="5.3541267700826527E-5"/>
    <n v="3.65"/>
    <n v="4.55"/>
    <n v="4.0999999999999996"/>
    <n v="0.44389810878783464"/>
    <n v="-0.4309101161351121"/>
    <n v="-0.43569999999999998"/>
    <n v="1.0993536527169792E-2"/>
    <n v="4.0146566996102098E-2"/>
    <n v="4.1099999999999998E-2"/>
    <n v="2.3197883306518237E-2"/>
    <n v="8.6642509709365975E-2"/>
    <n v="8.7099999999999997E-2"/>
    <n v="5.2524717638808465E-3"/>
    <n v="-6.7919391269724164E-3"/>
    <n v="-4.7000000000000002E-3"/>
    <n v="0.44509343127072681"/>
    <n v="-0.12855205010492815"/>
    <n v="-0.13039999999999999"/>
  </r>
  <r>
    <x v="4"/>
    <n v="2.7183333333333334E-2"/>
    <x v="4"/>
    <n v="2.4500000000000002"/>
    <n v="3.4"/>
    <n v="2.9249999999999998"/>
    <n v="0.43433059472590685"/>
    <n v="0.49048461095628054"/>
    <n v="0.4879"/>
    <n v="5.2974194635797131E-3"/>
    <n v="4.1645341527858114E-2"/>
    <n v="4.1700000000000001E-2"/>
    <n v="1.3107547276231938E-3"/>
    <n v="8.793994014486485E-2"/>
    <n v="8.4400000000000003E-2"/>
    <n v="4.1942418778019519E-2"/>
    <n v="-5.0844276642535982E-3"/>
    <n v="-6.0000000000000001E-3"/>
    <n v="0.152595389291067"/>
    <n v="7.6732888718261283E-2"/>
    <n v="7.6700000000000004E-2"/>
    <n v="4.2879684825656574E-4"/>
    <n v="4.8"/>
    <n v="5.8"/>
    <n v="5.3"/>
    <n v="0.43943199794739485"/>
    <n v="-0.50746816749009316"/>
    <n v="-0.51419999999999999"/>
    <n v="1.3091856300868985E-2"/>
    <n v="4.1166374987185582E-2"/>
    <n v="4.2099999999999999E-2"/>
    <n v="2.217636610010491E-2"/>
    <n v="8.7949549325522222E-2"/>
    <n v="8.4500000000000006E-2"/>
    <n v="4.082306894109132E-2"/>
    <n v="-7.0406230151906215E-3"/>
    <n v="-4.4000000000000003E-3"/>
    <n v="0.60014159436150483"/>
    <n v="-0.15571409254377785"/>
    <n v="-0.15809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4727D0-4C03-7F4A-9A06-A44E8EA2FE9E}" name="Tabella pivot3" cacheId="62" applyNumberFormats="0" applyBorderFormats="0" applyFontFormats="0" applyPatternFormats="0" applyAlignmentFormats="0" applyWidthHeightFormats="1" dataCaption="Valori" grandTotalCaption="tot" updatedVersion="8" minRefreshableVersion="3" useAutoFormatting="1" itemPrintTitles="1" createdVersion="8" indent="0" outline="1" outlineData="1" multipleFieldFilters="0" chartFormat="16" rowHeaderCaption="strike" colHeaderCaption="maturity">
  <location ref="B37:H44" firstHeaderRow="1" firstDataRow="2" firstDataCol="1"/>
  <pivotFields count="14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numFmtId="10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ALL IV" fld="7" baseField="0" baseItem="0" numFmtId="10"/>
  </dataFields>
  <chartFormats count="2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6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6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6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6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D02992-4791-3545-9F11-77C2CECE96AE}" name="Tabella pivot4" cacheId="63" applyNumberFormats="0" applyBorderFormats="0" applyFontFormats="0" applyPatternFormats="0" applyAlignmentFormats="0" applyWidthHeightFormats="1" dataCaption="Valori" grandTotalCaption="tot" updatedVersion="8" minRefreshableVersion="3" useAutoFormatting="1" itemPrintTitles="1" createdVersion="8" indent="0" outline="1" outlineData="1" multipleFieldFilters="0" chartFormat="17" rowHeaderCaption="strike" colHeaderCaption="maturity">
  <location ref="K37:Q44" firstHeaderRow="1" firstDataRow="2" firstDataCol="1"/>
  <pivotFields count="24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numFmtId="1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PUT IV" fld="17" baseField="0" baseItem="0" numFmtId="10"/>
  </dataFields>
  <chartFormats count="4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7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7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7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7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7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7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14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4" format="1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14" format="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14" format="1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14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14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14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4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4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5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5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15" format="2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15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3" count="1" selected="0">
            <x v="0"/>
          </reference>
        </references>
      </pivotArea>
    </chartFormat>
    <chartFormat chart="15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3" count="1" selected="0">
            <x v="0"/>
          </reference>
        </references>
      </pivotArea>
    </chartFormat>
    <chartFormat chart="15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3" count="1" selected="0">
            <x v="0"/>
          </reference>
        </references>
      </pivotArea>
    </chartFormat>
    <chartFormat chart="15" format="3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5" format="3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5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5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67727F-EB1C-9449-BF33-320DD23435CE}" name="Tabella pivot17" cacheId="6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6" rowHeaderCaption="K" colHeaderCaption="T">
  <location ref="J65:P72" firstHeaderRow="1" firstDataRow="2" firstDataCol="1"/>
  <pivotFields count="41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showAll="0"/>
    <pivotField showAll="0"/>
    <pivotField showAll="0"/>
    <pivotField numFmtId="167" showAll="0"/>
    <pivotField numFmtId="167" showAll="0"/>
    <pivotField numFmtId="167" showAll="0"/>
    <pivotField numFmtId="168" showAll="0"/>
    <pivotField dataField="1"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Put Gamma" fld="29" baseField="0" baseItem="0" numFmtId="167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B06521-B18D-2D4B-A48D-FA07CC84A364}" name="Tabella pivot1" cacheId="64" applyNumberFormats="0" applyBorderFormats="0" applyFontFormats="0" applyPatternFormats="0" applyAlignmentFormats="0" applyWidthHeightFormats="1" dataCaption="Valori" grandTotalCaption="tot" updatedVersion="8" minRefreshableVersion="3" useAutoFormatting="1" itemPrintTitles="1" createdVersion="8" indent="0" outline="1" outlineData="1" multipleFieldFilters="0" chartFormat="10" rowHeaderCaption="K" colHeaderCaption="T">
  <location ref="B39:H46" firstHeaderRow="1" firstDataRow="2" firstDataCol="1"/>
  <pivotFields count="43"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dataField="1"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showAll="0"/>
    <pivotField showAll="0"/>
    <pivotField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ragToRow="0" dragToCol="0" dragToPage="0"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all Delta" fld="8" baseField="0" baseItem="0" numFmtId="167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BE6CFA-B790-744B-BD0A-67C59FED3677}" name="Tabella pivot16" cacheId="6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5" rowHeaderCaption="K" colHeaderCaption="T">
  <location ref="B65:H72" firstHeaderRow="1" firstDataRow="2" firstDataCol="1"/>
  <pivotFields count="41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showAll="0"/>
    <pivotField showAll="0"/>
    <pivotField showAll="0"/>
    <pivotField numFmtId="167" showAll="0"/>
    <pivotField dataField="1"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Put Delta" fld="26" baseField="0" baseItem="0" numFmtId="167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43FBC-E426-B54A-B908-2CE9B89DD5EE}" name="Tabella pivot11" cacheId="67" applyNumberFormats="0" applyBorderFormats="0" applyFontFormats="0" applyPatternFormats="0" applyAlignmentFormats="0" applyWidthHeightFormats="1" dataCaption="Valori" grandTotalCaption="tot" updatedVersion="8" minRefreshableVersion="3" useAutoFormatting="1" itemPrintTitles="1" createdVersion="8" indent="0" outline="1" outlineData="1" multipleFieldFilters="0" chartFormat="10" rowHeaderCaption="K" colHeaderCaption="T">
  <location ref="AH39:AN46" firstHeaderRow="1" firstDataRow="2" firstDataCol="1"/>
  <pivotFields count="22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ataField="1" numFmtId="167" showAll="0"/>
    <pivotField numFmtId="167" showAll="0"/>
    <pivotField numFmtId="168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all Rho" fld="19" baseField="0" baseItem="0" numFmtId="167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E410BF-EC8F-8246-925D-9927C1111CB0}" name="Tabella pivot20" cacheId="69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8" rowHeaderCaption="K" colHeaderCaption="T">
  <location ref="AH65:AN72" firstHeaderRow="1" firstDataRow="2" firstDataCol="1"/>
  <pivotFields count="40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showAll="0"/>
    <pivotField showAll="0"/>
    <pivotField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ataField="1" numFmtId="167" showAll="0"/>
    <pivotField numFmtId="167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Put Rho" fld="38" baseField="0" baseItem="0" numFmtId="167"/>
  </dataField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6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6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</references>
      </pivotArea>
    </chartFormat>
    <chartFormat chart="6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</references>
      </pivotArea>
    </chartFormat>
    <chartFormat chart="6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</references>
      </pivotArea>
    </chartFormat>
    <chartFormat chart="6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7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7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</references>
      </pivotArea>
    </chartFormat>
    <chartFormat chart="7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</references>
      </pivotArea>
    </chartFormat>
    <chartFormat chart="7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</references>
      </pivotArea>
    </chartFormat>
    <chartFormat chart="7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44F294-2E53-EE47-A302-5CC7C6A5B044}" name="Tabella pivot19" cacheId="6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6" rowHeaderCaption="K" colHeaderCaption="T">
  <location ref="Z65:AF72" firstHeaderRow="1" firstDataRow="2" firstDataCol="1"/>
  <pivotFields count="41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showAll="0"/>
    <pivotField showAll="0"/>
    <pivotField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ataField="1" numFmtId="167" showAll="0"/>
    <pivotField numFmtId="167" showAll="0"/>
    <pivotField numFmtId="168" showAll="0"/>
    <pivotField numFmtId="167" showAll="0"/>
    <pivotField numFmtId="167" showAll="0"/>
    <pivotField numFmtId="168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Put Theta" fld="35" baseField="0" baseItem="0" numFmtId="167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69779-9050-204A-A357-006CCA6E9644}" name="Tabella pivot9" cacheId="66" applyNumberFormats="0" applyBorderFormats="0" applyFontFormats="0" applyPatternFormats="0" applyAlignmentFormats="0" applyWidthHeightFormats="1" dataCaption="Valori" grandTotalCaption="tot" updatedVersion="8" minRefreshableVersion="3" useAutoFormatting="1" itemPrintTitles="1" createdVersion="8" indent="0" outline="1" outlineData="1" multipleFieldFilters="0" chartFormat="9" rowHeaderCaption="K" colHeaderCaption="T">
  <location ref="Z39:AF46" firstHeaderRow="1" firstDataRow="2" firstDataCol="1"/>
  <pivotFields count="19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ataField="1" numFmtId="167" showAll="0"/>
    <pivotField numFmtId="167" showAll="0"/>
    <pivotField numFmtId="168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all Theta" fld="16" baseField="0" baseItem="0" numFmtId="167"/>
  </dataField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99EDF-5816-DA4F-B195-B4296502B2C1}" name="Tabella pivot18" cacheId="6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8" rowHeaderCaption="K" colHeaderCaption="T">
  <location ref="R65:X72" firstHeaderRow="1" firstDataRow="2" firstDataCol="1"/>
  <pivotFields count="41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showAll="0"/>
    <pivotField showAll="0"/>
    <pivotField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ataField="1"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Put Vega" fld="32" baseField="0" baseItem="0" numFmtId="167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63F13-691F-2449-BB8A-98A1782C4FE8}" name="Tabella pivot7" cacheId="65" applyNumberFormats="0" applyBorderFormats="0" applyFontFormats="0" applyPatternFormats="0" applyAlignmentFormats="0" applyWidthHeightFormats="1" dataCaption="Valori" grandTotalCaption="tot" updatedVersion="8" minRefreshableVersion="3" useAutoFormatting="1" itemPrintTitles="1" createdVersion="8" indent="0" outline="1" outlineData="1" multipleFieldFilters="0" chartFormat="10" rowHeaderCaption="K" colHeaderCaption="T">
  <location ref="R39:X46" firstHeaderRow="1" firstDataRow="2" firstDataCol="1"/>
  <pivotFields count="16"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ataField="1" numFmtId="167" showAll="0"/>
    <pivotField numFmtId="167" showAll="0"/>
    <pivotField numFmtId="168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all Vega" fld="13" baseField="0" baseItem="0" numFmtId="167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7EB18-BEA6-2341-A5DF-2DA223AC42B1}" name="Tabella pivot5" cacheId="64" applyNumberFormats="0" applyBorderFormats="0" applyFontFormats="0" applyPatternFormats="0" applyAlignmentFormats="0" applyWidthHeightFormats="1" dataCaption="Valori" grandTotalCaption="tot" updatedVersion="8" minRefreshableVersion="3" useAutoFormatting="1" itemPrintTitles="1" createdVersion="8" indent="0" outline="1" outlineData="1" multipleFieldFilters="0" chartFormat="11" rowHeaderCaption="K" colHeaderCaption="T">
  <location ref="J39:P46" firstHeaderRow="1" firstDataRow="2" firstDataCol="1"/>
  <pivotFields count="43"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numFmtId="165" showAll="0"/>
    <pivotField axis="axisRow" showAll="0">
      <items count="6">
        <item x="0"/>
        <item x="1"/>
        <item x="2"/>
        <item x="3"/>
        <item x="4"/>
        <item t="default"/>
      </items>
    </pivotField>
    <pivotField numFmtId="2" showAll="0"/>
    <pivotField numFmtId="2" showAll="0"/>
    <pivotField numFmtId="2" showAll="0"/>
    <pivotField numFmtId="167" showAll="0"/>
    <pivotField numFmtId="167" showAll="0"/>
    <pivotField numFmtId="167" showAll="0"/>
    <pivotField numFmtId="168" showAll="0"/>
    <pivotField dataField="1"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showAll="0"/>
    <pivotField showAll="0"/>
    <pivotField showAll="0"/>
    <pivotField numFmtId="167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numFmtId="167" showAll="0"/>
    <pivotField numFmtId="167" showAll="0"/>
    <pivotField numFmtId="168" showAll="0"/>
    <pivotField dragToRow="0" dragToCol="0" dragToPage="0"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all Gamma" fld="11" baseField="0" baseItem="0" numFmtId="167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uribor-rates.eu/it/tassi-euribor-aggiornati/4/euribor-tasso-12-mesi/" TargetMode="Externa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hyperlink" Target="https://sites.google.com/view/vinegarhill-financelabs/black-scholes-merton/implied-volatilit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.xml"/><Relationship Id="rId3" Type="http://schemas.openxmlformats.org/officeDocument/2006/relationships/pivotTable" Target="../pivotTables/pivotTable5.xml"/><Relationship Id="rId7" Type="http://schemas.openxmlformats.org/officeDocument/2006/relationships/pivotTable" Target="../pivotTables/pivotTable9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11" Type="http://schemas.openxmlformats.org/officeDocument/2006/relationships/hyperlink" Target="https://www.euribor-rates.eu/it/tassi-euribor-aggiornati/4/euribor-tasso-12-mesi/" TargetMode="External"/><Relationship Id="rId5" Type="http://schemas.openxmlformats.org/officeDocument/2006/relationships/pivotTable" Target="../pivotTables/pivotTable7.xml"/><Relationship Id="rId10" Type="http://schemas.openxmlformats.org/officeDocument/2006/relationships/pivotTable" Target="../pivotTables/pivotTable12.xml"/><Relationship Id="rId4" Type="http://schemas.openxmlformats.org/officeDocument/2006/relationships/pivotTable" Target="../pivotTables/pivotTable6.xml"/><Relationship Id="rId9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C3F5-F7FA-49AC-9520-449889B40FFA}">
  <sheetPr codeName="Foglio1"/>
  <dimension ref="A1:FE116"/>
  <sheetViews>
    <sheetView tabSelected="1" zoomScale="43" zoomScaleNormal="75" workbookViewId="0">
      <selection activeCell="EP58" sqref="EP58"/>
    </sheetView>
  </sheetViews>
  <sheetFormatPr baseColWidth="10" defaultColWidth="8.83203125" defaultRowHeight="15" x14ac:dyDescent="0.2"/>
  <cols>
    <col min="1" max="1" width="6" customWidth="1"/>
    <col min="2" max="2" width="5.1640625" bestFit="1" customWidth="1"/>
    <col min="3" max="16" width="7.6640625" bestFit="1" customWidth="1"/>
    <col min="26" max="26" width="5.1640625" customWidth="1"/>
    <col min="136" max="136" width="8.83203125" customWidth="1"/>
  </cols>
  <sheetData>
    <row r="1" spans="1:161" ht="27" x14ac:dyDescent="0.35">
      <c r="A1" s="17" t="s">
        <v>4</v>
      </c>
      <c r="B1" s="16"/>
      <c r="C1" s="16"/>
      <c r="D1" s="16"/>
      <c r="E1" s="16"/>
      <c r="F1" s="16"/>
      <c r="G1" s="16"/>
      <c r="H1" s="16" t="s">
        <v>12</v>
      </c>
      <c r="I1" s="16"/>
      <c r="J1" s="16" t="s">
        <v>13</v>
      </c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</row>
    <row r="2" spans="1:161" x14ac:dyDescent="0.2">
      <c r="A2" t="s">
        <v>0</v>
      </c>
      <c r="B2">
        <v>100</v>
      </c>
    </row>
    <row r="3" spans="1:161" x14ac:dyDescent="0.2">
      <c r="A3" t="s">
        <v>1</v>
      </c>
      <c r="B3">
        <v>0.01</v>
      </c>
      <c r="C3" t="s">
        <v>55</v>
      </c>
      <c r="D3">
        <v>0.5</v>
      </c>
    </row>
    <row r="4" spans="1:161" ht="15" customHeight="1" x14ac:dyDescent="0.2">
      <c r="A4" s="132" t="s">
        <v>5</v>
      </c>
      <c r="B4" s="6" t="s">
        <v>2</v>
      </c>
      <c r="C4" s="7">
        <v>0.2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8"/>
      <c r="Y4" s="135" t="s">
        <v>7</v>
      </c>
      <c r="Z4" s="18" t="s">
        <v>2</v>
      </c>
      <c r="AA4" s="19">
        <v>0.2</v>
      </c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20"/>
      <c r="AW4" s="138" t="s">
        <v>8</v>
      </c>
      <c r="AX4" s="22" t="s">
        <v>2</v>
      </c>
      <c r="AY4" s="23">
        <v>0.2</v>
      </c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4"/>
      <c r="BU4" s="141" t="s">
        <v>9</v>
      </c>
      <c r="BV4" s="26" t="s">
        <v>2</v>
      </c>
      <c r="BW4" s="27">
        <v>0.2</v>
      </c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8"/>
      <c r="CS4" s="144" t="s">
        <v>10</v>
      </c>
      <c r="CT4" s="30" t="s">
        <v>2</v>
      </c>
      <c r="CU4" s="31">
        <v>0.2</v>
      </c>
      <c r="CV4" s="31"/>
      <c r="CW4" s="31"/>
      <c r="CX4" s="31"/>
      <c r="CY4" s="31"/>
      <c r="CZ4" s="31"/>
      <c r="DA4" s="31"/>
      <c r="DB4" s="31"/>
      <c r="DC4" s="31"/>
      <c r="DD4" s="31"/>
      <c r="DE4" s="31"/>
      <c r="DF4" s="31"/>
      <c r="DG4" s="31"/>
      <c r="DH4" s="32"/>
      <c r="DQ4" s="129" t="s">
        <v>11</v>
      </c>
      <c r="DR4" s="34" t="s">
        <v>2</v>
      </c>
      <c r="DS4" s="35">
        <v>0.2</v>
      </c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6"/>
      <c r="EP4" s="129" t="s">
        <v>80</v>
      </c>
      <c r="EQ4" s="34" t="s">
        <v>2</v>
      </c>
      <c r="ER4" s="35">
        <v>0.2</v>
      </c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6"/>
    </row>
    <row r="5" spans="1:161" ht="15" customHeight="1" x14ac:dyDescent="0.2">
      <c r="A5" s="133"/>
      <c r="C5" s="10">
        <v>0.1</v>
      </c>
      <c r="D5" s="11">
        <v>0.2</v>
      </c>
      <c r="E5" s="11">
        <v>0.3</v>
      </c>
      <c r="F5" s="11">
        <v>0.4</v>
      </c>
      <c r="G5" s="11">
        <v>0.5</v>
      </c>
      <c r="H5" s="11">
        <v>0.6</v>
      </c>
      <c r="I5" s="11">
        <v>0.7</v>
      </c>
      <c r="J5" s="11">
        <v>0.8</v>
      </c>
      <c r="K5" s="11">
        <v>0.9</v>
      </c>
      <c r="L5" s="11">
        <v>1</v>
      </c>
      <c r="M5" s="11">
        <v>2</v>
      </c>
      <c r="N5" s="11">
        <v>3</v>
      </c>
      <c r="O5" s="11">
        <v>4</v>
      </c>
      <c r="P5" s="12">
        <v>5</v>
      </c>
      <c r="Y5" s="136"/>
      <c r="AA5" s="10">
        <v>0.1</v>
      </c>
      <c r="AB5" s="11">
        <v>0.2</v>
      </c>
      <c r="AC5" s="11">
        <v>0.3</v>
      </c>
      <c r="AD5" s="11">
        <v>0.4</v>
      </c>
      <c r="AE5" s="11">
        <v>0.5</v>
      </c>
      <c r="AF5" s="11">
        <v>0.6</v>
      </c>
      <c r="AG5" s="11">
        <v>0.7</v>
      </c>
      <c r="AH5" s="11">
        <v>0.8</v>
      </c>
      <c r="AI5" s="11">
        <v>0.9</v>
      </c>
      <c r="AJ5" s="11">
        <v>1</v>
      </c>
      <c r="AK5" s="11">
        <v>2</v>
      </c>
      <c r="AL5" s="11">
        <v>3</v>
      </c>
      <c r="AM5" s="11">
        <v>4</v>
      </c>
      <c r="AN5" s="12">
        <v>5</v>
      </c>
      <c r="AW5" s="139"/>
      <c r="AY5" s="10">
        <v>0.1</v>
      </c>
      <c r="AZ5" s="11">
        <v>0.2</v>
      </c>
      <c r="BA5" s="11">
        <v>0.3</v>
      </c>
      <c r="BB5" s="11">
        <v>0.4</v>
      </c>
      <c r="BC5" s="11">
        <v>0.5</v>
      </c>
      <c r="BD5" s="11">
        <v>0.6</v>
      </c>
      <c r="BE5" s="11">
        <v>0.7</v>
      </c>
      <c r="BF5" s="11">
        <v>0.8</v>
      </c>
      <c r="BG5" s="11">
        <v>0.9</v>
      </c>
      <c r="BH5" s="11">
        <v>1</v>
      </c>
      <c r="BI5" s="11">
        <v>2</v>
      </c>
      <c r="BJ5" s="11">
        <v>3</v>
      </c>
      <c r="BK5" s="11">
        <v>4</v>
      </c>
      <c r="BL5" s="12">
        <v>5</v>
      </c>
      <c r="BU5" s="142"/>
      <c r="BW5" s="10">
        <v>0.1</v>
      </c>
      <c r="BX5" s="11">
        <v>0.2</v>
      </c>
      <c r="BY5" s="11">
        <v>0.3</v>
      </c>
      <c r="BZ5" s="11">
        <v>0.4</v>
      </c>
      <c r="CA5" s="11">
        <v>0.5</v>
      </c>
      <c r="CB5" s="11">
        <v>0.6</v>
      </c>
      <c r="CC5" s="11">
        <v>0.7</v>
      </c>
      <c r="CD5" s="11">
        <v>0.8</v>
      </c>
      <c r="CE5" s="11">
        <v>0.9</v>
      </c>
      <c r="CF5" s="11">
        <v>1</v>
      </c>
      <c r="CG5" s="11">
        <v>2</v>
      </c>
      <c r="CH5" s="11">
        <v>3</v>
      </c>
      <c r="CI5" s="11">
        <v>4</v>
      </c>
      <c r="CJ5" s="12">
        <v>5</v>
      </c>
      <c r="CS5" s="145"/>
      <c r="CU5" s="10">
        <v>0.1</v>
      </c>
      <c r="CV5" s="11">
        <v>0.2</v>
      </c>
      <c r="CW5" s="11">
        <v>0.3</v>
      </c>
      <c r="CX5" s="11">
        <v>0.4</v>
      </c>
      <c r="CY5" s="11">
        <v>0.5</v>
      </c>
      <c r="CZ5" s="11">
        <v>0.6</v>
      </c>
      <c r="DA5" s="11">
        <v>0.7</v>
      </c>
      <c r="DB5" s="11">
        <v>0.8</v>
      </c>
      <c r="DC5" s="11">
        <v>0.9</v>
      </c>
      <c r="DD5" s="11">
        <v>1</v>
      </c>
      <c r="DE5" s="11">
        <v>2</v>
      </c>
      <c r="DF5" s="11">
        <v>3</v>
      </c>
      <c r="DG5" s="11">
        <v>4</v>
      </c>
      <c r="DH5" s="12">
        <v>5</v>
      </c>
      <c r="DQ5" s="130"/>
      <c r="DS5" s="10">
        <v>0.1</v>
      </c>
      <c r="DT5" s="11">
        <v>0.2</v>
      </c>
      <c r="DU5" s="11">
        <v>0.3</v>
      </c>
      <c r="DV5" s="11">
        <v>0.4</v>
      </c>
      <c r="DW5" s="11">
        <v>0.5</v>
      </c>
      <c r="DX5" s="11">
        <v>0.6</v>
      </c>
      <c r="DY5" s="11">
        <v>0.7</v>
      </c>
      <c r="DZ5" s="11">
        <v>0.8</v>
      </c>
      <c r="EA5" s="11">
        <v>0.9</v>
      </c>
      <c r="EB5" s="11">
        <v>1</v>
      </c>
      <c r="EC5" s="11">
        <v>2</v>
      </c>
      <c r="ED5" s="11">
        <v>3</v>
      </c>
      <c r="EE5" s="11">
        <v>4</v>
      </c>
      <c r="EF5" s="12">
        <v>5</v>
      </c>
      <c r="EP5" s="130"/>
      <c r="ER5" s="10">
        <v>0.1</v>
      </c>
      <c r="ES5" s="11">
        <v>0.2</v>
      </c>
      <c r="ET5" s="11">
        <v>0.3</v>
      </c>
      <c r="EU5" s="11">
        <v>0.4</v>
      </c>
      <c r="EV5" s="11">
        <v>0.5</v>
      </c>
      <c r="EW5" s="11">
        <v>0.6</v>
      </c>
      <c r="EX5" s="11">
        <v>0.7</v>
      </c>
      <c r="EY5" s="11">
        <v>0.8</v>
      </c>
      <c r="EZ5" s="11">
        <v>0.9</v>
      </c>
      <c r="FA5" s="11">
        <v>1</v>
      </c>
      <c r="FB5" s="11">
        <v>2</v>
      </c>
      <c r="FC5" s="11">
        <v>3</v>
      </c>
      <c r="FD5" s="11">
        <v>4</v>
      </c>
      <c r="FE5" s="12">
        <v>5</v>
      </c>
    </row>
    <row r="6" spans="1:161" x14ac:dyDescent="0.2">
      <c r="A6" s="133"/>
      <c r="B6" s="13">
        <v>60</v>
      </c>
      <c r="C6" s="1" cm="1">
        <f t="array" ref="C6">OptionPrice("C",$B6,$B$2,C$5,$B$3,$C$4,0)</f>
        <v>2.2304490506969554E-16</v>
      </c>
      <c r="D6" s="1" cm="1">
        <f t="array" ref="D6">OptionPrice("C",$B6,$B$2,D$5,$B$3,$C$4,0)</f>
        <v>7.3538008423880733E-9</v>
      </c>
      <c r="E6" s="1" cm="1">
        <f t="array" ref="E6">OptionPrice("C",$B6,$B$2,E$5,$B$3,$C$4,0)</f>
        <v>2.9959877791228948E-6</v>
      </c>
      <c r="F6" s="1" cm="1">
        <f t="array" ref="F6">OptionPrice("C",$B6,$B$2,F$5,$B$3,$C$4,0)</f>
        <v>6.7667326194035312E-5</v>
      </c>
      <c r="G6" s="1" cm="1">
        <f t="array" ref="G6">OptionPrice("C",$B6,$B$2,G$5,$B$3,$C$4,0)</f>
        <v>4.6864522509331916E-4</v>
      </c>
      <c r="H6" s="1" cm="1">
        <f t="array" ref="H6">OptionPrice("C",$B6,$B$2,H$5,$B$3,$C$4,0)</f>
        <v>1.7756647257560002E-3</v>
      </c>
      <c r="I6" s="1" cm="1">
        <f t="array" ref="I6">OptionPrice("C",$B6,$B$2,I$5,$B$3,$C$4,0)</f>
        <v>4.7343479923354914E-3</v>
      </c>
      <c r="J6" s="1" cm="1">
        <f t="array" ref="J6">OptionPrice("C",$B6,$B$2,J$5,$B$3,$C$4,0)</f>
        <v>1.0091999448092415E-2</v>
      </c>
      <c r="K6" s="1" cm="1">
        <f t="array" ref="K6">OptionPrice("C",$B6,$B$2,K$5,$B$3,$C$4,0)</f>
        <v>1.8481177013845107E-2</v>
      </c>
      <c r="L6" s="1" cm="1">
        <f t="array" ref="L6">OptionPrice("C",$B6,$B$2,L$5,$B$3,$C$4,0)</f>
        <v>3.0373595562479816E-2</v>
      </c>
      <c r="M6" s="1" cm="1">
        <f t="array" ref="M6">OptionPrice("C",$B6,$B$2,M$5,$B$3,$C$4,0)</f>
        <v>0.36103660596338738</v>
      </c>
      <c r="N6" s="1" cm="1">
        <f t="array" ref="N6">OptionPrice("C",$B6,$B$2,N$5,$B$3,$C$4,0)</f>
        <v>0.98463486335617389</v>
      </c>
      <c r="O6" s="1" cm="1">
        <f t="array" ref="O6">OptionPrice("C",$B6,$B$2,O$5,$B$3,$C$4,0)</f>
        <v>1.7618351785889246</v>
      </c>
      <c r="P6" s="2" cm="1">
        <f t="array" ref="P6">OptionPrice("C",$B6,$B$2,P$5,$B$3,$C$4,0)</f>
        <v>2.6132921028055698</v>
      </c>
      <c r="Y6" s="136"/>
      <c r="Z6" s="13">
        <v>60</v>
      </c>
      <c r="AA6" s="1" cm="1">
        <f t="array" ref="AA6">OptionDelta("C",$Z6,$B$2,AA$5,$B$3,$AA$4,0)</f>
        <v>4.8964030371399111E-16</v>
      </c>
      <c r="AB6" s="1" cm="1">
        <f t="array" ref="AB6">OptionDelta("C",$Z6,$B$2,AB$5,$B$3,$AA$4,0)</f>
        <v>8.3013130785334355E-9</v>
      </c>
      <c r="AC6" s="1" cm="1">
        <f t="array" ref="AC6">OptionDelta("C",$Z6,$B$2,AC$5,$B$3,$AA$4,0)</f>
        <v>2.3135653326617214E-6</v>
      </c>
      <c r="AD6" s="1" cm="1">
        <f t="array" ref="AD6">OptionDelta("C",$Z6,$B$2,AD$5,$B$3,$AA$4,0)</f>
        <v>4.0139975424484934E-5</v>
      </c>
      <c r="AE6" s="1" cm="1">
        <f t="array" ref="AE6">OptionDelta("C",$Z6,$B$2,AE$5,$B$3,$AA$4,0)</f>
        <v>2.2743341786876357E-4</v>
      </c>
      <c r="AF6" s="1" cm="1">
        <f t="array" ref="AF6">OptionDelta("C",$Z6,$B$2,AF$5,$B$3,$AA$4,0)</f>
        <v>7.3339315349598864E-4</v>
      </c>
      <c r="AG6" s="1" cm="1">
        <f t="array" ref="AG6">OptionDelta("C",$Z6,$B$2,AG$5,$B$3,$AA$4,0)</f>
        <v>1.7097704105366416E-3</v>
      </c>
      <c r="AH6" s="1" cm="1">
        <f t="array" ref="AH6">OptionDelta("C",$Z6,$B$2,AH$5,$B$3,$AA$4,0)</f>
        <v>3.2499291224938613E-3</v>
      </c>
      <c r="AI6" s="1" cm="1">
        <f t="array" ref="AI6">OptionDelta("C",$Z6,$B$2,AI$5,$B$3,$AA$4,0)</f>
        <v>5.3863786913071277E-3</v>
      </c>
      <c r="AJ6" s="1" cm="1">
        <f t="array" ref="AJ6">OptionDelta("C",$Z6,$B$2,AJ$5,$B$3,$AA$4,0)</f>
        <v>8.1055453543928818E-3</v>
      </c>
      <c r="AK6" s="1" cm="1">
        <f t="array" ref="AK6">OptionDelta("C",$Z6,$B$2,AK$5,$B$3,$AA$4,0)</f>
        <v>5.5478177979400571E-2</v>
      </c>
      <c r="AL6" s="1" cm="1">
        <f t="array" ref="AL6">OptionDelta("C",$Z6,$B$2,AL$5,$B$3,$AA$4,0)</f>
        <v>0.11221757852337162</v>
      </c>
      <c r="AM6" s="1" cm="1">
        <f t="array" ref="AM6">OptionDelta("C",$Z6,$B$2,AM$5,$B$3,$AA$4,0)</f>
        <v>0.16426871972840887</v>
      </c>
      <c r="AN6" s="1" cm="1">
        <f t="array" ref="AN6">OptionDelta("C",$Z6,$B$2,AN$5,$B$3,$AA$4,0)</f>
        <v>0.20988203686100165</v>
      </c>
      <c r="AW6" s="139"/>
      <c r="AX6" s="13">
        <v>60</v>
      </c>
      <c r="AY6" s="1" cm="1">
        <f t="array" ref="AY6">OptionTheta("C",$AX6,$B$2,AY$5,$B$3,$AY$4,0)</f>
        <v>-2.066511058311062E-16</v>
      </c>
      <c r="AZ6" s="1" cm="1">
        <f t="array" ref="AZ6">OptionTheta("C",$AX6,$B$2,AZ$5,$B$3,$AY$4,0)</f>
        <v>-1.7598718961492301E-9</v>
      </c>
      <c r="BA6" s="1" cm="1">
        <f t="array" ref="BA6">OptionTheta("C",$AX6,$B$2,BA$5,$B$3,$AY$4,0)</f>
        <v>-3.2833462792724949E-7</v>
      </c>
      <c r="BB6" s="1" cm="1">
        <f t="array" ref="BB6">OptionTheta("C",$AX6,$B$2,BB$5,$B$3,$AY$4,0)</f>
        <v>-4.2883062760824116E-6</v>
      </c>
      <c r="BC6" s="1" cm="1">
        <f t="array" ref="BC6">OptionTheta("C",$AX6,$B$2,BC$5,$B$3,$AY$4,0)</f>
        <v>-1.9503422452077548E-5</v>
      </c>
      <c r="BD6" s="1" cm="1">
        <f t="array" ref="BD6">OptionTheta("C",$AX6,$B$2,BD$5,$B$3,$AY$4,0)</f>
        <v>-5.2569629760454496E-5</v>
      </c>
      <c r="BE6" s="1" cm="1">
        <f t="array" ref="BE6">OptionTheta("C",$AX6,$B$2,BE$5,$B$3,$AY$4,0)</f>
        <v>-1.0533980269340913E-4</v>
      </c>
      <c r="BF6" s="1" cm="1">
        <f t="array" ref="BF6">OptionTheta("C",$AX6,$B$2,BF$5,$B$3,$AY$4,0)</f>
        <v>-1.7564415615483212E-4</v>
      </c>
      <c r="BG6" s="1" cm="1">
        <f t="array" ref="BG6">OptionTheta("C",$AX6,$B$2,BG$5,$B$3,$AY$4,0)</f>
        <v>-2.593616127553257E-4</v>
      </c>
      <c r="BH6" s="1" cm="1">
        <f t="array" ref="BH6">OptionTheta("C",$AX6,$B$2,BH$5,$B$3,$AY$4,0)</f>
        <v>-3.5200490120518426E-4</v>
      </c>
      <c r="BI6" s="1" cm="1">
        <f t="array" ref="BI6">OptionTheta("C",$AX6,$B$2,BI$5,$B$3,$AY$4,0)</f>
        <v>-1.2206037061217737E-3</v>
      </c>
      <c r="BJ6" s="1" cm="1">
        <f t="array" ref="BJ6">OptionTheta("C",$AX6,$B$2,BJ$5,$B$3,$AY$4,0)</f>
        <v>-1.6527866271508298E-3</v>
      </c>
      <c r="BK6" s="1" cm="1">
        <f t="array" ref="BK6">OptionTheta("C",$AX6,$B$2,BK$5,$B$3,$AY$4,0)</f>
        <v>-1.812646125901823E-3</v>
      </c>
      <c r="BL6" s="1" cm="1">
        <f t="array" ref="BL6">OptionTheta("C",$AX6,$B$2,BL$5,$B$3,$AY$4,0)</f>
        <v>-1.8445851187638676E-3</v>
      </c>
      <c r="BU6" s="142"/>
      <c r="BV6" s="13">
        <v>60</v>
      </c>
      <c r="BW6" s="1" cm="1">
        <f t="array" ref="BW6">OptionGamma($BV6,$B$2,BW$5,$B$3,$BW$4,0)</f>
        <v>1.0516556577990479E-15</v>
      </c>
      <c r="BX6" s="1" cm="1">
        <f t="array" ref="BX6">OptionGamma($BV6,$B$2,BX$5,$B$3,$BW$4,0)</f>
        <v>8.9897290546272933E-9</v>
      </c>
      <c r="BY6" s="1" cm="1">
        <f t="array" ref="BY6">OptionGamma($BV6,$B$2,BY$5,$B$3,$BW$4,0)</f>
        <v>1.6833377571562758E-6</v>
      </c>
      <c r="BZ6" s="1" cm="1">
        <f t="array" ref="BZ6">OptionGamma($BV6,$B$2,BZ$5,$B$3,$BW$4,0)</f>
        <v>2.2064431982817092E-5</v>
      </c>
      <c r="CA6" s="1" cm="1">
        <f t="array" ref="CA6">OptionGamma($BV6,$B$2,CA$5,$B$3,$BW$4,0)</f>
        <v>1.0070170546498096E-4</v>
      </c>
      <c r="CB6" s="1" cm="1">
        <f t="array" ref="CB6">OptionGamma($BV6,$B$2,CB$5,$B$3,$BW$4,0)</f>
        <v>2.7236380704730449E-4</v>
      </c>
      <c r="CC6" s="1" cm="1">
        <f t="array" ref="CC6">OptionGamma($BV6,$B$2,CC$5,$B$3,$BW$4,0)</f>
        <v>5.476048159651799E-4</v>
      </c>
      <c r="CD6" s="1" cm="1">
        <f t="array" ref="CD6">OptionGamma($BV6,$B$2,CD$5,$B$3,$BW$4,0)</f>
        <v>9.1609936771568209E-4</v>
      </c>
      <c r="CE6" s="1" cm="1">
        <f t="array" ref="CE6">OptionGamma($BV6,$B$2,CE$5,$B$3,$BW$4,0)</f>
        <v>1.3571389458380512E-3</v>
      </c>
      <c r="CF6" s="1" cm="1">
        <f t="array" ref="CF6">OptionGamma($BV6,$B$2,CF$5,$B$3,$BW$4,0)</f>
        <v>1.8477969471792112E-3</v>
      </c>
      <c r="CG6" s="1" cm="1">
        <f t="array" ref="CG6">OptionGamma($BV6,$B$2,CG$5,$B$3,$BW$4,0)</f>
        <v>6.5999568536451924E-3</v>
      </c>
      <c r="CH6" s="1" cm="1">
        <f t="array" ref="CH6">OptionGamma($BV6,$B$2,CH$5,$B$3,$BW$4,0)</f>
        <v>9.1771016304238069E-3</v>
      </c>
      <c r="CI6" s="1" cm="1">
        <f t="array" ref="CI6">OptionGamma($BV6,$B$2,CI$5,$B$3,$BW$4,0)</f>
        <v>1.0313315500073911E-2</v>
      </c>
      <c r="CJ6" s="1" cm="1">
        <f t="array" ref="CJ6">OptionGamma($BV6,$B$2,CJ$5,$B$3,$BW$4,0)</f>
        <v>1.073708151996329E-2</v>
      </c>
      <c r="CS6" s="145"/>
      <c r="CT6" s="13">
        <v>60</v>
      </c>
      <c r="CU6" s="1" cm="1">
        <f t="array" ref="CU6">OptionVega($CT6,$B$2,CU$5,$B$3,$CU$4,0)</f>
        <v>7.5719207361531463E-16</v>
      </c>
      <c r="CV6" s="1" cm="1">
        <f t="array" ref="CV6">OptionVega($CT6,$B$2,CV$5,$B$3,$CU$4,0)</f>
        <v>1.29452098386633E-8</v>
      </c>
      <c r="CW6" s="1" cm="1">
        <f t="array" ref="CW6">OptionVega($CT6,$B$2,CW$5,$B$3,$CU$4,0)</f>
        <v>3.6360095554575554E-6</v>
      </c>
      <c r="CX6" s="1" cm="1">
        <f t="array" ref="CX6">OptionVega($CT6,$B$2,CX$5,$B$3,$CU$4,0)</f>
        <v>6.3545564110513241E-5</v>
      </c>
      <c r="CY6" s="1" cm="1">
        <f t="array" ref="CY6">OptionVega($CT6,$B$2,CY$5,$B$3,$CU$4,0)</f>
        <v>3.625261396739315E-4</v>
      </c>
      <c r="CZ6" s="1" cm="1">
        <f t="array" ref="CZ6">OptionVega($CT6,$B$2,CZ$5,$B$3,$CU$4,0)</f>
        <v>1.1766116464443557E-3</v>
      </c>
      <c r="DA6" s="1" cm="1">
        <f t="array" ref="DA6">OptionVega($CT6,$B$2,DA$5,$B$3,$CU$4,0)</f>
        <v>2.7599282724645072E-3</v>
      </c>
      <c r="DB6" s="1" cm="1">
        <f t="array" ref="DB6">OptionVega($CT6,$B$2,DB$5,$B$3,$CU$4,0)</f>
        <v>5.2767323580423285E-3</v>
      </c>
      <c r="DC6" s="1" cm="1">
        <f t="array" ref="DC6">OptionVega($CT6,$B$2,DC$5,$B$3,$CU$4,0)</f>
        <v>8.7942603690305717E-3</v>
      </c>
      <c r="DD6" s="1" cm="1">
        <f t="array" ref="DD6">OptionVega($CT6,$B$2,DD$5,$B$3,$CU$4,0)</f>
        <v>1.3304138019690321E-2</v>
      </c>
      <c r="DE6" s="1" cm="1">
        <f t="array" ref="DE6">OptionVega($CT6,$B$2,DE$5,$B$3,$CU$4,0)</f>
        <v>9.5039378692490781E-2</v>
      </c>
      <c r="DF6" s="1" cm="1">
        <f t="array" ref="DF6">OptionVega($CT6,$B$2,DF$5,$B$3,$CU$4,0)</f>
        <v>0.19822539521715424</v>
      </c>
      <c r="DG6" s="1" cm="1">
        <f t="array" ref="DG6">OptionVega($CT6,$B$2,DG$5,$B$3,$CU$4,0)</f>
        <v>0.29702348640212861</v>
      </c>
      <c r="DH6" s="1" cm="1">
        <f t="array" ref="DH6">OptionVega($CT6,$B$2,DH$5,$B$3,$CU$4,0)</f>
        <v>0.3865349347186785</v>
      </c>
      <c r="DQ6" s="130"/>
      <c r="DR6" s="13">
        <v>60</v>
      </c>
      <c r="DS6" s="1" cm="1">
        <f t="array" ref="DS6">OptionRho("C",$DR6,$B$2,DS$5,$B$3,$DS$4,0)</f>
        <v>2.9155373317769776E-17</v>
      </c>
      <c r="DT6" s="1" cm="1">
        <f t="array" ref="DT6">OptionRho("C",$DR6,$B$2,DT$5,$B$3,$DS$4,0)</f>
        <v>9.8144996773923621E-10</v>
      </c>
      <c r="DU6" s="1" cm="1">
        <f t="array" ref="DU6">OptionRho("C",$DR6,$B$2,DU$5,$B$3,$DS$4,0)</f>
        <v>4.0745379654174117E-7</v>
      </c>
      <c r="DV6" s="1" cm="1">
        <f t="array" ref="DV6">OptionRho("C",$DR6,$B$2,DV$5,$B$3,$DS$4,0)</f>
        <v>9.3629247971002436E-6</v>
      </c>
      <c r="DW6" s="1" cm="1">
        <f t="array" ref="DW6">OptionRho("C",$DR6,$B$2,DW$5,$B$3,$DS$4,0)</f>
        <v>6.588679923516248E-5</v>
      </c>
      <c r="DX6" s="1" cm="1">
        <f t="array" ref="DX6">OptionRho("C",$DR6,$B$2,DX$5,$B$3,$DS$4,0)</f>
        <v>2.5336754690401985E-4</v>
      </c>
      <c r="DY6" s="1" cm="1">
        <f t="array" ref="DY6">OptionRho("C",$DR6,$B$2,DY$5,$B$3,$DS$4,0)</f>
        <v>6.8496313647904098E-4</v>
      </c>
      <c r="DZ6" s="1" cm="1">
        <f t="array" ref="DZ6">OptionRho("C",$DR6,$B$2,DZ$5,$B$3,$DS$4,0)</f>
        <v>1.4792299832123142E-3</v>
      </c>
      <c r="EA6" s="1" cm="1">
        <f t="array" ref="EA6">OptionRho("C",$DR6,$B$2,EA$5,$B$3,$DS$4,0)</f>
        <v>2.742313900181243E-3</v>
      </c>
      <c r="EB6" s="1" cm="1">
        <f t="array" ref="EB6">OptionRho("C",$DR6,$B$2,EB$5,$B$3,$DS$4,0)</f>
        <v>4.5595912570109316E-3</v>
      </c>
      <c r="EC6" s="1" cm="1">
        <f t="array" ref="EC6">OptionRho("C",$DR6,$B$2,EC$5,$B$3,$DS$4,0)</f>
        <v>5.9353081456012938E-2</v>
      </c>
      <c r="ED6" s="1" cm="1">
        <f t="array" ref="ED6">OptionRho("C",$DR6,$B$2,ED$5,$B$3,$DS$4,0)</f>
        <v>0.17245259544138369</v>
      </c>
      <c r="EE6" s="1" cm="1">
        <f t="array" ref="EE6">OptionRho("C",$DR6,$B$2,EE$5,$B$3,$DS$4,0)</f>
        <v>0.32377152020462435</v>
      </c>
      <c r="EF6" s="1" cm="1">
        <f t="array" ref="EF6">OptionRho("C",$DR6,$B$2,EF$5,$B$3,$DS$4,0)</f>
        <v>0.4989815054427264</v>
      </c>
      <c r="EP6" s="130"/>
      <c r="EQ6" s="13">
        <v>60</v>
      </c>
      <c r="ER6" s="1" cm="1">
        <f t="array" ref="ER6">OptionRho("C",$EQ6,$B$2,ER$5,$D$3,$ER$4,0)</f>
        <v>1.1978455126011946E-14</v>
      </c>
      <c r="ES6" s="1" cm="1">
        <f t="array" ref="ES6">OptionRho("C",$EQ6,$B$2,ES$5,$D$3,$ER$4,0)</f>
        <v>3.1848604929837223E-7</v>
      </c>
      <c r="ET6" s="1" cm="1">
        <f t="array" ref="ET6">OptionRho("C",$EQ6,$B$2,ET$5,$D$3,$ER$4,0)</f>
        <v>1.0484446608555424E-4</v>
      </c>
      <c r="EU6" s="1" cm="1">
        <f t="array" ref="EU6">OptionRho("C",$EQ6,$B$2,EU$5,$D$3,$ER$4,0)</f>
        <v>1.9187058235036678E-3</v>
      </c>
      <c r="EV6" s="1" cm="1">
        <f t="array" ref="EV6">OptionRho("C",$EQ6,$B$2,EV$5,$D$3,$ER$4,0)</f>
        <v>1.0803747038862123E-2</v>
      </c>
      <c r="EW6" s="1" cm="1">
        <f t="array" ref="EW6">OptionRho("C",$EQ6,$B$2,EW$5,$D$3,$ER$4,0)</f>
        <v>3.3412279260192877E-2</v>
      </c>
      <c r="EX6" s="1" cm="1">
        <f t="array" ref="EX6">OptionRho("C",$EQ6,$B$2,EX$5,$D$3,$ER$4,0)</f>
        <v>7.3036097725576385E-2</v>
      </c>
      <c r="EY6" s="1" cm="1">
        <f t="array" ref="EY6">OptionRho("C",$EQ6,$B$2,EY$5,$D$3,$ER$4,0)</f>
        <v>0.12825605605912291</v>
      </c>
      <c r="EZ6" s="1" cm="1">
        <f t="array" ref="EZ6">OptionRho("C",$EQ6,$B$2,EZ$5,$D$3,$ER$4,0)</f>
        <v>0.19448707405349844</v>
      </c>
      <c r="FA6" s="1" cm="1">
        <f t="array" ref="FA6">OptionRho("C",$EQ6,$B$2,FA$5,$D$3,$ER$4,0)</f>
        <v>0.26611797068248194</v>
      </c>
      <c r="FB6" s="1" cm="1">
        <f t="array" ref="FB6">OptionRho("C",$EQ6,$B$2,FB$5,$D$3,$ER$4,0)</f>
        <v>0.69445697230484693</v>
      </c>
      <c r="FC6" s="1" cm="1">
        <f t="array" ref="FC6">OptionRho("C",$EQ6,$B$2,FC$5,$D$3,$ER$4,0)</f>
        <v>0.66694322676932216</v>
      </c>
      <c r="FD6" s="1" cm="1">
        <f t="array" ref="FD6">OptionRho("C",$EQ6,$B$2,FD$5,$D$3,$ER$4,0)</f>
        <v>0.54122561223627141</v>
      </c>
      <c r="FE6" s="1" cm="1">
        <f t="array" ref="FE6">OptionRho("C",$EQ6,$B$2,FE$5,$D$3,$ER$4,0)</f>
        <v>0.41042007497961491</v>
      </c>
    </row>
    <row r="7" spans="1:161" x14ac:dyDescent="0.2">
      <c r="A7" s="133"/>
      <c r="B7" s="14">
        <v>65</v>
      </c>
      <c r="C7" s="1" cm="1">
        <f t="array" ref="C7">OptionPrice("C",$B7,$B$2,C$5,$B$3,$C$4,0)</f>
        <v>3.8877845312123772E-12</v>
      </c>
      <c r="D7" s="1" cm="1">
        <f t="array" ref="D7">OptionPrice("C",$B7,$B$2,D$5,$B$3,$C$4,0)</f>
        <v>1.1386378740025482E-6</v>
      </c>
      <c r="E7" s="1" cm="1">
        <f t="array" ref="E7">OptionPrice("C",$B7,$B$2,E$5,$B$3,$C$4,0)</f>
        <v>9.5434049698821591E-5</v>
      </c>
      <c r="F7" s="1" cm="1">
        <f t="array" ref="F7">OptionPrice("C",$B7,$B$2,F$5,$B$3,$C$4,0)</f>
        <v>9.7373460393569006E-4</v>
      </c>
      <c r="G7" s="1" cm="1">
        <f t="array" ref="G7">OptionPrice("C",$B7,$B$2,G$5,$B$3,$C$4,0)</f>
        <v>4.1752870736835174E-3</v>
      </c>
      <c r="H7" s="1" cm="1">
        <f t="array" ref="H7">OptionPrice("C",$B7,$B$2,H$5,$B$3,$C$4,0)</f>
        <v>1.147020467830176E-2</v>
      </c>
      <c r="I7" s="1" cm="1">
        <f t="array" ref="I7">OptionPrice("C",$B7,$B$2,I$5,$B$3,$C$4,0)</f>
        <v>2.4273203323521619E-2</v>
      </c>
      <c r="J7" s="1" cm="1">
        <f t="array" ref="J7">OptionPrice("C",$B7,$B$2,J$5,$B$3,$C$4,0)</f>
        <v>4.346324645500943E-2</v>
      </c>
      <c r="K7" s="1" cm="1">
        <f t="array" ref="K7">OptionPrice("C",$B7,$B$2,K$5,$B$3,$C$4,0)</f>
        <v>6.944067387296049E-2</v>
      </c>
      <c r="L7" s="1" cm="1">
        <f t="array" ref="L7">OptionPrice("C",$B7,$B$2,L$5,$B$3,$C$4,0)</f>
        <v>0.10225335189392948</v>
      </c>
      <c r="M7" s="1" cm="1">
        <f t="array" ref="M7">OptionPrice("C",$B7,$B$2,M$5,$B$3,$C$4,0)</f>
        <v>0.73168283516570831</v>
      </c>
      <c r="N7" s="1" cm="1">
        <f t="array" ref="N7">OptionPrice("C",$B7,$B$2,N$5,$B$3,$C$4,0)</f>
        <v>1.6680855007928859</v>
      </c>
      <c r="O7" s="1" cm="1">
        <f t="array" ref="O7">OptionPrice("C",$B7,$B$2,O$5,$B$3,$C$4,0)</f>
        <v>2.7168342277186781</v>
      </c>
      <c r="P7" s="2" cm="1">
        <f t="array" ref="P7">OptionPrice("C",$B7,$B$2,P$5,$B$3,$C$4,0)</f>
        <v>3.7995183932571717</v>
      </c>
      <c r="Y7" s="136"/>
      <c r="Z7" s="14">
        <v>65</v>
      </c>
      <c r="AA7" s="1" cm="1">
        <f t="array" ref="AA7">OptionDelta("C",$Z7,$B$2,AA$5,$B$3,$AA$4,0)</f>
        <v>6.7189909908190016E-12</v>
      </c>
      <c r="AB7" s="1" cm="1">
        <f t="array" ref="AB7">OptionDelta("C",$Z7,$B$2,AB$5,$B$3,$AA$4,0)</f>
        <v>1.0210267589266487E-6</v>
      </c>
      <c r="AC7" s="1" cm="1">
        <f t="array" ref="AC7">OptionDelta("C",$Z7,$B$2,AC$5,$B$3,$AA$4,0)</f>
        <v>5.8978518150786922E-5</v>
      </c>
      <c r="AD7" s="1" cm="1">
        <f t="array" ref="AD7">OptionDelta("C",$Z7,$B$2,AD$5,$B$3,$AA$4,0)</f>
        <v>4.6519881412379274E-4</v>
      </c>
      <c r="AE7" s="1" cm="1">
        <f t="array" ref="AE7">OptionDelta("C",$Z7,$B$2,AE$5,$B$3,$AA$4,0)</f>
        <v>1.6409066155964737E-3</v>
      </c>
      <c r="AF7" s="1" cm="1">
        <f t="array" ref="AF7">OptionDelta("C",$Z7,$B$2,AF$5,$B$3,$AA$4,0)</f>
        <v>3.8551173459696964E-3</v>
      </c>
      <c r="AG7" s="1" cm="1">
        <f t="array" ref="AG7">OptionDelta("C",$Z7,$B$2,AG$5,$B$3,$AA$4,0)</f>
        <v>7.1642370961297339E-3</v>
      </c>
      <c r="AH7" s="1" cm="1">
        <f t="array" ref="AH7">OptionDelta("C",$Z7,$B$2,AH$5,$B$3,$AA$4,0)</f>
        <v>1.1483425231958777E-2</v>
      </c>
      <c r="AI7" s="1" cm="1">
        <f t="array" ref="AI7">OptionDelta("C",$Z7,$B$2,AI$5,$B$3,$AA$4,0)</f>
        <v>1.6663450654240821E-2</v>
      </c>
      <c r="AJ7" s="1" cm="1">
        <f t="array" ref="AJ7">OptionDelta("C",$Z7,$B$2,AJ$5,$B$3,$AA$4,0)</f>
        <v>2.2539605701555526E-2</v>
      </c>
      <c r="AK7" s="1" cm="1">
        <f t="array" ref="AK7">OptionDelta("C",$Z7,$B$2,AK$5,$B$3,$AA$4,0)</f>
        <v>9.4943144684704661E-2</v>
      </c>
      <c r="AL7" s="1" cm="1">
        <f t="array" ref="AL7">OptionDelta("C",$Z7,$B$2,AL$5,$B$3,$AA$4,0)</f>
        <v>0.16261786177644788</v>
      </c>
      <c r="AM7" s="1" cm="1">
        <f t="array" ref="AM7">OptionDelta("C",$Z7,$B$2,AM$5,$B$3,$AA$4,0)</f>
        <v>0.21859198446496683</v>
      </c>
      <c r="AN7" s="1" cm="1">
        <f t="array" ref="AN7">OptionDelta("C",$Z7,$B$2,AN$5,$B$3,$AA$4,0)</f>
        <v>0.26505120645503799</v>
      </c>
      <c r="AW7" s="139"/>
      <c r="AX7" s="14">
        <v>65</v>
      </c>
      <c r="AY7" s="1" cm="1">
        <f t="array" ref="AY7">OptionTheta("C",$AX7,$B$2,AY$5,$B$3,$AY$4,0)</f>
        <v>-2.6011491668502462E-12</v>
      </c>
      <c r="AZ7" s="1" cm="1">
        <f t="array" ref="AZ7">OptionTheta("C",$AX7,$B$2,AZ$5,$B$3,$AY$4,0)</f>
        <v>-1.992357058237849E-7</v>
      </c>
      <c r="BA7" s="1" cm="1">
        <f t="array" ref="BA7">OptionTheta("C",$AX7,$B$2,BA$5,$B$3,$AY$4,0)</f>
        <v>-7.727319958925261E-6</v>
      </c>
      <c r="BB7" s="1" cm="1">
        <f t="array" ref="BB7">OptionTheta("C",$AX7,$B$2,BB$5,$B$3,$AY$4,0)</f>
        <v>-4.6004848790606487E-5</v>
      </c>
      <c r="BC7" s="1" cm="1">
        <f t="array" ref="BC7">OptionTheta("C",$AX7,$B$2,BC$5,$B$3,$AY$4,0)</f>
        <v>-1.3056721507329281E-4</v>
      </c>
      <c r="BD7" s="1" cm="1">
        <f t="array" ref="BD7">OptionTheta("C",$AX7,$B$2,BD$5,$B$3,$AY$4,0)</f>
        <v>-2.5696218406901921E-4</v>
      </c>
      <c r="BE7" s="1" cm="1">
        <f t="array" ref="BE7">OptionTheta("C",$AX7,$B$2,BE$5,$B$3,$AY$4,0)</f>
        <v>-4.1125985083875457E-4</v>
      </c>
      <c r="BF7" s="1" cm="1">
        <f t="array" ref="BF7">OptionTheta("C",$AX7,$B$2,BF$5,$B$3,$AY$4,0)</f>
        <v>-5.7931073146288991E-4</v>
      </c>
      <c r="BG7" s="1" cm="1">
        <f t="array" ref="BG7">OptionTheta("C",$AX7,$B$2,BG$5,$B$3,$AY$4,0)</f>
        <v>-7.5021010955624045E-4</v>
      </c>
      <c r="BH7" s="1" cm="1">
        <f t="array" ref="BH7">OptionTheta("C",$AX7,$B$2,BH$5,$B$3,$AY$4,0)</f>
        <v>-9.1663987957427942E-4</v>
      </c>
      <c r="BI7" s="1" cm="1">
        <f t="array" ref="BI7">OptionTheta("C",$AX7,$B$2,BI$5,$B$3,$AY$4,0)</f>
        <v>-1.9783641324264407E-3</v>
      </c>
      <c r="BJ7" s="1" cm="1">
        <f t="array" ref="BJ7">OptionTheta("C",$AX7,$B$2,BJ$5,$B$3,$AY$4,0)</f>
        <v>-2.2843589815852989E-3</v>
      </c>
      <c r="BK7" s="1" cm="1">
        <f t="array" ref="BK7">OptionTheta("C",$AX7,$B$2,BK$5,$B$3,$AY$4,0)</f>
        <v>-2.3118992079080511E-3</v>
      </c>
      <c r="BL7" s="1" cm="1">
        <f t="array" ref="BL7">OptionTheta("C",$AX7,$B$2,BL$5,$B$3,$AY$4,0)</f>
        <v>-2.2409256221649185E-3</v>
      </c>
      <c r="BU7" s="142"/>
      <c r="BV7" s="14">
        <v>65</v>
      </c>
      <c r="BW7" s="1" cm="1">
        <f t="array" ref="BW7">OptionGamma($BV7,$B$2,BW$5,$B$3,$BW$4,0)</f>
        <v>1.1286957540817279E-11</v>
      </c>
      <c r="BX7" s="1" cm="1">
        <f t="array" ref="BX7">OptionGamma($BV7,$B$2,BX$5,$B$3,$BW$4,0)</f>
        <v>8.6832323834608022E-7</v>
      </c>
      <c r="BY7" s="1" cm="1">
        <f t="array" ref="BY7">OptionGamma($BV7,$B$2,BY$5,$B$3,$BW$4,0)</f>
        <v>3.3820751258091636E-5</v>
      </c>
      <c r="BZ7" s="1" cm="1">
        <f t="array" ref="BZ7">OptionGamma($BV7,$B$2,BZ$5,$B$3,$BW$4,0)</f>
        <v>2.0218238688417126E-4</v>
      </c>
      <c r="CA7" s="1" cm="1">
        <f t="array" ref="CA7">OptionGamma($BV7,$B$2,CA$5,$B$3,$BW$4,0)</f>
        <v>5.7611680391896742E-4</v>
      </c>
      <c r="CB7" s="1" cm="1">
        <f t="array" ref="CB7">OptionGamma($BV7,$B$2,CB$5,$B$3,$BW$4,0)</f>
        <v>1.1382523244176247E-3</v>
      </c>
      <c r="CC7" s="1" cm="1">
        <f t="array" ref="CC7">OptionGamma($BV7,$B$2,CC$5,$B$3,$BW$4,0)</f>
        <v>1.8286848240875091E-3</v>
      </c>
      <c r="CD7" s="1" cm="1">
        <f t="array" ref="CD7">OptionGamma($BV7,$B$2,CD$5,$B$3,$BW$4,0)</f>
        <v>2.585538590771336E-3</v>
      </c>
      <c r="CE7" s="1" cm="1">
        <f t="array" ref="CE7">OptionGamma($BV7,$B$2,CE$5,$B$3,$BW$4,0)</f>
        <v>3.3605151026574521E-3</v>
      </c>
      <c r="CF7" s="1" cm="1">
        <f t="array" ref="CF7">OptionGamma($BV7,$B$2,CF$5,$B$3,$BW$4,0)</f>
        <v>4.1207309613217006E-3</v>
      </c>
      <c r="CG7" s="1" cm="1">
        <f t="array" ref="CG7">OptionGamma($BV7,$B$2,CG$5,$B$3,$BW$4,0)</f>
        <v>9.1893387459059377E-3</v>
      </c>
      <c r="CH7" s="1" cm="1">
        <f t="array" ref="CH7">OptionGamma($BV7,$B$2,CH$5,$B$3,$BW$4,0)</f>
        <v>1.0920849507992854E-2</v>
      </c>
      <c r="CI7" s="1" cm="1">
        <f t="array" ref="CI7">OptionGamma($BV7,$B$2,CI$5,$B$3,$BW$4,0)</f>
        <v>1.1346268148064857E-2</v>
      </c>
      <c r="CJ7" s="1" cm="1">
        <f t="array" ref="CJ7">OptionGamma($BV7,$B$2,CJ$5,$B$3,$BW$4,0)</f>
        <v>1.1268946181697022E-2</v>
      </c>
      <c r="CS7" s="145"/>
      <c r="CT7" s="14">
        <v>65</v>
      </c>
      <c r="CU7" s="1" cm="1">
        <f t="array" ref="CU7">OptionVega($CT7,$B$2,CU$5,$B$3,$CU$4,0)</f>
        <v>9.5374791219906036E-12</v>
      </c>
      <c r="CV7" s="1" cm="1">
        <f t="array" ref="CV7">OptionVega($CT7,$B$2,CV$5,$B$3,$CU$4,0)</f>
        <v>1.4674662728048759E-6</v>
      </c>
      <c r="CW7" s="1" cm="1">
        <f t="array" ref="CW7">OptionVega($CT7,$B$2,CW$5,$B$3,$CU$4,0)</f>
        <v>8.5735604439262291E-5</v>
      </c>
      <c r="CX7" s="1" cm="1">
        <f t="array" ref="CX7">OptionVega($CT7,$B$2,CX$5,$B$3,$CU$4,0)</f>
        <v>6.8337646766849906E-4</v>
      </c>
      <c r="CY7" s="1" cm="1">
        <f t="array" ref="CY7">OptionVega($CT7,$B$2,CY$5,$B$3,$CU$4,0)</f>
        <v>2.4340934965576379E-3</v>
      </c>
      <c r="CZ7" s="1" cm="1">
        <f t="array" ref="CZ7">OptionVega($CT7,$B$2,CZ$5,$B$3,$CU$4,0)</f>
        <v>5.7709392847973585E-3</v>
      </c>
      <c r="DA7" s="1" cm="1">
        <f t="array" ref="DA7">OptionVega($CT7,$B$2,DA$5,$B$3,$CU$4,0)</f>
        <v>1.0816670734477618E-2</v>
      </c>
      <c r="DB7" s="1" cm="1">
        <f t="array" ref="DB7">OptionVega($CT7,$B$2,DB$5,$B$3,$CU$4,0)</f>
        <v>1.7478240873614232E-2</v>
      </c>
      <c r="DC7" s="1" cm="1">
        <f t="array" ref="DC7">OptionVega($CT7,$B$2,DC$5,$B$3,$CU$4,0)</f>
        <v>2.5556717355709923E-2</v>
      </c>
      <c r="DD7" s="1" cm="1">
        <f t="array" ref="DD7">OptionVega($CT7,$B$2,DD$5,$B$3,$CU$4,0)</f>
        <v>3.4820176623168372E-2</v>
      </c>
      <c r="DE7" s="1" cm="1">
        <f t="array" ref="DE7">OptionVega($CT7,$B$2,DE$5,$B$3,$CU$4,0)</f>
        <v>0.15529982480581039</v>
      </c>
      <c r="DF7" s="1" cm="1">
        <f t="array" ref="DF7">OptionVega($CT7,$B$2,DF$5,$B$3,$CU$4,0)</f>
        <v>0.27684353502761883</v>
      </c>
      <c r="DG7" s="1" cm="1">
        <f t="array" ref="DG7">OptionVega($CT7,$B$2,DG$5,$B$3,$CU$4,0)</f>
        <v>0.38350386340459214</v>
      </c>
      <c r="DH7" s="1" cm="1">
        <f t="array" ref="DH7">OptionVega($CT7,$B$2,DH$5,$B$3,$CU$4,0)</f>
        <v>0.47611297617669923</v>
      </c>
      <c r="DQ7" s="130"/>
      <c r="DR7" s="14">
        <v>65</v>
      </c>
      <c r="DS7" s="1" cm="1">
        <f t="array" ref="DS7">OptionRho("C",$DR7,$B$2,DS$5,$B$3,$DS$4,0)</f>
        <v>4.3284662987202281E-13</v>
      </c>
      <c r="DT7" s="1" cm="1">
        <f t="array" ref="DT7">OptionRho("C",$DR7,$B$2,DT$5,$B$3,$DS$4,0)</f>
        <v>1.3045620291245923E-7</v>
      </c>
      <c r="DU7" s="1" cm="1">
        <f t="array" ref="DU7">OptionRho("C",$DR7,$B$2,DU$5,$B$3,$DS$4,0)</f>
        <v>1.1214508890306986E-5</v>
      </c>
      <c r="DV7" s="1" cm="1">
        <f t="array" ref="DV7">OptionRho("C",$DR7,$B$2,DV$5,$B$3,$DS$4,0)</f>
        <v>1.1705675325644336E-4</v>
      </c>
      <c r="DW7" s="1" cm="1">
        <f t="array" ref="DW7">OptionRho("C",$DR7,$B$2,DW$5,$B$3,$DS$4,0)</f>
        <v>5.124182147004363E-4</v>
      </c>
      <c r="DX7" s="1" cm="1">
        <f t="array" ref="DX7">OptionRho("C",$DR7,$B$2,DX$5,$B$3,$DS$4,0)</f>
        <v>1.4346745368583711E-3</v>
      </c>
      <c r="DY7" s="1" cm="1">
        <f t="array" ref="DY7">OptionRho("C",$DR7,$B$2,DY$5,$B$3,$DS$4,0)</f>
        <v>3.0898154554743775E-3</v>
      </c>
      <c r="DZ7" s="1" cm="1">
        <f t="array" ref="DZ7">OptionRho("C",$DR7,$B$2,DZ$5,$B$3,$DS$4,0)</f>
        <v>5.6236751489784891E-3</v>
      </c>
      <c r="EA7" s="1" cm="1">
        <f t="array" ref="EA7">OptionRho("C",$DR7,$B$2,EA$5,$B$3,$DS$4,0)</f>
        <v>9.1231525678742362E-3</v>
      </c>
      <c r="EB7" s="1" cm="1">
        <f t="array" ref="EB7">OptionRho("C",$DR7,$B$2,EB$5,$B$3,$DS$4,0)</f>
        <v>1.3628210187071797E-2</v>
      </c>
      <c r="EC7" s="1" cm="1">
        <f t="array" ref="EC7">OptionRho("C",$DR7,$B$2,EC$5,$B$3,$DS$4,0)</f>
        <v>0.10879243138680189</v>
      </c>
      <c r="ED7" s="1" cm="1">
        <f t="array" ref="ED7">OptionRho("C",$DR7,$B$2,ED$5,$B$3,$DS$4,0)</f>
        <v>0.26706226544028677</v>
      </c>
      <c r="EE7" s="1" cm="1">
        <f t="array" ref="EE7">OptionRho("C",$DR7,$B$2,EE$5,$B$3,$DS$4,0)</f>
        <v>0.45966579050016665</v>
      </c>
      <c r="EF7" s="1" cm="1">
        <f t="array" ref="EF7">OptionRho("C",$DR7,$B$2,EF$5,$B$3,$DS$4,0)</f>
        <v>0.67144050131601485</v>
      </c>
      <c r="EP7" s="130"/>
      <c r="EQ7" s="14">
        <v>65</v>
      </c>
      <c r="ER7" s="1" cm="1">
        <f t="array" ref="ER7">OptionRho("C",$EQ7,$B$2,ER$5,$D$3,$ER$4,0)</f>
        <v>6.7901719449035625E-11</v>
      </c>
      <c r="ES7" s="1" cm="1">
        <f t="array" ref="ES7">OptionRho("C",$EQ7,$B$2,ES$5,$D$3,$ER$4,0)</f>
        <v>1.6454087689215239E-5</v>
      </c>
      <c r="ET7" s="1" cm="1">
        <f t="array" ref="ET7">OptionRho("C",$EQ7,$B$2,ET$5,$D$3,$ER$4,0)</f>
        <v>1.1420440481482257E-3</v>
      </c>
      <c r="EU7" s="1" cm="1">
        <f t="array" ref="EU7">OptionRho("C",$EQ7,$B$2,EU$5,$D$3,$ER$4,0)</f>
        <v>9.6708856329462828E-3</v>
      </c>
      <c r="EV7" s="1" cm="1">
        <f t="array" ref="EV7">OptionRho("C",$EQ7,$B$2,EV$5,$D$3,$ER$4,0)</f>
        <v>3.4525107047347528E-2</v>
      </c>
      <c r="EW7" s="1" cm="1">
        <f t="array" ref="EW7">OptionRho("C",$EQ7,$B$2,EW$5,$D$3,$ER$4,0)</f>
        <v>7.927630821777526E-2</v>
      </c>
      <c r="EX7" s="1" cm="1">
        <f t="array" ref="EX7">OptionRho("C",$EQ7,$B$2,EX$5,$D$3,$ER$4,0)</f>
        <v>0.14085590005682097</v>
      </c>
      <c r="EY7" s="1" cm="1">
        <f t="array" ref="EY7">OptionRho("C",$EQ7,$B$2,EY$5,$D$3,$ER$4,0)</f>
        <v>0.21281001640367159</v>
      </c>
      <c r="EZ7" s="1" cm="1">
        <f t="array" ref="EZ7">OptionRho("C",$EQ7,$B$2,EZ$5,$D$3,$ER$4,0)</f>
        <v>0.28840121015573256</v>
      </c>
      <c r="FA7" s="1" cm="1">
        <f t="array" ref="FA7">OptionRho("C",$EQ7,$B$2,FA$5,$D$3,$ER$4,0)</f>
        <v>0.36221522449395371</v>
      </c>
      <c r="FB7" s="1" cm="1">
        <f t="array" ref="FB7">OptionRho("C",$EQ7,$B$2,FB$5,$D$3,$ER$4,0)</f>
        <v>0.71319459954606679</v>
      </c>
      <c r="FC7" s="1" cm="1">
        <f t="array" ref="FC7">OptionRho("C",$EQ7,$B$2,FC$5,$D$3,$ER$4,0)</f>
        <v>0.66819373233148549</v>
      </c>
      <c r="FD7" s="1" cm="1">
        <f t="array" ref="FD7">OptionRho("C",$EQ7,$B$2,FD$5,$D$3,$ER$4,0)</f>
        <v>0.54128785517827505</v>
      </c>
      <c r="FE7" s="1" cm="1">
        <f t="array" ref="FE7">OptionRho("C",$EQ7,$B$2,FE$5,$D$3,$ER$4,0)</f>
        <v>0.41042280524711861</v>
      </c>
    </row>
    <row r="8" spans="1:161" x14ac:dyDescent="0.2">
      <c r="A8" s="133"/>
      <c r="B8" s="14">
        <v>70</v>
      </c>
      <c r="C8" s="1" cm="1">
        <f t="array" ref="C8">OptionPrice("C",$B8,$B$2,C$5,$B$3,$C$4,0)</f>
        <v>8.3004997426498993E-9</v>
      </c>
      <c r="D8" s="1" cm="1">
        <f t="array" ref="D8">OptionPrice("C",$B8,$B$2,D$5,$B$3,$C$4,0)</f>
        <v>6.2183582667875697E-5</v>
      </c>
      <c r="E8" s="1" cm="1">
        <f t="array" ref="E8">OptionPrice("C",$B8,$B$2,E$5,$B$3,$C$4,0)</f>
        <v>1.5220997632125546E-3</v>
      </c>
      <c r="F8" s="1" cm="1">
        <f t="array" ref="F8">OptionPrice("C",$B8,$B$2,F$5,$B$3,$C$4,0)</f>
        <v>8.3502433446597524E-3</v>
      </c>
      <c r="G8" s="1" cm="1">
        <f t="array" ref="G8">OptionPrice("C",$B8,$B$2,G$5,$B$3,$C$4,0)</f>
        <v>2.4594855938378291E-2</v>
      </c>
      <c r="H8" s="1" cm="1">
        <f t="array" ref="H8">OptionPrice("C",$B8,$B$2,H$5,$B$3,$C$4,0)</f>
        <v>5.2483668198078481E-2</v>
      </c>
      <c r="I8" s="1" cm="1">
        <f t="array" ref="I8">OptionPrice("C",$B8,$B$2,I$5,$B$3,$C$4,0)</f>
        <v>9.2579767870508922E-2</v>
      </c>
      <c r="J8" s="1" cm="1">
        <f t="array" ref="J8">OptionPrice("C",$B8,$B$2,J$5,$B$3,$C$4,0)</f>
        <v>0.144438741357098</v>
      </c>
      <c r="K8" s="1" cm="1">
        <f t="array" ref="K8">OptionPrice("C",$B8,$B$2,K$5,$B$3,$C$4,0)</f>
        <v>0.20712487180069639</v>
      </c>
      <c r="L8" s="1" cm="1">
        <f t="array" ref="L8">OptionPrice("C",$B8,$B$2,L$5,$B$3,$C$4,0)</f>
        <v>0.27952126691005486</v>
      </c>
      <c r="M8" s="1" cm="1">
        <f t="array" ref="M8">OptionPrice("C",$B8,$B$2,M$5,$B$3,$C$4,0)</f>
        <v>1.3317351009523826</v>
      </c>
      <c r="N8" s="1" cm="1">
        <f t="array" ref="N8">OptionPrice("C",$B8,$B$2,N$5,$B$3,$C$4,0)</f>
        <v>2.6236494340253564</v>
      </c>
      <c r="O8" s="1" cm="1">
        <f t="array" ref="O8">OptionPrice("C",$B8,$B$2,O$5,$B$3,$C$4,0)</f>
        <v>3.9546115368892121</v>
      </c>
      <c r="P8" s="2" cm="1">
        <f t="array" ref="P8">OptionPrice("C",$B8,$B$2,P$5,$B$3,$C$4,0)</f>
        <v>5.2667416950154369</v>
      </c>
      <c r="Y8" s="136"/>
      <c r="Z8" s="14">
        <v>70</v>
      </c>
      <c r="AA8" s="1" cm="1">
        <f t="array" ref="AA8">OptionDelta("C",$Z8,$B$2,AA$5,$B$3,$AA$4,0)</f>
        <v>1.1217502453550677E-8</v>
      </c>
      <c r="AB8" s="1" cm="1">
        <f t="array" ref="AB8">OptionDelta("C",$Z8,$B$2,AB$5,$B$3,$AA$4,0)</f>
        <v>4.4152463014191854E-5</v>
      </c>
      <c r="AC8" s="1" cm="1">
        <f t="array" ref="AC8">OptionDelta("C",$Z8,$B$2,AC$5,$B$3,$AA$4,0)</f>
        <v>7.522257491842688E-4</v>
      </c>
      <c r="AD8" s="1" cm="1">
        <f t="array" ref="AD8">OptionDelta("C",$Z8,$B$2,AD$5,$B$3,$AA$4,0)</f>
        <v>3.2160999955850558E-3</v>
      </c>
      <c r="AE8" s="1" cm="1">
        <f t="array" ref="AE8">OptionDelta("C",$Z8,$B$2,AE$5,$B$3,$AA$4,0)</f>
        <v>7.8458863408448522E-3</v>
      </c>
      <c r="AF8" s="1" cm="1">
        <f t="array" ref="AF8">OptionDelta("C",$Z8,$B$2,AF$5,$B$3,$AA$4,0)</f>
        <v>1.4402778602930108E-2</v>
      </c>
      <c r="AG8" s="1" cm="1">
        <f t="array" ref="AG8">OptionDelta("C",$Z8,$B$2,AG$5,$B$3,$AA$4,0)</f>
        <v>2.242591118396205E-2</v>
      </c>
      <c r="AH8" s="1" cm="1">
        <f t="array" ref="AH8">OptionDelta("C",$Z8,$B$2,AH$5,$B$3,$AA$4,0)</f>
        <v>3.1463320553836806E-2</v>
      </c>
      <c r="AI8" s="1" cm="1">
        <f t="array" ref="AI8">OptionDelta("C",$Z8,$B$2,AI$5,$B$3,$AA$4,0)</f>
        <v>4.1145992558525323E-2</v>
      </c>
      <c r="AJ8" s="1" cm="1">
        <f t="array" ref="AJ8">OptionDelta("C",$Z8,$B$2,AJ$5,$B$3,$AA$4,0)</f>
        <v>5.1195105289887979E-2</v>
      </c>
      <c r="AK8" s="1" cm="1">
        <f t="array" ref="AK8">OptionDelta("C",$Z8,$B$2,AK$5,$B$3,$AA$4,0)</f>
        <v>0.14711107776501314</v>
      </c>
      <c r="AL8" s="1" cm="1">
        <f t="array" ref="AL8">OptionDelta("C",$Z8,$B$2,AL$5,$B$3,$AA$4,0)</f>
        <v>0.22070207540533249</v>
      </c>
      <c r="AM8" s="1" cm="1">
        <f t="array" ref="AM8">OptionDelta("C",$Z8,$B$2,AM$5,$B$3,$AA$4,0)</f>
        <v>0.27702998118727484</v>
      </c>
      <c r="AN8" s="1" cm="1">
        <f t="array" ref="AN8">OptionDelta("C",$Z8,$B$2,AN$5,$B$3,$AA$4,0)</f>
        <v>0.32199074177395015</v>
      </c>
      <c r="AW8" s="139"/>
      <c r="AX8" s="14">
        <v>70</v>
      </c>
      <c r="AY8" s="1" cm="1">
        <f t="array" ref="AY8">OptionTheta("C",$AX8,$B$2,AY$5,$B$3,$AY$4,0)</f>
        <v>-3.8979118376658971E-9</v>
      </c>
      <c r="AZ8" s="1" cm="1">
        <f t="array" ref="AZ8">OptionTheta("C",$AX8,$B$2,AZ$5,$B$3,$AY$4,0)</f>
        <v>-7.7747478547710122E-6</v>
      </c>
      <c r="BA8" s="1" cm="1">
        <f t="array" ref="BA8">OptionTheta("C",$AX8,$B$2,BA$5,$B$3,$AY$4,0)</f>
        <v>-8.9338638490647768E-5</v>
      </c>
      <c r="BB8" s="1" cm="1">
        <f t="array" ref="BB8">OptionTheta("C",$AX8,$B$2,BB$5,$B$3,$AY$4,0)</f>
        <v>-2.8942377704799352E-4</v>
      </c>
      <c r="BC8" s="1" cm="1">
        <f t="array" ref="BC8">OptionTheta("C",$AX8,$B$2,BC$5,$B$3,$AY$4,0)</f>
        <v>-5.7004360990008519E-4</v>
      </c>
      <c r="BD8" s="1" cm="1">
        <f t="array" ref="BD8">OptionTheta("C",$AX8,$B$2,BD$5,$B$3,$AY$4,0)</f>
        <v>-8.7923652476108087E-4</v>
      </c>
      <c r="BE8" s="1" cm="1">
        <f t="array" ref="BE8">OptionTheta("C",$AX8,$B$2,BE$5,$B$3,$AY$4,0)</f>
        <v>-1.1822330573380358E-3</v>
      </c>
      <c r="BF8" s="1" cm="1">
        <f t="array" ref="BF8">OptionTheta("C",$AX8,$B$2,BF$5,$B$3,$AY$4,0)</f>
        <v>-1.4612340877304712E-3</v>
      </c>
      <c r="BG8" s="1" cm="1">
        <f t="array" ref="BG8">OptionTheta("C",$AX8,$B$2,BG$5,$B$3,$AY$4,0)</f>
        <v>-1.7092130869861147E-3</v>
      </c>
      <c r="BH8" s="1" cm="1">
        <f t="array" ref="BH8">OptionTheta("C",$AX8,$B$2,BH$5,$B$3,$AY$4,0)</f>
        <v>-1.9249873127726127E-3</v>
      </c>
      <c r="BI8" s="1" cm="1">
        <f t="array" ref="BI8">OptionTheta("C",$AX8,$B$2,BI$5,$B$3,$AY$4,0)</f>
        <v>-2.875362386989756E-3</v>
      </c>
      <c r="BJ8" s="1" cm="1">
        <f t="array" ref="BJ8">OptionTheta("C",$AX8,$B$2,BJ$5,$B$3,$AY$4,0)</f>
        <v>-2.9330977420835842E-3</v>
      </c>
      <c r="BK8" s="1" cm="1">
        <f t="array" ref="BK8">OptionTheta("C",$AX8,$B$2,BK$5,$B$3,$AY$4,0)</f>
        <v>-2.7882252689433377E-3</v>
      </c>
      <c r="BL8" s="1" cm="1">
        <f t="array" ref="BL8">OptionTheta("C",$AX8,$B$2,BL$5,$B$3,$AY$4,0)</f>
        <v>-2.6018373118986485E-3</v>
      </c>
      <c r="BU8" s="142"/>
      <c r="BV8" s="14">
        <v>70</v>
      </c>
      <c r="BW8" s="1" cm="1">
        <f t="array" ref="BW8">OptionGamma($BV8,$B$2,BW$5,$B$3,$BW$4,0)</f>
        <v>1.4597010892531745E-8</v>
      </c>
      <c r="BX8" s="1" cm="1">
        <f t="array" ref="BX8">OptionGamma($BV8,$B$2,BX$5,$B$3,$BW$4,0)</f>
        <v>2.9265998523210969E-5</v>
      </c>
      <c r="BY8" s="1" cm="1">
        <f t="array" ref="BY8">OptionGamma($BV8,$B$2,BY$5,$B$3,$BW$4,0)</f>
        <v>3.3795857220289077E-4</v>
      </c>
      <c r="BZ8" s="1" cm="1">
        <f t="array" ref="BZ8">OptionGamma($BV8,$B$2,BZ$5,$B$3,$BW$4,0)</f>
        <v>1.1000759814895978E-3</v>
      </c>
      <c r="CA8" s="1" cm="1">
        <f t="array" ref="CA8">OptionGamma($BV8,$B$2,CA$5,$B$3,$BW$4,0)</f>
        <v>2.1766539744157011E-3</v>
      </c>
      <c r="CB8" s="1" cm="1">
        <f t="array" ref="CB8">OptionGamma($BV8,$B$2,CB$5,$B$3,$BW$4,0)</f>
        <v>3.3722289783455592E-3</v>
      </c>
      <c r="CC8" s="1" cm="1">
        <f t="array" ref="CC8">OptionGamma($BV8,$B$2,CC$5,$B$3,$BW$4,0)</f>
        <v>4.5539531232495038E-3</v>
      </c>
      <c r="CD8" s="1" cm="1">
        <f t="array" ref="CD8">OptionGamma($BV8,$B$2,CD$5,$B$3,$BW$4,0)</f>
        <v>5.6523508060789462E-3</v>
      </c>
      <c r="CE8" s="1" cm="1">
        <f t="array" ref="CE8">OptionGamma($BV8,$B$2,CE$5,$B$3,$BW$4,0)</f>
        <v>6.6387114573764538E-3</v>
      </c>
      <c r="CF8" s="1" cm="1">
        <f t="array" ref="CF8">OptionGamma($BV8,$B$2,CF$5,$B$3,$BW$4,0)</f>
        <v>7.5067523489369872E-3</v>
      </c>
      <c r="CG8" s="1" cm="1">
        <f t="array" ref="CG8">OptionGamma($BV8,$B$2,CG$5,$B$3,$BW$4,0)</f>
        <v>1.1624159945686186E-2</v>
      </c>
      <c r="CH8" s="1" cm="1">
        <f t="array" ref="CH8">OptionGamma($BV8,$B$2,CH$5,$B$3,$BW$4,0)</f>
        <v>1.2233016676571298E-2</v>
      </c>
      <c r="CI8" s="1" cm="1">
        <f t="array" ref="CI8">OptionGamma($BV8,$B$2,CI$5,$B$3,$BW$4,0)</f>
        <v>1.1959970353331821E-2</v>
      </c>
      <c r="CJ8" s="1" cm="1">
        <f t="array" ref="CJ8">OptionGamma($BV8,$B$2,CJ$5,$B$3,$BW$4,0)</f>
        <v>1.1453027766679769E-2</v>
      </c>
      <c r="CS8" s="145"/>
      <c r="CT8" s="14">
        <v>70</v>
      </c>
      <c r="CU8" s="1" cm="1">
        <f t="array" ref="CU8">OptionVega($CT8,$B$2,CU$5,$B$3,$CU$4,0)</f>
        <v>1.4305070674681116E-8</v>
      </c>
      <c r="CV8" s="1" cm="1">
        <f t="array" ref="CV8">OptionVega($CT8,$B$2,CV$5,$B$3,$CU$4,0)</f>
        <v>5.73613571054935E-5</v>
      </c>
      <c r="CW8" s="1" cm="1">
        <f t="array" ref="CW8">OptionVega($CT8,$B$2,CW$5,$B$3,$CU$4,0)</f>
        <v>9.9359820227649877E-4</v>
      </c>
      <c r="CX8" s="1" cm="1">
        <f t="array" ref="CX8">OptionVega($CT8,$B$2,CX$5,$B$3,$CU$4,0)</f>
        <v>4.3122978474392244E-3</v>
      </c>
      <c r="CY8" s="1" cm="1">
        <f t="array" ref="CY8">OptionVega($CT8,$B$2,CY$5,$B$3,$CU$4,0)</f>
        <v>1.066560447463694E-2</v>
      </c>
      <c r="CZ8" s="1" cm="1">
        <f t="array" ref="CZ8">OptionVega($CT8,$B$2,CZ$5,$B$3,$CU$4,0)</f>
        <v>1.9828706392671893E-2</v>
      </c>
      <c r="DA8" s="1" cm="1">
        <f t="array" ref="DA8">OptionVega($CT8,$B$2,DA$5,$B$3,$CU$4,0)</f>
        <v>3.1240118425491601E-2</v>
      </c>
      <c r="DB8" s="1" cm="1">
        <f t="array" ref="DB8">OptionVega($CT8,$B$2,DB$5,$B$3,$CU$4,0)</f>
        <v>4.431443031965894E-2</v>
      </c>
      <c r="DC8" s="1" cm="1">
        <f t="array" ref="DC8">OptionVega($CT8,$B$2,DC$5,$B$3,$CU$4,0)</f>
        <v>5.8553435054060327E-2</v>
      </c>
      <c r="DD8" s="1" cm="1">
        <f t="array" ref="DD8">OptionVega($CT8,$B$2,DD$5,$B$3,$CU$4,0)</f>
        <v>7.3566173019582473E-2</v>
      </c>
      <c r="DE8" s="1" cm="1">
        <f t="array" ref="DE8">OptionVega($CT8,$B$2,DE$5,$B$3,$CU$4,0)</f>
        <v>0.22783353493544931</v>
      </c>
      <c r="DF8" s="1" cm="1">
        <f t="array" ref="DF8">OptionVega($CT8,$B$2,DF$5,$B$3,$CU$4,0)</f>
        <v>0.35965069029119617</v>
      </c>
      <c r="DG8" s="1" cm="1">
        <f t="array" ref="DG8">OptionVega($CT8,$B$2,DG$5,$B$3,$CU$4,0)</f>
        <v>0.46883083785060742</v>
      </c>
      <c r="DH8" s="1" cm="1">
        <f t="array" ref="DH8">OptionVega($CT8,$B$2,DH$5,$B$3,$CU$4,0)</f>
        <v>0.56119836056730876</v>
      </c>
      <c r="DQ8" s="130"/>
      <c r="DR8" s="14">
        <v>70</v>
      </c>
      <c r="DS8" s="1" cm="1">
        <f t="array" ref="DS8">OptionRho("C",$DR8,$B$2,DS$5,$B$3,$DS$4,0)</f>
        <v>7.7692467200589764E-10</v>
      </c>
      <c r="DT8" s="1" cm="1">
        <f t="array" ref="DT8">OptionRho("C",$DR8,$B$2,DT$5,$B$3,$DS$4,0)</f>
        <v>6.0569776566511092E-6</v>
      </c>
      <c r="DU8" s="1" cm="1">
        <f t="array" ref="DU8">OptionRho("C",$DR8,$B$2,DU$5,$B$3,$DS$4,0)</f>
        <v>1.534011080390588E-4</v>
      </c>
      <c r="DV8" s="1" cm="1">
        <f t="array" ref="DV8">OptionRho("C",$DR8,$B$2,DV$5,$B$3,$DS$4,0)</f>
        <v>8.671070253851767E-4</v>
      </c>
      <c r="DW8" s="1" cm="1">
        <f t="array" ref="DW8">OptionRho("C",$DR8,$B$2,DW$5,$B$3,$DS$4,0)</f>
        <v>2.6230859396038069E-3</v>
      </c>
      <c r="DX8" s="1" cm="1">
        <f t="array" ref="DX8">OptionRho("C",$DR8,$B$2,DX$5,$B$3,$DS$4,0)</f>
        <v>5.7342650040421743E-3</v>
      </c>
      <c r="DY8" s="1" cm="1">
        <f t="array" ref="DY8">OptionRho("C",$DR8,$B$2,DY$5,$B$3,$DS$4,0)</f>
        <v>1.0340638105047843E-2</v>
      </c>
      <c r="DZ8" s="1" cm="1">
        <f t="array" ref="DZ8">OptionRho("C",$DR8,$B$2,DZ$5,$B$3,$DS$4,0)</f>
        <v>1.6463949579291832E-2</v>
      </c>
      <c r="EA8" s="1" cm="1">
        <f t="array" ref="EA8">OptionRho("C",$DR8,$B$2,EA$5,$B$3,$DS$4,0)</f>
        <v>2.4057851465664689E-2</v>
      </c>
      <c r="EB8" s="1" cm="1">
        <f t="array" ref="EB8">OptionRho("C",$DR8,$B$2,EB$5,$B$3,$DS$4,0)</f>
        <v>3.3041361033821035E-2</v>
      </c>
      <c r="EC8" s="1" cm="1">
        <f t="array" ref="EC8">OptionRho("C",$DR8,$B$2,EC$5,$B$3,$DS$4,0)</f>
        <v>0.17932080685197074</v>
      </c>
      <c r="ED8" s="1" cm="1">
        <f t="array" ref="ED8">OptionRho("C",$DR8,$B$2,ED$5,$B$3,$DS$4,0)</f>
        <v>0.38476487533043752</v>
      </c>
      <c r="EE8" s="1" cm="1">
        <f t="array" ref="EE8">OptionRho("C",$DR8,$B$2,EE$5,$B$3,$DS$4,0)</f>
        <v>0.6174994858488011</v>
      </c>
      <c r="EF8" s="1" cm="1">
        <f t="array" ref="EF8">OptionRho("C",$DR8,$B$2,EF$5,$B$3,$DS$4,0)</f>
        <v>0.8636305114580537</v>
      </c>
      <c r="EP8" s="130"/>
      <c r="EQ8" s="14">
        <v>70</v>
      </c>
      <c r="ER8" s="1" cm="1">
        <f t="array" ref="ER8">OptionRho("C",$EQ8,$B$2,ER$5,$D$3,$ER$4,0)</f>
        <v>5.0307964387113702E-8</v>
      </c>
      <c r="ES8" s="1" cm="1">
        <f t="array" ref="ES8">OptionRho("C",$EQ8,$B$2,ES$5,$D$3,$ER$4,0)</f>
        <v>3.2242397965908943E-4</v>
      </c>
      <c r="ET8" s="1" cm="1">
        <f t="array" ref="ET8">OptionRho("C",$EQ8,$B$2,ET$5,$D$3,$ER$4,0)</f>
        <v>6.739858955875414E-3</v>
      </c>
      <c r="EU8" s="1" cm="1">
        <f t="array" ref="EU8">OptionRho("C",$EQ8,$B$2,EU$5,$D$3,$ER$4,0)</f>
        <v>3.1596607535649059E-2</v>
      </c>
      <c r="EV8" s="1" cm="1">
        <f t="array" ref="EV8">OptionRho("C",$EQ8,$B$2,EV$5,$D$3,$ER$4,0)</f>
        <v>7.9702911562488973E-2</v>
      </c>
      <c r="EW8" s="1" cm="1">
        <f t="array" ref="EW8">OptionRho("C",$EQ8,$B$2,EW$5,$D$3,$ER$4,0)</f>
        <v>0.14613805643223621</v>
      </c>
      <c r="EX8" s="1" cm="1">
        <f t="array" ref="EX8">OptionRho("C",$EQ8,$B$2,EX$5,$D$3,$ER$4,0)</f>
        <v>0.22238777467651019</v>
      </c>
      <c r="EY8" s="1" cm="1">
        <f t="array" ref="EY8">OptionRho("C",$EQ8,$B$2,EY$5,$D$3,$ER$4,0)</f>
        <v>0.30068034641021907</v>
      </c>
      <c r="EZ8" s="1" cm="1">
        <f t="array" ref="EZ8">OptionRho("C",$EQ8,$B$2,EZ$5,$D$3,$ER$4,0)</f>
        <v>0.37548898263779495</v>
      </c>
      <c r="FA8" s="1" cm="1">
        <f t="array" ref="FA8">OptionRho("C",$EQ8,$B$2,FA$5,$D$3,$ER$4,0)</f>
        <v>0.44353102919563842</v>
      </c>
      <c r="FB8" s="1" cm="1">
        <f t="array" ref="FB8">OptionRho("C",$EQ8,$B$2,FB$5,$D$3,$ER$4,0)</f>
        <v>0.7236488516174534</v>
      </c>
      <c r="FC8" s="1" cm="1">
        <f t="array" ref="FC8">OptionRho("C",$EQ8,$B$2,FC$5,$D$3,$ER$4,0)</f>
        <v>0.66879999179173855</v>
      </c>
      <c r="FD8" s="1" cm="1">
        <f t="array" ref="FD8">OptionRho("C",$EQ8,$B$2,FD$5,$D$3,$ER$4,0)</f>
        <v>0.5413159760163101</v>
      </c>
      <c r="FE8" s="1" cm="1">
        <f t="array" ref="FE8">OptionRho("C",$EQ8,$B$2,FE$5,$D$3,$ER$4,0)</f>
        <v>0.41042398752758369</v>
      </c>
    </row>
    <row r="9" spans="1:161" x14ac:dyDescent="0.2">
      <c r="A9" s="133"/>
      <c r="B9" s="14">
        <v>75</v>
      </c>
      <c r="C9" s="1" cm="1">
        <f t="array" ref="C9">OptionPrice("C",$B9,$B$2,C$5,$B$3,$C$4,0)</f>
        <v>3.2330322265967178E-6</v>
      </c>
      <c r="D9" s="1" cm="1">
        <f t="array" ref="D9">OptionPrice("C",$B9,$B$2,D$5,$B$3,$C$4,0)</f>
        <v>1.4643121360787409E-3</v>
      </c>
      <c r="E9" s="1" cm="1">
        <f t="array" ref="E9">OptionPrice("C",$B9,$B$2,E$5,$B$3,$C$4,0)</f>
        <v>1.3903223194689229E-2</v>
      </c>
      <c r="F9" s="1" cm="1">
        <f t="array" ref="F9">OptionPrice("C",$B9,$B$2,F$5,$B$3,$C$4,0)</f>
        <v>4.7202753755267945E-2</v>
      </c>
      <c r="G9" s="1" cm="1">
        <f t="array" ref="G9">OptionPrice("C",$B9,$B$2,G$5,$B$3,$C$4,0)</f>
        <v>0.10384164538844409</v>
      </c>
      <c r="H9" s="1" cm="1">
        <f t="array" ref="H9">OptionPrice("C",$B9,$B$2,H$5,$B$3,$C$4,0)</f>
        <v>0.18193776278121643</v>
      </c>
      <c r="I9" s="1" cm="1">
        <f t="array" ref="I9">OptionPrice("C",$B9,$B$2,I$5,$B$3,$C$4,0)</f>
        <v>0.27825828726258672</v>
      </c>
      <c r="J9" s="1" cm="1">
        <f t="array" ref="J9">OptionPrice("C",$B9,$B$2,J$5,$B$3,$C$4,0)</f>
        <v>0.38953533002924434</v>
      </c>
      <c r="K9" s="1" cm="1">
        <f t="array" ref="K9">OptionPrice("C",$B9,$B$2,K$5,$B$3,$C$4,0)</f>
        <v>0.51289961235516035</v>
      </c>
      <c r="L9" s="1" cm="1">
        <f t="array" ref="L9">OptionPrice("C",$B9,$B$2,L$5,$B$3,$C$4,0)</f>
        <v>0.64596386383471938</v>
      </c>
      <c r="M9" s="1" cm="1">
        <f t="array" ref="M9">OptionPrice("C",$B9,$B$2,M$5,$B$3,$C$4,0)</f>
        <v>2.2214267534534624</v>
      </c>
      <c r="N9" s="1" cm="1">
        <f t="array" ref="N9">OptionPrice("C",$B9,$B$2,N$5,$B$3,$C$4,0)</f>
        <v>3.8839955285072065</v>
      </c>
      <c r="O9" s="1" cm="1">
        <f t="array" ref="O9">OptionPrice("C",$B9,$B$2,O$5,$B$3,$C$4,0)</f>
        <v>5.4905638539372461</v>
      </c>
      <c r="P9" s="2" cm="1">
        <f t="array" ref="P9">OptionPrice("C",$B9,$B$2,P$5,$B$3,$C$4,0)</f>
        <v>7.0196785554364141</v>
      </c>
      <c r="Y9" s="136"/>
      <c r="Z9" s="14">
        <v>75</v>
      </c>
      <c r="AA9" s="1" cm="1">
        <f t="array" ref="AA9">OptionDelta("C",$Z9,$B$2,AA$5,$B$3,$AA$4,0)</f>
        <v>3.3782456328086734E-6</v>
      </c>
      <c r="AB9" s="1" cm="1">
        <f t="array" ref="AB9">OptionDelta("C",$Z9,$B$2,AB$5,$B$3,$AA$4,0)</f>
        <v>8.1830678243053191E-4</v>
      </c>
      <c r="AC9" s="1" cm="1">
        <f t="array" ref="AC9">OptionDelta("C",$Z9,$B$2,AC$5,$B$3,$AA$4,0)</f>
        <v>5.4794346275411467E-3</v>
      </c>
      <c r="AD9" s="1" cm="1">
        <f t="array" ref="AD9">OptionDelta("C",$Z9,$B$2,AD$5,$B$3,$AA$4,0)</f>
        <v>1.4648825269289092E-2</v>
      </c>
      <c r="AE9" s="1" cm="1">
        <f t="array" ref="AE9">OptionDelta("C",$Z9,$B$2,AE$5,$B$3,$AA$4,0)</f>
        <v>2.6918022682862655E-2</v>
      </c>
      <c r="AF9" s="1" cm="1">
        <f t="array" ref="AF9">OptionDelta("C",$Z9,$B$2,AF$5,$B$3,$AA$4,0)</f>
        <v>4.0860172111759581E-2</v>
      </c>
      <c r="AG9" s="1" cm="1">
        <f t="array" ref="AG9">OptionDelta("C",$Z9,$B$2,AG$5,$B$3,$AA$4,0)</f>
        <v>5.5498237073536447E-2</v>
      </c>
      <c r="AH9" s="1" cm="1">
        <f t="array" ref="AH9">OptionDelta("C",$Z9,$B$2,AH$5,$B$3,$AA$4,0)</f>
        <v>7.0237080583764377E-2</v>
      </c>
      <c r="AI9" s="1" cm="1">
        <f t="array" ref="AI9">OptionDelta("C",$Z9,$B$2,AI$5,$B$3,$AA$4,0)</f>
        <v>8.4734011793984806E-2</v>
      </c>
      <c r="AJ9" s="1" cm="1">
        <f t="array" ref="AJ9">OptionDelta("C",$Z9,$B$2,AJ$5,$B$3,$AA$4,0)</f>
        <v>9.88015767617475E-2</v>
      </c>
      <c r="AK9" s="1" cm="1">
        <f t="array" ref="AK9">OptionDelta("C",$Z9,$B$2,AK$5,$B$3,$AA$4,0)</f>
        <v>0.21041627797587964</v>
      </c>
      <c r="AL9" s="1" cm="1">
        <f t="array" ref="AL9">OptionDelta("C",$Z9,$B$2,AL$5,$B$3,$AA$4,0)</f>
        <v>0.2841154119321706</v>
      </c>
      <c r="AM9" s="1" cm="1">
        <f t="array" ref="AM9">OptionDelta("C",$Z9,$B$2,AM$5,$B$3,$AA$4,0)</f>
        <v>0.33753309294546507</v>
      </c>
      <c r="AN9" s="1" cm="1">
        <f t="array" ref="AN9">OptionDelta("C",$Z9,$B$2,AN$5,$B$3,$AA$4,0)</f>
        <v>0.37909196897565967</v>
      </c>
      <c r="AW9" s="139"/>
      <c r="AX9" s="14">
        <v>75</v>
      </c>
      <c r="AY9" s="1" cm="1">
        <f t="array" ref="AY9">OptionTheta("C",$AX9,$B$2,AY$5,$B$3,$AY$4,0)</f>
        <v>-1.0260620160406676E-6</v>
      </c>
      <c r="AZ9" s="1" cm="1">
        <f t="array" ref="AZ9">OptionTheta("C",$AX9,$B$2,AZ$5,$B$3,$AY$4,0)</f>
        <v>-1.2702818841167884E-4</v>
      </c>
      <c r="BA9" s="1" cm="1">
        <f t="array" ref="BA9">OptionTheta("C",$AX9,$B$2,BA$5,$B$3,$AY$4,0)</f>
        <v>-5.7762166326724533E-4</v>
      </c>
      <c r="BB9" s="1" cm="1">
        <f t="array" ref="BB9">OptionTheta("C",$AX9,$B$2,BB$5,$B$3,$AY$4,0)</f>
        <v>-1.1767585433733996E-3</v>
      </c>
      <c r="BC9" s="1" cm="1">
        <f t="array" ref="BC9">OptionTheta("C",$AX9,$B$2,BC$5,$B$3,$AY$4,0)</f>
        <v>-1.7542451912652512E-3</v>
      </c>
      <c r="BD9" s="1" cm="1">
        <f t="array" ref="BD9">OptionTheta("C",$AX9,$B$2,BD$5,$B$3,$AY$4,0)</f>
        <v>-2.2468154256376528E-3</v>
      </c>
      <c r="BE9" s="1" cm="1">
        <f t="array" ref="BE9">OptionTheta("C",$AX9,$B$2,BE$5,$B$3,$AY$4,0)</f>
        <v>-2.6451566768972488E-3</v>
      </c>
      <c r="BF9" s="1" cm="1">
        <f t="array" ref="BF9">OptionTheta("C",$AX9,$B$2,BF$5,$B$3,$AY$4,0)</f>
        <v>-2.9589597935479389E-3</v>
      </c>
      <c r="BG9" s="1" cm="1">
        <f t="array" ref="BG9">OptionTheta("C",$AX9,$B$2,BG$5,$B$3,$AY$4,0)</f>
        <v>-3.2024292805467544E-3</v>
      </c>
      <c r="BH9" s="1" cm="1">
        <f t="array" ref="BH9">OptionTheta("C",$AX9,$B$2,BH$5,$B$3,$AY$4,0)</f>
        <v>-3.3891681040526191E-3</v>
      </c>
      <c r="BI9" s="1" cm="1">
        <f t="array" ref="BI9">OptionTheta("C",$AX9,$B$2,BI$5,$B$3,$AY$4,0)</f>
        <v>-3.8208188097401956E-3</v>
      </c>
      <c r="BJ9" s="1" cm="1">
        <f t="array" ref="BJ9">OptionTheta("C",$AX9,$B$2,BJ$5,$B$3,$AY$4,0)</f>
        <v>-3.5442546510326229E-3</v>
      </c>
      <c r="BK9" s="1" cm="1">
        <f t="array" ref="BK9">OptionTheta("C",$AX9,$B$2,BK$5,$B$3,$AY$4,0)</f>
        <v>-3.2108157123672933E-3</v>
      </c>
      <c r="BL9" s="1" cm="1">
        <f t="array" ref="BL9">OptionTheta("C",$AX9,$B$2,BL$5,$B$3,$AY$4,0)</f>
        <v>-2.9096894086217528E-3</v>
      </c>
      <c r="BU9" s="142"/>
      <c r="BV9" s="14">
        <v>75</v>
      </c>
      <c r="BW9" s="1" cm="1">
        <f t="array" ref="BW9">OptionGamma($BV9,$B$2,BW$5,$B$3,$BW$4,0)</f>
        <v>3.3512354645083037E-6</v>
      </c>
      <c r="BX9" s="1" cm="1">
        <f t="array" ref="BX9">OptionGamma($BV9,$B$2,BX$5,$B$3,$BW$4,0)</f>
        <v>4.1746111765088789E-4</v>
      </c>
      <c r="BY9" s="1" cm="1">
        <f t="array" ref="BY9">OptionGamma($BV9,$B$2,BY$5,$B$3,$BW$4,0)</f>
        <v>1.9093551185000314E-3</v>
      </c>
      <c r="BZ9" s="1" cm="1">
        <f t="array" ref="BZ9">OptionGamma($BV9,$B$2,BZ$5,$B$3,$BW$4,0)</f>
        <v>3.9113907532951544E-3</v>
      </c>
      <c r="CA9" s="1" cm="1">
        <f t="array" ref="CA9">OptionGamma($BV9,$B$2,CA$5,$B$3,$BW$4,0)</f>
        <v>5.8617741810673696E-3</v>
      </c>
      <c r="CB9" s="1" cm="1">
        <f t="array" ref="CB9">OptionGamma($BV9,$B$2,CB$5,$B$3,$BW$4,0)</f>
        <v>7.5458967272333394E-3</v>
      </c>
      <c r="CC9" s="1" cm="1">
        <f t="array" ref="CC9">OptionGamma($BV9,$B$2,CC$5,$B$3,$BW$4,0)</f>
        <v>8.92731806222242E-3</v>
      </c>
      <c r="CD9" s="1" cm="1">
        <f t="array" ref="CD9">OptionGamma($BV9,$B$2,CD$5,$B$3,$BW$4,0)</f>
        <v>1.0033802504733588E-2</v>
      </c>
      <c r="CE9" s="1" cm="1">
        <f t="array" ref="CE9">OptionGamma($BV9,$B$2,CE$5,$B$3,$BW$4,0)</f>
        <v>1.090940622330224E-2</v>
      </c>
      <c r="CF9" s="1" cm="1">
        <f t="array" ref="CF9">OptionGamma($BV9,$B$2,CF$5,$B$3,$BW$4,0)</f>
        <v>1.1597225794774839E-2</v>
      </c>
      <c r="CG9" s="1" cm="1">
        <f t="array" ref="CG9">OptionGamma($BV9,$B$2,CG$5,$B$3,$BW$4,0)</f>
        <v>1.3601749391133745E-2</v>
      </c>
      <c r="CH9" s="1" cm="1">
        <f t="array" ref="CH9">OptionGamma($BV9,$B$2,CH$5,$B$3,$BW$4,0)</f>
        <v>1.3047996011475228E-2</v>
      </c>
      <c r="CI9" s="1" cm="1">
        <f t="array" ref="CI9">OptionGamma($BV9,$B$2,CI$5,$B$3,$BW$4,0)</f>
        <v>1.2179483699411454E-2</v>
      </c>
      <c r="CJ9" s="1" cm="1">
        <f t="array" ref="CJ9">OptionGamma($BV9,$B$2,CJ$5,$B$3,$BW$4,0)</f>
        <v>1.1343634002882847E-2</v>
      </c>
      <c r="CS9" s="145"/>
      <c r="CT9" s="14">
        <v>75</v>
      </c>
      <c r="CU9" s="1" cm="1">
        <f t="array" ref="CU9">OptionVega($CT9,$B$2,CU$5,$B$3,$CU$4,0)</f>
        <v>3.7701398975718424E-6</v>
      </c>
      <c r="CV9" s="1" cm="1">
        <f t="array" ref="CV9">OptionVega($CT9,$B$2,CV$5,$B$3,$CU$4,0)</f>
        <v>9.3928751471449782E-4</v>
      </c>
      <c r="CW9" s="1" cm="1">
        <f t="array" ref="CW9">OptionVega($CT9,$B$2,CW$5,$B$3,$CU$4,0)</f>
        <v>6.4440735249376045E-3</v>
      </c>
      <c r="CX9" s="1" cm="1">
        <f t="array" ref="CX9">OptionVega($CT9,$B$2,CX$5,$B$3,$CU$4,0)</f>
        <v>1.7601258389828199E-2</v>
      </c>
      <c r="CY9" s="1" cm="1">
        <f t="array" ref="CY9">OptionVega($CT9,$B$2,CY$5,$B$3,$CU$4,0)</f>
        <v>3.2972479768503968E-2</v>
      </c>
      <c r="CZ9" s="1" cm="1">
        <f t="array" ref="CZ9">OptionVega($CT9,$B$2,CZ$5,$B$3,$CU$4,0)</f>
        <v>5.0934802908825044E-2</v>
      </c>
      <c r="DA9" s="1" cm="1">
        <f t="array" ref="DA9">OptionVega($CT9,$B$2,DA$5,$B$3,$CU$4,0)</f>
        <v>7.0302629740001565E-2</v>
      </c>
      <c r="DB9" s="1" cm="1">
        <f t="array" ref="DB9">OptionVega($CT9,$B$2,DB$5,$B$3,$CU$4,0)</f>
        <v>9.0304222542602286E-2</v>
      </c>
      <c r="DC9" s="1" cm="1">
        <f t="array" ref="DC9">OptionVega($CT9,$B$2,DC$5,$B$3,$CU$4,0)</f>
        <v>0.11045773801093518</v>
      </c>
      <c r="DD9" s="1" cm="1">
        <f t="array" ref="DD9">OptionVega($CT9,$B$2,DD$5,$B$3,$CU$4,0)</f>
        <v>0.13046879019121693</v>
      </c>
      <c r="DE9" s="1" cm="1">
        <f t="array" ref="DE9">OptionVega($CT9,$B$2,DE$5,$B$3,$CU$4,0)</f>
        <v>0.30603936130050935</v>
      </c>
      <c r="DF9" s="1" cm="1">
        <f t="array" ref="DF9">OptionVega($CT9,$B$2,DF$5,$B$3,$CU$4,0)</f>
        <v>0.44036986538728901</v>
      </c>
      <c r="DG9" s="1" cm="1">
        <f t="array" ref="DG9">OptionVega($CT9,$B$2,DG$5,$B$3,$CU$4,0)</f>
        <v>0.54807676647351533</v>
      </c>
      <c r="DH9" s="1" cm="1">
        <f t="array" ref="DH9">OptionVega($CT9,$B$2,DH$5,$B$3,$CU$4,0)</f>
        <v>0.63807941266216028</v>
      </c>
      <c r="DQ9" s="130"/>
      <c r="DR9" s="14">
        <v>75</v>
      </c>
      <c r="DS9" s="1" cm="1">
        <f t="array" ref="DS9">OptionRho("C",$DR9,$B$2,DS$5,$B$3,$DS$4,0)</f>
        <v>2.5013539023405383E-7</v>
      </c>
      <c r="DT9" s="1" cm="1">
        <f t="array" ref="DT9">OptionRho("C",$DR9,$B$2,DT$5,$B$3,$DS$4,0)</f>
        <v>1.1981739309242231E-4</v>
      </c>
      <c r="DU9" s="1" cm="1">
        <f t="array" ref="DU9">OptionRho("C",$DR9,$B$2,DU$5,$B$3,$DS$4,0)</f>
        <v>1.1911631216126903E-3</v>
      </c>
      <c r="DV9" s="1" cm="1">
        <f t="array" ref="DV9">OptionRho("C",$DR9,$B$2,DV$5,$B$3,$DS$4,0)</f>
        <v>4.2058365657656558E-3</v>
      </c>
      <c r="DW9" s="1" cm="1">
        <f t="array" ref="DW9">OptionRho("C",$DR9,$B$2,DW$5,$B$3,$DS$4,0)</f>
        <v>9.5750502791312735E-3</v>
      </c>
      <c r="DX9" s="1" cm="1">
        <f t="array" ref="DX9">OptionRho("C",$DR9,$B$2,DX$5,$B$3,$DS$4,0)</f>
        <v>1.7295450873604512E-2</v>
      </c>
      <c r="DY9" s="1" cm="1">
        <f t="array" ref="DY9">OptionRho("C",$DR9,$B$2,DY$5,$B$3,$DS$4,0)</f>
        <v>2.7188766452768527E-2</v>
      </c>
      <c r="DZ9" s="1" cm="1">
        <f t="array" ref="DZ9">OptionRho("C",$DR9,$B$2,DZ$5,$B$3,$DS$4,0)</f>
        <v>3.9025965710024674E-2</v>
      </c>
      <c r="EA9" s="1" cm="1">
        <f t="array" ref="EA9">OptionRho("C",$DR9,$B$2,EA$5,$B$3,$DS$4,0)</f>
        <v>5.2579361449743296E-2</v>
      </c>
      <c r="EB9" s="1" cm="1">
        <f t="array" ref="EB9">OptionRho("C",$DR9,$B$2,EB$5,$B$3,$DS$4,0)</f>
        <v>6.7641543932963441E-2</v>
      </c>
      <c r="EC9" s="1" cm="1">
        <f t="array" ref="EC9">OptionRho("C",$DR9,$B$2,EC$5,$B$3,$DS$4,0)</f>
        <v>0.27119588189475019</v>
      </c>
      <c r="ED9" s="1" cm="1">
        <f t="array" ref="ED9">OptionRho("C",$DR9,$B$2,ED$5,$B$3,$DS$4,0)</f>
        <v>0.52273981099216771</v>
      </c>
      <c r="EE9" s="1" cm="1">
        <f t="array" ref="EE9">OptionRho("C",$DR9,$B$2,EE$5,$B$3,$DS$4,0)</f>
        <v>0.79297672467890534</v>
      </c>
      <c r="EF9" s="1" cm="1">
        <f t="array" ref="EF9">OptionRho("C",$DR9,$B$2,EF$5,$B$3,$DS$4,0)</f>
        <v>1.070610955886903</v>
      </c>
      <c r="EP9" s="130"/>
      <c r="EQ9" s="14">
        <v>75</v>
      </c>
      <c r="ER9" s="1" cm="1">
        <f t="array" ref="ER9">OptionRho("C",$EQ9,$B$2,ER$5,$D$3,$ER$4,0)</f>
        <v>7.1734825242659918E-6</v>
      </c>
      <c r="ES9" s="1" cm="1">
        <f t="array" ref="ES9">OptionRho("C",$EQ9,$B$2,ES$5,$D$3,$ER$4,0)</f>
        <v>2.9051995127500566E-3</v>
      </c>
      <c r="ET9" s="1" cm="1">
        <f t="array" ref="ET9">OptionRho("C",$EQ9,$B$2,ET$5,$D$3,$ER$4,0)</f>
        <v>2.448426387114325E-2</v>
      </c>
      <c r="EU9" s="1" cm="1">
        <f t="array" ref="EU9">OptionRho("C",$EQ9,$B$2,EU$5,$D$3,$ER$4,0)</f>
        <v>7.3585802158783076E-2</v>
      </c>
      <c r="EV9" s="1" cm="1">
        <f t="array" ref="EV9">OptionRho("C",$EQ9,$B$2,EV$5,$D$3,$ER$4,0)</f>
        <v>0.14329815665186268</v>
      </c>
      <c r="EW9" s="1" cm="1">
        <f t="array" ref="EW9">OptionRho("C",$EQ9,$B$2,EW$5,$D$3,$ER$4,0)</f>
        <v>0.22260937722424054</v>
      </c>
      <c r="EX9" s="1" cm="1">
        <f t="array" ref="EX9">OptionRho("C",$EQ9,$B$2,EX$5,$D$3,$ER$4,0)</f>
        <v>0.30268527714951626</v>
      </c>
      <c r="EY9" s="1" cm="1">
        <f t="array" ref="EY9">OptionRho("C",$EQ9,$B$2,EY$5,$D$3,$ER$4,0)</f>
        <v>0.37798603444674744</v>
      </c>
      <c r="EZ9" s="1" cm="1">
        <f t="array" ref="EZ9">OptionRho("C",$EQ9,$B$2,EZ$5,$D$3,$ER$4,0)</f>
        <v>0.44564008582321968</v>
      </c>
      <c r="FA9" s="1" cm="1">
        <f t="array" ref="FA9">OptionRho("C",$EQ9,$B$2,FA$5,$D$3,$ER$4,0)</f>
        <v>0.50455594005924331</v>
      </c>
      <c r="FB9" s="1" cm="1">
        <f t="array" ref="FB9">OptionRho("C",$EQ9,$B$2,FB$5,$D$3,$ER$4,0)</f>
        <v>0.72933793139183167</v>
      </c>
      <c r="FC9" s="1" cm="1">
        <f t="array" ref="FC9">OptionRho("C",$EQ9,$B$2,FC$5,$D$3,$ER$4,0)</f>
        <v>0.66909608881342264</v>
      </c>
      <c r="FD9" s="1" cm="1">
        <f t="array" ref="FD9">OptionRho("C",$EQ9,$B$2,FD$5,$D$3,$ER$4,0)</f>
        <v>0.5413289847204622</v>
      </c>
      <c r="FE9" s="1" cm="1">
        <f t="array" ref="FE9">OptionRho("C",$EQ9,$B$2,FE$5,$D$3,$ER$4,0)</f>
        <v>0.41042451689600373</v>
      </c>
    </row>
    <row r="10" spans="1:161" x14ac:dyDescent="0.2">
      <c r="A10" s="133"/>
      <c r="B10" s="14">
        <v>80</v>
      </c>
      <c r="C10" s="1" cm="1">
        <f t="array" ref="C10">OptionPrice("C",$B10,$B$2,C$5,$B$3,$C$4,0)</f>
        <v>3.1457930161798292E-4</v>
      </c>
      <c r="D10" s="1" cm="1">
        <f t="array" ref="D10">OptionPrice("C",$B10,$B$2,D$5,$B$3,$C$4,0)</f>
        <v>1.7423711064306957E-2</v>
      </c>
      <c r="E10" s="1" cm="1">
        <f t="array" ref="E10">OptionPrice("C",$B10,$B$2,E$5,$B$3,$C$4,0)</f>
        <v>8.085306853909846E-2</v>
      </c>
      <c r="F10" s="1" cm="1">
        <f t="array" ref="F10">OptionPrice("C",$B10,$B$2,F$5,$B$3,$C$4,0)</f>
        <v>0.19040690284720441</v>
      </c>
      <c r="G10" s="1" cm="1">
        <f t="array" ref="G10">OptionPrice("C",$B10,$B$2,G$5,$B$3,$C$4,0)</f>
        <v>0.33478201423465759</v>
      </c>
      <c r="H10" s="1" cm="1">
        <f t="array" ref="H10">OptionPrice("C",$B10,$B$2,H$5,$B$3,$C$4,0)</f>
        <v>0.50365162527732199</v>
      </c>
      <c r="I10" s="1" cm="1">
        <f t="array" ref="I10">OptionPrice("C",$B10,$B$2,I$5,$B$3,$C$4,0)</f>
        <v>0.68941698631189574</v>
      </c>
      <c r="J10" s="1" cm="1">
        <f t="array" ref="J10">OptionPrice("C",$B10,$B$2,J$5,$B$3,$C$4,0)</f>
        <v>0.88674153621204965</v>
      </c>
      <c r="K10" s="1" cm="1">
        <f t="array" ref="K10">OptionPrice("C",$B10,$B$2,K$5,$B$3,$C$4,0)</f>
        <v>1.091894273903721</v>
      </c>
      <c r="L10" s="1" cm="1">
        <f t="array" ref="L10">OptionPrice("C",$B10,$B$2,L$5,$B$3,$C$4,0)</f>
        <v>1.3022453387096355</v>
      </c>
      <c r="M10" s="1" cm="1">
        <f t="array" ref="M10">OptionPrice("C",$B10,$B$2,M$5,$B$3,$C$4,0)</f>
        <v>3.449793680595775</v>
      </c>
      <c r="N10" s="1" cm="1">
        <f t="array" ref="N10">OptionPrice("C",$B10,$B$2,N$5,$B$3,$C$4,0)</f>
        <v>5.4695105911263582</v>
      </c>
      <c r="O10" s="1" cm="1">
        <f t="array" ref="O10">OptionPrice("C",$B10,$B$2,O$5,$B$3,$C$4,0)</f>
        <v>7.3302941770499785</v>
      </c>
      <c r="P10" s="2" cm="1">
        <f t="array" ref="P10">OptionPrice("C",$B10,$B$2,P$5,$B$3,$C$4,0)</f>
        <v>9.055723905424145</v>
      </c>
      <c r="Y10" s="136"/>
      <c r="Z10" s="14">
        <v>80</v>
      </c>
      <c r="AA10" s="1" cm="1">
        <f t="array" ref="AA10">OptionDelta("C",$Z10,$B$2,AA$5,$B$3,$AA$4,0)</f>
        <v>2.4998248472572982E-4</v>
      </c>
      <c r="AB10" s="1" cm="1">
        <f t="array" ref="AB10">OptionDelta("C",$Z10,$B$2,AB$5,$B$3,$AA$4,0)</f>
        <v>7.5966424381891306E-3</v>
      </c>
      <c r="AC10" s="1" cm="1">
        <f t="array" ref="AC10">OptionDelta("C",$Z10,$B$2,AC$5,$B$3,$AA$4,0)</f>
        <v>2.5300139283739118E-2</v>
      </c>
      <c r="AD10" s="1" cm="1">
        <f t="array" ref="AD10">OptionDelta("C",$Z10,$B$2,AD$5,$B$3,$AA$4,0)</f>
        <v>4.7535275559280651E-2</v>
      </c>
      <c r="AE10" s="1" cm="1">
        <f t="array" ref="AE10">OptionDelta("C",$Z10,$B$2,AE$5,$B$3,$AA$4,0)</f>
        <v>7.0537829580775729E-2</v>
      </c>
      <c r="AF10" s="1" cm="1">
        <f t="array" ref="AF10">OptionDelta("C",$Z10,$B$2,AF$5,$B$3,$AA$4,0)</f>
        <v>9.2718991154622718E-2</v>
      </c>
      <c r="AG10" s="1" cm="1">
        <f t="array" ref="AG10">OptionDelta("C",$Z10,$B$2,AG$5,$B$3,$AA$4,0)</f>
        <v>0.11351617326502472</v>
      </c>
      <c r="AH10" s="1" cm="1">
        <f t="array" ref="AH10">OptionDelta("C",$Z10,$B$2,AH$5,$B$3,$AA$4,0)</f>
        <v>0.13280133237005642</v>
      </c>
      <c r="AI10" s="1" cm="1">
        <f t="array" ref="AI10">OptionDelta("C",$Z10,$B$2,AI$5,$B$3,$AA$4,0)</f>
        <v>0.1506224847545854</v>
      </c>
      <c r="AJ10" s="1" cm="1">
        <f t="array" ref="AJ10">OptionDelta("C",$Z10,$B$2,AJ$5,$B$3,$AA$4,0)</f>
        <v>0.16709271590694216</v>
      </c>
      <c r="AK10" s="1" cm="1">
        <f t="array" ref="AK10">OptionDelta("C",$Z10,$B$2,AK$5,$B$3,$AA$4,0)</f>
        <v>0.2820374343620774</v>
      </c>
      <c r="AL10" s="1" cm="1">
        <f t="array" ref="AL10">OptionDelta("C",$Z10,$B$2,AL$5,$B$3,$AA$4,0)</f>
        <v>0.35035866509647884</v>
      </c>
      <c r="AM10" s="1" cm="1">
        <f t="array" ref="AM10">OptionDelta("C",$Z10,$B$2,AM$5,$B$3,$AA$4,0)</f>
        <v>0.39825791110296049</v>
      </c>
      <c r="AN10" s="1" cm="1">
        <f t="array" ref="AN10">OptionDelta("C",$Z10,$B$2,AN$5,$B$3,$AA$4,0)</f>
        <v>0.4350411483736476</v>
      </c>
      <c r="AW10" s="139"/>
      <c r="AX10" s="14">
        <v>80</v>
      </c>
      <c r="AY10" s="1" cm="1">
        <f t="array" ref="AY10">OptionTheta("C",$AX10,$B$2,AY$5,$B$3,$AY$4,0)</f>
        <v>-6.4144516804524036E-5</v>
      </c>
      <c r="AZ10" s="1" cm="1">
        <f t="array" ref="AZ10">OptionTheta("C",$AX10,$B$2,AZ$5,$B$3,$AY$4,0)</f>
        <v>-1.0102936364240448E-3</v>
      </c>
      <c r="BA10" s="1" cm="1">
        <f t="array" ref="BA10">OptionTheta("C",$AX10,$B$2,BA$5,$B$3,$AY$4,0)</f>
        <v>-2.3090252123569698E-3</v>
      </c>
      <c r="BB10" s="1" cm="1">
        <f t="array" ref="BB10">OptionTheta("C",$AX10,$B$2,BB$5,$B$3,$AY$4,0)</f>
        <v>-3.3336754836960285E-3</v>
      </c>
      <c r="BC10" s="1" cm="1">
        <f t="array" ref="BC10">OptionTheta("C",$AX10,$B$2,BC$5,$B$3,$AY$4,0)</f>
        <v>-4.0409682260484922E-3</v>
      </c>
      <c r="BD10" s="1" cm="1">
        <f t="array" ref="BD10">OptionTheta("C",$AX10,$B$2,BD$5,$B$3,$AY$4,0)</f>
        <v>-4.5080595360641523E-3</v>
      </c>
      <c r="BE10" s="1" cm="1">
        <f t="array" ref="BE10">OptionTheta("C",$AX10,$B$2,BE$5,$B$3,$AY$4,0)</f>
        <v>-4.8081378728503472E-3</v>
      </c>
      <c r="BF10" s="1" cm="1">
        <f t="array" ref="BF10">OptionTheta("C",$AX10,$B$2,BF$5,$B$3,$AY$4,0)</f>
        <v>-4.993975246143912E-3</v>
      </c>
      <c r="BG10" s="1" cm="1">
        <f t="array" ref="BG10">OptionTheta("C",$AX10,$B$2,BG$5,$B$3,$AY$4,0)</f>
        <v>-5.1014298208669597E-3</v>
      </c>
      <c r="BH10" s="1" cm="1">
        <f t="array" ref="BH10">OptionTheta("C",$AX10,$B$2,BH$5,$B$3,$AY$4,0)</f>
        <v>-5.1546582327013793E-3</v>
      </c>
      <c r="BI10" s="1" cm="1">
        <f t="array" ref="BI10">OptionTheta("C",$AX10,$B$2,BI$5,$B$3,$AY$4,0)</f>
        <v>-4.7117256766220882E-3</v>
      </c>
      <c r="BJ10" s="1" cm="1">
        <f t="array" ref="BJ10">OptionTheta("C",$AX10,$B$2,BJ$5,$B$3,$AY$4,0)</f>
        <v>-4.0708093538036096E-3</v>
      </c>
      <c r="BK10" s="1" cm="1">
        <f t="array" ref="BK10">OptionTheta("C",$AX10,$B$2,BK$5,$B$3,$AY$4,0)</f>
        <v>-3.5569468968994914E-3</v>
      </c>
      <c r="BL10" s="1" cm="1">
        <f t="array" ref="BL10">OptionTheta("C",$AX10,$B$2,BL$5,$B$3,$AY$4,0)</f>
        <v>-3.153042895286404E-3</v>
      </c>
      <c r="BU10" s="142"/>
      <c r="BV10" s="14">
        <v>80</v>
      </c>
      <c r="BW10" s="1" cm="1">
        <f t="array" ref="BW10">OptionGamma($BV10,$B$2,BW$5,$B$3,$BW$4,0)</f>
        <v>1.8444991272199745E-4</v>
      </c>
      <c r="BX10" s="1" cm="1">
        <f t="array" ref="BX10">OptionGamma($BV10,$B$2,BX$5,$B$3,$BW$4,0)</f>
        <v>2.9270332354272232E-3</v>
      </c>
      <c r="BY10" s="1" cm="1">
        <f t="array" ref="BY10">OptionGamma($BV10,$B$2,BY$5,$B$3,$BW$4,0)</f>
        <v>6.7361389316554247E-3</v>
      </c>
      <c r="BZ10" s="1" cm="1">
        <f t="array" ref="BZ10">OptionGamma($BV10,$B$2,BZ$5,$B$3,$BW$4,0)</f>
        <v>9.7884039294375211E-3</v>
      </c>
      <c r="CA10" s="1" cm="1">
        <f t="array" ref="CA10">OptionGamma($BV10,$B$2,CA$5,$B$3,$BW$4,0)</f>
        <v>1.1937780047109168E-2</v>
      </c>
      <c r="CB10" s="1" cm="1">
        <f t="array" ref="CB10">OptionGamma($BV10,$B$2,CB$5,$B$3,$BW$4,0)</f>
        <v>1.3395159432299533E-2</v>
      </c>
      <c r="CC10" s="1" cm="1">
        <f t="array" ref="CC10">OptionGamma($BV10,$B$2,CC$5,$B$3,$BW$4,0)</f>
        <v>1.4366321033900604E-2</v>
      </c>
      <c r="CD10" s="1" cm="1">
        <f t="array" ref="CD10">OptionGamma($BV10,$B$2,CD$5,$B$3,$BW$4,0)</f>
        <v>1.5001364182628535E-2</v>
      </c>
      <c r="CE10" s="1" cm="1">
        <f t="array" ref="CE10">OptionGamma($BV10,$B$2,CE$5,$B$3,$BW$4,0)</f>
        <v>1.5403132263133367E-2</v>
      </c>
      <c r="CF10" s="1" cm="1">
        <f t="array" ref="CF10">OptionGamma($BV10,$B$2,CF$5,$B$3,$BW$4,0)</f>
        <v>1.5641421674019225E-2</v>
      </c>
      <c r="CG10" s="1" cm="1">
        <f t="array" ref="CG10">OptionGamma($BV10,$B$2,CG$5,$B$3,$BW$4,0)</f>
        <v>1.4928999083209108E-2</v>
      </c>
      <c r="CH10" s="1" cm="1">
        <f t="array" ref="CH10">OptionGamma($BV10,$B$2,CH$5,$B$3,$BW$4,0)</f>
        <v>1.3370603439876852E-2</v>
      </c>
      <c r="CI10" s="1" cm="1">
        <f t="array" ref="CI10">OptionGamma($BV10,$B$2,CI$5,$B$3,$BW$4,0)</f>
        <v>1.205928909750143E-2</v>
      </c>
      <c r="CJ10" s="1" cm="1">
        <f t="array" ref="CJ10">OptionGamma($BV10,$B$2,CJ$5,$B$3,$BW$4,0)</f>
        <v>1.1002627628314172E-2</v>
      </c>
      <c r="CS10" s="145"/>
      <c r="CT10" s="14">
        <v>80</v>
      </c>
      <c r="CU10" s="1" cm="1">
        <f t="array" ref="CU10">OptionVega($CT10,$B$2,CU$5,$B$3,$CU$4,0)</f>
        <v>2.3609588828415681E-4</v>
      </c>
      <c r="CV10" s="1" cm="1">
        <f t="array" ref="CV10">OptionVega($CT10,$B$2,CV$5,$B$3,$CU$4,0)</f>
        <v>7.4932050826936906E-3</v>
      </c>
      <c r="CW10" s="1" cm="1">
        <f t="array" ref="CW10">OptionVega($CT10,$B$2,CW$5,$B$3,$CU$4,0)</f>
        <v>2.5866773497556832E-2</v>
      </c>
      <c r="CX10" s="1" cm="1">
        <f t="array" ref="CX10">OptionVega($CT10,$B$2,CX$5,$B$3,$CU$4,0)</f>
        <v>5.0116628118720127E-2</v>
      </c>
      <c r="CY10" s="1" cm="1">
        <f t="array" ref="CY10">OptionVega($CT10,$B$2,CY$5,$B$3,$CU$4,0)</f>
        <v>7.6401792301498697E-2</v>
      </c>
      <c r="CZ10" s="1" cm="1">
        <f t="array" ref="CZ10">OptionVega($CT10,$B$2,CZ$5,$B$3,$CU$4,0)</f>
        <v>0.10287482444006046</v>
      </c>
      <c r="DA10" s="1" cm="1">
        <f t="array" ref="DA10">OptionVega($CT10,$B$2,DA$5,$B$3,$CU$4,0)</f>
        <v>0.12872223646374945</v>
      </c>
      <c r="DB10" s="1" cm="1">
        <f t="array" ref="DB10">OptionVega($CT10,$B$2,DB$5,$B$3,$CU$4,0)</f>
        <v>0.15361396923011619</v>
      </c>
      <c r="DC10" s="1" cm="1">
        <f t="array" ref="DC10">OptionVega($CT10,$B$2,DC$5,$B$3,$CU$4,0)</f>
        <v>0.17744408367129644</v>
      </c>
      <c r="DD10" s="1" cm="1">
        <f t="array" ref="DD10">OptionVega($CT10,$B$2,DD$5,$B$3,$CU$4,0)</f>
        <v>0.20021019742744608</v>
      </c>
      <c r="DE10" s="1" cm="1">
        <f t="array" ref="DE10">OptionVega($CT10,$B$2,DE$5,$B$3,$CU$4,0)</f>
        <v>0.38218237653015336</v>
      </c>
      <c r="DF10" s="1" cm="1">
        <f t="array" ref="DF10">OptionVega($CT10,$B$2,DF$5,$B$3,$CU$4,0)</f>
        <v>0.51343117209127109</v>
      </c>
      <c r="DG10" s="1" cm="1">
        <f t="array" ref="DG10">OptionVega($CT10,$B$2,DG$5,$B$3,$CU$4,0)</f>
        <v>0.61743560179207324</v>
      </c>
      <c r="DH10" s="1" cm="1">
        <f t="array" ref="DH10">OptionVega($CT10,$B$2,DH$5,$B$3,$CU$4,0)</f>
        <v>0.70416816821210715</v>
      </c>
      <c r="DQ10" s="130"/>
      <c r="DR10" s="14">
        <v>80</v>
      </c>
      <c r="DS10" s="1" cm="1">
        <f t="array" ref="DS10">OptionRho("C",$DR10,$B$2,DS$5,$B$3,$DS$4,0)</f>
        <v>1.9684019476440405E-5</v>
      </c>
      <c r="DT10" s="1" cm="1">
        <f t="array" ref="DT10">OptionRho("C",$DR10,$B$2,DT$5,$B$3,$DS$4,0)</f>
        <v>1.180615367981647E-3</v>
      </c>
      <c r="DU10" s="1" cm="1">
        <f t="array" ref="DU10">OptionRho("C",$DR10,$B$2,DU$5,$B$3,$DS$4,0)</f>
        <v>5.8294742224800937E-3</v>
      </c>
      <c r="DV10" s="1" cm="1">
        <f t="array" ref="DV10">OptionRho("C",$DR10,$B$2,DV$5,$B$3,$DS$4,0)</f>
        <v>1.4449660567580994E-2</v>
      </c>
      <c r="DW10" s="1" cm="1">
        <f t="array" ref="DW10">OptionRho("C",$DR10,$B$2,DW$5,$B$3,$DS$4,0)</f>
        <v>2.6541221761137001E-2</v>
      </c>
      <c r="DX10" s="1" cm="1">
        <f t="array" ref="DX10">OptionRho("C",$DR10,$B$2,DX$5,$B$3,$DS$4,0)</f>
        <v>4.1483206002554972E-2</v>
      </c>
      <c r="DY10" s="1" cm="1">
        <f t="array" ref="DY10">OptionRho("C",$DR10,$B$2,DY$5,$B$3,$DS$4,0)</f>
        <v>5.8743138124230571E-2</v>
      </c>
      <c r="DZ10" s="1" cm="1">
        <f t="array" ref="DZ10">OptionRho("C",$DR10,$B$2,DZ$5,$B$3,$DS$4,0)</f>
        <v>7.7898920427139723E-2</v>
      </c>
      <c r="EA10" s="1" cm="1">
        <f t="array" ref="EA10">OptionRho("C",$DR10,$B$2,EA$5,$B$3,$DS$4,0)</f>
        <v>9.8621140558167994E-2</v>
      </c>
      <c r="EB10" s="1" cm="1">
        <f t="array" ref="EB10">OptionRho("C",$DR10,$B$2,EB$5,$B$3,$DS$4,0)</f>
        <v>0.12065171933845739</v>
      </c>
      <c r="EC10" s="1" cm="1">
        <f t="array" ref="EC10">OptionRho("C",$DR10,$B$2,EC$5,$B$3,$DS$4,0)</f>
        <v>0.38226402136740828</v>
      </c>
      <c r="ED10" s="1" cm="1">
        <f t="array" ref="ED10">OptionRho("C",$DR10,$B$2,ED$5,$B$3,$DS$4,0)</f>
        <v>0.67677547849775832</v>
      </c>
      <c r="EE10" s="1" cm="1">
        <f t="array" ref="EE10">OptionRho("C",$DR10,$B$2,EE$5,$B$3,$DS$4,0)</f>
        <v>0.98121354844747444</v>
      </c>
      <c r="EF10" s="1" cm="1">
        <f t="array" ref="EF10">OptionRho("C",$DR10,$B$2,EF$5,$B$3,$DS$4,0)</f>
        <v>1.2873783982233833</v>
      </c>
      <c r="EP10" s="130"/>
      <c r="EQ10" s="14">
        <v>80</v>
      </c>
      <c r="ER10" s="1" cm="1">
        <f t="array" ref="ER10">OptionRho("C",$EQ10,$B$2,ER$5,$D$3,$ER$4,0)</f>
        <v>2.6721611152030495E-4</v>
      </c>
      <c r="ES10" s="1" cm="1">
        <f t="array" ref="ES10">OptionRho("C",$EQ10,$B$2,ES$5,$D$3,$ER$4,0)</f>
        <v>1.4040280344385351E-2</v>
      </c>
      <c r="ET10" s="1" cm="1">
        <f t="array" ref="ET10">OptionRho("C",$EQ10,$B$2,ET$5,$D$3,$ER$4,0)</f>
        <v>6.0679958333717976E-2</v>
      </c>
      <c r="EU10" s="1" cm="1">
        <f t="array" ref="EU10">OptionRho("C",$EQ10,$B$2,EU$5,$D$3,$ER$4,0)</f>
        <v>0.13190056964589897</v>
      </c>
      <c r="EV10" s="1" cm="1">
        <f t="array" ref="EV10">OptionRho("C",$EQ10,$B$2,EV$5,$D$3,$ER$4,0)</f>
        <v>0.21317288702624265</v>
      </c>
      <c r="EW10" s="1" cm="1">
        <f t="array" ref="EW10">OptionRho("C",$EQ10,$B$2,EW$5,$D$3,$ER$4,0)</f>
        <v>0.29436979948700587</v>
      </c>
      <c r="EX10" s="1" cm="1">
        <f t="array" ref="EX10">OptionRho("C",$EQ10,$B$2,EX$5,$D$3,$ER$4,0)</f>
        <v>0.36995443307348952</v>
      </c>
      <c r="EY10" s="1" cm="1">
        <f t="array" ref="EY10">OptionRho("C",$EQ10,$B$2,EY$5,$D$3,$ER$4,0)</f>
        <v>0.43744061593255823</v>
      </c>
      <c r="EZ10" s="1" cm="1">
        <f t="array" ref="EZ10">OptionRho("C",$EQ10,$B$2,EZ$5,$D$3,$ER$4,0)</f>
        <v>0.4961075267410755</v>
      </c>
      <c r="FA10" s="1" cm="1">
        <f t="array" ref="FA10">OptionRho("C",$EQ10,$B$2,FA$5,$D$3,$ER$4,0)</f>
        <v>0.54616775271049767</v>
      </c>
      <c r="FB10" s="1" cm="1">
        <f t="array" ref="FB10">OptionRho("C",$EQ10,$B$2,FB$5,$D$3,$ER$4,0)</f>
        <v>0.73238080185884835</v>
      </c>
      <c r="FC10" s="1" cm="1">
        <f t="array" ref="FC10">OptionRho("C",$EQ10,$B$2,FC$5,$D$3,$ER$4,0)</f>
        <v>0.66924205162622485</v>
      </c>
      <c r="FD10" s="1" cm="1">
        <f t="array" ref="FD10">OptionRho("C",$EQ10,$B$2,FD$5,$D$3,$ER$4,0)</f>
        <v>0.54133514037054897</v>
      </c>
      <c r="FE10" s="1" cm="1">
        <f t="array" ref="FE10">OptionRho("C",$EQ10,$B$2,FE$5,$D$3,$ER$4,0)</f>
        <v>0.41042476130684202</v>
      </c>
    </row>
    <row r="11" spans="1:161" x14ac:dyDescent="0.2">
      <c r="A11" s="133"/>
      <c r="B11" s="14">
        <v>85</v>
      </c>
      <c r="C11" s="1" cm="1">
        <f t="array" ref="C11">OptionPrice("C",$B11,$B$2,C$5,$B$3,$C$4,0)</f>
        <v>9.8692301452762976E-3</v>
      </c>
      <c r="D11" s="1" cm="1">
        <f t="array" ref="D11">OptionPrice("C",$B11,$B$2,D$5,$B$3,$C$4,0)</f>
        <v>0.11910197852861426</v>
      </c>
      <c r="E11" s="1" cm="1">
        <f t="array" ref="E11">OptionPrice("C",$B11,$B$2,E$5,$B$3,$C$4,0)</f>
        <v>0.32597746648906689</v>
      </c>
      <c r="F11" s="1" cm="1">
        <f t="array" ref="F11">OptionPrice("C",$B11,$B$2,F$5,$B$3,$C$4,0)</f>
        <v>0.58403533729902968</v>
      </c>
      <c r="G11" s="1" cm="1">
        <f t="array" ref="G11">OptionPrice("C",$B11,$B$2,G$5,$B$3,$C$4,0)</f>
        <v>0.86690110761376005</v>
      </c>
      <c r="H11" s="1" cm="1">
        <f t="array" ref="H11">OptionPrice("C",$B11,$B$2,H$5,$B$3,$C$4,0)</f>
        <v>1.1610534243582951</v>
      </c>
      <c r="I11" s="1" cm="1">
        <f t="array" ref="I11">OptionPrice("C",$B11,$B$2,I$5,$B$3,$C$4,0)</f>
        <v>1.4593471090752406</v>
      </c>
      <c r="J11" s="1" cm="1">
        <f t="array" ref="J11">OptionPrice("C",$B11,$B$2,J$5,$B$3,$C$4,0)</f>
        <v>1.7578686125174023</v>
      </c>
      <c r="K11" s="1" cm="1">
        <f t="array" ref="K11">OptionPrice("C",$B11,$B$2,K$5,$B$3,$C$4,0)</f>
        <v>2.0544240863797469</v>
      </c>
      <c r="L11" s="1" cm="1">
        <f t="array" ref="L11">OptionPrice("C",$B11,$B$2,L$5,$B$3,$C$4,0)</f>
        <v>2.3477772643563313</v>
      </c>
      <c r="M11" s="1" cm="1">
        <f t="array" ref="M11">OptionPrice("C",$B11,$B$2,M$5,$B$3,$C$4,0)</f>
        <v>5.049879529139492</v>
      </c>
      <c r="N11" s="1" cm="1">
        <f t="array" ref="N11">OptionPrice("C",$B11,$B$2,N$5,$B$3,$C$4,0)</f>
        <v>7.388375250264879</v>
      </c>
      <c r="O11" s="1" cm="1">
        <f t="array" ref="O11">OptionPrice("C",$B11,$B$2,O$5,$B$3,$C$4,0)</f>
        <v>9.4709407284928595</v>
      </c>
      <c r="P11" s="2" cm="1">
        <f t="array" ref="P11">OptionPrice("C",$B11,$B$2,P$5,$B$3,$C$4,0)</f>
        <v>11.366479610382292</v>
      </c>
      <c r="Y11" s="136"/>
      <c r="Z11" s="14">
        <v>85</v>
      </c>
      <c r="AA11" s="1" cm="1">
        <f t="array" ref="AA11">OptionDelta("C",$Z11,$B$2,AA$5,$B$3,$AA$4,0)</f>
        <v>5.830908137902522E-3</v>
      </c>
      <c r="AB11" s="1" cm="1">
        <f t="array" ref="AB11">OptionDelta("C",$Z11,$B$2,AB$5,$B$3,$AA$4,0)</f>
        <v>4.006477982445996E-2</v>
      </c>
      <c r="AC11" s="1" cm="1">
        <f t="array" ref="AC11">OptionDelta("C",$Z11,$B$2,AC$5,$B$3,$AA$4,0)</f>
        <v>8.0542811303141587E-2</v>
      </c>
      <c r="AD11" s="1" cm="1">
        <f t="array" ref="AD11">OptionDelta("C",$Z11,$B$2,AD$5,$B$3,$AA$4,0)</f>
        <v>0.11703172121234477</v>
      </c>
      <c r="AE11" s="1" cm="1">
        <f t="array" ref="AE11">OptionDelta("C",$Z11,$B$2,AE$5,$B$3,$AA$4,0)</f>
        <v>0.14844720364554423</v>
      </c>
      <c r="AF11" s="1" cm="1">
        <f t="array" ref="AF11">OptionDelta("C",$Z11,$B$2,AF$5,$B$3,$AA$4,0)</f>
        <v>0.17544466250951118</v>
      </c>
      <c r="AG11" s="1" cm="1">
        <f t="array" ref="AG11">OptionDelta("C",$Z11,$B$2,AG$5,$B$3,$AA$4,0)</f>
        <v>0.19884963648426759</v>
      </c>
      <c r="AH11" s="1" cm="1">
        <f t="array" ref="AH11">OptionDelta("C",$Z11,$B$2,AH$5,$B$3,$AA$4,0)</f>
        <v>0.21936358982447046</v>
      </c>
      <c r="AI11" s="1" cm="1">
        <f t="array" ref="AI11">OptionDelta("C",$Z11,$B$2,AI$5,$B$3,$AA$4,0)</f>
        <v>0.23753708342668733</v>
      </c>
      <c r="AJ11" s="1" cm="1">
        <f t="array" ref="AJ11">OptionDelta("C",$Z11,$B$2,AJ$5,$B$3,$AA$4,0)</f>
        <v>0.2537950995737065</v>
      </c>
      <c r="AK11" s="1" cm="1">
        <f t="array" ref="AK11">OptionDelta("C",$Z11,$B$2,AK$5,$B$3,$AA$4,0)</f>
        <v>0.35850447187481504</v>
      </c>
      <c r="AL11" s="1" cm="1">
        <f t="array" ref="AL11">OptionDelta("C",$Z11,$B$2,AL$5,$B$3,$AA$4,0)</f>
        <v>0.41708980700977716</v>
      </c>
      <c r="AM11" s="1" cm="1">
        <f t="array" ref="AM11">OptionDelta("C",$Z11,$B$2,AM$5,$B$3,$AA$4,0)</f>
        <v>0.45767322745215844</v>
      </c>
      <c r="AN11" s="1" cm="1">
        <f t="array" ref="AN11">OptionDelta("C",$Z11,$B$2,AN$5,$B$3,$AA$4,0)</f>
        <v>0.48883379634600066</v>
      </c>
      <c r="AW11" s="139"/>
      <c r="AX11" s="14">
        <v>85</v>
      </c>
      <c r="AY11" s="1" cm="1">
        <f t="array" ref="AY11">OptionTheta("C",$AX11,$B$2,AY$5,$B$3,$AY$4,0)</f>
        <v>-1.2074739981059505E-3</v>
      </c>
      <c r="AZ11" s="1" cm="1">
        <f t="array" ref="AZ11">OptionTheta("C",$AX11,$B$2,AZ$5,$B$3,$AY$4,0)</f>
        <v>-4.4031768630862231E-3</v>
      </c>
      <c r="BA11" s="1" cm="1">
        <f t="array" ref="BA11">OptionTheta("C",$AX11,$B$2,BA$5,$B$3,$AY$4,0)</f>
        <v>-6.1746338212488499E-3</v>
      </c>
      <c r="BB11" s="1" cm="1">
        <f t="array" ref="BB11">OptionTheta("C",$AX11,$B$2,BB$5,$B$3,$AY$4,0)</f>
        <v>-6.9799242799310438E-3</v>
      </c>
      <c r="BC11" s="1" cm="1">
        <f t="array" ref="BC11">OptionTheta("C",$AX11,$B$2,BC$5,$B$3,$AY$4,0)</f>
        <v>-7.3036690888582867E-3</v>
      </c>
      <c r="BD11" s="1" cm="1">
        <f t="array" ref="BD11">OptionTheta("C",$AX11,$B$2,BD$5,$B$3,$AY$4,0)</f>
        <v>-7.3855437895218061E-3</v>
      </c>
      <c r="BE11" s="1" cm="1">
        <f t="array" ref="BE11">OptionTheta("C",$AX11,$B$2,BE$5,$B$3,$AY$4,0)</f>
        <v>-7.3423791568755772E-3</v>
      </c>
      <c r="BF11" s="1" cm="1">
        <f t="array" ref="BF11">OptionTheta("C",$AX11,$B$2,BF$5,$B$3,$AY$4,0)</f>
        <v>-7.2337144773406128E-3</v>
      </c>
      <c r="BG11" s="1" cm="1">
        <f t="array" ref="BG11">OptionTheta("C",$AX11,$B$2,BG$5,$B$3,$AY$4,0)</f>
        <v>-7.0912918380343108E-3</v>
      </c>
      <c r="BH11" s="1" cm="1">
        <f t="array" ref="BH11">OptionTheta("C",$AX11,$B$2,BH$5,$B$3,$AY$4,0)</f>
        <v>-6.9326537461691495E-3</v>
      </c>
      <c r="BI11" s="1" cm="1">
        <f t="array" ref="BI11">OptionTheta("C",$AX11,$B$2,BI$5,$B$3,$AY$4,0)</f>
        <v>-5.4551497903741735E-3</v>
      </c>
      <c r="BJ11" s="1" cm="1">
        <f t="array" ref="BJ11">OptionTheta("C",$AX11,$B$2,BJ$5,$B$3,$AY$4,0)</f>
        <v>-4.4786957567108446E-3</v>
      </c>
      <c r="BK11" s="1" cm="1">
        <f t="array" ref="BK11">OptionTheta("C",$AX11,$B$2,BK$5,$B$3,$AY$4,0)</f>
        <v>-3.8127123467771411E-3</v>
      </c>
      <c r="BL11" s="1" cm="1">
        <f t="array" ref="BL11">OptionTheta("C",$AX11,$B$2,BL$5,$B$3,$AY$4,0)</f>
        <v>-3.3262123392879157E-3</v>
      </c>
      <c r="BU11" s="142"/>
      <c r="BV11" s="14">
        <v>85</v>
      </c>
      <c r="BW11" s="1" cm="1">
        <f t="array" ref="BW11">OptionGamma($BV11,$B$2,BW$5,$B$3,$BW$4,0)</f>
        <v>3.0836372935947143E-3</v>
      </c>
      <c r="BX11" s="1" cm="1">
        <f t="array" ref="BX11">OptionGamma($BV11,$B$2,BX$5,$B$3,$BW$4,0)</f>
        <v>1.134964427745312E-2</v>
      </c>
      <c r="BY11" s="1" cm="1">
        <f t="array" ref="BY11">OptionGamma($BV11,$B$2,BY$5,$B$3,$BW$4,0)</f>
        <v>1.6048048164004219E-2</v>
      </c>
      <c r="BZ11" s="1" cm="1">
        <f t="array" ref="BZ11">OptionGamma($BV11,$B$2,BZ$5,$B$3,$BW$4,0)</f>
        <v>1.827895482236909E-2</v>
      </c>
      <c r="CA11" s="1" cm="1">
        <f t="array" ref="CA11">OptionGamma($BV11,$B$2,CA$5,$B$3,$BW$4,0)</f>
        <v>1.926193999623425E-2</v>
      </c>
      <c r="CB11" s="1" cm="1">
        <f t="array" ref="CB11">OptionGamma($BV11,$B$2,CB$5,$B$3,$BW$4,0)</f>
        <v>1.9607203543702149E-2</v>
      </c>
      <c r="CC11" s="1" cm="1">
        <f t="array" ref="CC11">OptionGamma($BV11,$B$2,CC$5,$B$3,$BW$4,0)</f>
        <v>1.9615204928584505E-2</v>
      </c>
      <c r="CD11" s="1" cm="1">
        <f t="array" ref="CD11">OptionGamma($BV11,$B$2,CD$5,$B$3,$BW$4,0)</f>
        <v>1.944073459830415E-2</v>
      </c>
      <c r="CE11" s="1" cm="1">
        <f t="array" ref="CE11">OptionGamma($BV11,$B$2,CE$5,$B$3,$BW$4,0)</f>
        <v>1.9167361944162006E-2</v>
      </c>
      <c r="CF11" s="1" cm="1">
        <f t="array" ref="CF11">OptionGamma($BV11,$B$2,CF$5,$B$3,$BW$4,0)</f>
        <v>1.8841983940109528E-2</v>
      </c>
      <c r="CG11" s="1" cm="1">
        <f t="array" ref="CG11">OptionGamma($BV11,$B$2,CG$5,$B$3,$BW$4,0)</f>
        <v>1.5538821309956893E-2</v>
      </c>
      <c r="CH11" s="1" cm="1">
        <f t="array" ref="CH11">OptionGamma($BV11,$B$2,CH$5,$B$3,$BW$4,0)</f>
        <v>1.3255131727717093E-2</v>
      </c>
      <c r="CI11" s="1" cm="1">
        <f t="array" ref="CI11">OptionGamma($BV11,$B$2,CI$5,$B$3,$BW$4,0)</f>
        <v>1.1667493720574828E-2</v>
      </c>
      <c r="CJ11" s="1" cm="1">
        <f t="array" ref="CJ11">OptionGamma($BV11,$B$2,CJ$5,$B$3,$BW$4,0)</f>
        <v>1.0490736571836447E-2</v>
      </c>
      <c r="CS11" s="145"/>
      <c r="CT11" s="14">
        <v>85</v>
      </c>
      <c r="CU11" s="1" cm="1">
        <f t="array" ref="CU11">OptionVega($CT11,$B$2,CU$5,$B$3,$CU$4,0)</f>
        <v>4.4558558892443629E-3</v>
      </c>
      <c r="CV11" s="1" cm="1">
        <f t="array" ref="CV11">OptionVega($CT11,$B$2,CV$5,$B$3,$CU$4,0)</f>
        <v>3.2800471961839522E-2</v>
      </c>
      <c r="CW11" s="1" cm="1">
        <f t="array" ref="CW11">OptionVega($CT11,$B$2,CW$5,$B$3,$CU$4,0)</f>
        <v>6.9568288790958291E-2</v>
      </c>
      <c r="CX11" s="1" cm="1">
        <f t="array" ref="CX11">OptionVega($CT11,$B$2,CX$5,$B$3,$CU$4,0)</f>
        <v>0.10565235887329334</v>
      </c>
      <c r="CY11" s="1" cm="1">
        <f t="array" ref="CY11">OptionVega($CT11,$B$2,CY$5,$B$3,$CU$4,0)</f>
        <v>0.13916751647279249</v>
      </c>
      <c r="CZ11" s="1" cm="1">
        <f t="array" ref="CZ11">OptionVega($CT11,$B$2,CZ$5,$B$3,$CU$4,0)</f>
        <v>0.16999445472389768</v>
      </c>
      <c r="DA11" s="1" cm="1">
        <f t="array" ref="DA11">OptionVega($CT11,$B$2,DA$5,$B$3,$CU$4,0)</f>
        <v>0.19840779785263229</v>
      </c>
      <c r="DB11" s="1" cm="1">
        <f t="array" ref="DB11">OptionVega($CT11,$B$2,DB$5,$B$3,$CU$4,0)</f>
        <v>0.22473489195639601</v>
      </c>
      <c r="DC11" s="1" cm="1">
        <f t="array" ref="DC11">OptionVega($CT11,$B$2,DC$5,$B$3,$CU$4,0)</f>
        <v>0.2492715420838269</v>
      </c>
      <c r="DD11" s="1" cm="1">
        <f t="array" ref="DD11">OptionVega($CT11,$B$2,DD$5,$B$3,$CU$4,0)</f>
        <v>0.27226666793458271</v>
      </c>
      <c r="DE11" s="1" cm="1">
        <f t="array" ref="DE11">OptionVega($CT11,$B$2,DE$5,$B$3,$CU$4,0)</f>
        <v>0.44907193585775435</v>
      </c>
      <c r="DF11" s="1" cm="1">
        <f t="array" ref="DF11">OptionVega($CT11,$B$2,DF$5,$B$3,$CU$4,0)</f>
        <v>0.574609960396536</v>
      </c>
      <c r="DG11" s="1" cm="1">
        <f t="array" ref="DG11">OptionVega($CT11,$B$2,DG$5,$B$3,$CU$4,0)</f>
        <v>0.67438113704922509</v>
      </c>
      <c r="DH11" s="1" cm="1">
        <f t="array" ref="DH11">OptionVega($CT11,$B$2,DH$5,$B$3,$CU$4,0)</f>
        <v>0.75795571731518341</v>
      </c>
      <c r="DQ11" s="130"/>
      <c r="DR11" s="14">
        <v>85</v>
      </c>
      <c r="DS11" s="1" cm="1">
        <f t="array" ref="DS11">OptionRho("C",$DR11,$B$2,DS$5,$B$3,$DS$4,0)</f>
        <v>4.8575796157643818E-4</v>
      </c>
      <c r="DT11" s="1" cm="1">
        <f t="array" ref="DT11">OptionRho("C",$DR11,$B$2,DT$5,$B$3,$DS$4,0)</f>
        <v>6.5728086131009653E-3</v>
      </c>
      <c r="DU11" s="1" cm="1">
        <f t="array" ref="DU11">OptionRho("C",$DR11,$B$2,DU$5,$B$3,$DS$4,0)</f>
        <v>1.9560484482833904E-2</v>
      </c>
      <c r="DV11" s="1" cm="1">
        <f t="array" ref="DV11">OptionRho("C",$DR11,$B$2,DV$5,$B$3,$DS$4,0)</f>
        <v>3.7454643863001104E-2</v>
      </c>
      <c r="DW11" s="1" cm="1">
        <f t="array" ref="DW11">OptionRho("C",$DR11,$B$2,DW$5,$B$3,$DS$4,0)</f>
        <v>5.8755556011287499E-2</v>
      </c>
      <c r="DX11" s="1" cm="1">
        <f t="array" ref="DX11">OptionRho("C",$DR11,$B$2,DX$5,$B$3,$DS$4,0)</f>
        <v>8.2510457333700937E-2</v>
      </c>
      <c r="DY11" s="1" cm="1">
        <f t="array" ref="DY11">OptionRho("C",$DR11,$B$2,DY$5,$B$3,$DS$4,0)</f>
        <v>0.10810010394461254</v>
      </c>
      <c r="DZ11" s="1" cm="1">
        <f t="array" ref="DZ11">OptionRho("C",$DR11,$B$2,DZ$5,$B$3,$DS$4,0)</f>
        <v>0.13510429218050068</v>
      </c>
      <c r="EA11" s="1" cm="1">
        <f t="array" ref="EA11">OptionRho("C",$DR11,$B$2,EA$5,$B$3,$DS$4,0)</f>
        <v>0.16322605204399809</v>
      </c>
      <c r="EB11" s="1" cm="1">
        <f t="array" ref="EB11">OptionRho("C",$DR11,$B$2,EB$5,$B$3,$DS$4,0)</f>
        <v>0.19224806199408723</v>
      </c>
      <c r="EC11" s="1" cm="1">
        <f t="array" ref="EC11">OptionRho("C",$DR11,$B$2,EC$5,$B$3,$DS$4,0)</f>
        <v>0.50846001160439569</v>
      </c>
      <c r="ED11" s="1" cm="1">
        <f t="array" ref="ED11">OptionRho("C",$DR11,$B$2,ED$5,$B$3,$DS$4,0)</f>
        <v>0.84192775036698542</v>
      </c>
      <c r="EE11" s="1" cm="1">
        <f t="array" ref="EE11">OptionRho("C",$DR11,$B$2,EE$5,$B$3,$DS$4,0)</f>
        <v>1.1772513441976242</v>
      </c>
      <c r="EF11" s="1" cm="1">
        <f t="array" ref="EF11">OptionRho("C",$DR11,$B$2,EF$5,$B$3,$DS$4,0)</f>
        <v>1.509219653951388</v>
      </c>
      <c r="EP11" s="130"/>
      <c r="EQ11" s="14">
        <v>85</v>
      </c>
      <c r="ER11" s="1" cm="1">
        <f t="array" ref="ER11">OptionRho("C",$EQ11,$B$2,ER$5,$D$3,$ER$4,0)</f>
        <v>3.3381873562878424E-3</v>
      </c>
      <c r="ES11" s="1" cm="1">
        <f t="array" ref="ES11">OptionRho("C",$EQ11,$B$2,ES$5,$D$3,$ER$4,0)</f>
        <v>4.1356084913865485E-2</v>
      </c>
      <c r="ET11" s="1" cm="1">
        <f t="array" ref="ET11">OptionRho("C",$EQ11,$B$2,ET$5,$D$3,$ER$4,0)</f>
        <v>0.11177423528071521</v>
      </c>
      <c r="EU11" s="1" cm="1">
        <f t="array" ref="EU11">OptionRho("C",$EQ11,$B$2,EU$5,$D$3,$ER$4,0)</f>
        <v>0.19392319899795707</v>
      </c>
      <c r="EV11" s="1" cm="1">
        <f t="array" ref="EV11">OptionRho("C",$EQ11,$B$2,EV$5,$D$3,$ER$4,0)</f>
        <v>0.27573860548639334</v>
      </c>
      <c r="EW11" s="1" cm="1">
        <f t="array" ref="EW11">OptionRho("C",$EQ11,$B$2,EW$5,$D$3,$ER$4,0)</f>
        <v>0.35160266324925205</v>
      </c>
      <c r="EX11" s="1" cm="1">
        <f t="array" ref="EX11">OptionRho("C",$EQ11,$B$2,EX$5,$D$3,$ER$4,0)</f>
        <v>0.4193255564920273</v>
      </c>
      <c r="EY11" s="1" cm="1">
        <f t="array" ref="EY11">OptionRho("C",$EQ11,$B$2,EY$5,$D$3,$ER$4,0)</f>
        <v>0.4784281306201103</v>
      </c>
      <c r="EZ11" s="1" cm="1">
        <f t="array" ref="EZ11">OptionRho("C",$EQ11,$B$2,EZ$5,$D$3,$ER$4,0)</f>
        <v>0.52924062496888069</v>
      </c>
      <c r="FA11" s="1" cm="1">
        <f t="array" ref="FA11">OptionRho("C",$EQ11,$B$2,FA$5,$D$3,$ER$4,0)</f>
        <v>0.5724373081498898</v>
      </c>
      <c r="FB11" s="1" cm="1">
        <f t="array" ref="FB11">OptionRho("C",$EQ11,$B$2,FB$5,$D$3,$ER$4,0)</f>
        <v>0.73398955405726907</v>
      </c>
      <c r="FC11" s="1" cm="1">
        <f t="array" ref="FC11">OptionRho("C",$EQ11,$B$2,FC$5,$D$3,$ER$4,0)</f>
        <v>0.66931476307237714</v>
      </c>
      <c r="FD11" s="1" cm="1">
        <f t="array" ref="FD11">OptionRho("C",$EQ11,$B$2,FD$5,$D$3,$ER$4,0)</f>
        <v>0.54133811669652387</v>
      </c>
      <c r="FE11" s="1" cm="1">
        <f t="array" ref="FE11">OptionRho("C",$EQ11,$B$2,FE$5,$D$3,$ER$4,0)</f>
        <v>0.41042487738342209</v>
      </c>
    </row>
    <row r="12" spans="1:161" x14ac:dyDescent="0.2">
      <c r="A12" s="133"/>
      <c r="B12" s="14">
        <v>90</v>
      </c>
      <c r="C12" s="1" cm="1">
        <f t="array" ref="C12">OptionPrice("C",$B12,$B$2,C$5,$B$3,$C$4,0)</f>
        <v>0.1236889706183808</v>
      </c>
      <c r="D12" s="1" cm="1">
        <f t="array" ref="D12">OptionPrice("C",$B12,$B$2,D$5,$B$3,$C$4,0)</f>
        <v>0.52017717534734409</v>
      </c>
      <c r="E12" s="1" cm="1">
        <f t="array" ref="E12">OptionPrice("C",$B12,$B$2,E$5,$B$3,$C$4,0)</f>
        <v>0.9771159895446857</v>
      </c>
      <c r="F12" s="1" cm="1">
        <f t="array" ref="F12">OptionPrice("C",$B12,$B$2,F$5,$B$3,$C$4,0)</f>
        <v>1.4345509417355302</v>
      </c>
      <c r="G12" s="1" cm="1">
        <f t="array" ref="G12">OptionPrice("C",$B12,$B$2,G$5,$B$3,$C$4,0)</f>
        <v>1.8784010844529355</v>
      </c>
      <c r="H12" s="1" cm="1">
        <f t="array" ref="H12">OptionPrice("C",$B12,$B$2,H$5,$B$3,$C$4,0)</f>
        <v>2.3056378685753991</v>
      </c>
      <c r="I12" s="1" cm="1">
        <f t="array" ref="I12">OptionPrice("C",$B12,$B$2,I$5,$B$3,$C$4,0)</f>
        <v>2.7163991578052737</v>
      </c>
      <c r="J12" s="1" cm="1">
        <f t="array" ref="J12">OptionPrice("C",$B12,$B$2,J$5,$B$3,$C$4,0)</f>
        <v>3.1117589961858805</v>
      </c>
      <c r="K12" s="1" cm="1">
        <f t="array" ref="K12">OptionPrice("C",$B12,$B$2,K$5,$B$3,$C$4,0)</f>
        <v>3.4930071621937735</v>
      </c>
      <c r="L12" s="1" cm="1">
        <f t="array" ref="L12">OptionPrice("C",$B12,$B$2,L$5,$B$3,$C$4,0)</f>
        <v>3.8614041422311409</v>
      </c>
      <c r="M12" s="1" cm="1">
        <f t="array" ref="M12">OptionPrice("C",$B12,$B$2,M$5,$B$3,$C$4,0)</f>
        <v>7.0370180671372466</v>
      </c>
      <c r="N12" s="1" cm="1">
        <f t="array" ref="N12">OptionPrice("C",$B12,$B$2,N$5,$B$3,$C$4,0)</f>
        <v>9.6378752962655838</v>
      </c>
      <c r="O12" s="1" cm="1">
        <f t="array" ref="O12">OptionPrice("C",$B12,$B$2,O$5,$B$3,$C$4,0)</f>
        <v>11.902855651874731</v>
      </c>
      <c r="P12" s="2" cm="1">
        <f t="array" ref="P12">OptionPrice("C",$B12,$B$2,P$5,$B$3,$C$4,0)</f>
        <v>13.93926234288984</v>
      </c>
      <c r="Y12" s="136"/>
      <c r="Z12" s="14">
        <v>90</v>
      </c>
      <c r="AA12" s="1" cm="1">
        <f t="array" ref="AA12">OptionDelta("C",$Z12,$B$2,AA$5,$B$3,$AA$4,0)</f>
        <v>5.2781549996934837E-2</v>
      </c>
      <c r="AB12" s="1" cm="1">
        <f t="array" ref="AB12">OptionDelta("C",$Z12,$B$2,AB$5,$B$3,$AA$4,0)</f>
        <v>0.13330906924780192</v>
      </c>
      <c r="AC12" s="1" cm="1">
        <f t="array" ref="AC12">OptionDelta("C",$Z12,$B$2,AC$5,$B$3,$AA$4,0)</f>
        <v>0.18952524812777746</v>
      </c>
      <c r="AD12" s="1" cm="1">
        <f t="array" ref="AD12">OptionDelta("C",$Z12,$B$2,AD$5,$B$3,$AA$4,0)</f>
        <v>0.23023301469857285</v>
      </c>
      <c r="AE12" s="1" cm="1">
        <f t="array" ref="AE12">OptionDelta("C",$Z12,$B$2,AE$5,$B$3,$AA$4,0)</f>
        <v>0.26142924756390218</v>
      </c>
      <c r="AF12" s="1" cm="1">
        <f t="array" ref="AF12">OptionDelta("C",$Z12,$B$2,AF$5,$B$3,$AA$4,0)</f>
        <v>0.28640779285454132</v>
      </c>
      <c r="AG12" s="1" cm="1">
        <f t="array" ref="AG12">OptionDelta("C",$Z12,$B$2,AG$5,$B$3,$AA$4,0)</f>
        <v>0.30707780777053395</v>
      </c>
      <c r="AH12" s="1" cm="1">
        <f t="array" ref="AH12">OptionDelta("C",$Z12,$B$2,AH$5,$B$3,$AA$4,0)</f>
        <v>0.32461969070784658</v>
      </c>
      <c r="AI12" s="1" cm="1">
        <f t="array" ref="AI12">OptionDelta("C",$Z12,$B$2,AI$5,$B$3,$AA$4,0)</f>
        <v>0.3398047061837523</v>
      </c>
      <c r="AJ12" s="1" cm="1">
        <f t="array" ref="AJ12">OptionDelta("C",$Z12,$B$2,AJ$5,$B$3,$AA$4,0)</f>
        <v>0.35316016226972924</v>
      </c>
      <c r="AK12" s="1" cm="1">
        <f t="array" ref="AK12">OptionDelta("C",$Z12,$B$2,AK$5,$B$3,$AA$4,0)</f>
        <v>0.43629337610345331</v>
      </c>
      <c r="AL12" s="1" cm="1">
        <f t="array" ref="AL12">OptionDelta("C",$Z12,$B$2,AL$5,$B$3,$AA$4,0)</f>
        <v>0.48231590099564647</v>
      </c>
      <c r="AM12" s="1" cm="1">
        <f t="array" ref="AM12">OptionDelta("C",$Z12,$B$2,AM$5,$B$3,$AA$4,0)</f>
        <v>0.51459751428423428</v>
      </c>
      <c r="AN12" s="1" cm="1">
        <f t="array" ref="AN12">OptionDelta("C",$Z12,$B$2,AN$5,$B$3,$AA$4,0)</f>
        <v>0.53975516312316763</v>
      </c>
      <c r="AW12" s="139"/>
      <c r="AX12" s="14">
        <v>90</v>
      </c>
      <c r="AY12" s="1" cm="1">
        <f t="array" ref="AY12">OptionTheta("C",$AX12,$B$2,AY$5,$B$3,$AY$4,0)</f>
        <v>-8.2690050019053694E-3</v>
      </c>
      <c r="AZ12" s="1" cm="1">
        <f t="array" ref="AZ12">OptionTheta("C",$AX12,$B$2,AZ$5,$B$3,$AY$4,0)</f>
        <v>-1.1553368713830581E-2</v>
      </c>
      <c r="BA12" s="1" cm="1">
        <f t="array" ref="BA12">OptionTheta("C",$AX12,$B$2,BA$5,$B$3,$AY$4,0)</f>
        <v>-1.1757067530058729E-2</v>
      </c>
      <c r="BB12" s="1" cm="1">
        <f t="array" ref="BB12">OptionTheta("C",$AX12,$B$2,BB$5,$B$3,$AY$4,0)</f>
        <v>-1.1316636772144338E-2</v>
      </c>
      <c r="BC12" s="1" cm="1">
        <f t="array" ref="BC12">OptionTheta("C",$AX12,$B$2,BC$5,$B$3,$AY$4,0)</f>
        <v>-1.0749742896240512E-2</v>
      </c>
      <c r="BD12" s="1" cm="1">
        <f t="array" ref="BD12">OptionTheta("C",$AX12,$B$2,BD$5,$B$3,$AY$4,0)</f>
        <v>-1.0189552813741513E-2</v>
      </c>
      <c r="BE12" s="1" cm="1">
        <f t="array" ref="BE12">OptionTheta("C",$AX12,$B$2,BE$5,$B$3,$AY$4,0)</f>
        <v>-9.6714990209200435E-3</v>
      </c>
      <c r="BF12" s="1" cm="1">
        <f t="array" ref="BF12">OptionTheta("C",$AX12,$B$2,BF$5,$B$3,$AY$4,0)</f>
        <v>-9.2021694308894869E-3</v>
      </c>
      <c r="BG12" s="1" cm="1">
        <f t="array" ref="BG12">OptionTheta("C",$AX12,$B$2,BG$5,$B$3,$AY$4,0)</f>
        <v>-8.779218572911425E-3</v>
      </c>
      <c r="BH12" s="1" cm="1">
        <f t="array" ref="BH12">OptionTheta("C",$AX12,$B$2,BH$5,$B$3,$AY$4,0)</f>
        <v>-8.3978049743894424E-3</v>
      </c>
      <c r="BI12" s="1" cm="1">
        <f t="array" ref="BI12">OptionTheta("C",$AX12,$B$2,BI$5,$B$3,$AY$4,0)</f>
        <v>-5.983887745624126E-3</v>
      </c>
      <c r="BJ12" s="1" cm="1">
        <f t="array" ref="BJ12">OptionTheta("C",$AX12,$B$2,BJ$5,$B$3,$AY$4,0)</f>
        <v>-4.7485545098222793E-3</v>
      </c>
      <c r="BK12" s="1" cm="1">
        <f t="array" ref="BK12">OptionTheta("C",$AX12,$B$2,BK$5,$B$3,$AY$4,0)</f>
        <v>-3.9724085662468768E-3</v>
      </c>
      <c r="BL12" s="1" cm="1">
        <f t="array" ref="BL12">OptionTheta("C",$AX12,$B$2,BL$5,$B$3,$AY$4,0)</f>
        <v>-3.4283435195212541E-3</v>
      </c>
      <c r="BU12" s="142"/>
      <c r="BV12" s="14">
        <v>90</v>
      </c>
      <c r="BW12" s="1" cm="1">
        <f t="array" ref="BW12">OptionGamma($BV12,$B$2,BW$5,$B$3,$BW$4,0)</f>
        <v>1.8916378586336522E-2</v>
      </c>
      <c r="BX12" s="1" cm="1">
        <f t="array" ref="BX12">OptionGamma($BV12,$B$2,BX$5,$B$3,$BW$4,0)</f>
        <v>2.6739234389615497E-2</v>
      </c>
      <c r="BY12" s="1" cm="1">
        <f t="array" ref="BY12">OptionGamma($BV12,$B$2,BY$5,$B$3,$BW$4,0)</f>
        <v>2.7482291431425852E-2</v>
      </c>
      <c r="BZ12" s="1" cm="1">
        <f t="array" ref="BZ12">OptionGamma($BV12,$B$2,BZ$5,$B$3,$BW$4,0)</f>
        <v>2.6687880405210137E-2</v>
      </c>
      <c r="CA12" s="1" cm="1">
        <f t="array" ref="CA12">OptionGamma($BV12,$B$2,CA$5,$B$3,$BW$4,0)</f>
        <v>2.5556533759819561E-2</v>
      </c>
      <c r="CB12" s="1" cm="1">
        <f t="array" ref="CB12">OptionGamma($BV12,$B$2,CB$5,$B$3,$BW$4,0)</f>
        <v>2.4406774147524603E-2</v>
      </c>
      <c r="CC12" s="1" cm="1">
        <f t="array" ref="CC12">OptionGamma($BV12,$B$2,CC$5,$B$3,$BW$4,0)</f>
        <v>2.3329031963279279E-2</v>
      </c>
      <c r="CD12" s="1" cm="1">
        <f t="array" ref="CD12">OptionGamma($BV12,$B$2,CD$5,$B$3,$BW$4,0)</f>
        <v>2.2344641814505347E-2</v>
      </c>
      <c r="CE12" s="1" cm="1">
        <f t="array" ref="CE12">OptionGamma($BV12,$B$2,CE$5,$B$3,$BW$4,0)</f>
        <v>2.1452524339852525E-2</v>
      </c>
      <c r="CF12" s="1" cm="1">
        <f t="array" ref="CF12">OptionGamma($BV12,$B$2,CF$5,$B$3,$BW$4,0)</f>
        <v>2.0644622964645629E-2</v>
      </c>
      <c r="CG12" s="1" cm="1">
        <f t="array" ref="CG12">OptionGamma($BV12,$B$2,CG$5,$B$3,$BW$4,0)</f>
        <v>1.5471684475151492E-2</v>
      </c>
      <c r="CH12" s="1" cm="1">
        <f t="array" ref="CH12">OptionGamma($BV12,$B$2,CH$5,$B$3,$BW$4,0)</f>
        <v>1.2783505889003443E-2</v>
      </c>
      <c r="CI12" s="1" cm="1">
        <f t="array" ref="CI12">OptionGamma($BV12,$B$2,CI$5,$B$3,$BW$4,0)</f>
        <v>1.1074310697636874E-2</v>
      </c>
      <c r="CJ12" s="1" cm="1">
        <f t="array" ref="CJ12">OptionGamma($BV12,$B$2,CJ$5,$B$3,$BW$4,0)</f>
        <v>9.8625457284395694E-3</v>
      </c>
      <c r="CS12" s="145"/>
      <c r="CT12" s="14">
        <v>90</v>
      </c>
      <c r="CU12" s="1" cm="1">
        <f t="array" ref="CU12">OptionVega($CT12,$B$2,CU$5,$B$3,$CU$4,0)</f>
        <v>3.0644533309865177E-2</v>
      </c>
      <c r="CV12" s="1" cm="1">
        <f t="array" ref="CV12">OptionVega($CT12,$B$2,CV$5,$B$3,$CU$4,0)</f>
        <v>8.6635119422354204E-2</v>
      </c>
      <c r="CW12" s="1" cm="1">
        <f t="array" ref="CW12">OptionVega($CT12,$B$2,CW$5,$B$3,$CU$4,0)</f>
        <v>0.13356393635672964</v>
      </c>
      <c r="CX12" s="1" cm="1">
        <f t="array" ref="CX12">OptionVega($CT12,$B$2,CX$5,$B$3,$CU$4,0)</f>
        <v>0.17293746502576174</v>
      </c>
      <c r="CY12" s="1" cm="1">
        <f t="array" ref="CY12">OptionVega($CT12,$B$2,CY$5,$B$3,$CU$4,0)</f>
        <v>0.2070079234545385</v>
      </c>
      <c r="CZ12" s="1" cm="1">
        <f t="array" ref="CZ12">OptionVega($CT12,$B$2,CZ$5,$B$3,$CU$4,0)</f>
        <v>0.23723384471393918</v>
      </c>
      <c r="DA12" s="1" cm="1">
        <f t="array" ref="DA12">OptionVega($CT12,$B$2,DA$5,$B$3,$CU$4,0)</f>
        <v>0.26455122246358709</v>
      </c>
      <c r="DB12" s="1" cm="1">
        <f t="array" ref="DB12">OptionVega($CT12,$B$2,DB$5,$B$3,$CU$4,0)</f>
        <v>0.28958655791598931</v>
      </c>
      <c r="DC12" s="1" cm="1">
        <f t="array" ref="DC12">OptionVega($CT12,$B$2,DC$5,$B$3,$CU$4,0)</f>
        <v>0.31277780487504986</v>
      </c>
      <c r="DD12" s="1" cm="1">
        <f t="array" ref="DD12">OptionVega($CT12,$B$2,DD$5,$B$3,$CU$4,0)</f>
        <v>0.33444289202725919</v>
      </c>
      <c r="DE12" s="1" cm="1">
        <f t="array" ref="DE12">OptionVega($CT12,$B$2,DE$5,$B$3,$CU$4,0)</f>
        <v>0.50128257699490841</v>
      </c>
      <c r="DF12" s="1" cm="1">
        <f t="array" ref="DF12">OptionVega($CT12,$B$2,DF$5,$B$3,$CU$4,0)</f>
        <v>0.6212783862055673</v>
      </c>
      <c r="DG12" s="1" cm="1">
        <f t="array" ref="DG12">OptionVega($CT12,$B$2,DG$5,$B$3,$CU$4,0)</f>
        <v>0.71761533320686943</v>
      </c>
      <c r="DH12" s="1" cm="1">
        <f t="array" ref="DH12">OptionVega($CT12,$B$2,DH$5,$B$3,$CU$4,0)</f>
        <v>0.79886620400360531</v>
      </c>
      <c r="DQ12" s="130"/>
      <c r="DR12" s="14">
        <v>90</v>
      </c>
      <c r="DS12" s="1" cm="1">
        <f t="array" ref="DS12">OptionRho("C",$DR12,$B$2,DS$5,$B$3,$DS$4,0)</f>
        <v>4.6266505291057552E-3</v>
      </c>
      <c r="DT12" s="1" cm="1">
        <f t="array" ref="DT12">OptionRho("C",$DR12,$B$2,DT$5,$B$3,$DS$4,0)</f>
        <v>2.2955278113909659E-2</v>
      </c>
      <c r="DU12" s="1" cm="1">
        <f t="array" ref="DU12">OptionRho("C",$DR12,$B$2,DU$5,$B$3,$DS$4,0)</f>
        <v>4.8240469025865852E-2</v>
      </c>
      <c r="DV12" s="1" cm="1">
        <f t="array" ref="DV12">OptionRho("C",$DR12,$B$2,DV$5,$B$3,$DS$4,0)</f>
        <v>7.714568152454411E-2</v>
      </c>
      <c r="DW12" s="1" cm="1">
        <f t="array" ref="DW12">OptionRho("C",$DR12,$B$2,DW$5,$B$3,$DS$4,0)</f>
        <v>0.10825115598149131</v>
      </c>
      <c r="DX12" s="1" cm="1">
        <f t="array" ref="DX12">OptionRho("C",$DR12,$B$2,DX$5,$B$3,$DS$4,0)</f>
        <v>0.14082638092999991</v>
      </c>
      <c r="DY12" s="1" cm="1">
        <f t="array" ref="DY12">OptionRho("C",$DR12,$B$2,DY$5,$B$3,$DS$4,0)</f>
        <v>0.17444422479079946</v>
      </c>
      <c r="DZ12" s="1" cm="1">
        <f t="array" ref="DZ12">OptionRho("C",$DR12,$B$2,DZ$5,$B$3,$DS$4,0)</f>
        <v>0.2088321053401625</v>
      </c>
      <c r="EA12" s="1" cm="1">
        <f t="array" ref="EA12">OptionRho("C",$DR12,$B$2,EA$5,$B$3,$DS$4,0)</f>
        <v>0.24380474754909542</v>
      </c>
      <c r="EB12" s="1" cm="1">
        <f t="array" ref="EB12">OptionRho("C",$DR12,$B$2,EB$5,$B$3,$DS$4,0)</f>
        <v>0.2792301046204449</v>
      </c>
      <c r="EC12" s="1" cm="1">
        <f t="array" ref="EC12">OptionRho("C",$DR12,$B$2,EC$5,$B$3,$DS$4,0)</f>
        <v>0.64458771564347106</v>
      </c>
      <c r="ED12" s="1" cm="1">
        <f t="array" ref="ED12">OptionRho("C",$DR12,$B$2,ED$5,$B$3,$DS$4,0)</f>
        <v>1.0131166738002781</v>
      </c>
      <c r="EE12" s="1" cm="1">
        <f t="array" ref="EE12">OptionRho("C",$DR12,$B$2,EE$5,$B$3,$DS$4,0)</f>
        <v>1.3764368253482542</v>
      </c>
      <c r="EF12" s="1" cm="1">
        <f t="array" ref="EF12">OptionRho("C",$DR12,$B$2,EF$5,$B$3,$DS$4,0)</f>
        <v>1.7319351169097623</v>
      </c>
      <c r="EP12" s="130"/>
      <c r="EQ12" s="14">
        <v>90</v>
      </c>
      <c r="ER12" s="1" cm="1">
        <f t="array" ref="ER12">OptionRho("C",$EQ12,$B$2,ER$5,$D$3,$ER$4,0)</f>
        <v>1.7332996429586422E-2</v>
      </c>
      <c r="ES12" s="1" cm="1">
        <f t="array" ref="ES12">OptionRho("C",$EQ12,$B$2,ES$5,$D$3,$ER$4,0)</f>
        <v>8.2941973067513969E-2</v>
      </c>
      <c r="ET12" s="1" cm="1">
        <f t="array" ref="ET12">OptionRho("C",$EQ12,$B$2,ET$5,$D$3,$ER$4,0)</f>
        <v>0.16470182042511039</v>
      </c>
      <c r="EU12" s="1" cm="1">
        <f t="array" ref="EU12">OptionRho("C",$EQ12,$B$2,EU$5,$D$3,$ER$4,0)</f>
        <v>0.24670347740372617</v>
      </c>
      <c r="EV12" s="1" cm="1">
        <f t="array" ref="EV12">OptionRho("C",$EQ12,$B$2,EV$5,$D$3,$ER$4,0)</f>
        <v>0.32299317820414969</v>
      </c>
      <c r="EW12" s="1" cm="1">
        <f t="array" ref="EW12">OptionRho("C",$EQ12,$B$2,EW$5,$D$3,$ER$4,0)</f>
        <v>0.39150207161241818</v>
      </c>
      <c r="EX12" s="1" cm="1">
        <f t="array" ref="EX12">OptionRho("C",$EQ12,$B$2,EX$5,$D$3,$ER$4,0)</f>
        <v>0.45182133399597907</v>
      </c>
      <c r="EY12" s="1" cm="1">
        <f t="array" ref="EY12">OptionRho("C",$EQ12,$B$2,EY$5,$D$3,$ER$4,0)</f>
        <v>0.50426350578197476</v>
      </c>
      <c r="EZ12" s="1" cm="1">
        <f t="array" ref="EZ12">OptionRho("C",$EQ12,$B$2,EZ$5,$D$3,$ER$4,0)</f>
        <v>0.54943225785901584</v>
      </c>
      <c r="FA12" s="1" cm="1">
        <f t="array" ref="FA12">OptionRho("C",$EQ12,$B$2,FA$5,$D$3,$ER$4,0)</f>
        <v>0.58801900182279165</v>
      </c>
      <c r="FB12" s="1" cm="1">
        <f t="array" ref="FB12">OptionRho("C",$EQ12,$B$2,FB$5,$D$3,$ER$4,0)</f>
        <v>0.73483389781890662</v>
      </c>
      <c r="FC12" s="1" cm="1">
        <f t="array" ref="FC12">OptionRho("C",$EQ12,$B$2,FC$5,$D$3,$ER$4,0)</f>
        <v>0.66935139206681138</v>
      </c>
      <c r="FD12" s="1" cm="1">
        <f t="array" ref="FD12">OptionRho("C",$EQ12,$B$2,FD$5,$D$3,$ER$4,0)</f>
        <v>0.5413395855569908</v>
      </c>
      <c r="FE12" s="1" cm="1">
        <f t="array" ref="FE12">OptionRho("C",$EQ12,$B$2,FE$5,$D$3,$ER$4,0)</f>
        <v>0.41042493396636559</v>
      </c>
    </row>
    <row r="13" spans="1:161" x14ac:dyDescent="0.2">
      <c r="A13" s="133"/>
      <c r="B13" s="14">
        <v>95</v>
      </c>
      <c r="C13" s="1" cm="1">
        <f t="array" ref="C13">OptionPrice("C",$B13,$B$2,C$5,$B$3,$C$4,0)</f>
        <v>0.74669402199779711</v>
      </c>
      <c r="D13" s="1" cm="1">
        <f t="array" ref="D13">OptionPrice("C",$B13,$B$2,D$5,$B$3,$C$4,0)</f>
        <v>1.5884118610443743</v>
      </c>
      <c r="E13" s="1" cm="1">
        <f t="array" ref="E13">OptionPrice("C",$B13,$B$2,E$5,$B$3,$C$4,0)</f>
        <v>2.308194235452433</v>
      </c>
      <c r="F13" s="1" cm="1">
        <f t="array" ref="F13">OptionPrice("C",$B13,$B$2,F$5,$B$3,$C$4,0)</f>
        <v>2.9448552913943615</v>
      </c>
      <c r="G13" s="1" cm="1">
        <f t="array" ref="G13">OptionPrice("C",$B13,$B$2,G$5,$B$3,$C$4,0)</f>
        <v>3.5221603342742469</v>
      </c>
      <c r="H13" s="1" cm="1">
        <f t="array" ref="H13">OptionPrice("C",$B13,$B$2,H$5,$B$3,$C$4,0)</f>
        <v>4.0546116464770634</v>
      </c>
      <c r="I13" s="1" cm="1">
        <f t="array" ref="I13">OptionPrice("C",$B13,$B$2,I$5,$B$3,$C$4,0)</f>
        <v>4.5516844257199054</v>
      </c>
      <c r="J13" s="1" cm="1">
        <f t="array" ref="J13">OptionPrice("C",$B13,$B$2,J$5,$B$3,$C$4,0)</f>
        <v>5.0199398592842854</v>
      </c>
      <c r="K13" s="1" cm="1">
        <f t="array" ref="K13">OptionPrice("C",$B13,$B$2,K$5,$B$3,$C$4,0)</f>
        <v>5.4641337149314566</v>
      </c>
      <c r="L13" s="1" cm="1">
        <f t="array" ref="L13">OptionPrice("C",$B13,$B$2,L$5,$B$3,$C$4,0)</f>
        <v>5.8878398856106102</v>
      </c>
      <c r="M13" s="1" cm="1">
        <f t="array" ref="M13">OptionPrice("C",$B13,$B$2,M$5,$B$3,$C$4,0)</f>
        <v>9.4097692125126571</v>
      </c>
      <c r="N13" s="1" cm="1">
        <f t="array" ref="N13">OptionPrice("C",$B13,$B$2,N$5,$B$3,$C$4,0)</f>
        <v>12.206411899851027</v>
      </c>
      <c r="O13" s="1" cm="1">
        <f t="array" ref="O13">OptionPrice("C",$B13,$B$2,O$5,$B$3,$C$4,0)</f>
        <v>14.611345192162659</v>
      </c>
      <c r="P13" s="2" cm="1">
        <f t="array" ref="P13">OptionPrice("C",$B13,$B$2,P$5,$B$3,$C$4,0)</f>
        <v>16.758463453486556</v>
      </c>
      <c r="Y13" s="136"/>
      <c r="Z13" s="14">
        <v>95</v>
      </c>
      <c r="AA13" s="1" cm="1">
        <f t="array" ref="AA13">OptionDelta("C",$Z13,$B$2,AA$5,$B$3,$AA$4,0)</f>
        <v>0.22255758462414449</v>
      </c>
      <c r="AB13" s="1" cm="1">
        <f t="array" ref="AB13">OptionDelta("C",$Z13,$B$2,AB$5,$B$3,$AA$4,0)</f>
        <v>0.3062898934344146</v>
      </c>
      <c r="AC13" s="1" cm="1">
        <f t="array" ref="AC13">OptionDelta("C",$Z13,$B$2,AC$5,$B$3,$AA$4,0)</f>
        <v>0.34971752968021519</v>
      </c>
      <c r="AD13" s="1" cm="1">
        <f t="array" ref="AD13">OptionDelta("C",$Z13,$B$2,AD$5,$B$3,$AA$4,0)</f>
        <v>0.3780368656656477</v>
      </c>
      <c r="AE13" s="1" cm="1">
        <f t="array" ref="AE13">OptionDelta("C",$Z13,$B$2,AE$5,$B$3,$AA$4,0)</f>
        <v>0.39873130138189328</v>
      </c>
      <c r="AF13" s="1" cm="1">
        <f t="array" ref="AF13">OptionDelta("C",$Z13,$B$2,AF$5,$B$3,$AA$4,0)</f>
        <v>0.41491980008730484</v>
      </c>
      <c r="AG13" s="1" cm="1">
        <f t="array" ref="AG13">OptionDelta("C",$Z13,$B$2,AG$5,$B$3,$AA$4,0)</f>
        <v>0.42816924322332078</v>
      </c>
      <c r="AH13" s="1" cm="1">
        <f t="array" ref="AH13">OptionDelta("C",$Z13,$B$2,AH$5,$B$3,$AA$4,0)</f>
        <v>0.4393670542417723</v>
      </c>
      <c r="AI13" s="1" cm="1">
        <f t="array" ref="AI13">OptionDelta("C",$Z13,$B$2,AI$5,$B$3,$AA$4,0)</f>
        <v>0.4490598842795181</v>
      </c>
      <c r="AJ13" s="1" cm="1">
        <f t="array" ref="AJ13">OptionDelta("C",$Z13,$B$2,AJ$5,$B$3,$AA$4,0)</f>
        <v>0.45760612784927152</v>
      </c>
      <c r="AK13" s="1" cm="1">
        <f t="array" ref="AK13">OptionDelta("C",$Z13,$B$2,AK$5,$B$3,$AA$4,0)</f>
        <v>0.51227864232904818</v>
      </c>
      <c r="AL13" s="1" cm="1">
        <f t="array" ref="AL13">OptionDelta("C",$Z13,$B$2,AL$5,$B$3,$AA$4,0)</f>
        <v>0.54448388447384266</v>
      </c>
      <c r="AM13" s="1" cm="1">
        <f t="array" ref="AM13">OptionDelta("C",$Z13,$B$2,AM$5,$B$3,$AA$4,0)</f>
        <v>0.56818955220522305</v>
      </c>
      <c r="AN13" s="1" cm="1">
        <f t="array" ref="AN13">OptionDelta("C",$Z13,$B$2,AN$5,$B$3,$AA$4,0)</f>
        <v>0.58734278687654107</v>
      </c>
      <c r="AW13" s="139"/>
      <c r="AX13" s="14">
        <v>95</v>
      </c>
      <c r="AY13" s="1" cm="1">
        <f t="array" ref="AY13">OptionTheta("C",$AX13,$B$2,AY$5,$B$3,$AY$4,0)</f>
        <v>-2.3973076818506887E-2</v>
      </c>
      <c r="AZ13" s="1" cm="1">
        <f t="array" ref="AZ13">OptionTheta("C",$AX13,$B$2,AZ$5,$B$3,$AY$4,0)</f>
        <v>-1.9670362223235344E-2</v>
      </c>
      <c r="BA13" s="1" cm="1">
        <f t="array" ref="BA13">OptionTheta("C",$AX13,$B$2,BA$5,$B$3,$AY$4,0)</f>
        <v>-1.6748941905528867E-2</v>
      </c>
      <c r="BB13" s="1" cm="1">
        <f t="array" ref="BB13">OptionTheta("C",$AX13,$B$2,BB$5,$B$3,$AY$4,0)</f>
        <v>-1.4741066296187516E-2</v>
      </c>
      <c r="BC13" s="1" cm="1">
        <f t="array" ref="BC13">OptionTheta("C",$AX13,$B$2,BC$5,$B$3,$AY$4,0)</f>
        <v>-1.3267407263215751E-2</v>
      </c>
      <c r="BD13" s="1" cm="1">
        <f t="array" ref="BD13">OptionTheta("C",$AX13,$B$2,BD$5,$B$3,$AY$4,0)</f>
        <v>-1.2130098574116573E-2</v>
      </c>
      <c r="BE13" s="1" cm="1">
        <f t="array" ref="BE13">OptionTheta("C",$AX13,$B$2,BE$5,$B$3,$AY$4,0)</f>
        <v>-1.1219144924587754E-2</v>
      </c>
      <c r="BF13" s="1" cm="1">
        <f t="array" ref="BF13">OptionTheta("C",$AX13,$B$2,BF$5,$B$3,$AY$4,0)</f>
        <v>-1.0468662101675042E-2</v>
      </c>
      <c r="BG13" s="1" cm="1">
        <f t="array" ref="BG13">OptionTheta("C",$AX13,$B$2,BG$5,$B$3,$AY$4,0)</f>
        <v>-9.8366644562263069E-3</v>
      </c>
      <c r="BH13" s="1" cm="1">
        <f t="array" ref="BH13">OptionTheta("C",$AX13,$B$2,BH$5,$B$3,$AY$4,0)</f>
        <v>-9.2950280449470776E-3</v>
      </c>
      <c r="BI13" s="1" cm="1">
        <f t="array" ref="BI13">OptionTheta("C",$AX13,$B$2,BI$5,$B$3,$AY$4,0)</f>
        <v>-6.2631892850285977E-3</v>
      </c>
      <c r="BJ13" s="1" cm="1">
        <f t="array" ref="BJ13">OptionTheta("C",$AX13,$B$2,BJ$5,$B$3,$AY$4,0)</f>
        <v>-4.8748413882088101E-3</v>
      </c>
      <c r="BK13" s="1" cm="1">
        <f t="array" ref="BK13">OptionTheta("C",$AX13,$B$2,BK$5,$B$3,$AY$4,0)</f>
        <v>-4.0371503458012745E-3</v>
      </c>
      <c r="BL13" s="1" cm="1">
        <f t="array" ref="BL13">OptionTheta("C",$AX13,$B$2,BL$5,$B$3,$AY$4,0)</f>
        <v>-3.462305773002881E-3</v>
      </c>
      <c r="BU13" s="142"/>
      <c r="BV13" s="14">
        <v>95</v>
      </c>
      <c r="BW13" s="1" cm="1">
        <f t="array" ref="BW13">OptionGamma($BV13,$B$2,BW$5,$B$3,$BW$4,0)</f>
        <v>4.960740057577824E-2</v>
      </c>
      <c r="BX13" s="1" cm="1">
        <f t="array" ref="BX13">OptionGamma($BV13,$B$2,BX$5,$B$3,$BW$4,0)</f>
        <v>4.1300684164172589E-2</v>
      </c>
      <c r="BY13" s="1" cm="1">
        <f t="array" ref="BY13">OptionGamma($BV13,$B$2,BY$5,$B$3,$BW$4,0)</f>
        <v>3.5581792279001198E-2</v>
      </c>
      <c r="BZ13" s="1" cm="1">
        <f t="array" ref="BZ13">OptionGamma($BV13,$B$2,BZ$5,$B$3,$BW$4,0)</f>
        <v>3.1635322258043566E-2</v>
      </c>
      <c r="CA13" s="1" cm="1">
        <f t="array" ref="CA13">OptionGamma($BV13,$B$2,CA$5,$B$3,$BW$4,0)</f>
        <v>2.8732281352043244E-2</v>
      </c>
      <c r="CB13" s="1" cm="1">
        <f t="array" ref="CB13">OptionGamma($BV13,$B$2,CB$5,$B$3,$BW$4,0)</f>
        <v>2.64881643942976E-2</v>
      </c>
      <c r="CC13" s="1" cm="1">
        <f t="array" ref="CC13">OptionGamma($BV13,$B$2,CC$5,$B$3,$BW$4,0)</f>
        <v>2.4688265009858643E-2</v>
      </c>
      <c r="CD13" s="1" cm="1">
        <f t="array" ref="CD13">OptionGamma($BV13,$B$2,CD$5,$B$3,$BW$4,0)</f>
        <v>2.3203661883923712E-2</v>
      </c>
      <c r="CE13" s="1" cm="1">
        <f t="array" ref="CE13">OptionGamma($BV13,$B$2,CE$5,$B$3,$BW$4,0)</f>
        <v>2.1952066922098775E-2</v>
      </c>
      <c r="CF13" s="1" cm="1">
        <f t="array" ref="CF13">OptionGamma($BV13,$B$2,CF$5,$B$3,$BW$4,0)</f>
        <v>2.087829727981377E-2</v>
      </c>
      <c r="CG13" s="1" cm="1">
        <f t="array" ref="CG13">OptionGamma($BV13,$B$2,CG$5,$B$3,$BW$4,0)</f>
        <v>1.4840061535306964E-2</v>
      </c>
      <c r="CH13" s="1" cm="1">
        <f t="array" ref="CH13">OptionGamma($BV13,$B$2,CH$5,$B$3,$BW$4,0)</f>
        <v>1.2047161650680642E-2</v>
      </c>
      <c r="CI13" s="1" cm="1">
        <f t="array" ref="CI13">OptionGamma($BV13,$B$2,CI$5,$B$3,$BW$4,0)</f>
        <v>1.034474514620942E-2</v>
      </c>
      <c r="CJ13" s="1" cm="1">
        <f t="array" ref="CJ13">OptionGamma($BV13,$B$2,CJ$5,$B$3,$BW$4,0)</f>
        <v>9.1641696406864273E-3</v>
      </c>
      <c r="CS13" s="145"/>
      <c r="CT13" s="14">
        <v>95</v>
      </c>
      <c r="CU13" s="1" cm="1">
        <f t="array" ref="CU13">OptionVega($CT13,$B$2,CU$5,$B$3,$CU$4,0)</f>
        <v>8.9541358039279748E-2</v>
      </c>
      <c r="CV13" s="1" cm="1">
        <f t="array" ref="CV13">OptionVega($CT13,$B$2,CV$5,$B$3,$CU$4,0)</f>
        <v>0.14909546983266303</v>
      </c>
      <c r="CW13" s="1" cm="1">
        <f t="array" ref="CW13">OptionVega($CT13,$B$2,CW$5,$B$3,$CU$4,0)</f>
        <v>0.19267540519079149</v>
      </c>
      <c r="CX13" s="1" cm="1">
        <f t="array" ref="CX13">OptionVega($CT13,$B$2,CX$5,$B$3,$CU$4,0)</f>
        <v>0.22840702670307464</v>
      </c>
      <c r="CY13" s="1" cm="1">
        <f t="array" ref="CY13">OptionVega($CT13,$B$2,CY$5,$B$3,$CU$4,0)</f>
        <v>0.25930883920219033</v>
      </c>
      <c r="CZ13" s="1" cm="1">
        <f t="array" ref="CZ13">OptionVega($CT13,$B$2,CZ$5,$B$3,$CU$4,0)</f>
        <v>0.28686682039024308</v>
      </c>
      <c r="DA13" s="1" cm="1">
        <f t="array" ref="DA13">OptionVega($CT13,$B$2,DA$5,$B$3,$CU$4,0)</f>
        <v>0.31193622839956398</v>
      </c>
      <c r="DB13" s="1" cm="1">
        <f t="array" ref="DB13">OptionVega($CT13,$B$2,DB$5,$B$3,$CU$4,0)</f>
        <v>0.33506087760385844</v>
      </c>
      <c r="DC13" s="1" cm="1">
        <f t="array" ref="DC13">OptionVega($CT13,$B$2,DC$5,$B$3,$CU$4,0)</f>
        <v>0.35661132714949467</v>
      </c>
      <c r="DD13" s="1" cm="1">
        <f t="array" ref="DD13">OptionVega($CT13,$B$2,DD$5,$B$3,$CU$4,0)</f>
        <v>0.37685326590063856</v>
      </c>
      <c r="DE13" s="1" cm="1">
        <f t="array" ref="DE13">OptionVega($CT13,$B$2,DE$5,$B$3,$CU$4,0)</f>
        <v>0.53572622142458148</v>
      </c>
      <c r="DF13" s="1" cm="1">
        <f t="array" ref="DF13">OptionVega($CT13,$B$2,DF$5,$B$3,$CU$4,0)</f>
        <v>0.65235380338435678</v>
      </c>
      <c r="DG13" s="1" cm="1">
        <f t="array" ref="DG13">OptionVega($CT13,$B$2,DG$5,$B$3,$CU$4,0)</f>
        <v>0.7468905995563202</v>
      </c>
      <c r="DH13" s="1" cm="1">
        <f t="array" ref="DH13">OptionVega($CT13,$B$2,DH$5,$B$3,$CU$4,0)</f>
        <v>0.82706631007195031</v>
      </c>
      <c r="DQ13" s="130"/>
      <c r="DR13" s="14">
        <v>95</v>
      </c>
      <c r="DS13" s="1" cm="1">
        <f t="array" ref="DS13">OptionRho("C",$DR13,$B$2,DS$5,$B$3,$DS$4,0)</f>
        <v>2.0396276517295933E-2</v>
      </c>
      <c r="DT13" s="1" cm="1">
        <f t="array" ref="DT13">OptionRho("C",$DR13,$B$2,DT$5,$B$3,$DS$4,0)</f>
        <v>5.5018256030450026E-2</v>
      </c>
      <c r="DU13" s="1" cm="1">
        <f t="array" ref="DU13">OptionRho("C",$DR13,$B$2,DU$5,$B$3,$DS$4,0)</f>
        <v>9.274491325250403E-2</v>
      </c>
      <c r="DV13" s="1" cm="1">
        <f t="array" ref="DV13">OptionRho("C",$DR13,$B$2,DV$5,$B$3,$DS$4,0)</f>
        <v>0.13187458778736869</v>
      </c>
      <c r="DW13" s="1" cm="1">
        <f t="array" ref="DW13">OptionRho("C",$DR13,$B$2,DW$5,$B$3,$DS$4,0)</f>
        <v>0.1717865664850281</v>
      </c>
      <c r="DX13" s="1" cm="1">
        <f t="array" ref="DX13">OptionRho("C",$DR13,$B$2,DX$5,$B$3,$DS$4,0)</f>
        <v>0.21217661617090136</v>
      </c>
      <c r="DY13" s="1" cm="1">
        <f t="array" ref="DY13">OptionRho("C",$DR13,$B$2,DY$5,$B$3,$DS$4,0)</f>
        <v>0.25287075576346896</v>
      </c>
      <c r="DZ13" s="1" cm="1">
        <f t="array" ref="DZ13">OptionRho("C",$DR13,$B$2,DZ$5,$B$3,$DS$4,0)</f>
        <v>0.29375944234947271</v>
      </c>
      <c r="EA13" s="1" cm="1">
        <f t="array" ref="EA13">OptionRho("C",$DR13,$B$2,EA$5,$B$3,$DS$4,0)</f>
        <v>0.33476899762460488</v>
      </c>
      <c r="EB13" s="1" cm="1">
        <f t="array" ref="EB13">OptionRho("C",$DR13,$B$2,EB$5,$B$3,$DS$4,0)</f>
        <v>0.37584742260070186</v>
      </c>
      <c r="EC13" s="1" cm="1">
        <f t="array" ref="EC13">OptionRho("C",$DR13,$B$2,EC$5,$B$3,$DS$4,0)</f>
        <v>0.78513403617493838</v>
      </c>
      <c r="ED13" s="1" cm="1">
        <f t="array" ref="ED13">OptionRho("C",$DR13,$B$2,ED$5,$B$3,$DS$4,0)</f>
        <v>1.1855867137549208</v>
      </c>
      <c r="EE13" s="1" cm="1">
        <f t="array" ref="EE13">OptionRho("C",$DR13,$B$2,EE$5,$B$3,$DS$4,0)</f>
        <v>1.5746664906933414</v>
      </c>
      <c r="EF13" s="1" cm="1">
        <f t="array" ref="EF13">OptionRho("C",$DR13,$B$2,EF$5,$B$3,$DS$4,0)</f>
        <v>1.9519550649892421</v>
      </c>
      <c r="EP13" s="130"/>
      <c r="EQ13" s="14">
        <v>95</v>
      </c>
      <c r="ER13" s="1" cm="1">
        <f t="array" ref="ER13">OptionRho("C",$EQ13,$B$2,ER$5,$D$3,$ER$4,0)</f>
        <v>4.5586323083401013E-2</v>
      </c>
      <c r="ES13" s="1" cm="1">
        <f t="array" ref="ES13">OptionRho("C",$EQ13,$B$2,ES$5,$D$3,$ER$4,0)</f>
        <v>0.125121782817051</v>
      </c>
      <c r="ET13" s="1" cm="1">
        <f t="array" ref="ET13">OptionRho("C",$EQ13,$B$2,ET$5,$D$3,$ER$4,0)</f>
        <v>0.20690693902623597</v>
      </c>
      <c r="EU13" s="1" cm="1">
        <f t="array" ref="EU13">OptionRho("C",$EQ13,$B$2,EU$5,$D$3,$ER$4,0)</f>
        <v>0.28394024568279508</v>
      </c>
      <c r="EV13" s="1" cm="1">
        <f t="array" ref="EV13">OptionRho("C",$EQ13,$B$2,EV$5,$D$3,$ER$4,0)</f>
        <v>0.35394809748956463</v>
      </c>
      <c r="EW13" s="1" cm="1">
        <f t="array" ref="EW13">OptionRho("C",$EQ13,$B$2,EW$5,$D$3,$ER$4,0)</f>
        <v>0.4163705194011475</v>
      </c>
      <c r="EX13" s="1" cm="1">
        <f t="array" ref="EX13">OptionRho("C",$EQ13,$B$2,EX$5,$D$3,$ER$4,0)</f>
        <v>0.47136543115938628</v>
      </c>
      <c r="EY13" s="1" cm="1">
        <f t="array" ref="EY13">OptionRho("C",$EQ13,$B$2,EY$5,$D$3,$ER$4,0)</f>
        <v>0.51939037924306031</v>
      </c>
      <c r="EZ13" s="1" cm="1">
        <f t="array" ref="EZ13">OptionRho("C",$EQ13,$B$2,EZ$5,$D$3,$ER$4,0)</f>
        <v>0.56100992837980068</v>
      </c>
      <c r="FA13" s="1" cm="1">
        <f t="array" ref="FA13">OptionRho("C",$EQ13,$B$2,FA$5,$D$3,$ER$4,0)</f>
        <v>0.59680485511079262</v>
      </c>
      <c r="FB13" s="1" cm="1">
        <f t="array" ref="FB13">OptionRho("C",$EQ13,$B$2,FB$5,$D$3,$ER$4,0)</f>
        <v>0.7352752512750852</v>
      </c>
      <c r="FC13" s="1" cm="1">
        <f t="array" ref="FC13">OptionRho("C",$EQ13,$B$2,FC$5,$D$3,$ER$4,0)</f>
        <v>0.66937005904525293</v>
      </c>
      <c r="FD13" s="1" cm="1">
        <f t="array" ref="FD13">OptionRho("C",$EQ13,$B$2,FD$5,$D$3,$ER$4,0)</f>
        <v>0.54134032467017135</v>
      </c>
      <c r="FE13" s="1" cm="1">
        <f t="array" ref="FE13">OptionRho("C",$EQ13,$B$2,FE$5,$D$3,$ER$4,0)</f>
        <v>0.41042496222178254</v>
      </c>
    </row>
    <row r="14" spans="1:161" x14ac:dyDescent="0.2">
      <c r="A14" s="133"/>
      <c r="B14" s="14">
        <v>100</v>
      </c>
      <c r="C14" s="1" cm="1">
        <f t="array" ref="C14">OptionPrice("C",$B14,$B$2,C$5,$B$3,$C$4,0)</f>
        <v>2.5717414155455174</v>
      </c>
      <c r="D14" s="1" cm="1">
        <f t="array" ref="D14">OptionPrice("C",$B14,$B$2,D$5,$B$3,$C$4,0)</f>
        <v>3.6642859878086398</v>
      </c>
      <c r="E14" s="1" cm="1">
        <f t="array" ref="E14">OptionPrice("C",$B14,$B$2,E$5,$B$3,$C$4,0)</f>
        <v>4.5128764488089885</v>
      </c>
      <c r="F14" s="1" cm="1">
        <f t="array" ref="F14">OptionPrice("C",$B14,$B$2,F$5,$B$3,$C$4,0)</f>
        <v>5.2349506082500952</v>
      </c>
      <c r="G14" s="1" cm="1">
        <f t="array" ref="G14">OptionPrice("C",$B14,$B$2,G$5,$B$3,$C$4,0)</f>
        <v>5.8760242338276072</v>
      </c>
      <c r="H14" s="1" cm="1">
        <f t="array" ref="H14">OptionPrice("C",$B14,$B$2,H$5,$B$3,$C$4,0)</f>
        <v>6.4594540100983693</v>
      </c>
      <c r="I14" s="1" cm="1">
        <f t="array" ref="I14">OptionPrice("C",$B14,$B$2,I$5,$B$3,$C$4,0)</f>
        <v>6.99912275895948</v>
      </c>
      <c r="J14" s="1" cm="1">
        <f t="array" ref="J14">OptionPrice("C",$B14,$B$2,J$5,$B$3,$C$4,0)</f>
        <v>7.5040810218846374</v>
      </c>
      <c r="K14" s="1" cm="1">
        <f t="array" ref="K14">OptionPrice("C",$B14,$B$2,K$5,$B$3,$C$4,0)</f>
        <v>7.9806188789340027</v>
      </c>
      <c r="L14" s="1" cm="1">
        <f t="array" ref="L14">OptionPrice("C",$B14,$B$2,L$5,$B$3,$C$4,0)</f>
        <v>8.4333186901096084</v>
      </c>
      <c r="M14" s="1" cm="1">
        <f t="array" ref="M14">OptionPrice("C",$B14,$B$2,M$5,$B$3,$C$4,0)</f>
        <v>12.152651798446094</v>
      </c>
      <c r="N14" s="1" cm="1">
        <f t="array" ref="N14">OptionPrice("C",$B14,$B$2,N$5,$B$3,$C$4,0)</f>
        <v>15.075760936614984</v>
      </c>
      <c r="O14" s="1" cm="1">
        <f t="array" ref="O14">OptionPrice("C",$B14,$B$2,O$5,$B$3,$C$4,0)</f>
        <v>17.578286805283774</v>
      </c>
      <c r="P14" s="2" cm="1">
        <f t="array" ref="P14">OptionPrice("C",$B14,$B$2,P$5,$B$3,$C$4,0)</f>
        <v>19.806700731831192</v>
      </c>
      <c r="Y14" s="136"/>
      <c r="Z14" s="14">
        <v>100</v>
      </c>
      <c r="AA14" s="1" cm="1">
        <f t="array" ref="AA14">OptionDelta("C",$Z14,$B$2,AA$5,$B$3,$AA$4,0)</f>
        <v>0.51891639999929629</v>
      </c>
      <c r="AB14" s="1" cm="1">
        <f t="array" ref="AB14">OptionDelta("C",$Z14,$B$2,AB$5,$B$3,$AA$4,0)</f>
        <v>0.5267418038869226</v>
      </c>
      <c r="AC14" s="1" cm="1">
        <f t="array" ref="AC14">OptionDelta("C",$Z14,$B$2,AC$5,$B$3,$AA$4,0)</f>
        <v>0.53273961671267711</v>
      </c>
      <c r="AD14" s="1" cm="1">
        <f t="array" ref="AD14">OptionDelta("C",$Z14,$B$2,AD$5,$B$3,$AA$4,0)</f>
        <v>0.53779029390666466</v>
      </c>
      <c r="AE14" s="1" cm="1">
        <f t="array" ref="AE14">OptionDelta("C",$Z14,$B$2,AE$5,$B$3,$AA$4,0)</f>
        <v>0.54223501331161406</v>
      </c>
      <c r="AF14" s="1" cm="1">
        <f t="array" ref="AF14">OptionDelta("C",$Z14,$B$2,AF$5,$B$3,$AA$4,0)</f>
        <v>0.54624882106468031</v>
      </c>
      <c r="AG14" s="1" cm="1">
        <f t="array" ref="AG14">OptionDelta("C",$Z14,$B$2,AG$5,$B$3,$AA$4,0)</f>
        <v>0.54993574324296035</v>
      </c>
      <c r="AH14" s="1" cm="1">
        <f t="array" ref="AH14">OptionDelta("C",$Z14,$B$2,AH$5,$B$3,$AA$4,0)</f>
        <v>0.55336358492889404</v>
      </c>
      <c r="AI14" s="1" cm="1">
        <f t="array" ref="AI14">OptionDelta("C",$Z14,$B$2,AI$5,$B$3,$AA$4,0)</f>
        <v>0.55657946195545982</v>
      </c>
      <c r="AJ14" s="1" cm="1">
        <f t="array" ref="AJ14">OptionDelta("C",$Z14,$B$2,AJ$5,$B$3,$AA$4,0)</f>
        <v>0.5596176923702425</v>
      </c>
      <c r="AK14" s="1" cm="1">
        <f t="array" ref="AK14">OptionDelta("C",$Z14,$B$2,AK$5,$B$3,$AA$4,0)</f>
        <v>0.58399798571368178</v>
      </c>
      <c r="AL14" s="1" cm="1">
        <f t="array" ref="AL14">OptionDelta("C",$Z14,$B$2,AL$5,$B$3,$AA$4,0)</f>
        <v>0.60249391401788099</v>
      </c>
      <c r="AM14" s="1" cm="1">
        <f t="array" ref="AM14">OptionDelta("C",$Z14,$B$2,AM$5,$B$3,$AA$4,0)</f>
        <v>0.61791142218895267</v>
      </c>
      <c r="AN14" s="1" cm="1">
        <f t="array" ref="AN14">OptionDelta("C",$Z14,$B$2,AN$5,$B$3,$AA$4,0)</f>
        <v>0.63134216139179089</v>
      </c>
      <c r="AW14" s="139"/>
      <c r="AX14" s="14">
        <v>100</v>
      </c>
      <c r="AY14" s="1" cm="1">
        <f t="array" ref="AY14">OptionTheta("C",$AX14,$B$2,AY$5,$B$3,$AY$4,0)</f>
        <v>-3.3173367079936102E-2</v>
      </c>
      <c r="AZ14" s="1" cm="1">
        <f t="array" ref="AZ14">OptionTheta("C",$AX14,$B$2,AZ$5,$B$3,$AY$4,0)</f>
        <v>-2.3042391243406655E-2</v>
      </c>
      <c r="BA14" s="1" cm="1">
        <f t="array" ref="BA14">OptionTheta("C",$AX14,$B$2,BA$5,$B$3,$AY$4,0)</f>
        <v>-1.8552066981106369E-2</v>
      </c>
      <c r="BB14" s="1" cm="1">
        <f t="array" ref="BB14">OptionTheta("C",$AX14,$B$2,BB$5,$B$3,$AY$4,0)</f>
        <v>-1.587416177384374E-2</v>
      </c>
      <c r="BC14" s="1" cm="1">
        <f t="array" ref="BC14">OptionTheta("C",$AX14,$B$2,BC$5,$B$3,$AY$4,0)</f>
        <v>-1.4045957506476475E-2</v>
      </c>
      <c r="BD14" s="1" cm="1">
        <f t="array" ref="BD14">OptionTheta("C",$AX14,$B$2,BD$5,$B$3,$AY$4,0)</f>
        <v>-1.2695947402017051E-2</v>
      </c>
      <c r="BE14" s="1" cm="1">
        <f t="array" ref="BE14">OptionTheta("C",$AX14,$B$2,BE$5,$B$3,$AY$4,0)</f>
        <v>-1.1646370073008503E-2</v>
      </c>
      <c r="BF14" s="1" cm="1">
        <f t="array" ref="BF14">OptionTheta("C",$AX14,$B$2,BF$5,$B$3,$AY$4,0)</f>
        <v>-1.0800068013464793E-2</v>
      </c>
      <c r="BG14" s="1" cm="1">
        <f t="array" ref="BG14">OptionTheta("C",$AX14,$B$2,BG$5,$B$3,$AY$4,0)</f>
        <v>-1.0098861809140571E-2</v>
      </c>
      <c r="BH14" s="1" cm="1">
        <f t="array" ref="BH14">OptionTheta("C",$AX14,$B$2,BH$5,$B$3,$AY$4,0)</f>
        <v>-9.5055035715335429E-3</v>
      </c>
      <c r="BI14" s="1" cm="1">
        <f t="array" ref="BI14">OptionTheta("C",$AX14,$B$2,BI$5,$B$3,$AY$4,0)</f>
        <v>-6.289626983281749E-3</v>
      </c>
      <c r="BJ14" s="1" cm="1">
        <f t="array" ref="BJ14">OptionTheta("C",$AX14,$B$2,BJ$5,$B$3,$AY$4,0)</f>
        <v>-4.8633397413118526E-3</v>
      </c>
      <c r="BK14" s="1" cm="1">
        <f t="array" ref="BK14">OptionTheta("C",$AX14,$B$2,BK$5,$B$3,$AY$4,0)</f>
        <v>-4.0131795155246728E-3</v>
      </c>
      <c r="BL14" s="1" cm="1">
        <f t="array" ref="BL14">OptionTheta("C",$AX14,$B$2,BL$5,$B$3,$AY$4,0)</f>
        <v>-3.4335954354907773E-3</v>
      </c>
      <c r="BU14" s="142"/>
      <c r="BV14" s="14">
        <v>100</v>
      </c>
      <c r="BW14" s="1" cm="1">
        <f t="array" ref="BW14">OptionGamma($BV14,$B$2,BW$5,$B$3,$BW$4,0)</f>
        <v>6.3007389850102583E-2</v>
      </c>
      <c r="BX14" s="1" cm="1">
        <f t="array" ref="BX14">OptionGamma($BV14,$B$2,BX$5,$B$3,$BW$4,0)</f>
        <v>4.4502858739261325E-2</v>
      </c>
      <c r="BY14" s="1" cm="1">
        <f t="array" ref="BY14">OptionGamma($BV14,$B$2,BY$5,$B$3,$BW$4,0)</f>
        <v>3.6295576501642057E-2</v>
      </c>
      <c r="BZ14" s="1" cm="1">
        <f t="array" ref="BZ14">OptionGamma($BV14,$B$2,BZ$5,$B$3,$BW$4,0)</f>
        <v>3.1397549176385632E-2</v>
      </c>
      <c r="CA14" s="1" cm="1">
        <f t="array" ref="CA14">OptionGamma($BV14,$B$2,CA$5,$B$3,$BW$4,0)</f>
        <v>2.8051246304186251E-2</v>
      </c>
      <c r="CB14" s="1" cm="1">
        <f t="array" ref="CB14">OptionGamma($BV14,$B$2,CB$5,$B$3,$BW$4,0)</f>
        <v>2.5578375413499596E-2</v>
      </c>
      <c r="CC14" s="1" cm="1">
        <f t="array" ref="CC14">OptionGamma($BV14,$B$2,CC$5,$B$3,$BW$4,0)</f>
        <v>2.3654347961507342E-2</v>
      </c>
      <c r="CD14" s="1" cm="1">
        <f t="array" ref="CD14">OptionGamma($BV14,$B$2,CD$5,$B$3,$BW$4,0)</f>
        <v>2.2101737998123483E-2</v>
      </c>
      <c r="CE14" s="1" cm="1">
        <f t="array" ref="CE14">OptionGamma($BV14,$B$2,CE$5,$B$3,$BW$4,0)</f>
        <v>2.0814289167512139E-2</v>
      </c>
      <c r="CF14" s="1" cm="1">
        <f t="array" ref="CF14">OptionGamma($BV14,$B$2,CF$5,$B$3,$BW$4,0)</f>
        <v>1.9723966545394447E-2</v>
      </c>
      <c r="CG14" s="1" cm="1">
        <f t="array" ref="CG14">OptionGamma($BV14,$B$2,CG$5,$B$3,$BW$4,0)</f>
        <v>1.3790926583135297E-2</v>
      </c>
      <c r="CH14" s="1" cm="1">
        <f t="array" ref="CH14">OptionGamma($BV14,$B$2,CH$5,$B$3,$BW$4,0)</f>
        <v>1.1134276551152785E-2</v>
      </c>
      <c r="CI14" s="1" cm="1">
        <f t="array" ref="CI14">OptionGamma($BV14,$B$2,CI$5,$B$3,$BW$4,0)</f>
        <v>9.5346953865131021E-3</v>
      </c>
      <c r="CJ14" s="1" cm="1">
        <f t="array" ref="CJ14">OptionGamma($BV14,$B$2,CJ$5,$B$3,$BW$4,0)</f>
        <v>8.4326874401380626E-3</v>
      </c>
      <c r="CS14" s="145"/>
      <c r="CT14" s="14">
        <v>100</v>
      </c>
      <c r="CU14" s="1" cm="1">
        <f t="array" ref="CU14">OptionVega($CT14,$B$2,CU$5,$B$3,$CU$4,0)</f>
        <v>0.12601477970020519</v>
      </c>
      <c r="CV14" s="1" cm="1">
        <f t="array" ref="CV14">OptionVega($CT14,$B$2,CV$5,$B$3,$CU$4,0)</f>
        <v>0.1780114349570453</v>
      </c>
      <c r="CW14" s="1" cm="1">
        <f t="array" ref="CW14">OptionVega($CT14,$B$2,CW$5,$B$3,$CU$4,0)</f>
        <v>0.21777345900985232</v>
      </c>
      <c r="CX14" s="1" cm="1">
        <f t="array" ref="CX14">OptionVega($CT14,$B$2,CX$5,$B$3,$CU$4,0)</f>
        <v>0.25118039341108511</v>
      </c>
      <c r="CY14" s="1" cm="1">
        <f t="array" ref="CY14">OptionVega($CT14,$B$2,CY$5,$B$3,$CU$4,0)</f>
        <v>0.28051246304186261</v>
      </c>
      <c r="CZ14" s="1" cm="1">
        <f t="array" ref="CZ14">OptionVega($CT14,$B$2,CZ$5,$B$3,$CU$4,0)</f>
        <v>0.30694050496199521</v>
      </c>
      <c r="DA14" s="1" cm="1">
        <f t="array" ref="DA14">OptionVega($CT14,$B$2,DA$5,$B$3,$CU$4,0)</f>
        <v>0.3311608714611029</v>
      </c>
      <c r="DB14" s="1" cm="1">
        <f t="array" ref="DB14">OptionVega($CT14,$B$2,DB$5,$B$3,$CU$4,0)</f>
        <v>0.35362780796997573</v>
      </c>
      <c r="DC14" s="1" cm="1">
        <f t="array" ref="DC14">OptionVega($CT14,$B$2,DC$5,$B$3,$CU$4,0)</f>
        <v>0.37465720501521849</v>
      </c>
      <c r="DD14" s="1" cm="1">
        <f t="array" ref="DD14">OptionVega($CT14,$B$2,DD$5,$B$3,$CU$4,0)</f>
        <v>0.39447933090788895</v>
      </c>
      <c r="DE14" s="1" cm="1">
        <f t="array" ref="DE14">OptionVega($CT14,$B$2,DE$5,$B$3,$CU$4,0)</f>
        <v>0.55163706332541196</v>
      </c>
      <c r="DF14" s="1" cm="1">
        <f t="array" ref="DF14">OptionVega($CT14,$B$2,DF$5,$B$3,$CU$4,0)</f>
        <v>0.66805659306916709</v>
      </c>
      <c r="DG14" s="1" cm="1">
        <f t="array" ref="DG14">OptionVega($CT14,$B$2,DG$5,$B$3,$CU$4,0)</f>
        <v>0.76277563092104816</v>
      </c>
      <c r="DH14" s="1" cm="1">
        <f t="array" ref="DH14">OptionVega($CT14,$B$2,DH$5,$B$3,$CU$4,0)</f>
        <v>0.84326874401380636</v>
      </c>
      <c r="DQ14" s="130"/>
      <c r="DR14" s="14">
        <v>100</v>
      </c>
      <c r="DS14" s="1" cm="1">
        <f t="array" ref="DS14">OptionRho("C",$DR14,$B$2,DS$5,$B$3,$DS$4,0)</f>
        <v>4.9319898584384125E-2</v>
      </c>
      <c r="DT14" s="1" cm="1">
        <f t="array" ref="DT14">OptionRho("C",$DR14,$B$2,DT$5,$B$3,$DS$4,0)</f>
        <v>9.8019788801767246E-2</v>
      </c>
      <c r="DU14" s="1" cm="1">
        <f t="array" ref="DU14">OptionRho("C",$DR14,$B$2,DU$5,$B$3,$DS$4,0)</f>
        <v>0.14628325566737618</v>
      </c>
      <c r="DV14" s="1" cm="1">
        <f t="array" ref="DV14">OptionRho("C",$DR14,$B$2,DV$5,$B$3,$DS$4,0)</f>
        <v>0.19417631512966549</v>
      </c>
      <c r="DW14" s="1" cm="1">
        <f t="array" ref="DW14">OptionRho("C",$DR14,$B$2,DW$5,$B$3,$DS$4,0)</f>
        <v>0.24173738548666898</v>
      </c>
      <c r="DX14" s="1" cm="1">
        <f t="array" ref="DX14">OptionRho("C",$DR14,$B$2,DX$5,$B$3,$DS$4,0)</f>
        <v>0.28899256857821798</v>
      </c>
      <c r="DY14" s="1" cm="1">
        <f t="array" ref="DY14">OptionRho("C",$DR14,$B$2,DY$5,$B$3,$DS$4,0)</f>
        <v>0.33596116095735584</v>
      </c>
      <c r="DZ14" s="1" cm="1">
        <f t="array" ref="DZ14">OptionRho("C",$DR14,$B$2,DZ$5,$B$3,$DS$4,0)</f>
        <v>0.38265821976803815</v>
      </c>
      <c r="EA14" s="1" cm="1">
        <f t="array" ref="EA14">OptionRho("C",$DR14,$B$2,EA$5,$B$3,$DS$4,0)</f>
        <v>0.42909594584950783</v>
      </c>
      <c r="EB14" s="1" cm="1">
        <f t="array" ref="EB14">OptionRho("C",$DR14,$B$2,EB$5,$B$3,$DS$4,0)</f>
        <v>0.47528450546914641</v>
      </c>
      <c r="EC14" s="1" cm="1">
        <f t="array" ref="EC14">OptionRho("C",$DR14,$B$2,EC$5,$B$3,$DS$4,0)</f>
        <v>0.92494293545844164</v>
      </c>
      <c r="ED14" s="1" cm="1">
        <f t="array" ref="ED14">OptionRho("C",$DR14,$B$2,ED$5,$B$3,$DS$4,0)</f>
        <v>1.3552089139551935</v>
      </c>
      <c r="EE14" s="1" cm="1">
        <f t="array" ref="EE14">OptionRho("C",$DR14,$B$2,EE$5,$B$3,$DS$4,0)</f>
        <v>1.7685142165444596</v>
      </c>
      <c r="EF14" s="1" cm="1">
        <f t="array" ref="EF14">OptionRho("C",$DR14,$B$2,EF$5,$B$3,$DS$4,0)</f>
        <v>2.1663757703673947</v>
      </c>
      <c r="EP14" s="130"/>
      <c r="EQ14" s="14">
        <v>100</v>
      </c>
      <c r="ER14" s="1" cm="1">
        <f t="array" ref="ER14">OptionRho("C",$EQ14,$B$2,ER$5,$D$3,$ER$4,0)</f>
        <v>7.3820897724972731E-2</v>
      </c>
      <c r="ES14" s="1" cm="1">
        <f t="array" ref="ES14">OptionRho("C",$EQ14,$B$2,ES$5,$D$3,$ER$4,0)</f>
        <v>0.15534874300955284</v>
      </c>
      <c r="ET14" s="1" cm="1">
        <f t="array" ref="ET14">OptionRho("C",$EQ14,$B$2,ET$5,$D$3,$ER$4,0)</f>
        <v>0.23385437642995982</v>
      </c>
      <c r="EU14" s="1" cm="1">
        <f t="array" ref="EU14">OptionRho("C",$EQ14,$B$2,EU$5,$D$3,$ER$4,0)</f>
        <v>0.30636228425074213</v>
      </c>
      <c r="EV14" s="1" cm="1">
        <f t="array" ref="EV14">OptionRho("C",$EQ14,$B$2,EV$5,$D$3,$ER$4,0)</f>
        <v>0.37193850553937269</v>
      </c>
      <c r="EW14" s="1" cm="1">
        <f t="array" ref="EW14">OptionRho("C",$EQ14,$B$2,EW$5,$D$3,$ER$4,0)</f>
        <v>0.43048444488369747</v>
      </c>
      <c r="EX14" s="1" cm="1">
        <f t="array" ref="EX14">OptionRho("C",$EQ14,$B$2,EX$5,$D$3,$ER$4,0)</f>
        <v>0.48227038654468907</v>
      </c>
      <c r="EY14" s="1" cm="1">
        <f t="array" ref="EY14">OptionRho("C",$EQ14,$B$2,EY$5,$D$3,$ER$4,0)</f>
        <v>0.52772336474262749</v>
      </c>
      <c r="EZ14" s="1" cm="1">
        <f t="array" ref="EZ14">OptionRho("C",$EQ14,$B$2,EZ$5,$D$3,$ER$4,0)</f>
        <v>0.5673244804788804</v>
      </c>
      <c r="FA14" s="1" cm="1">
        <f t="array" ref="FA14">OptionRho("C",$EQ14,$B$2,FA$5,$D$3,$ER$4,0)</f>
        <v>0.60155860284027007</v>
      </c>
      <c r="FB14" s="1" cm="1">
        <f t="array" ref="FB14">OptionRho("C",$EQ14,$B$2,FB$5,$D$3,$ER$4,0)</f>
        <v>0.73550559223534817</v>
      </c>
      <c r="FC14" s="1" cm="1">
        <f t="array" ref="FC14">OptionRho("C",$EQ14,$B$2,FC$5,$D$3,$ER$4,0)</f>
        <v>0.66937968437686879</v>
      </c>
      <c r="FD14" s="1" cm="1">
        <f t="array" ref="FD14">OptionRho("C",$EQ14,$B$2,FD$5,$D$3,$ER$4,0)</f>
        <v>0.54134070348529029</v>
      </c>
      <c r="FE14" s="1" cm="1">
        <f t="array" ref="FE14">OptionRho("C",$EQ14,$B$2,FE$5,$D$3,$ER$4,0)</f>
        <v>0.41042497665096284</v>
      </c>
    </row>
    <row r="15" spans="1:161" x14ac:dyDescent="0.2">
      <c r="A15" s="133"/>
      <c r="B15" s="14">
        <v>105</v>
      </c>
      <c r="C15" s="1" cm="1">
        <f t="array" ref="C15">OptionPrice("C",$B15,$B$2,C$5,$B$3,$C$4,0)</f>
        <v>5.8960063992511209</v>
      </c>
      <c r="D15" s="1" cm="1">
        <f t="array" ref="D15">OptionPrice("C",$B15,$B$2,D$5,$B$3,$C$4,0)</f>
        <v>6.8256189768511177</v>
      </c>
      <c r="E15" s="1" cm="1">
        <f t="array" ref="E15">OptionPrice("C",$B15,$B$2,E$5,$B$3,$C$4,0)</f>
        <v>7.6103516644556919</v>
      </c>
      <c r="F15" s="1" cm="1">
        <f t="array" ref="F15">OptionPrice("C",$B15,$B$2,F$5,$B$3,$C$4,0)</f>
        <v>8.3006595793812679</v>
      </c>
      <c r="G15" s="1" cm="1">
        <f t="array" ref="G15">OptionPrice("C",$B15,$B$2,G$5,$B$3,$C$4,0)</f>
        <v>8.9246226223116736</v>
      </c>
      <c r="H15" s="1" cm="1">
        <f t="array" ref="H15">OptionPrice("C",$B15,$B$2,H$5,$B$3,$C$4,0)</f>
        <v>9.498876690102847</v>
      </c>
      <c r="I15" s="1" cm="1">
        <f t="array" ref="I15">OptionPrice("C",$B15,$B$2,I$5,$B$3,$C$4,0)</f>
        <v>10.03413062553583</v>
      </c>
      <c r="J15" s="1" cm="1">
        <f t="array" ref="J15">OptionPrice("C",$B15,$B$2,J$5,$B$3,$C$4,0)</f>
        <v>10.537733085958052</v>
      </c>
      <c r="K15" s="1" cm="1">
        <f t="array" ref="K15">OptionPrice("C",$B15,$B$2,K$5,$B$3,$C$4,0)</f>
        <v>11.014978139204246</v>
      </c>
      <c r="L15" s="1" cm="1">
        <f t="array" ref="L15">OptionPrice("C",$B15,$B$2,L$5,$B$3,$C$4,0)</f>
        <v>11.46982663466212</v>
      </c>
      <c r="M15" s="1" cm="1">
        <f t="array" ref="M15">OptionPrice("C",$B15,$B$2,M$5,$B$3,$C$4,0)</f>
        <v>15.239754150008267</v>
      </c>
      <c r="N15" s="1" cm="1">
        <f t="array" ref="N15">OptionPrice("C",$B15,$B$2,N$5,$B$3,$C$4,0)</f>
        <v>18.223261683458325</v>
      </c>
      <c r="O15" s="1" cm="1">
        <f t="array" ref="O15">OptionPrice("C",$B15,$B$2,O$5,$B$3,$C$4,0)</f>
        <v>20.783523683250181</v>
      </c>
      <c r="P15" s="2" cm="1">
        <f t="array" ref="P15">OptionPrice("C",$B15,$B$2,P$5,$B$3,$C$4,0)</f>
        <v>23.065746435577864</v>
      </c>
      <c r="Y15" s="136"/>
      <c r="Z15" s="14">
        <v>105</v>
      </c>
      <c r="AA15" s="1" cm="1">
        <f t="array" ref="AA15">OptionDelta("C",$Z15,$B$2,AA$5,$B$3,$AA$4,0)</f>
        <v>0.79357096026156482</v>
      </c>
      <c r="AB15" s="1" cm="1">
        <f t="array" ref="AB15">OptionDelta("C",$Z15,$B$2,AB$5,$B$3,$AA$4,0)</f>
        <v>0.72992052908241489</v>
      </c>
      <c r="AC15" s="1" cm="1">
        <f t="array" ref="AC15">OptionDelta("C",$Z15,$B$2,AC$5,$B$3,$AA$4,0)</f>
        <v>0.70109401201543453</v>
      </c>
      <c r="AD15" s="1" cm="1">
        <f t="array" ref="AD15">OptionDelta("C",$Z15,$B$2,AD$5,$B$3,$AA$4,0)</f>
        <v>0.68459548536557635</v>
      </c>
      <c r="AE15" s="1" cm="1">
        <f t="array" ref="AE15">OptionDelta("C",$Z15,$B$2,AE$5,$B$3,$AA$4,0)</f>
        <v>0.67402849627857031</v>
      </c>
      <c r="AF15" s="1" cm="1">
        <f t="array" ref="AF15">OptionDelta("C",$Z15,$B$2,AF$5,$B$3,$AA$4,0)</f>
        <v>0.66681258720741177</v>
      </c>
      <c r="AG15" s="1" cm="1">
        <f t="array" ref="AG15">OptionDelta("C",$Z15,$B$2,AG$5,$B$3,$AA$4,0)</f>
        <v>0.66168859212232867</v>
      </c>
      <c r="AH15" s="1" cm="1">
        <f t="array" ref="AH15">OptionDelta("C",$Z15,$B$2,AH$5,$B$3,$AA$4,0)</f>
        <v>0.65796272969308234</v>
      </c>
      <c r="AI15" s="1" cm="1">
        <f t="array" ref="AI15">OptionDelta("C",$Z15,$B$2,AI$5,$B$3,$AA$4,0)</f>
        <v>0.65521889020886748</v>
      </c>
      <c r="AJ15" s="1" cm="1">
        <f t="array" ref="AJ15">OptionDelta("C",$Z15,$B$2,AJ$5,$B$3,$AA$4,0)</f>
        <v>0.65319132580079731</v>
      </c>
      <c r="AK15" s="1" cm="1">
        <f t="array" ref="AK15">OptionDelta("C",$Z15,$B$2,AK$5,$B$3,$AA$4,0)</f>
        <v>0.64974470477957968</v>
      </c>
      <c r="AL15" s="1" cm="1">
        <f t="array" ref="AL15">OptionDelta("C",$Z15,$B$2,AL$5,$B$3,$AA$4,0)</f>
        <v>0.6556620776426314</v>
      </c>
      <c r="AM15" s="1" cm="1">
        <f t="array" ref="AM15">OptionDelta("C",$Z15,$B$2,AM$5,$B$3,$AA$4,0)</f>
        <v>0.66347851713393957</v>
      </c>
      <c r="AN15" s="1" cm="1">
        <f t="array" ref="AN15">OptionDelta("C",$Z15,$B$2,AN$5,$B$3,$AA$4,0)</f>
        <v>0.67166244266164088</v>
      </c>
      <c r="AW15" s="139"/>
      <c r="AX15" s="14">
        <v>105</v>
      </c>
      <c r="AY15" s="1" cm="1">
        <f t="array" ref="AY15">OptionTheta("C",$AX15,$B$2,AY$5,$B$3,$AY$4,0)</f>
        <v>-2.383223905834371E-2</v>
      </c>
      <c r="AZ15" s="1" cm="1">
        <f t="array" ref="AZ15">OptionTheta("C",$AX15,$B$2,AZ$5,$B$3,$AY$4,0)</f>
        <v>-1.9359217431514284E-2</v>
      </c>
      <c r="BA15" s="1" cm="1">
        <f t="array" ref="BA15">OptionTheta("C",$AX15,$B$2,BA$5,$B$3,$AY$4,0)</f>
        <v>-1.6422717431738766E-2</v>
      </c>
      <c r="BB15" s="1" cm="1">
        <f t="array" ref="BB15">OptionTheta("C",$AX15,$B$2,BB$5,$B$3,$AY$4,0)</f>
        <v>-1.442479277122736E-2</v>
      </c>
      <c r="BC15" s="1" cm="1">
        <f t="array" ref="BC15">OptionTheta("C",$AX15,$B$2,BC$5,$B$3,$AY$4,0)</f>
        <v>-1.2965757469614536E-2</v>
      </c>
      <c r="BD15" s="1" cm="1">
        <f t="array" ref="BD15">OptionTheta("C",$AX15,$B$2,BD$5,$B$3,$AY$4,0)</f>
        <v>-1.1843119778962963E-2</v>
      </c>
      <c r="BE15" s="1" cm="1">
        <f t="array" ref="BE15">OptionTheta("C",$AX15,$B$2,BE$5,$B$3,$AY$4,0)</f>
        <v>-1.0945730975247273E-2</v>
      </c>
      <c r="BF15" s="1" cm="1">
        <f t="array" ref="BF15">OptionTheta("C",$AX15,$B$2,BF$5,$B$3,$AY$4,0)</f>
        <v>-1.0207496548281189E-2</v>
      </c>
      <c r="BG15" s="1" cm="1">
        <f t="array" ref="BG15">OptionTheta("C",$AX15,$B$2,BG$5,$B$3,$AY$4,0)</f>
        <v>-9.5864956749972287E-3</v>
      </c>
      <c r="BH15" s="1" cm="1">
        <f t="array" ref="BH15">OptionTheta("C",$AX15,$B$2,BH$5,$B$3,$AY$4,0)</f>
        <v>-9.0547417301934611E-3</v>
      </c>
      <c r="BI15" s="1" cm="1">
        <f t="array" ref="BI15">OptionTheta("C",$AX15,$B$2,BI$5,$B$3,$AY$4,0)</f>
        <v>-6.0848427760353931E-3</v>
      </c>
      <c r="BJ15" s="1" cm="1">
        <f t="array" ref="BJ15">OptionTheta("C",$AX15,$B$2,BJ$5,$B$3,$AY$4,0)</f>
        <v>-4.7280089168652718E-3</v>
      </c>
      <c r="BK15" s="1" cm="1">
        <f t="array" ref="BK15">OptionTheta("C",$AX15,$B$2,BK$5,$B$3,$AY$4,0)</f>
        <v>-3.9101855963548249E-3</v>
      </c>
      <c r="BL15" s="1" cm="1">
        <f t="array" ref="BL15">OptionTheta("C",$AX15,$B$2,BL$5,$B$3,$AY$4,0)</f>
        <v>-3.3493617689093732E-3</v>
      </c>
      <c r="BU15" s="142"/>
      <c r="BV15" s="14">
        <v>105</v>
      </c>
      <c r="BW15" s="1" cm="1">
        <f t="array" ref="BW15">OptionGamma($BV15,$B$2,BW$5,$B$3,$BW$4,0)</f>
        <v>4.2961708392642108E-2</v>
      </c>
      <c r="BX15" s="1" cm="1">
        <f t="array" ref="BX15">OptionGamma($BV15,$B$2,BX$5,$B$3,$BW$4,0)</f>
        <v>3.5212130286942124E-2</v>
      </c>
      <c r="BY15" s="1" cm="1">
        <f t="array" ref="BY15">OptionGamma($BV15,$B$2,BY$5,$B$3,$BW$4,0)</f>
        <v>3.0178399358531966E-2</v>
      </c>
      <c r="BZ15" s="1" cm="1">
        <f t="array" ref="BZ15">OptionGamma($BV15,$B$2,BZ$5,$B$3,$BW$4,0)</f>
        <v>2.6761306237360671E-2</v>
      </c>
      <c r="CA15" s="1" cm="1">
        <f t="array" ref="CA15">OptionGamma($BV15,$B$2,CA$5,$B$3,$BW$4,0)</f>
        <v>2.4267506445708333E-2</v>
      </c>
      <c r="CB15" s="1" cm="1">
        <f t="array" ref="CB15">OptionGamma($BV15,$B$2,CB$5,$B$3,$BW$4,0)</f>
        <v>2.2348767206295847E-2</v>
      </c>
      <c r="CC15" s="1" cm="1">
        <f t="array" ref="CC15">OptionGamma($BV15,$B$2,CC$5,$B$3,$BW$4,0)</f>
        <v>2.0814619144845083E-2</v>
      </c>
      <c r="CD15" s="1" cm="1">
        <f t="array" ref="CD15">OptionGamma($BV15,$B$2,CD$5,$B$3,$BW$4,0)</f>
        <v>1.9552017122180455E-2</v>
      </c>
      <c r="CE15" s="1" cm="1">
        <f t="array" ref="CE15">OptionGamma($BV15,$B$2,CE$5,$B$3,$BW$4,0)</f>
        <v>1.8489346824041977E-2</v>
      </c>
      <c r="CF15" s="1" cm="1">
        <f t="array" ref="CF15">OptionGamma($BV15,$B$2,CF$5,$B$3,$BW$4,0)</f>
        <v>1.7578836087368842E-2</v>
      </c>
      <c r="CG15" s="1" cm="1">
        <f t="array" ref="CG15">OptionGamma($BV15,$B$2,CG$5,$B$3,$BW$4,0)</f>
        <v>1.2475292570391813E-2</v>
      </c>
      <c r="CH15" s="1" cm="1">
        <f t="array" ref="CH15">OptionGamma($BV15,$B$2,CH$5,$B$3,$BW$4,0)</f>
        <v>1.0122157910866229E-2</v>
      </c>
      <c r="CI15" s="1" cm="1">
        <f t="array" ref="CI15">OptionGamma($BV15,$B$2,CI$5,$B$3,$BW$4,0)</f>
        <v>8.6895009017126795E-3</v>
      </c>
      <c r="CJ15" s="1" cm="1">
        <f t="array" ref="CJ15">OptionGamma($BV15,$B$2,CJ$5,$B$3,$BW$4,0)</f>
        <v>7.6966219777363501E-3</v>
      </c>
      <c r="CS15" s="145"/>
      <c r="CT15" s="14">
        <v>105</v>
      </c>
      <c r="CU15" s="1" cm="1">
        <f t="array" ref="CU15">OptionVega($CT15,$B$2,CU$5,$B$3,$CU$4,0)</f>
        <v>9.4730567005775868E-2</v>
      </c>
      <c r="CV15" s="1" cm="1">
        <f t="array" ref="CV15">OptionVega($CT15,$B$2,CV$5,$B$3,$CU$4,0)</f>
        <v>0.15528549456541477</v>
      </c>
      <c r="CW15" s="1" cm="1">
        <f t="array" ref="CW15">OptionVega($CT15,$B$2,CW$5,$B$3,$CU$4,0)</f>
        <v>0.19963011175668893</v>
      </c>
      <c r="CX15" s="1" cm="1">
        <f t="array" ref="CX15">OptionVega($CT15,$B$2,CX$5,$B$3,$CU$4,0)</f>
        <v>0.23603472101352116</v>
      </c>
      <c r="CY15" s="1" cm="1">
        <f t="array" ref="CY15">OptionVega($CT15,$B$2,CY$5,$B$3,$CU$4,0)</f>
        <v>0.26754925856393441</v>
      </c>
      <c r="CZ15" s="1" cm="1">
        <f t="array" ref="CZ15">OptionVega($CT15,$B$2,CZ$5,$B$3,$CU$4,0)</f>
        <v>0.29567419013929414</v>
      </c>
      <c r="DA15" s="1" cm="1">
        <f t="array" ref="DA15">OptionVega($CT15,$B$2,DA$5,$B$3,$CU$4,0)</f>
        <v>0.32127364650068396</v>
      </c>
      <c r="DB15" s="1" cm="1">
        <f t="array" ref="DB15">OptionVega($CT15,$B$2,DB$5,$B$3,$CU$4,0)</f>
        <v>0.34489758203526322</v>
      </c>
      <c r="DC15" s="1" cm="1">
        <f t="array" ref="DC15">OptionVega($CT15,$B$2,DC$5,$B$3,$CU$4,0)</f>
        <v>0.36692108772311305</v>
      </c>
      <c r="DD15" s="1" cm="1">
        <f t="array" ref="DD15">OptionVega($CT15,$B$2,DD$5,$B$3,$CU$4,0)</f>
        <v>0.38761333572648299</v>
      </c>
      <c r="DE15" s="1" cm="1">
        <f t="array" ref="DE15">OptionVega($CT15,$B$2,DE$5,$B$3,$CU$4,0)</f>
        <v>0.5501604023542791</v>
      </c>
      <c r="DF15" s="1" cm="1">
        <f t="array" ref="DF15">OptionVega($CT15,$B$2,DF$5,$B$3,$CU$4,0)</f>
        <v>0.669580745803801</v>
      </c>
      <c r="DG15" s="1" cm="1">
        <f t="array" ref="DG15">OptionVega($CT15,$B$2,DG$5,$B$3,$CU$4,0)</f>
        <v>0.76641397953105828</v>
      </c>
      <c r="DH15" s="1" cm="1">
        <f t="array" ref="DH15">OptionVega($CT15,$B$2,DH$5,$B$3,$CU$4,0)</f>
        <v>0.84855257304543275</v>
      </c>
      <c r="DQ15" s="130"/>
      <c r="DR15" s="14">
        <v>105</v>
      </c>
      <c r="DS15" s="1" cm="1">
        <f t="array" ref="DS15">OptionRho("C",$DR15,$B$2,DS$5,$B$3,$DS$4,0)</f>
        <v>7.7428944428213187E-2</v>
      </c>
      <c r="DT15" s="1" cm="1">
        <f t="array" ref="DT15">OptionRho("C",$DR15,$B$2,DT$5,$B$3,$DS$4,0)</f>
        <v>0.1396320731536049</v>
      </c>
      <c r="DU15" s="1" cm="1">
        <f t="array" ref="DU15">OptionRho("C",$DR15,$B$2,DU$5,$B$3,$DS$4,0)</f>
        <v>0.19801355879149482</v>
      </c>
      <c r="DV15" s="1" cm="1">
        <f t="array" ref="DV15">OptionRho("C",$DR15,$B$2,DV$5,$B$3,$DS$4,0)</f>
        <v>0.25432746553601698</v>
      </c>
      <c r="DW15" s="1" cm="1">
        <f t="array" ref="DW15">OptionRho("C",$DR15,$B$2,DW$5,$B$3,$DS$4,0)</f>
        <v>0.30924184743469108</v>
      </c>
      <c r="DX15" s="1" cm="1">
        <f t="array" ref="DX15">OptionRho("C",$DR15,$B$2,DX$5,$B$3,$DS$4,0)</f>
        <v>0.36309866980005234</v>
      </c>
      <c r="DY15" s="1" cm="1">
        <f t="array" ref="DY15">OptionRho("C",$DR15,$B$2,DY$5,$B$3,$DS$4,0)</f>
        <v>0.41610220083116067</v>
      </c>
      <c r="DZ15" s="1" cm="1">
        <f t="array" ref="DZ15">OptionRho("C",$DR15,$B$2,DZ$5,$B$3,$DS$4,0)</f>
        <v>0.46838682825452477</v>
      </c>
      <c r="EA15" s="1" cm="1">
        <f t="array" ref="EA15">OptionRho("C",$DR15,$B$2,EA$5,$B$3,$DS$4,0)</f>
        <v>0.5200470479945416</v>
      </c>
      <c r="EB15" s="1" cm="1">
        <f t="array" ref="EB15">OptionRho("C",$DR15,$B$2,EB$5,$B$3,$DS$4,0)</f>
        <v>0.5711526257442161</v>
      </c>
      <c r="EC15" s="1" cm="1">
        <f t="array" ref="EC15">OptionRho("C",$DR15,$B$2,EC$5,$B$3,$DS$4,0)</f>
        <v>1.0596687970369523</v>
      </c>
      <c r="ED15" s="1" cm="1">
        <f t="array" ref="ED15">OptionRho("C",$DR15,$B$2,ED$5,$B$3,$DS$4,0)</f>
        <v>1.5186376940705391</v>
      </c>
      <c r="EE15" s="1" cm="1">
        <f t="array" ref="EE15">OptionRho("C",$DR15,$B$2,EE$5,$B$3,$DS$4,0)</f>
        <v>1.9552688246325389</v>
      </c>
      <c r="EF15" s="1" cm="1">
        <f t="array" ref="EF15">OptionRho("C",$DR15,$B$2,EF$5,$B$3,$DS$4,0)</f>
        <v>2.3729405021947212</v>
      </c>
      <c r="EP15" s="130"/>
      <c r="EQ15" s="14">
        <v>105</v>
      </c>
      <c r="ER15" s="1" cm="1">
        <f t="array" ref="ER15">OptionRho("C",$EQ15,$B$2,ER$5,$D$3,$ER$4,0)</f>
        <v>8.9133954565264906E-2</v>
      </c>
      <c r="ES15" s="1" cm="1">
        <f t="array" ref="ES15">OptionRho("C",$EQ15,$B$2,ES$5,$D$3,$ER$4,0)</f>
        <v>0.17142238959478581</v>
      </c>
      <c r="ET15" s="1" cm="1">
        <f t="array" ref="ET15">OptionRho("C",$EQ15,$B$2,ET$5,$D$3,$ER$4,0)</f>
        <v>0.24808782531365486</v>
      </c>
      <c r="EU15" s="1" cm="1">
        <f t="array" ref="EU15">OptionRho("C",$EQ15,$B$2,EU$5,$D$3,$ER$4,0)</f>
        <v>0.31816522988472923</v>
      </c>
      <c r="EV15" s="1" cm="1">
        <f t="array" ref="EV15">OptionRho("C",$EQ15,$B$2,EV$5,$D$3,$ER$4,0)</f>
        <v>0.38138923929364621</v>
      </c>
      <c r="EW15" s="1" cm="1">
        <f t="array" ref="EW15">OptionRho("C",$EQ15,$B$2,EW$5,$D$3,$ER$4,0)</f>
        <v>0.43788861943975504</v>
      </c>
      <c r="EX15" s="1" cm="1">
        <f t="array" ref="EX15">OptionRho("C",$EQ15,$B$2,EX$5,$D$3,$ER$4,0)</f>
        <v>0.48798551953896646</v>
      </c>
      <c r="EY15" s="1" cm="1">
        <f t="array" ref="EY15">OptionRho("C",$EQ15,$B$2,EY$5,$D$3,$ER$4,0)</f>
        <v>0.53208734524805079</v>
      </c>
      <c r="EZ15" s="1" cm="1">
        <f t="array" ref="EZ15">OptionRho("C",$EQ15,$B$2,EZ$5,$D$3,$ER$4,0)</f>
        <v>0.57062950995949147</v>
      </c>
      <c r="FA15" s="1" cm="1">
        <f t="array" ref="FA15">OptionRho("C",$EQ15,$B$2,FA$5,$D$3,$ER$4,0)</f>
        <v>0.60404556527487896</v>
      </c>
      <c r="FB15" s="1" cm="1">
        <f t="array" ref="FB15">OptionRho("C",$EQ15,$B$2,FB$5,$D$3,$ER$4,0)</f>
        <v>0.73562584737764081</v>
      </c>
      <c r="FC15" s="1" cm="1">
        <f t="array" ref="FC15">OptionRho("C",$EQ15,$B$2,FC$5,$D$3,$ER$4,0)</f>
        <v>0.66938470603630984</v>
      </c>
      <c r="FD15" s="1" cm="1">
        <f t="array" ref="FD15">OptionRho("C",$EQ15,$B$2,FD$5,$D$3,$ER$4,0)</f>
        <v>0.54134090104949439</v>
      </c>
      <c r="FE15" s="1" cm="1">
        <f t="array" ref="FE15">OptionRho("C",$EQ15,$B$2,FE$5,$D$3,$ER$4,0)</f>
        <v>0.4104249841746756</v>
      </c>
    </row>
    <row r="16" spans="1:161" x14ac:dyDescent="0.2">
      <c r="A16" s="133"/>
      <c r="B16" s="14">
        <v>110</v>
      </c>
      <c r="C16" s="1" cm="1">
        <f t="array" ref="C16">OptionPrice("C",$B16,$B$2,C$5,$B$3,$C$4,0)</f>
        <v>10.284308052956504</v>
      </c>
      <c r="D16" s="1" cm="1">
        <f t="array" ref="D16">OptionPrice("C",$B16,$B$2,D$5,$B$3,$C$4,0)</f>
        <v>10.857890232991323</v>
      </c>
      <c r="E16" s="1" cm="1">
        <f t="array" ref="E16">OptionPrice("C",$B16,$B$2,E$5,$B$3,$C$4,0)</f>
        <v>11.456028605834689</v>
      </c>
      <c r="F16" s="1" cm="1">
        <f t="array" ref="F16">OptionPrice("C",$B16,$B$2,F$5,$B$3,$C$4,0)</f>
        <v>12.031005161573347</v>
      </c>
      <c r="G16" s="1" cm="1">
        <f t="array" ref="G16">OptionPrice("C",$B16,$B$2,G$5,$B$3,$C$4,0)</f>
        <v>12.576659970926983</v>
      </c>
      <c r="H16" s="1" cm="1">
        <f t="array" ref="H16">OptionPrice("C",$B16,$B$2,H$5,$B$3,$C$4,0)</f>
        <v>13.094522467834977</v>
      </c>
      <c r="I16" s="1" cm="1">
        <f t="array" ref="I16">OptionPrice("C",$B16,$B$2,I$5,$B$3,$C$4,0)</f>
        <v>13.587528771876677</v>
      </c>
      <c r="J16" s="1" cm="1">
        <f t="array" ref="J16">OptionPrice("C",$B16,$B$2,J$5,$B$3,$C$4,0)</f>
        <v>14.058586652485516</v>
      </c>
      <c r="K16" s="1" cm="1">
        <f t="array" ref="K16">OptionPrice("C",$B16,$B$2,K$5,$B$3,$C$4,0)</f>
        <v>14.510253423752133</v>
      </c>
      <c r="L16" s="1" cm="1">
        <f t="array" ref="L16">OptionPrice("C",$B16,$B$2,L$5,$B$3,$C$4,0)</f>
        <v>14.944704023535394</v>
      </c>
      <c r="M16" s="1" cm="1">
        <f t="array" ref="M16">OptionPrice("C",$B16,$B$2,M$5,$B$3,$C$4,0)</f>
        <v>18.638467503817758</v>
      </c>
      <c r="N16" s="1" cm="1">
        <f t="array" ref="N16">OptionPrice("C",$B16,$B$2,N$5,$B$3,$C$4,0)</f>
        <v>21.62374235413597</v>
      </c>
      <c r="O16" s="1" cm="1">
        <f t="array" ref="O16">OptionPrice("C",$B16,$B$2,O$5,$B$3,$C$4,0)</f>
        <v>24.205998562655545</v>
      </c>
      <c r="P16" s="2" cm="1">
        <f t="array" ref="P16">OptionPrice("C",$B16,$B$2,P$5,$B$3,$C$4,0)</f>
        <v>26.517242511260875</v>
      </c>
      <c r="Y16" s="136"/>
      <c r="Z16" s="14">
        <v>110</v>
      </c>
      <c r="AA16" s="1" cm="1">
        <f t="array" ref="AA16">OptionDelta("C",$Z16,$B$2,AA$5,$B$3,$AA$4,0)</f>
        <v>0.93995791805464912</v>
      </c>
      <c r="AB16" s="1" cm="1">
        <f t="array" ref="AB16">OptionDelta("C",$Z16,$B$2,AB$5,$B$3,$AA$4,0)</f>
        <v>0.87132614165736733</v>
      </c>
      <c r="AC16" s="1" cm="1">
        <f t="array" ref="AC16">OptionDelta("C",$Z16,$B$2,AC$5,$B$3,$AA$4,0)</f>
        <v>0.82950660741686155</v>
      </c>
      <c r="AD16" s="1" cm="1">
        <f t="array" ref="AD16">OptionDelta("C",$Z16,$B$2,AD$5,$B$3,$AA$4,0)</f>
        <v>0.80188165059672933</v>
      </c>
      <c r="AE16" s="1" cm="1">
        <f t="array" ref="AE16">OptionDelta("C",$Z16,$B$2,AE$5,$B$3,$AA$4,0)</f>
        <v>0.78230772963384732</v>
      </c>
      <c r="AF16" s="1" cm="1">
        <f t="array" ref="AF16">OptionDelta("C",$Z16,$B$2,AF$5,$B$3,$AA$4,0)</f>
        <v>0.76773686176629652</v>
      </c>
      <c r="AG16" s="1" cm="1">
        <f t="array" ref="AG16">OptionDelta("C",$Z16,$B$2,AG$5,$B$3,$AA$4,0)</f>
        <v>0.7564993813863905</v>
      </c>
      <c r="AH16" s="1" cm="1">
        <f t="array" ref="AH16">OptionDelta("C",$Z16,$B$2,AH$5,$B$3,$AA$4,0)</f>
        <v>0.74760249342748353</v>
      </c>
      <c r="AI16" s="1" cm="1">
        <f t="array" ref="AI16">OptionDelta("C",$Z16,$B$2,AI$5,$B$3,$AA$4,0)</f>
        <v>0.74041691025313783</v>
      </c>
      <c r="AJ16" s="1" cm="1">
        <f t="array" ref="AJ16">OptionDelta("C",$Z16,$B$2,AJ$5,$B$3,$AA$4,0)</f>
        <v>0.73452316868917078</v>
      </c>
      <c r="AK16" s="1" cm="1">
        <f t="array" ref="AK16">OptionDelta("C",$Z16,$B$2,AK$5,$B$3,$AA$4,0)</f>
        <v>0.7085330993545631</v>
      </c>
      <c r="AL16" s="1" cm="1">
        <f t="array" ref="AL16">OptionDelta("C",$Z16,$B$2,AL$5,$B$3,$AA$4,0)</f>
        <v>0.70365585138940701</v>
      </c>
      <c r="AM16" s="1" cm="1">
        <f t="array" ref="AM16">OptionDelta("C",$Z16,$B$2,AM$5,$B$3,$AA$4,0)</f>
        <v>0.70480655105134737</v>
      </c>
      <c r="AN16" s="1" cm="1">
        <f t="array" ref="AN16">OptionDelta("C",$Z16,$B$2,AN$5,$B$3,$AA$4,0)</f>
        <v>0.70833606363246282</v>
      </c>
      <c r="AW16" s="139"/>
      <c r="AX16" s="14">
        <v>110</v>
      </c>
      <c r="AY16" s="1" cm="1">
        <f t="array" ref="AY16">OptionTheta("C",$AX16,$B$2,AY$5,$B$3,$AY$4,0)</f>
        <v>-8.8078461183024644E-3</v>
      </c>
      <c r="AZ16" s="1" cm="1">
        <f t="array" ref="AZ16">OptionTheta("C",$AX16,$B$2,AZ$5,$B$3,$AY$4,0)</f>
        <v>-1.1826295500555216E-2</v>
      </c>
      <c r="BA16" s="1" cm="1">
        <f t="array" ref="BA16">OptionTheta("C",$AX16,$B$2,BA$5,$B$3,$AY$4,0)</f>
        <v>-1.176345996590113E-2</v>
      </c>
      <c r="BB16" s="1" cm="1">
        <f t="array" ref="BB16">OptionTheta("C",$AX16,$B$2,BB$5,$B$3,$AY$4,0)</f>
        <v>-1.1177621625340653E-2</v>
      </c>
      <c r="BC16" s="1" cm="1">
        <f t="array" ref="BC16">OptionTheta("C",$AX16,$B$2,BC$5,$B$3,$AY$4,0)</f>
        <v>-1.053014103169682E-2</v>
      </c>
      <c r="BD16" s="1" cm="1">
        <f t="array" ref="BD16">OptionTheta("C",$AX16,$B$2,BD$5,$B$3,$AY$4,0)</f>
        <v>-9.9236947822970295E-3</v>
      </c>
      <c r="BE16" s="1" cm="1">
        <f t="array" ref="BE16">OptionTheta("C",$AX16,$B$2,BE$5,$B$3,$AY$4,0)</f>
        <v>-9.3785878765410644E-3</v>
      </c>
      <c r="BF16" s="1" cm="1">
        <f t="array" ref="BF16">OptionTheta("C",$AX16,$B$2,BF$5,$B$3,$AY$4,0)</f>
        <v>-8.8935200133453147E-3</v>
      </c>
      <c r="BG16" s="1" cm="1">
        <f t="array" ref="BG16">OptionTheta("C",$AX16,$B$2,BG$5,$B$3,$AY$4,0)</f>
        <v>-8.4617846191900516E-3</v>
      </c>
      <c r="BH16" s="1" cm="1">
        <f t="array" ref="BH16">OptionTheta("C",$AX16,$B$2,BH$5,$B$3,$AY$4,0)</f>
        <v>-8.0760015707448361E-3</v>
      </c>
      <c r="BI16" s="1" cm="1">
        <f t="array" ref="BI16">OptionTheta("C",$AX16,$B$2,BI$5,$B$3,$AY$4,0)</f>
        <v>-5.6870921513339726E-3</v>
      </c>
      <c r="BJ16" s="1" cm="1">
        <f t="array" ref="BJ16">OptionTheta("C",$AX16,$B$2,BJ$5,$B$3,$AY$4,0)</f>
        <v>-4.4878437083380341E-3</v>
      </c>
      <c r="BK16" s="1" cm="1">
        <f t="array" ref="BK16">OptionTheta("C",$AX16,$B$2,BK$5,$B$3,$AY$4,0)</f>
        <v>-3.7398244265461323E-3</v>
      </c>
      <c r="BL16" s="1" cm="1">
        <f t="array" ref="BL16">OptionTheta("C",$AX16,$B$2,BL$5,$B$3,$AY$4,0)</f>
        <v>-3.2176053423114254E-3</v>
      </c>
      <c r="BU16" s="142"/>
      <c r="BV16" s="14">
        <v>110</v>
      </c>
      <c r="BW16" s="1" cm="1">
        <f t="array" ref="BW16">OptionGamma($BV16,$B$2,BW$5,$B$3,$BW$4,0)</f>
        <v>1.7132125878144413E-2</v>
      </c>
      <c r="BX16" s="1" cm="1">
        <f t="array" ref="BX16">OptionGamma($BV16,$B$2,BX$5,$B$3,$BW$4,0)</f>
        <v>2.1349081451222499E-2</v>
      </c>
      <c r="BY16" s="1" cm="1">
        <f t="array" ref="BY16">OptionGamma($BV16,$B$2,BY$5,$B$3,$BW$4,0)</f>
        <v>2.1039503593612036E-2</v>
      </c>
      <c r="BZ16" s="1" cm="1">
        <f t="array" ref="BZ16">OptionGamma($BV16,$B$2,BZ$5,$B$3,$BW$4,0)</f>
        <v>2.0006577096239694E-2</v>
      </c>
      <c r="CA16" s="1" cm="1">
        <f t="array" ref="CA16">OptionGamma($BV16,$B$2,CA$5,$B$3,$BW$4,0)</f>
        <v>1.8918485039079756E-2</v>
      </c>
      <c r="CB16" s="1" cm="1">
        <f t="array" ref="CB16">OptionGamma($BV16,$B$2,CB$5,$B$3,$BW$4,0)</f>
        <v>1.7916173218194179E-2</v>
      </c>
      <c r="CC16" s="1" cm="1">
        <f t="array" ref="CC16">OptionGamma($BV16,$B$2,CC$5,$B$3,$BW$4,0)</f>
        <v>1.7022556226213847E-2</v>
      </c>
      <c r="CD16" s="1" cm="1">
        <f t="array" ref="CD16">OptionGamma($BV16,$B$2,CD$5,$B$3,$BW$4,0)</f>
        <v>1.6231040004613291E-2</v>
      </c>
      <c r="CE16" s="1" cm="1">
        <f t="array" ref="CE16">OptionGamma($BV16,$B$2,CE$5,$B$3,$BW$4,0)</f>
        <v>1.5528543194402063E-2</v>
      </c>
      <c r="CF16" s="1" cm="1">
        <f t="array" ref="CF16">OptionGamma($BV16,$B$2,CF$5,$B$3,$BW$4,0)</f>
        <v>1.4901938093572724E-2</v>
      </c>
      <c r="CG16" s="1" cm="1">
        <f t="array" ref="CG16">OptionGamma($BV16,$B$2,CG$5,$B$3,$BW$4,0)</f>
        <v>1.1028059378052651E-2</v>
      </c>
      <c r="CH16" s="1" cm="1">
        <f t="array" ref="CH16">OptionGamma($BV16,$B$2,CH$5,$B$3,$BW$4,0)</f>
        <v>9.0737477955800411E-3</v>
      </c>
      <c r="CI16" s="1" cm="1">
        <f t="array" ref="CI16">OptionGamma($BV16,$B$2,CI$5,$B$3,$BW$4,0)</f>
        <v>7.8440625463605997E-3</v>
      </c>
      <c r="CJ16" s="1" cm="1">
        <f t="array" ref="CJ16">OptionGamma($BV16,$B$2,CJ$5,$B$3,$BW$4,0)</f>
        <v>6.9769553505238452E-3</v>
      </c>
      <c r="CS16" s="145"/>
      <c r="CT16" s="14">
        <v>110</v>
      </c>
      <c r="CU16" s="1" cm="1">
        <f t="array" ref="CU16">OptionVega($CT16,$B$2,CU$5,$B$3,$CU$4,0)</f>
        <v>4.1459744625109492E-2</v>
      </c>
      <c r="CV16" s="1" cm="1">
        <f t="array" ref="CV16">OptionVega($CT16,$B$2,CV$5,$B$3,$CU$4,0)</f>
        <v>0.10332955422391689</v>
      </c>
      <c r="CW16" s="1" cm="1">
        <f t="array" ref="CW16">OptionVega($CT16,$B$2,CW$5,$B$3,$CU$4,0)</f>
        <v>0.15274679608962338</v>
      </c>
      <c r="CX16" s="1" cm="1">
        <f t="array" ref="CX16">OptionVega($CT16,$B$2,CX$5,$B$3,$CU$4,0)</f>
        <v>0.19366366629160028</v>
      </c>
      <c r="CY16" s="1" cm="1">
        <f t="array" ref="CY16">OptionVega($CT16,$B$2,CY$5,$B$3,$CU$4,0)</f>
        <v>0.22891366897286514</v>
      </c>
      <c r="CZ16" s="1" cm="1">
        <f t="array" ref="CZ16">OptionVega($CT16,$B$2,CZ$5,$B$3,$CU$4,0)</f>
        <v>0.26014283512817954</v>
      </c>
      <c r="DA16" s="1" cm="1">
        <f t="array" ref="DA16">OptionVega($CT16,$B$2,DA$5,$B$3,$CU$4,0)</f>
        <v>0.28836210247206262</v>
      </c>
      <c r="DB16" s="1" cm="1">
        <f t="array" ref="DB16">OptionVega($CT16,$B$2,DB$5,$B$3,$CU$4,0)</f>
        <v>0.31423293448931333</v>
      </c>
      <c r="DC16" s="1" cm="1">
        <f t="array" ref="DC16">OptionVega($CT16,$B$2,DC$5,$B$3,$CU$4,0)</f>
        <v>0.33821167077407699</v>
      </c>
      <c r="DD16" s="1" cm="1">
        <f t="array" ref="DD16">OptionVega($CT16,$B$2,DD$5,$B$3,$CU$4,0)</f>
        <v>0.36062690186445995</v>
      </c>
      <c r="DE16" s="1" cm="1">
        <f t="array" ref="DE16">OptionVega($CT16,$B$2,DE$5,$B$3,$CU$4,0)</f>
        <v>0.53375807389774854</v>
      </c>
      <c r="DF16" s="1" cm="1">
        <f t="array" ref="DF16">OptionVega($CT16,$B$2,DF$5,$B$3,$CU$4,0)</f>
        <v>0.658754089959111</v>
      </c>
      <c r="DG16" s="1" cm="1">
        <f t="array" ref="DG16">OptionVega($CT16,$B$2,DG$5,$B$3,$CU$4,0)</f>
        <v>0.75930525448770614</v>
      </c>
      <c r="DH16" s="1" cm="1">
        <f t="array" ref="DH16">OptionVega($CT16,$B$2,DH$5,$B$3,$CU$4,0)</f>
        <v>0.84421159741338536</v>
      </c>
      <c r="DQ16" s="130"/>
      <c r="DR16" s="14">
        <v>110</v>
      </c>
      <c r="DS16" s="1" cm="1">
        <f t="array" ref="DS16">OptionRho("C",$DR16,$B$2,DS$5,$B$3,$DS$4,0)</f>
        <v>9.3111062933054919E-2</v>
      </c>
      <c r="DT16" s="1" cm="1">
        <f t="array" ref="DT16">OptionRho("C",$DR16,$B$2,DT$5,$B$3,$DS$4,0)</f>
        <v>0.16997597069863821</v>
      </c>
      <c r="DU16" s="1" cm="1">
        <f t="array" ref="DU16">OptionRho("C",$DR16,$B$2,DU$5,$B$3,$DS$4,0)</f>
        <v>0.23936909463006026</v>
      </c>
      <c r="DV16" s="1" cm="1">
        <f t="array" ref="DV16">OptionRho("C",$DR16,$B$2,DV$5,$B$3,$DS$4,0)</f>
        <v>0.30470390561626748</v>
      </c>
      <c r="DW16" s="1" cm="1">
        <f t="array" ref="DW16">OptionRho("C",$DR16,$B$2,DW$5,$B$3,$DS$4,0)</f>
        <v>0.36738595144398112</v>
      </c>
      <c r="DX16" s="1" cm="1">
        <f t="array" ref="DX16">OptionRho("C",$DR16,$B$2,DX$5,$B$3,$DS$4,0)</f>
        <v>0.42813919395874578</v>
      </c>
      <c r="DY16" s="1" cm="1">
        <f t="array" ref="DY16">OptionRho("C",$DR16,$B$2,DY$5,$B$3,$DS$4,0)</f>
        <v>0.48739182226438388</v>
      </c>
      <c r="DZ16" s="1" cm="1">
        <f t="array" ref="DZ16">OptionRho("C",$DR16,$B$2,DZ$5,$B$3,$DS$4,0)</f>
        <v>0.54542150099630149</v>
      </c>
      <c r="EA16" s="1" cm="1">
        <f t="array" ref="EA16">OptionRho("C",$DR16,$B$2,EA$5,$B$3,$DS$4,0)</f>
        <v>0.60242046033683738</v>
      </c>
      <c r="EB16" s="1" cm="1">
        <f t="array" ref="EB16">OptionRho("C",$DR16,$B$2,EB$5,$B$3,$DS$4,0)</f>
        <v>0.65852844532273402</v>
      </c>
      <c r="EC16" s="1" cm="1">
        <f t="array" ref="EC16">OptionRho("C",$DR16,$B$2,EC$5,$B$3,$DS$4,0)</f>
        <v>1.1860034685036835</v>
      </c>
      <c r="ED16" s="1" cm="1">
        <f t="array" ref="ED16">OptionRho("C",$DR16,$B$2,ED$5,$B$3,$DS$4,0)</f>
        <v>1.6733520389609637</v>
      </c>
      <c r="EE16" s="1" cm="1">
        <f t="array" ref="EE16">OptionRho("C",$DR16,$B$2,EE$5,$B$3,$DS$4,0)</f>
        <v>2.1329088821197066</v>
      </c>
      <c r="EF16" s="1" cm="1">
        <f t="array" ref="EF16">OptionRho("C",$DR16,$B$2,EF$5,$B$3,$DS$4,0)</f>
        <v>2.5699862244155023</v>
      </c>
      <c r="EP16" s="130"/>
      <c r="EQ16" s="14">
        <v>110</v>
      </c>
      <c r="ER16" s="1" cm="1">
        <f t="array" ref="ER16">OptionRho("C",$EQ16,$B$2,ER$5,$D$3,$ER$4,0)</f>
        <v>9.4007364748908098E-2</v>
      </c>
      <c r="ES16" s="1" cm="1">
        <f t="array" ref="ES16">OptionRho("C",$EQ16,$B$2,ES$5,$D$3,$ER$4,0)</f>
        <v>0.17803194414401605</v>
      </c>
      <c r="ET16" s="1" cm="1">
        <f t="array" ref="ET16">OptionRho("C",$EQ16,$B$2,ET$5,$D$3,$ER$4,0)</f>
        <v>0.25447880993943089</v>
      </c>
      <c r="EU16" s="1" cm="1">
        <f t="array" ref="EU16">OptionRho("C",$EQ16,$B$2,EU$5,$D$3,$ER$4,0)</f>
        <v>0.32370590131543225</v>
      </c>
      <c r="EV16" s="1" cm="1">
        <f t="array" ref="EV16">OptionRho("C",$EQ16,$B$2,EV$5,$D$3,$ER$4,0)</f>
        <v>0.38594641353654874</v>
      </c>
      <c r="EW16" s="1" cm="1">
        <f t="array" ref="EW16">OptionRho("C",$EQ16,$B$2,EW$5,$D$3,$ER$4,0)</f>
        <v>0.44152364931757704</v>
      </c>
      <c r="EX16" s="1" cm="1">
        <f t="array" ref="EX16">OptionRho("C",$EQ16,$B$2,EX$5,$D$3,$ER$4,0)</f>
        <v>0.49082765205876316</v>
      </c>
      <c r="EY16" s="1" cm="1">
        <f t="array" ref="EY16">OptionRho("C",$EQ16,$B$2,EY$5,$D$3,$ER$4,0)</f>
        <v>0.53427862907912282</v>
      </c>
      <c r="EZ16" s="1" cm="1">
        <f t="array" ref="EZ16">OptionRho("C",$EQ16,$B$2,EZ$5,$D$3,$ER$4,0)</f>
        <v>0.57230160452159595</v>
      </c>
      <c r="FA16" s="1" cm="1">
        <f t="array" ref="FA16">OptionRho("C",$EQ16,$B$2,FA$5,$D$3,$ER$4,0)</f>
        <v>0.60531138949370067</v>
      </c>
      <c r="FB16" s="1" cm="1">
        <f t="array" ref="FB16">OptionRho("C",$EQ16,$B$2,FB$5,$D$3,$ER$4,0)</f>
        <v>0.73568874357558667</v>
      </c>
      <c r="FC16" s="1" cm="1">
        <f t="array" ref="FC16">OptionRho("C",$EQ16,$B$2,FC$5,$D$3,$ER$4,0)</f>
        <v>0.66938735648072989</v>
      </c>
      <c r="FD16" s="1" cm="1">
        <f t="array" ref="FD16">OptionRho("C",$EQ16,$B$2,FD$5,$D$3,$ER$4,0)</f>
        <v>0.54134100580027966</v>
      </c>
      <c r="FE16" s="1" cm="1">
        <f t="array" ref="FE16">OptionRho("C",$EQ16,$B$2,FE$5,$D$3,$ER$4,0)</f>
        <v>0.41042498817475404</v>
      </c>
    </row>
    <row r="17" spans="1:161" x14ac:dyDescent="0.2">
      <c r="A17" s="133"/>
      <c r="B17" s="14">
        <v>115</v>
      </c>
      <c r="C17" s="1" cm="1">
        <f t="array" ref="C17">OptionPrice("C",$B17,$B$2,C$5,$B$3,$C$4,0)</f>
        <v>15.130727142303371</v>
      </c>
      <c r="D17" s="1" cm="1">
        <f t="array" ref="D17">OptionPrice("C",$B17,$B$2,D$5,$B$3,$C$4,0)</f>
        <v>15.430362576705761</v>
      </c>
      <c r="E17" s="1" cm="1">
        <f t="array" ref="E17">OptionPrice("C",$B17,$B$2,E$5,$B$3,$C$4,0)</f>
        <v>15.829371553917809</v>
      </c>
      <c r="F17" s="1" cm="1">
        <f t="array" ref="F17">OptionPrice("C",$B17,$B$2,F$5,$B$3,$C$4,0)</f>
        <v>16.261836077079636</v>
      </c>
      <c r="G17" s="1" cm="1">
        <f t="array" ref="G17">OptionPrice("C",$B17,$B$2,G$5,$B$3,$C$4,0)</f>
        <v>16.70153287894945</v>
      </c>
      <c r="H17" s="1" cm="1">
        <f t="array" ref="H17">OptionPrice("C",$B17,$B$2,H$5,$B$3,$C$4,0)</f>
        <v>17.137797886029318</v>
      </c>
      <c r="I17" s="1" cm="1">
        <f t="array" ref="I17">OptionPrice("C",$B17,$B$2,I$5,$B$3,$C$4,0)</f>
        <v>17.566179355368746</v>
      </c>
      <c r="J17" s="1" cm="1">
        <f t="array" ref="J17">OptionPrice("C",$B17,$B$2,J$5,$B$3,$C$4,0)</f>
        <v>17.98491172590991</v>
      </c>
      <c r="K17" s="1" cm="1">
        <f t="array" ref="K17">OptionPrice("C",$B17,$B$2,K$5,$B$3,$C$4,0)</f>
        <v>18.393461652041879</v>
      </c>
      <c r="L17" s="1" cm="1">
        <f t="array" ref="L17">OptionPrice("C",$B17,$B$2,L$5,$B$3,$C$4,0)</f>
        <v>18.79187861070001</v>
      </c>
      <c r="M17" s="1" cm="1">
        <f t="array" ref="M17">OptionPrice("C",$B17,$B$2,M$5,$B$3,$C$4,0)</f>
        <v>22.31283720766902</v>
      </c>
      <c r="N17" s="1" cm="1">
        <f t="array" ref="N17">OptionPrice("C",$B17,$B$2,N$5,$B$3,$C$4,0)</f>
        <v>25.251092468784414</v>
      </c>
      <c r="O17" s="1" cm="1">
        <f t="array" ref="O17">OptionPrice("C",$B17,$B$2,O$5,$B$3,$C$4,0)</f>
        <v>27.82462840198945</v>
      </c>
      <c r="P17" s="2" cm="1">
        <f t="array" ref="P17">OptionPrice("C",$B17,$B$2,P$5,$B$3,$C$4,0)</f>
        <v>30.143227709632356</v>
      </c>
      <c r="Y17" s="136"/>
      <c r="Z17" s="14">
        <v>115</v>
      </c>
      <c r="AA17" s="1" cm="1">
        <f t="array" ref="AA17">OptionDelta("C",$Z17,$B$2,AA$5,$B$3,$AA$4,0)</f>
        <v>0.98800422406854482</v>
      </c>
      <c r="AB17" s="1" cm="1">
        <f t="array" ref="AB17">OptionDelta("C",$Z17,$B$2,AB$5,$B$3,$AA$4,0)</f>
        <v>0.94841416414843493</v>
      </c>
      <c r="AC17" s="1" cm="1">
        <f t="array" ref="AC17">OptionDelta("C",$Z17,$B$2,AC$5,$B$3,$AA$4,0)</f>
        <v>0.91276887593354383</v>
      </c>
      <c r="AD17" s="1" cm="1">
        <f t="array" ref="AD17">OptionDelta("C",$Z17,$B$2,AD$5,$B$3,$AA$4,0)</f>
        <v>0.88488828305391432</v>
      </c>
      <c r="AE17" s="1" cm="1">
        <f t="array" ref="AE17">OptionDelta("C",$Z17,$B$2,AE$5,$B$3,$AA$4,0)</f>
        <v>0.8630953437034381</v>
      </c>
      <c r="AF17" s="1" cm="1">
        <f t="array" ref="AF17">OptionDelta("C",$Z17,$B$2,AF$5,$B$3,$AA$4,0)</f>
        <v>0.84574392541104015</v>
      </c>
      <c r="AG17" s="1" cm="1">
        <f t="array" ref="AG17">OptionDelta("C",$Z17,$B$2,AG$5,$B$3,$AA$4,0)</f>
        <v>0.83165762889347106</v>
      </c>
      <c r="AH17" s="1" cm="1">
        <f t="array" ref="AH17">OptionDelta("C",$Z17,$B$2,AH$5,$B$3,$AA$4,0)</f>
        <v>0.82002413987768763</v>
      </c>
      <c r="AI17" s="1" cm="1">
        <f t="array" ref="AI17">OptionDelta("C",$Z17,$B$2,AI$5,$B$3,$AA$4,0)</f>
        <v>0.81027566906216286</v>
      </c>
      <c r="AJ17" s="1" cm="1">
        <f t="array" ref="AJ17">OptionDelta("C",$Z17,$B$2,AJ$5,$B$3,$AA$4,0)</f>
        <v>0.80200640740621953</v>
      </c>
      <c r="AK17" s="1" cm="1">
        <f t="array" ref="AK17">OptionDelta("C",$Z17,$B$2,AK$5,$B$3,$AA$4,0)</f>
        <v>0.75998835998968672</v>
      </c>
      <c r="AL17" s="1" cm="1">
        <f t="array" ref="AL17">OptionDelta("C",$Z17,$B$2,AL$5,$B$3,$AA$4,0)</f>
        <v>0.74641976679143052</v>
      </c>
      <c r="AM17" s="1" cm="1">
        <f t="array" ref="AM17">OptionDelta("C",$Z17,$B$2,AM$5,$B$3,$AA$4,0)</f>
        <v>0.74196163694002004</v>
      </c>
      <c r="AN17" s="1" cm="1">
        <f t="array" ref="AN17">OptionDelta("C",$Z17,$B$2,AN$5,$B$3,$AA$4,0)</f>
        <v>0.74148404620256403</v>
      </c>
      <c r="AW17" s="139"/>
      <c r="AX17" s="14">
        <v>115</v>
      </c>
      <c r="AY17" s="1" cm="1">
        <f t="array" ref="AY17">OptionTheta("C",$AX17,$B$2,AY$5,$B$3,$AY$4,0)</f>
        <v>-4.1262939438538944E-4</v>
      </c>
      <c r="AZ17" s="1" cm="1">
        <f t="array" ref="AZ17">OptionTheta("C",$AX17,$B$2,AZ$5,$B$3,$AY$4,0)</f>
        <v>-4.8835701044258901E-3</v>
      </c>
      <c r="BA17" s="1" cm="1">
        <f t="array" ref="BA17">OptionTheta("C",$AX17,$B$2,BA$5,$B$3,$AY$4,0)</f>
        <v>-6.6841737755640252E-3</v>
      </c>
      <c r="BB17" s="1" cm="1">
        <f t="array" ref="BB17">OptionTheta("C",$AX17,$B$2,BB$5,$B$3,$AY$4,0)</f>
        <v>-7.3337479060625521E-3</v>
      </c>
      <c r="BC17" s="1" cm="1">
        <f t="array" ref="BC17">OptionTheta("C",$AX17,$B$2,BC$5,$B$3,$AY$4,0)</f>
        <v>-7.5057152115247895E-3</v>
      </c>
      <c r="BD17" s="1" cm="1">
        <f t="array" ref="BD17">OptionTheta("C",$AX17,$B$2,BD$5,$B$3,$AY$4,0)</f>
        <v>-7.4664818850384666E-3</v>
      </c>
      <c r="BE17" s="1" cm="1">
        <f t="array" ref="BE17">OptionTheta("C",$AX17,$B$2,BE$5,$B$3,$AY$4,0)</f>
        <v>-7.3306692098870927E-3</v>
      </c>
      <c r="BF17" s="1" cm="1">
        <f t="array" ref="BF17">OptionTheta("C",$AX17,$B$2,BF$5,$B$3,$AY$4,0)</f>
        <v>-7.1515529434247301E-3</v>
      </c>
      <c r="BG17" s="1" cm="1">
        <f t="array" ref="BG17">OptionTheta("C",$AX17,$B$2,BG$5,$B$3,$AY$4,0)</f>
        <v>-6.9553139399162215E-3</v>
      </c>
      <c r="BH17" s="1" cm="1">
        <f t="array" ref="BH17">OptionTheta("C",$AX17,$B$2,BH$5,$B$3,$AY$4,0)</f>
        <v>-6.7552639740820269E-3</v>
      </c>
      <c r="BI17" s="1" cm="1">
        <f t="array" ref="BI17">OptionTheta("C",$AX17,$B$2,BI$5,$B$3,$AY$4,0)</f>
        <v>-5.1428626193629531E-3</v>
      </c>
      <c r="BJ17" s="1" cm="1">
        <f t="array" ref="BJ17">OptionTheta("C",$AX17,$B$2,BJ$5,$B$3,$AY$4,0)</f>
        <v>-4.1641491481081904E-3</v>
      </c>
      <c r="BK17" s="1" cm="1">
        <f t="array" ref="BK17">OptionTheta("C",$AX17,$B$2,BK$5,$B$3,$AY$4,0)</f>
        <v>-3.5145196807035515E-3</v>
      </c>
      <c r="BL17" s="1" cm="1">
        <f t="array" ref="BL17">OptionTheta("C",$AX17,$B$2,BL$5,$B$3,$AY$4,0)</f>
        <v>-3.0465589951343955E-3</v>
      </c>
      <c r="BU17" s="142"/>
      <c r="BV17" s="14">
        <v>115</v>
      </c>
      <c r="BW17" s="1" cm="1">
        <f t="array" ref="BW17">OptionGamma($BV17,$B$2,BW$5,$B$3,$BW$4,0)</f>
        <v>4.2930333278127031E-3</v>
      </c>
      <c r="BX17" s="1" cm="1">
        <f t="array" ref="BX17">OptionGamma($BV17,$B$2,BX$5,$B$3,$BW$4,0)</f>
        <v>1.0279303406877476E-2</v>
      </c>
      <c r="BY17" s="1" cm="1">
        <f t="array" ref="BY17">OptionGamma($BV17,$B$2,BY$5,$B$3,$BW$4,0)</f>
        <v>1.2594003477751478E-2</v>
      </c>
      <c r="BZ17" s="1" cm="1">
        <f t="array" ref="BZ17">OptionGamma($BV17,$B$2,BZ$5,$B$3,$BW$4,0)</f>
        <v>1.3352820984703351E-2</v>
      </c>
      <c r="CA17" s="1" cm="1">
        <f t="array" ref="CA17">OptionGamma($BV17,$B$2,CA$5,$B$3,$BW$4,0)</f>
        <v>1.3478753756809101E-2</v>
      </c>
      <c r="CB17" s="1" cm="1">
        <f t="array" ref="CB17">OptionGamma($BV17,$B$2,CB$5,$B$3,$BW$4,0)</f>
        <v>1.333267834934383E-2</v>
      </c>
      <c r="CC17" s="1" cm="1">
        <f t="array" ref="CC17">OptionGamma($BV17,$B$2,CC$5,$B$3,$BW$4,0)</f>
        <v>1.3067821328100538E-2</v>
      </c>
      <c r="CD17" s="1" cm="1">
        <f t="array" ref="CD17">OptionGamma($BV17,$B$2,CD$5,$B$3,$BW$4,0)</f>
        <v>1.2754236173725023E-2</v>
      </c>
      <c r="CE17" s="1" cm="1">
        <f t="array" ref="CE17">OptionGamma($BV17,$B$2,CE$5,$B$3,$BW$4,0)</f>
        <v>1.2425602990436631E-2</v>
      </c>
      <c r="CF17" s="1" cm="1">
        <f t="array" ref="CF17">OptionGamma($BV17,$B$2,CF$5,$B$3,$BW$4,0)</f>
        <v>1.2098525266351955E-2</v>
      </c>
      <c r="CG17" s="1" cm="1">
        <f t="array" ref="CG17">OptionGamma($BV17,$B$2,CG$5,$B$3,$BW$4,0)</f>
        <v>9.5576676672171137E-3</v>
      </c>
      <c r="CH17" s="1" cm="1">
        <f t="array" ref="CH17">OptionGamma($BV17,$B$2,CH$5,$B$3,$BW$4,0)</f>
        <v>8.0369990403848391E-3</v>
      </c>
      <c r="CI17" s="1" cm="1">
        <f t="array" ref="CI17">OptionGamma($BV17,$B$2,CI$5,$B$3,$BW$4,0)</f>
        <v>7.0238536178371452E-3</v>
      </c>
      <c r="CJ17" s="1" cm="1">
        <f t="array" ref="CJ17">OptionGamma($BV17,$B$2,CJ$5,$B$3,$BW$4,0)</f>
        <v>6.2883493733863101E-3</v>
      </c>
      <c r="CS17" s="145"/>
      <c r="CT17" s="14">
        <v>115</v>
      </c>
      <c r="CU17" s="1" cm="1">
        <f t="array" ref="CU17">OptionVega($CT17,$B$2,CU$5,$B$3,$CU$4,0)</f>
        <v>1.1355073152064604E-2</v>
      </c>
      <c r="CV17" s="1" cm="1">
        <f t="array" ref="CV17">OptionVega($CT17,$B$2,CV$5,$B$3,$CU$4,0)</f>
        <v>5.4377515022381848E-2</v>
      </c>
      <c r="CW17" s="1" cm="1">
        <f t="array" ref="CW17">OptionVega($CT17,$B$2,CW$5,$B$3,$CU$4,0)</f>
        <v>9.9933417595958002E-2</v>
      </c>
      <c r="CX17" s="1" cm="1">
        <f t="array" ref="CX17">OptionVega($CT17,$B$2,CX$5,$B$3,$CU$4,0)</f>
        <v>0.14127284601816151</v>
      </c>
      <c r="CY17" s="1" cm="1">
        <f t="array" ref="CY17">OptionVega($CT17,$B$2,CY$5,$B$3,$CU$4,0)</f>
        <v>0.17825651843380044</v>
      </c>
      <c r="CZ17" s="1" cm="1">
        <f t="array" ref="CZ17">OptionVega($CT17,$B$2,CZ$5,$B$3,$CU$4,0)</f>
        <v>0.21158960540408664</v>
      </c>
      <c r="DA17" s="1" cm="1">
        <f t="array" ref="DA17">OptionVega($CT17,$B$2,DA$5,$B$3,$CU$4,0)</f>
        <v>0.24195071188978154</v>
      </c>
      <c r="DB17" s="1" cm="1">
        <f t="array" ref="DB17">OptionVega($CT17,$B$2,DB$5,$B$3,$CU$4,0)</f>
        <v>0.2698796374360215</v>
      </c>
      <c r="DC17" s="1" cm="1">
        <f t="array" ref="DC17">OptionVega($CT17,$B$2,DC$5,$B$3,$CU$4,0)</f>
        <v>0.29579147918734411</v>
      </c>
      <c r="DD17" s="1" cm="1">
        <f t="array" ref="DD17">OptionVega($CT17,$B$2,DD$5,$B$3,$CU$4,0)</f>
        <v>0.32000599329500923</v>
      </c>
      <c r="DE17" s="1" cm="1">
        <f t="array" ref="DE17">OptionVega($CT17,$B$2,DE$5,$B$3,$CU$4,0)</f>
        <v>0.50560061959578562</v>
      </c>
      <c r="DF17" s="1" cm="1">
        <f t="array" ref="DF17">OptionVega($CT17,$B$2,DF$5,$B$3,$CU$4,0)</f>
        <v>0.63773587385453712</v>
      </c>
      <c r="DG17" s="1" cm="1">
        <f t="array" ref="DG17">OptionVega($CT17,$B$2,DG$5,$B$3,$CU$4,0)</f>
        <v>0.74312371276717004</v>
      </c>
      <c r="DH17" s="1" cm="1">
        <f t="array" ref="DH17">OptionVega($CT17,$B$2,DH$5,$B$3,$CU$4,0)</f>
        <v>0.83163420463033977</v>
      </c>
      <c r="DQ17" s="130"/>
      <c r="DR17" s="14">
        <v>115</v>
      </c>
      <c r="DS17" s="1" cm="1">
        <f t="array" ref="DS17">OptionRho("C",$DR17,$B$2,DS$5,$B$3,$DS$4,0)</f>
        <v>9.8489758625579293E-2</v>
      </c>
      <c r="DT17" s="1" cm="1">
        <f t="array" ref="DT17">OptionRho("C",$DR17,$B$2,DT$5,$B$3,$DS$4,0)</f>
        <v>0.18727453260072854</v>
      </c>
      <c r="DU17" s="1" cm="1">
        <f t="array" ref="DU17">OptionRho("C",$DR17,$B$2,DU$5,$B$3,$DS$4,0)</f>
        <v>0.2674171475353192</v>
      </c>
      <c r="DV17" s="1" cm="1">
        <f t="array" ref="DV17">OptionRho("C",$DR17,$B$2,DV$5,$B$3,$DS$4,0)</f>
        <v>0.34200126589648211</v>
      </c>
      <c r="DW17" s="1" cm="1">
        <f t="array" ref="DW17">OptionRho("C",$DR17,$B$2,DW$5,$B$3,$DS$4,0)</f>
        <v>0.41277215823472962</v>
      </c>
      <c r="DX17" s="1" cm="1">
        <f t="array" ref="DX17">OptionRho("C",$DR17,$B$2,DX$5,$B$3,$DS$4,0)</f>
        <v>0.4807365212174417</v>
      </c>
      <c r="DY17" s="1" cm="1">
        <f t="array" ref="DY17">OptionRho("C",$DR17,$B$2,DY$5,$B$3,$DS$4,0)</f>
        <v>0.54652113577166295</v>
      </c>
      <c r="DZ17" s="1" cm="1">
        <f t="array" ref="DZ17">OptionRho("C",$DR17,$B$2,DZ$5,$B$3,$DS$4,0)</f>
        <v>0.61054291488019352</v>
      </c>
      <c r="EA17" s="1" cm="1">
        <f t="array" ref="EA17">OptionRho("C",$DR17,$B$2,EA$5,$B$3,$DS$4,0)</f>
        <v>0.67309416261096167</v>
      </c>
      <c r="EB17" s="1" cm="1">
        <f t="array" ref="EB17">OptionRho("C",$DR17,$B$2,EB$5,$B$3,$DS$4,0)</f>
        <v>0.73438858241015237</v>
      </c>
      <c r="EC17" s="1" cm="1">
        <f t="array" ref="EC17">OptionRho("C",$DR17,$B$2,EC$5,$B$3,$DS$4,0)</f>
        <v>1.301716483822899</v>
      </c>
      <c r="ED17" s="1" cm="1">
        <f t="array" ref="ED17">OptionRho("C",$DR17,$B$2,ED$5,$B$3,$DS$4,0)</f>
        <v>1.8176154213669029</v>
      </c>
      <c r="EE17" s="1" cm="1">
        <f t="array" ref="EE17">OptionRho("C",$DR17,$B$2,EE$5,$B$3,$DS$4,0)</f>
        <v>2.3000383938445146</v>
      </c>
      <c r="EF17" s="1" cm="1">
        <f t="array" ref="EF17">OptionRho("C",$DR17,$B$2,EF$5,$B$3,$DS$4,0)</f>
        <v>2.7563718801831256</v>
      </c>
      <c r="EP17" s="130"/>
      <c r="EQ17" s="14">
        <v>115</v>
      </c>
      <c r="ER17" s="1" cm="1">
        <f t="array" ref="ER17">OptionRho("C",$EQ17,$B$2,ER$5,$D$3,$ER$4,0)</f>
        <v>9.4980739591901522E-2</v>
      </c>
      <c r="ES17" s="1" cm="1">
        <f t="array" ref="ES17">OptionRho("C",$EQ17,$B$2,ES$5,$D$3,$ER$4,0)</f>
        <v>0.18020819117345763</v>
      </c>
      <c r="ET17" s="1" cm="1">
        <f t="array" ref="ET17">OptionRho("C",$EQ17,$B$2,ET$5,$D$3,$ER$4,0)</f>
        <v>0.2569746523176033</v>
      </c>
      <c r="EU17" s="1" cm="1">
        <f t="array" ref="EU17">OptionRho("C",$EQ17,$B$2,EU$5,$D$3,$ER$4,0)</f>
        <v>0.32606429907791301</v>
      </c>
      <c r="EV17" s="1" cm="1">
        <f t="array" ref="EV17">OptionRho("C",$EQ17,$B$2,EV$5,$D$3,$ER$4,0)</f>
        <v>0.38798959658905419</v>
      </c>
      <c r="EW17" s="1" cm="1">
        <f t="array" ref="EW17">OptionRho("C",$EQ17,$B$2,EW$5,$D$3,$ER$4,0)</f>
        <v>0.44321100070038499</v>
      </c>
      <c r="EX17" s="1" cm="1">
        <f t="array" ref="EX17">OptionRho("C",$EQ17,$B$2,EX$5,$D$3,$ER$4,0)</f>
        <v>0.49218016406626103</v>
      </c>
      <c r="EY17" s="1" cm="1">
        <f t="array" ref="EY17">OptionRho("C",$EQ17,$B$2,EY$5,$D$3,$ER$4,0)</f>
        <v>0.53534107749006543</v>
      </c>
      <c r="EZ17" s="1" cm="1">
        <f t="array" ref="EZ17">OptionRho("C",$EQ17,$B$2,EZ$5,$D$3,$ER$4,0)</f>
        <v>0.57312420207320625</v>
      </c>
      <c r="FA17" s="1" cm="1">
        <f t="array" ref="FA17">OptionRho("C",$EQ17,$B$2,FA$5,$D$3,$ER$4,0)</f>
        <v>0.60594141587359629</v>
      </c>
      <c r="FB17" s="1" cm="1">
        <f t="array" ref="FB17">OptionRho("C",$EQ17,$B$2,FB$5,$D$3,$ER$4,0)</f>
        <v>0.73572173703582899</v>
      </c>
      <c r="FC17" s="1" cm="1">
        <f t="array" ref="FC17">OptionRho("C",$EQ17,$B$2,FC$5,$D$3,$ER$4,0)</f>
        <v>0.66938877145269715</v>
      </c>
      <c r="FD17" s="1" cm="1">
        <f t="array" ref="FD17">OptionRho("C",$EQ17,$B$2,FD$5,$D$3,$ER$4,0)</f>
        <v>0.54134106221636469</v>
      </c>
      <c r="FE17" s="1" cm="1">
        <f t="array" ref="FE17">OptionRho("C",$EQ17,$B$2,FE$5,$D$3,$ER$4,0)</f>
        <v>0.41042499034048874</v>
      </c>
    </row>
    <row r="18" spans="1:161" x14ac:dyDescent="0.2">
      <c r="A18" s="133"/>
      <c r="B18" s="14">
        <v>120</v>
      </c>
      <c r="C18" s="1" cm="1">
        <f t="array" ref="C18">OptionPrice("C",$B18,$B$2,C$5,$B$3,$C$4,0)</f>
        <v>20.103717887420927</v>
      </c>
      <c r="D18" s="1" cm="1">
        <f t="array" ref="D18">OptionPrice("C",$B18,$B$2,D$5,$B$3,$C$4,0)</f>
        <v>20.270255991753984</v>
      </c>
      <c r="E18" s="1" cm="1">
        <f t="array" ref="E18">OptionPrice("C",$B18,$B$2,E$5,$B$3,$C$4,0)</f>
        <v>20.522869427969269</v>
      </c>
      <c r="F18" s="1" cm="1">
        <f t="array" ref="F18">OptionPrice("C",$B18,$B$2,F$5,$B$3,$C$4,0)</f>
        <v>20.829462019286737</v>
      </c>
      <c r="G18" s="1" cm="1">
        <f t="array" ref="G18">OptionPrice("C",$B18,$B$2,G$5,$B$3,$C$4,0)</f>
        <v>21.165193914802728</v>
      </c>
      <c r="H18" s="1" cm="1">
        <f t="array" ref="H18">OptionPrice("C",$B18,$B$2,H$5,$B$3,$C$4,0)</f>
        <v>21.51558315913033</v>
      </c>
      <c r="I18" s="1" cm="1">
        <f t="array" ref="I18">OptionPrice("C",$B18,$B$2,I$5,$B$3,$C$4,0)</f>
        <v>21.872353367721374</v>
      </c>
      <c r="J18" s="1" cm="1">
        <f t="array" ref="J18">OptionPrice("C",$B18,$B$2,J$5,$B$3,$C$4,0)</f>
        <v>22.230695484605391</v>
      </c>
      <c r="K18" s="1" cm="1">
        <f t="array" ref="K18">OptionPrice("C",$B18,$B$2,K$5,$B$3,$C$4,0)</f>
        <v>22.587767456319014</v>
      </c>
      <c r="L18" s="1" cm="1">
        <f t="array" ref="L18">OptionPrice("C",$B18,$B$2,L$5,$B$3,$C$4,0)</f>
        <v>22.941876553071737</v>
      </c>
      <c r="M18" s="1" cm="1">
        <f t="array" ref="M18">OptionPrice("C",$B18,$B$2,M$5,$B$3,$C$4,0)</f>
        <v>26.226268118087461</v>
      </c>
      <c r="N18" s="1" cm="1">
        <f t="array" ref="N18">OptionPrice("C",$B18,$B$2,N$5,$B$3,$C$4,0)</f>
        <v>29.079464118384848</v>
      </c>
      <c r="O18" s="1" cm="1">
        <f t="array" ref="O18">OptionPrice("C",$B18,$B$2,O$5,$B$3,$C$4,0)</f>
        <v>31.618944208067404</v>
      </c>
      <c r="P18" s="2" cm="1">
        <f t="array" ref="P18">OptionPrice("C",$B18,$B$2,P$5,$B$3,$C$4,0)</f>
        <v>33.926506695725308</v>
      </c>
      <c r="Y18" s="136"/>
      <c r="Z18" s="14">
        <v>120</v>
      </c>
      <c r="AA18" s="1" cm="1">
        <f t="array" ref="AA18">OptionDelta("C",$Z18,$B$2,AA$5,$B$3,$AA$4,0)</f>
        <v>0.99830623193923973</v>
      </c>
      <c r="AB18" s="1" cm="1">
        <f t="array" ref="AB18">OptionDelta("C",$Z18,$B$2,AB$5,$B$3,$AA$4,0)</f>
        <v>0.9823760534317052</v>
      </c>
      <c r="AC18" s="1" cm="1">
        <f t="array" ref="AC18">OptionDelta("C",$Z18,$B$2,AC$5,$B$3,$AA$4,0)</f>
        <v>0.95963958476134859</v>
      </c>
      <c r="AD18" s="1" cm="1">
        <f t="array" ref="AD18">OptionDelta("C",$Z18,$B$2,AD$5,$B$3,$AA$4,0)</f>
        <v>0.93776106845399343</v>
      </c>
      <c r="AE18" s="1" cm="1">
        <f t="array" ref="AE18">OptionDelta("C",$Z18,$B$2,AE$5,$B$3,$AA$4,0)</f>
        <v>0.91853340172068842</v>
      </c>
      <c r="AF18" s="1" cm="1">
        <f t="array" ref="AF18">OptionDelta("C",$Z18,$B$2,AF$5,$B$3,$AA$4,0)</f>
        <v>0.90200659044195874</v>
      </c>
      <c r="AG18" s="1" cm="1">
        <f t="array" ref="AG18">OptionDelta("C",$Z18,$B$2,AG$5,$B$3,$AA$4,0)</f>
        <v>0.88783196322373703</v>
      </c>
      <c r="AH18" s="1" cm="1">
        <f t="array" ref="AH18">OptionDelta("C",$Z18,$B$2,AH$5,$B$3,$AA$4,0)</f>
        <v>0.87562125149536263</v>
      </c>
      <c r="AI18" s="1" cm="1">
        <f t="array" ref="AI18">OptionDelta("C",$Z18,$B$2,AI$5,$B$3,$AA$4,0)</f>
        <v>0.86503450040480123</v>
      </c>
      <c r="AJ18" s="1" cm="1">
        <f t="array" ref="AJ18">OptionDelta("C",$Z18,$B$2,AJ$5,$B$3,$AA$4,0)</f>
        <v>0.85579311074329822</v>
      </c>
      <c r="AK18" s="1" cm="1">
        <f t="array" ref="AK18">OptionDelta("C",$Z18,$B$2,AK$5,$B$3,$AA$4,0)</f>
        <v>0.80420462073819765</v>
      </c>
      <c r="AL18" s="1" cm="1">
        <f t="array" ref="AL18">OptionDelta("C",$Z18,$B$2,AL$5,$B$3,$AA$4,0)</f>
        <v>0.78410275921225248</v>
      </c>
      <c r="AM18" s="1" cm="1">
        <f t="array" ref="AM18">OptionDelta("C",$Z18,$B$2,AM$5,$B$3,$AA$4,0)</f>
        <v>0.77511660853638908</v>
      </c>
      <c r="AN18" s="1" cm="1">
        <f t="array" ref="AN18">OptionDelta("C",$Z18,$B$2,AN$5,$B$3,$AA$4,0)</f>
        <v>0.77128749032735988</v>
      </c>
      <c r="AW18" s="139"/>
      <c r="AX18" s="14">
        <v>120</v>
      </c>
      <c r="AY18" s="1" cm="1">
        <f t="array" ref="AY18">OptionTheta("C",$AX18,$B$2,AY$5,$B$3,$AY$4,0)</f>
        <v>2.1645966900830415E-3</v>
      </c>
      <c r="AZ18" s="1" cm="1">
        <f t="array" ref="AZ18">OptionTheta("C",$AX18,$B$2,AZ$5,$B$3,$AY$4,0)</f>
        <v>-5.2188182581148666E-4</v>
      </c>
      <c r="BA18" s="1" cm="1">
        <f t="array" ref="BA18">OptionTheta("C",$AX18,$B$2,BA$5,$B$3,$AY$4,0)</f>
        <v>-2.6176478416384081E-3</v>
      </c>
      <c r="BB18" s="1" cm="1">
        <f t="array" ref="BB18">OptionTheta("C",$AX18,$B$2,BB$5,$B$3,$AY$4,0)</f>
        <v>-3.8598170564632587E-3</v>
      </c>
      <c r="BC18" s="1" cm="1">
        <f t="array" ref="BC18">OptionTheta("C",$AX18,$B$2,BC$5,$B$3,$AY$4,0)</f>
        <v>-4.5676986266598345E-3</v>
      </c>
      <c r="BD18" s="1" cm="1">
        <f t="array" ref="BD18">OptionTheta("C",$AX18,$B$2,BD$5,$B$3,$AY$4,0)</f>
        <v>-4.9631220083336241E-3</v>
      </c>
      <c r="BE18" s="1" cm="1">
        <f t="array" ref="BE18">OptionTheta("C",$AX18,$B$2,BE$5,$B$3,$AY$4,0)</f>
        <v>-5.1732390212707521E-3</v>
      </c>
      <c r="BF18" s="1" cm="1">
        <f t="array" ref="BF18">OptionTheta("C",$AX18,$B$2,BF$5,$B$3,$AY$4,0)</f>
        <v>-5.2706182533947942E-3</v>
      </c>
      <c r="BG18" s="1" cm="1">
        <f t="array" ref="BG18">OptionTheta("C",$AX18,$B$2,BG$5,$B$3,$AY$4,0)</f>
        <v>-5.2978374623867041E-3</v>
      </c>
      <c r="BH18" s="1" cm="1">
        <f t="array" ref="BH18">OptionTheta("C",$AX18,$B$2,BH$5,$B$3,$AY$4,0)</f>
        <v>-5.2806878842294354E-3</v>
      </c>
      <c r="BI18" s="1" cm="1">
        <f t="array" ref="BI18">OptionTheta("C",$AX18,$B$2,BI$5,$B$3,$AY$4,0)</f>
        <v>-4.4999367223590775E-3</v>
      </c>
      <c r="BJ18" s="1" cm="1">
        <f t="array" ref="BJ18">OptionTheta("C",$AX18,$B$2,BJ$5,$B$3,$AY$4,0)</f>
        <v>-3.7784131911190373E-3</v>
      </c>
      <c r="BK18" s="1" cm="1">
        <f t="array" ref="BK18">OptionTheta("C",$AX18,$B$2,BK$5,$B$3,$AY$4,0)</f>
        <v>-3.2465642122977674E-3</v>
      </c>
      <c r="BL18" s="1" cm="1">
        <f t="array" ref="BL18">OptionTheta("C",$AX18,$B$2,BL$5,$B$3,$AY$4,0)</f>
        <v>-2.844238479630232E-3</v>
      </c>
      <c r="BU18" s="142"/>
      <c r="BV18" s="14">
        <v>120</v>
      </c>
      <c r="BW18" s="1" cm="1">
        <f t="array" ref="BW18">OptionGamma($BV18,$B$2,BW$5,$B$3,$BW$4,0)</f>
        <v>7.1823787351586244E-4</v>
      </c>
      <c r="BX18" s="1" cm="1">
        <f t="array" ref="BX18">OptionGamma($BV18,$B$2,BX$5,$B$3,$BW$4,0)</f>
        <v>4.0508179535475647E-3</v>
      </c>
      <c r="BY18" s="1" cm="1">
        <f t="array" ref="BY18">OptionGamma($BV18,$B$2,BY$5,$B$3,$BW$4,0)</f>
        <v>6.6034037139998062E-3</v>
      </c>
      <c r="BZ18" s="1" cm="1">
        <f t="array" ref="BZ18">OptionGamma($BV18,$B$2,BZ$5,$B$3,$BW$4,0)</f>
        <v>8.0758746095868535E-3</v>
      </c>
      <c r="CA18" s="1" cm="1">
        <f t="array" ref="CA18">OptionGamma($BV18,$B$2,CA$5,$B$3,$BW$4,0)</f>
        <v>8.881243547387634E-3</v>
      </c>
      <c r="CB18" s="1" cm="1">
        <f t="array" ref="CB18">OptionGamma($BV18,$B$2,CB$5,$B$3,$BW$4,0)</f>
        <v>9.3013597568778455E-3</v>
      </c>
      <c r="CC18" s="1" cm="1">
        <f t="array" ref="CC18">OptionGamma($BV18,$B$2,CC$5,$B$3,$BW$4,0)</f>
        <v>9.4962050866496343E-3</v>
      </c>
      <c r="CD18" s="1" cm="1">
        <f t="array" ref="CD18">OptionGamma($BV18,$B$2,CD$5,$B$3,$BW$4,0)</f>
        <v>9.5562993383245896E-3</v>
      </c>
      <c r="CE18" s="1" cm="1">
        <f t="array" ref="CE18">OptionGamma($BV18,$B$2,CE$5,$B$3,$BW$4,0)</f>
        <v>9.5342861100476319E-3</v>
      </c>
      <c r="CF18" s="1" cm="1">
        <f t="array" ref="CF18">OptionGamma($BV18,$B$2,CF$5,$B$3,$BW$4,0)</f>
        <v>9.46175015661453E-3</v>
      </c>
      <c r="CG18" s="1" cm="1">
        <f t="array" ref="CG18">OptionGamma($BV18,$B$2,CG$5,$B$3,$BW$4,0)</f>
        <v>8.1432630811320347E-3</v>
      </c>
      <c r="CH18" s="1" cm="1">
        <f t="array" ref="CH18">OptionGamma($BV18,$B$2,CH$5,$B$3,$BW$4,0)</f>
        <v>7.0460051549628569E-3</v>
      </c>
      <c r="CI18" s="1" cm="1">
        <f t="array" ref="CI18">OptionGamma($BV18,$B$2,CI$5,$B$3,$BW$4,0)</f>
        <v>6.2463417557349936E-3</v>
      </c>
      <c r="CJ18" s="1" cm="1">
        <f t="array" ref="CJ18">OptionGamma($BV18,$B$2,CJ$5,$B$3,$BW$4,0)</f>
        <v>5.6403714114604637E-3</v>
      </c>
      <c r="CS18" s="145"/>
      <c r="CT18" s="14">
        <v>120</v>
      </c>
      <c r="CU18" s="1" cm="1">
        <f t="array" ref="CU18">OptionVega($CT18,$B$2,CU$5,$B$3,$CU$4,0)</f>
        <v>2.0685250757256843E-3</v>
      </c>
      <c r="CV18" s="1" cm="1">
        <f t="array" ref="CV18">OptionVega($CT18,$B$2,CV$5,$B$3,$CU$4,0)</f>
        <v>2.3332711412433971E-2</v>
      </c>
      <c r="CW18" s="1" cm="1">
        <f t="array" ref="CW18">OptionVega($CT18,$B$2,CW$5,$B$3,$CU$4,0)</f>
        <v>5.7053408088958327E-2</v>
      </c>
      <c r="CX18" s="1" cm="1">
        <f t="array" ref="CX18">OptionVega($CT18,$B$2,CX$5,$B$3,$CU$4,0)</f>
        <v>9.3034075502440555E-2</v>
      </c>
      <c r="CY18" s="1" cm="1">
        <f t="array" ref="CY18">OptionVega($CT18,$B$2,CY$5,$B$3,$CU$4,0)</f>
        <v>0.12788990708238193</v>
      </c>
      <c r="CZ18" s="1" cm="1">
        <f t="array" ref="CZ18">OptionVega($CT18,$B$2,CZ$5,$B$3,$CU$4,0)</f>
        <v>0.16072749659884919</v>
      </c>
      <c r="DA18" s="1" cm="1">
        <f t="array" ref="DA18">OptionVega($CT18,$B$2,DA$5,$B$3,$CU$4,0)</f>
        <v>0.19144349454685666</v>
      </c>
      <c r="DB18" s="1" cm="1">
        <f t="array" ref="DB18">OptionVega($CT18,$B$2,DB$5,$B$3,$CU$4,0)</f>
        <v>0.2201771367549985</v>
      </c>
      <c r="DC18" s="1" cm="1">
        <f t="array" ref="DC18">OptionVega($CT18,$B$2,DC$5,$B$3,$CU$4,0)</f>
        <v>0.24712869597243459</v>
      </c>
      <c r="DD18" s="1" cm="1">
        <f t="array" ref="DD18">OptionVega($CT18,$B$2,DD$5,$B$3,$CU$4,0)</f>
        <v>0.27249840451049845</v>
      </c>
      <c r="DE18" s="1" cm="1">
        <f t="array" ref="DE18">OptionVega($CT18,$B$2,DE$5,$B$3,$CU$4,0)</f>
        <v>0.46905195347320522</v>
      </c>
      <c r="DF18" s="1" cm="1">
        <f t="array" ref="DF18">OptionVega($CT18,$B$2,DF$5,$B$3,$CU$4,0)</f>
        <v>0.60877484538879079</v>
      </c>
      <c r="DG18" s="1" cm="1">
        <f t="array" ref="DG18">OptionVega($CT18,$B$2,DG$5,$B$3,$CU$4,0)</f>
        <v>0.71957857026067118</v>
      </c>
      <c r="DH18" s="1" cm="1">
        <f t="array" ref="DH18">OptionVega($CT18,$B$2,DH$5,$B$3,$CU$4,0)</f>
        <v>0.81221348325030684</v>
      </c>
      <c r="DQ18" s="130"/>
      <c r="DR18" s="14">
        <v>120</v>
      </c>
      <c r="DS18" s="1" cm="1">
        <f t="array" ref="DS18">OptionRho("C",$DR18,$B$2,DS$5,$B$3,$DS$4,0)</f>
        <v>9.9693029945287864E-2</v>
      </c>
      <c r="DT18" s="1" cm="1">
        <f t="array" ref="DT18">OptionRho("C",$DR18,$B$2,DT$5,$B$3,$DS$4,0)</f>
        <v>0.19522974084010128</v>
      </c>
      <c r="DU18" s="1" cm="1">
        <f t="array" ref="DU18">OptionRho("C",$DR18,$B$2,DU$5,$B$3,$DS$4,0)</f>
        <v>0.28390164223017772</v>
      </c>
      <c r="DV18" s="1" cm="1">
        <f t="array" ref="DV18">OptionRho("C",$DR18,$B$2,DV$5,$B$3,$DS$4,0)</f>
        <v>0.36680746478076992</v>
      </c>
      <c r="DW18" s="1" cm="1">
        <f t="array" ref="DW18">OptionRho("C",$DR18,$B$2,DW$5,$B$3,$DS$4,0)</f>
        <v>0.44529407145839939</v>
      </c>
      <c r="DX18" s="1" cm="1">
        <f t="array" ref="DX18">OptionRho("C",$DR18,$B$2,DX$5,$B$3,$DS$4,0)</f>
        <v>0.52035124616342832</v>
      </c>
      <c r="DY18" s="1" cm="1">
        <f t="array" ref="DY18">OptionRho("C",$DR18,$B$2,DY$5,$B$3,$DS$4,0)</f>
        <v>0.59267237553388952</v>
      </c>
      <c r="DZ18" s="1" cm="1">
        <f t="array" ref="DZ18">OptionRho("C",$DR18,$B$2,DZ$5,$B$3,$DS$4,0)</f>
        <v>0.66275083755870512</v>
      </c>
      <c r="EA18" s="1" cm="1">
        <f t="array" ref="EA18">OptionRho("C",$DR18,$B$2,EA$5,$B$3,$DS$4,0)</f>
        <v>0.73094735333031413</v>
      </c>
      <c r="EB18" s="1" cm="1">
        <f t="array" ref="EB18">OptionRho("C",$DR18,$B$2,EB$5,$B$3,$DS$4,0)</f>
        <v>0.79753296736124069</v>
      </c>
      <c r="EC18" s="1" cm="1">
        <f t="array" ref="EC18">OptionRho("C",$DR18,$B$2,EC$5,$B$3,$DS$4,0)</f>
        <v>1.4055657274099254</v>
      </c>
      <c r="ED18" s="1" cm="1">
        <f t="array" ref="ED18">OptionRho("C",$DR18,$B$2,ED$5,$B$3,$DS$4,0)</f>
        <v>1.9503860096125631</v>
      </c>
      <c r="EE18" s="1" cm="1">
        <f t="array" ref="EE18">OptionRho("C",$DR18,$B$2,EE$5,$B$3,$DS$4,0)</f>
        <v>2.4558019526519712</v>
      </c>
      <c r="EF18" s="1" cm="1">
        <f t="array" ref="EF18">OptionRho("C",$DR18,$B$2,EF$5,$B$3,$DS$4,0)</f>
        <v>2.9313996071778941</v>
      </c>
      <c r="EP18" s="130"/>
      <c r="EQ18" s="14">
        <v>120</v>
      </c>
      <c r="ER18" s="1" cm="1">
        <f t="array" ref="ER18">OptionRho("C",$EQ18,$B$2,ER$5,$D$3,$ER$4,0)</f>
        <v>9.5110060909077476E-2</v>
      </c>
      <c r="ES18" s="1" cm="1">
        <f t="array" ref="ES18">OptionRho("C",$EQ18,$B$2,ES$5,$D$3,$ER$4,0)</f>
        <v>0.18079918857539165</v>
      </c>
      <c r="ET18" s="1" cm="1">
        <f t="array" ref="ET18">OptionRho("C",$EQ18,$B$2,ET$5,$D$3,$ER$4,0)</f>
        <v>0.25783890129636278</v>
      </c>
      <c r="EU18" s="1" cm="1">
        <f t="array" ref="EU18">OptionRho("C",$EQ18,$B$2,EU$5,$D$3,$ER$4,0)</f>
        <v>0.32698736205623036</v>
      </c>
      <c r="EV18" s="1" cm="1">
        <f t="array" ref="EV18">OptionRho("C",$EQ18,$B$2,EV$5,$D$3,$ER$4,0)</f>
        <v>0.38885054185575851</v>
      </c>
      <c r="EW18" s="1" cm="1">
        <f t="array" ref="EW18">OptionRho("C",$EQ18,$B$2,EW$5,$D$3,$ER$4,0)</f>
        <v>0.44395796806613591</v>
      </c>
      <c r="EX18" s="1" cm="1">
        <f t="array" ref="EX18">OptionRho("C",$EQ18,$B$2,EX$5,$D$3,$ER$4,0)</f>
        <v>0.49280042112703065</v>
      </c>
      <c r="EY18" s="1" cm="1">
        <f t="array" ref="EY18">OptionRho("C",$EQ18,$B$2,EY$5,$D$3,$ER$4,0)</f>
        <v>0.53584140593815932</v>
      </c>
      <c r="EZ18" s="1" cm="1">
        <f t="array" ref="EZ18">OptionRho("C",$EQ18,$B$2,EZ$5,$D$3,$ER$4,0)</f>
        <v>0.57351966127947163</v>
      </c>
      <c r="FA18" s="1" cm="1">
        <f t="array" ref="FA18">OptionRho("C",$EQ18,$B$2,FA$5,$D$3,$ER$4,0)</f>
        <v>0.60624934624839077</v>
      </c>
      <c r="FB18" s="1" cm="1">
        <f t="array" ref="FB18">OptionRho("C",$EQ18,$B$2,FB$5,$D$3,$ER$4,0)</f>
        <v>0.73573911086376342</v>
      </c>
      <c r="FC18" s="1" cm="1">
        <f t="array" ref="FC18">OptionRho("C",$EQ18,$B$2,FC$5,$D$3,$ER$4,0)</f>
        <v>0.66938953534281831</v>
      </c>
      <c r="FD18" s="1" cm="1">
        <f t="array" ref="FD18">OptionRho("C",$EQ18,$B$2,FD$5,$D$3,$ER$4,0)</f>
        <v>0.54134109305521994</v>
      </c>
      <c r="FE18" s="1" cm="1">
        <f t="array" ref="FE18">OptionRho("C",$EQ18,$B$2,FE$5,$D$3,$ER$4,0)</f>
        <v>0.41042499153323858</v>
      </c>
    </row>
    <row r="19" spans="1:161" x14ac:dyDescent="0.2">
      <c r="A19" s="133"/>
      <c r="B19" s="14">
        <v>125</v>
      </c>
      <c r="C19" s="1" cm="1">
        <f t="array" ref="C19">OptionPrice("C",$B19,$B$2,C$5,$B$3,$C$4,0)</f>
        <v>25.10029648237672</v>
      </c>
      <c r="D19" s="1" cm="1">
        <f t="array" ref="D19">OptionPrice("C",$B19,$B$2,D$5,$B$3,$C$4,0)</f>
        <v>25.218765299172134</v>
      </c>
      <c r="E19" s="1" cm="1">
        <f t="array" ref="E19">OptionPrice("C",$B19,$B$2,E$5,$B$3,$C$4,0)</f>
        <v>25.386675479156366</v>
      </c>
      <c r="F19" s="1" cm="1">
        <f t="array" ref="F19">OptionPrice("C",$B19,$B$2,F$5,$B$3,$C$4,0)</f>
        <v>25.602551296420927</v>
      </c>
      <c r="G19" s="1" cm="1">
        <f t="array" ref="G19">OptionPrice("C",$B19,$B$2,G$5,$B$3,$C$4,0)</f>
        <v>25.853393383544216</v>
      </c>
      <c r="H19" s="1" cm="1">
        <f t="array" ref="H19">OptionPrice("C",$B19,$B$2,H$5,$B$3,$C$4,0)</f>
        <v>26.127733617540741</v>
      </c>
      <c r="I19" s="1" cm="1">
        <f t="array" ref="I19">OptionPrice("C",$B19,$B$2,I$5,$B$3,$C$4,0)</f>
        <v>26.417318631446406</v>
      </c>
      <c r="J19" s="1" cm="1">
        <f t="array" ref="J19">OptionPrice("C",$B19,$B$2,J$5,$B$3,$C$4,0)</f>
        <v>26.716469582164876</v>
      </c>
      <c r="K19" s="1" cm="1">
        <f t="array" ref="K19">OptionPrice("C",$B19,$B$2,K$5,$B$3,$C$4,0)</f>
        <v>27.021299844803551</v>
      </c>
      <c r="L19" s="1" cm="1">
        <f t="array" ref="L19">OptionPrice("C",$B19,$B$2,L$5,$B$3,$C$4,0)</f>
        <v>27.329133115031794</v>
      </c>
      <c r="M19" s="1" cm="1">
        <f t="array" ref="M19">OptionPrice("C",$B19,$B$2,M$5,$B$3,$C$4,0)</f>
        <v>30.343507631673518</v>
      </c>
      <c r="N19" s="1" cm="1">
        <f t="array" ref="N19">OptionPrice("C",$B19,$B$2,N$5,$B$3,$C$4,0)</f>
        <v>33.084128579527288</v>
      </c>
      <c r="O19" s="1" cm="1">
        <f t="array" ref="O19">OptionPrice("C",$B19,$B$2,O$5,$B$3,$C$4,0)</f>
        <v>35.569530918253264</v>
      </c>
      <c r="P19" s="2" cm="1">
        <f t="array" ref="P19">OptionPrice("C",$B19,$B$2,P$5,$B$3,$C$4,0)</f>
        <v>37.850891577119825</v>
      </c>
      <c r="Y19" s="136"/>
      <c r="Z19" s="14">
        <v>125</v>
      </c>
      <c r="AA19" s="1" cm="1">
        <f t="array" ref="AA19">OptionDelta("C",$Z19,$B$2,AA$5,$B$3,$AA$4,0)</f>
        <v>0.99982531626414572</v>
      </c>
      <c r="AB19" s="1" cm="1">
        <f t="array" ref="AB19">OptionDelta("C",$Z19,$B$2,AB$5,$B$3,$AA$4,0)</f>
        <v>0.99479497737862488</v>
      </c>
      <c r="AC19" s="1" cm="1">
        <f t="array" ref="AC19">OptionDelta("C",$Z19,$B$2,AC$5,$B$3,$AA$4,0)</f>
        <v>0.98296199066116863</v>
      </c>
      <c r="AD19" s="1" cm="1">
        <f t="array" ref="AD19">OptionDelta("C",$Z19,$B$2,AD$5,$B$3,$AA$4,0)</f>
        <v>0.96848451708238714</v>
      </c>
      <c r="AE19" s="1" cm="1">
        <f t="array" ref="AE19">OptionDelta("C",$Z19,$B$2,AE$5,$B$3,$AA$4,0)</f>
        <v>0.95390232385199913</v>
      </c>
      <c r="AF19" s="1" cm="1">
        <f t="array" ref="AF19">OptionDelta("C",$Z19,$B$2,AF$5,$B$3,$AA$4,0)</f>
        <v>0.9402142801511969</v>
      </c>
      <c r="AG19" s="1" cm="1">
        <f t="array" ref="AG19">OptionDelta("C",$Z19,$B$2,AG$5,$B$3,$AA$4,0)</f>
        <v>0.92772250848626392</v>
      </c>
      <c r="AH19" s="1" cm="1">
        <f t="array" ref="AH19">OptionDelta("C",$Z19,$B$2,AH$5,$B$3,$AA$4,0)</f>
        <v>0.91644879859772543</v>
      </c>
      <c r="AI19" s="1" cm="1">
        <f t="array" ref="AI19">OptionDelta("C",$Z19,$B$2,AI$5,$B$3,$AA$4,0)</f>
        <v>0.90631047116941144</v>
      </c>
      <c r="AJ19" s="1" cm="1">
        <f t="array" ref="AJ19">OptionDelta("C",$Z19,$B$2,AJ$5,$B$3,$AA$4,0)</f>
        <v>0.89719292559733332</v>
      </c>
      <c r="AK19" s="1" cm="1">
        <f t="array" ref="AK19">OptionDelta("C",$Z19,$B$2,AK$5,$B$3,$AA$4,0)</f>
        <v>0.84160197553171501</v>
      </c>
      <c r="AL19" s="1" cm="1">
        <f t="array" ref="AL19">OptionDelta("C",$Z19,$B$2,AL$5,$B$3,$AA$4,0)</f>
        <v>0.81699370064357868</v>
      </c>
      <c r="AM19" s="1" cm="1">
        <f t="array" ref="AM19">OptionDelta("C",$Z19,$B$2,AM$5,$B$3,$AA$4,0)</f>
        <v>0.80451480332788361</v>
      </c>
      <c r="AN19" s="1" cm="1">
        <f t="array" ref="AN19">OptionDelta("C",$Z19,$B$2,AN$5,$B$3,$AA$4,0)</f>
        <v>0.79796496558691377</v>
      </c>
      <c r="AW19" s="139"/>
      <c r="AX19" s="14">
        <v>125</v>
      </c>
      <c r="AY19" s="1" cm="1">
        <f t="array" ref="AY19">OptionTheta("C",$AX19,$B$2,AY$5,$B$3,$AY$4,0)</f>
        <v>2.6640612540707854E-3</v>
      </c>
      <c r="AZ19" s="1" cm="1">
        <f t="array" ref="AZ19">OptionTheta("C",$AX19,$B$2,AZ$5,$B$3,$AY$4,0)</f>
        <v>1.5682826585624932E-3</v>
      </c>
      <c r="BA19" s="1" cm="1">
        <f t="array" ref="BA19">OptionTheta("C",$AX19,$B$2,BA$5,$B$3,$AY$4,0)</f>
        <v>2.9693155843233946E-5</v>
      </c>
      <c r="BB19" s="1" cm="1">
        <f t="array" ref="BB19">OptionTheta("C",$AX19,$B$2,BB$5,$B$3,$AY$4,0)</f>
        <v>-1.2225265960764896E-3</v>
      </c>
      <c r="BC19" s="1" cm="1">
        <f t="array" ref="BC19">OptionTheta("C",$AX19,$B$2,BC$5,$B$3,$AY$4,0)</f>
        <v>-2.122060386055215E-3</v>
      </c>
      <c r="BD19" s="1" cm="1">
        <f t="array" ref="BD19">OptionTheta("C",$AX19,$B$2,BD$5,$B$3,$AY$4,0)</f>
        <v>-2.7478593365228557E-3</v>
      </c>
      <c r="BE19" s="1" cm="1">
        <f t="array" ref="BE19">OptionTheta("C",$AX19,$B$2,BE$5,$B$3,$AY$4,0)</f>
        <v>-3.1793439931051791E-3</v>
      </c>
      <c r="BF19" s="1" cm="1">
        <f t="array" ref="BF19">OptionTheta("C",$AX19,$B$2,BF$5,$B$3,$AY$4,0)</f>
        <v>-3.4751347449318375E-3</v>
      </c>
      <c r="BG19" s="1" cm="1">
        <f t="array" ref="BG19">OptionTheta("C",$AX19,$B$2,BG$5,$B$3,$AY$4,0)</f>
        <v>-3.6757308523852018E-3</v>
      </c>
      <c r="BH19" s="1" cm="1">
        <f t="array" ref="BH19">OptionTheta("C",$AX19,$B$2,BH$5,$B$3,$AY$4,0)</f>
        <v>-3.8088170694130538E-3</v>
      </c>
      <c r="BI19" s="1" cm="1">
        <f t="array" ref="BI19">OptionTheta("C",$AX19,$B$2,BI$5,$B$3,$AY$4,0)</f>
        <v>-3.8024576471553401E-3</v>
      </c>
      <c r="BJ19" s="1" cm="1">
        <f t="array" ref="BJ19">OptionTheta("C",$AX19,$B$2,BJ$5,$B$3,$AY$4,0)</f>
        <v>-3.3508059294883779E-3</v>
      </c>
      <c r="BK19" s="1" cm="1">
        <f t="array" ref="BK19">OptionTheta("C",$AX19,$B$2,BK$5,$B$3,$AY$4,0)</f>
        <v>-2.9474980183346192E-3</v>
      </c>
      <c r="BL19" s="1" cm="1">
        <f t="array" ref="BL19">OptionTheta("C",$AX19,$B$2,BL$5,$B$3,$AY$4,0)</f>
        <v>-2.6181386315105035E-3</v>
      </c>
      <c r="BU19" s="142"/>
      <c r="BV19" s="14">
        <v>125</v>
      </c>
      <c r="BW19" s="1" cm="1">
        <f t="array" ref="BW19">OptionGamma($BV19,$B$2,BW$5,$B$3,$BW$4,0)</f>
        <v>8.4468232865850956E-5</v>
      </c>
      <c r="BX19" s="1" cm="1">
        <f t="array" ref="BX19">OptionGamma($BV19,$B$2,BX$5,$B$3,$BW$4,0)</f>
        <v>1.3404252747399995E-3</v>
      </c>
      <c r="BY19" s="1" cm="1">
        <f t="array" ref="BY19">OptionGamma($BV19,$B$2,BY$5,$B$3,$BW$4,0)</f>
        <v>3.084792741286774E-3</v>
      </c>
      <c r="BZ19" s="1" cm="1">
        <f t="array" ref="BZ19">OptionGamma($BV19,$B$2,BZ$5,$B$3,$BW$4,0)</f>
        <v>4.4825674910614188E-3</v>
      </c>
      <c r="CA19" s="1" cm="1">
        <f t="array" ref="CA19">OptionGamma($BV19,$B$2,CA$5,$B$3,$BW$4,0)</f>
        <v>5.466867238047071E-3</v>
      </c>
      <c r="CB19" s="1" cm="1">
        <f t="array" ref="CB19">OptionGamma($BV19,$B$2,CB$5,$B$3,$BW$4,0)</f>
        <v>6.1342693499021788E-3</v>
      </c>
      <c r="CC19" s="1" cm="1">
        <f t="array" ref="CC19">OptionGamma($BV19,$B$2,CC$5,$B$3,$BW$4,0)</f>
        <v>6.5790096216856182E-3</v>
      </c>
      <c r="CD19" s="1" cm="1">
        <f t="array" ref="CD19">OptionGamma($BV19,$B$2,CD$5,$B$3,$BW$4,0)</f>
        <v>6.8698255498420117E-3</v>
      </c>
      <c r="CE19" s="1" cm="1">
        <f t="array" ref="CE19">OptionGamma($BV19,$B$2,CE$5,$B$3,$BW$4,0)</f>
        <v>7.0538139252298484E-3</v>
      </c>
      <c r="CF19" s="1" cm="1">
        <f t="array" ref="CF19">OptionGamma($BV19,$B$2,CF$5,$B$3,$BW$4,0)</f>
        <v>7.162937779782763E-3</v>
      </c>
      <c r="CG19" s="1" cm="1">
        <f t="array" ref="CG19">OptionGamma($BV19,$B$2,CG$5,$B$3,$BW$4,0)</f>
        <v>6.8366861897907428E-3</v>
      </c>
      <c r="CH19" s="1" cm="1">
        <f t="array" ref="CH19">OptionGamma($BV19,$B$2,CH$5,$B$3,$BW$4,0)</f>
        <v>6.1230240136718661E-3</v>
      </c>
      <c r="CI19" s="1" cm="1">
        <f t="array" ref="CI19">OptionGamma($BV19,$B$2,CI$5,$B$3,$BW$4,0)</f>
        <v>5.5225119093422646E-3</v>
      </c>
      <c r="CJ19" s="1" cm="1">
        <f t="array" ref="CJ19">OptionGamma($BV19,$B$2,CJ$5,$B$3,$BW$4,0)</f>
        <v>5.0386172534840883E-3</v>
      </c>
      <c r="CS19" s="145"/>
      <c r="CT19" s="14">
        <v>125</v>
      </c>
      <c r="CU19" s="1" cm="1">
        <f t="array" ref="CU19">OptionVega($CT19,$B$2,CU$5,$B$3,$CU$4,0)</f>
        <v>2.6396322770578433E-4</v>
      </c>
      <c r="CV19" s="1" cm="1">
        <f t="array" ref="CV19">OptionVega($CT19,$B$2,CV$5,$B$3,$CU$4,0)</f>
        <v>8.3776579671249983E-3</v>
      </c>
      <c r="CW19" s="1" cm="1">
        <f t="array" ref="CW19">OptionVega($CT19,$B$2,CW$5,$B$3,$CU$4,0)</f>
        <v>2.89199319495635E-2</v>
      </c>
      <c r="CX19" s="1" cm="1">
        <f t="array" ref="CX19">OptionVega($CT19,$B$2,CX$5,$B$3,$CU$4,0)</f>
        <v>5.6032093638267749E-2</v>
      </c>
      <c r="CY19" s="1" cm="1">
        <f t="array" ref="CY19">OptionVega($CT19,$B$2,CY$5,$B$3,$CU$4,0)</f>
        <v>8.5419800594485507E-2</v>
      </c>
      <c r="CZ19" s="1" cm="1">
        <f t="array" ref="CZ19">OptionVega($CT19,$B$2,CZ$5,$B$3,$CU$4,0)</f>
        <v>0.11501755031066588</v>
      </c>
      <c r="DA19" s="1" cm="1">
        <f t="array" ref="DA19">OptionVega($CT19,$B$2,DA$5,$B$3,$CU$4,0)</f>
        <v>0.14391583547437295</v>
      </c>
      <c r="DB19" s="1" cm="1">
        <f t="array" ref="DB19">OptionVega($CT19,$B$2,DB$5,$B$3,$CU$4,0)</f>
        <v>0.17174563874605031</v>
      </c>
      <c r="DC19" s="1" cm="1">
        <f t="array" ref="DC19">OptionVega($CT19,$B$2,DC$5,$B$3,$CU$4,0)</f>
        <v>0.19838851664708951</v>
      </c>
      <c r="DD19" s="1" cm="1">
        <f t="array" ref="DD19">OptionVega($CT19,$B$2,DD$5,$B$3,$CU$4,0)</f>
        <v>0.22384180561821135</v>
      </c>
      <c r="DE19" s="1" cm="1">
        <f t="array" ref="DE19">OptionVega($CT19,$B$2,DE$5,$B$3,$CU$4,0)</f>
        <v>0.42729288686192152</v>
      </c>
      <c r="DF19" s="1" cm="1">
        <f t="array" ref="DF19">OptionVega($CT19,$B$2,DF$5,$B$3,$CU$4,0)</f>
        <v>0.57403350128173736</v>
      </c>
      <c r="DG19" s="1" cm="1">
        <f t="array" ref="DG19">OptionVega($CT19,$B$2,DG$5,$B$3,$CU$4,0)</f>
        <v>0.69031398866778315</v>
      </c>
      <c r="DH19" s="1" cm="1">
        <f t="array" ref="DH19">OptionVega($CT19,$B$2,DH$5,$B$3,$CU$4,0)</f>
        <v>0.78728394585688899</v>
      </c>
      <c r="DQ19" s="130"/>
      <c r="DR19" s="14">
        <v>125</v>
      </c>
      <c r="DS19" s="1" cm="1">
        <f t="array" ref="DS19">OptionRho("C",$DR19,$B$2,DS$5,$B$3,$DS$4,0)</f>
        <v>9.9877868050641513E-2</v>
      </c>
      <c r="DT19" s="1" cm="1">
        <f t="array" ref="DT19">OptionRho("C",$DR19,$B$2,DT$5,$B$3,$DS$4,0)</f>
        <v>0.19826121374631198</v>
      </c>
      <c r="DU19" s="1" cm="1">
        <f t="array" ref="DU19">OptionRho("C",$DR19,$B$2,DU$5,$B$3,$DS$4,0)</f>
        <v>0.29245072006046918</v>
      </c>
      <c r="DV19" s="1" cm="1">
        <f t="array" ref="DV19">OptionRho("C",$DR19,$B$2,DV$5,$B$3,$DS$4,0)</f>
        <v>0.3818320533555099</v>
      </c>
      <c r="DW19" s="1" cm="1">
        <f t="array" ref="DW19">OptionRho("C",$DR19,$B$2,DW$5,$B$3,$DS$4,0)</f>
        <v>0.46692198548977831</v>
      </c>
      <c r="DX19" s="1" cm="1">
        <f t="array" ref="DX19">OptionRho("C",$DR19,$B$2,DX$5,$B$3,$DS$4,0)</f>
        <v>0.54839430840815317</v>
      </c>
      <c r="DY19" s="1" cm="1">
        <f t="array" ref="DY19">OptionRho("C",$DR19,$B$2,DY$5,$B$3,$DS$4,0)</f>
        <v>0.62683596450535606</v>
      </c>
      <c r="DZ19" s="1" cm="1">
        <f t="array" ref="DZ19">OptionRho("C",$DR19,$B$2,DZ$5,$B$3,$DS$4,0)</f>
        <v>0.70271704194040652</v>
      </c>
      <c r="EA19" s="1" cm="1">
        <f t="array" ref="EA19">OptionRho("C",$DR19,$B$2,EA$5,$B$3,$DS$4,0)</f>
        <v>0.776407581462356</v>
      </c>
      <c r="EB19" s="1" cm="1">
        <f t="array" ref="EB19">OptionRho("C",$DR19,$B$2,EB$5,$B$3,$DS$4,0)</f>
        <v>0.84819982584634879</v>
      </c>
      <c r="EC19" s="1" cm="1">
        <f t="array" ref="EC19">OptionRho("C",$DR19,$B$2,EC$5,$B$3,$DS$4,0)</f>
        <v>1.4971347861958171</v>
      </c>
      <c r="ED19" s="1" cm="1">
        <f t="array" ref="ED19">OptionRho("C",$DR19,$B$2,ED$5,$B$3,$DS$4,0)</f>
        <v>2.071202520027601</v>
      </c>
      <c r="EE19" s="1" cm="1">
        <f t="array" ref="EE19">OptionRho("C",$DR19,$B$2,EE$5,$B$3,$DS$4,0)</f>
        <v>2.5997927799092873</v>
      </c>
      <c r="EF19" s="1" cm="1">
        <f t="array" ref="EF19">OptionRho("C",$DR19,$B$2,EF$5,$B$3,$DS$4,0)</f>
        <v>3.0947364560622197</v>
      </c>
      <c r="EP19" s="130"/>
      <c r="EQ19" s="14">
        <v>125</v>
      </c>
      <c r="ER19" s="1" cm="1">
        <f t="array" ref="ER19">OptionRho("C",$EQ19,$B$2,ER$5,$D$3,$ER$4,0)</f>
        <v>9.5122081705276973E-2</v>
      </c>
      <c r="ES19" s="1" cm="1">
        <f t="array" ref="ES19">OptionRho("C",$EQ19,$B$2,ES$5,$D$3,$ER$4,0)</f>
        <v>0.18093495167214013</v>
      </c>
      <c r="ET19" s="1" cm="1">
        <f t="array" ref="ET19">OptionRho("C",$EQ19,$B$2,ET$5,$D$3,$ER$4,0)</f>
        <v>0.2581086412904614</v>
      </c>
      <c r="EU19" s="1" cm="1">
        <f t="array" ref="EU19">OptionRho("C",$EQ19,$B$2,EU$5,$D$3,$ER$4,0)</f>
        <v>0.32732352094061645</v>
      </c>
      <c r="EV19" s="1" cm="1">
        <f t="array" ref="EV19">OptionRho("C",$EQ19,$B$2,EV$5,$D$3,$ER$4,0)</f>
        <v>0.38919460880561441</v>
      </c>
      <c r="EW19" s="1" cm="1">
        <f t="array" ref="EW19">OptionRho("C",$EQ19,$B$2,EW$5,$D$3,$ER$4,0)</f>
        <v>0.44427560828282636</v>
      </c>
      <c r="EX19" s="1" cm="1">
        <f t="array" ref="EX19">OptionRho("C",$EQ19,$B$2,EX$5,$D$3,$ER$4,0)</f>
        <v>0.49307616052949976</v>
      </c>
      <c r="EY19" s="1" cm="1">
        <f t="array" ref="EY19">OptionRho("C",$EQ19,$B$2,EY$5,$D$3,$ER$4,0)</f>
        <v>0.53607137510223912</v>
      </c>
      <c r="EZ19" s="1" cm="1">
        <f t="array" ref="EZ19">OptionRho("C",$EQ19,$B$2,EZ$5,$D$3,$ER$4,0)</f>
        <v>0.57370621088251617</v>
      </c>
      <c r="FA19" s="1" cm="1">
        <f t="array" ref="FA19">OptionRho("C",$EQ19,$B$2,FA$5,$D$3,$ER$4,0)</f>
        <v>0.6063976575633131</v>
      </c>
      <c r="FB19" s="1" cm="1">
        <f t="array" ref="FB19">OptionRho("C",$EQ19,$B$2,FB$5,$D$3,$ER$4,0)</f>
        <v>0.73574830097069277</v>
      </c>
      <c r="FC19" s="1" cm="1">
        <f t="array" ref="FC19">OptionRho("C",$EQ19,$B$2,FC$5,$D$3,$ER$4,0)</f>
        <v>0.66938995226032749</v>
      </c>
      <c r="FD19" s="1" cm="1">
        <f t="array" ref="FD19">OptionRho("C",$EQ19,$B$2,FD$5,$D$3,$ER$4,0)</f>
        <v>0.54134111015220632</v>
      </c>
      <c r="FE19" s="1" cm="1">
        <f t="array" ref="FE19">OptionRho("C",$EQ19,$B$2,FE$5,$D$3,$ER$4,0)</f>
        <v>0.41042499220074202</v>
      </c>
    </row>
    <row r="20" spans="1:161" x14ac:dyDescent="0.2">
      <c r="A20" s="133"/>
      <c r="B20" s="14">
        <v>130</v>
      </c>
      <c r="C20" s="1" cm="1">
        <f t="array" ref="C20">OptionPrice("C",$B20,$B$2,C$5,$B$3,$C$4,0)</f>
        <v>30.099974576805963</v>
      </c>
      <c r="D20" s="1" cm="1">
        <f t="array" ref="D20">OptionPrice("C",$B20,$B$2,D$5,$B$3,$C$4,0)</f>
        <v>30.204345382971994</v>
      </c>
      <c r="E20" s="1" cm="1">
        <f t="array" ref="E20">OptionPrice("C",$B20,$B$2,E$5,$B$3,$C$4,0)</f>
        <v>30.331214205428751</v>
      </c>
      <c r="F20" s="1" cm="1">
        <f t="array" ref="F20">OptionPrice("C",$B20,$B$2,F$5,$B$3,$C$4,0)</f>
        <v>30.490676721950678</v>
      </c>
      <c r="G20" s="1" cm="1">
        <f t="array" ref="G20">OptionPrice("C",$B20,$B$2,G$5,$B$3,$C$4,0)</f>
        <v>30.680612592238447</v>
      </c>
      <c r="H20" s="1" cm="1">
        <f t="array" ref="H20">OptionPrice("C",$B20,$B$2,H$5,$B$3,$C$4,0)</f>
        <v>30.895099786680717</v>
      </c>
      <c r="I20" s="1" cm="1">
        <f t="array" ref="I20">OptionPrice("C",$B20,$B$2,I$5,$B$3,$C$4,0)</f>
        <v>31.128251905467465</v>
      </c>
      <c r="J20" s="1" cm="1">
        <f t="array" ref="J20">OptionPrice("C",$B20,$B$2,J$5,$B$3,$C$4,0)</f>
        <v>31.375208747988921</v>
      </c>
      <c r="K20" s="1" cm="1">
        <f t="array" ref="K20">OptionPrice("C",$B20,$B$2,K$5,$B$3,$C$4,0)</f>
        <v>31.632190856769014</v>
      </c>
      <c r="L20" s="1" cm="1">
        <f t="array" ref="L20">OptionPrice("C",$B20,$B$2,L$5,$B$3,$C$4,0)</f>
        <v>31.896318617624189</v>
      </c>
      <c r="M20" s="1" cm="1">
        <f t="array" ref="M20">OptionPrice("C",$B20,$B$2,M$5,$B$3,$C$4,0)</f>
        <v>34.631951243921151</v>
      </c>
      <c r="N20" s="1" cm="1">
        <f t="array" ref="N20">OptionPrice("C",$B20,$B$2,N$5,$B$3,$C$4,0)</f>
        <v>37.242037644355804</v>
      </c>
      <c r="O20" s="1" cm="1">
        <f t="array" ref="O20">OptionPrice("C",$B20,$B$2,O$5,$B$3,$C$4,0)</f>
        <v>39.658305038903933</v>
      </c>
      <c r="P20" s="2" cm="1">
        <f t="array" ref="P20">OptionPrice("C",$B20,$B$2,P$5,$B$3,$C$4,0)</f>
        <v>41.901343822397052</v>
      </c>
      <c r="Y20" s="136"/>
      <c r="Z20" s="14">
        <v>130</v>
      </c>
      <c r="AA20" s="1" cm="1">
        <f t="array" ref="AA20">OptionDelta("C",$Z20,$B$2,AA$5,$B$3,$AA$4,0)</f>
        <v>0.99998640314018139</v>
      </c>
      <c r="AB20" s="1" cm="1">
        <f t="array" ref="AB20">OptionDelta("C",$Z20,$B$2,AB$5,$B$3,$AA$4,0)</f>
        <v>0.99865188998007925</v>
      </c>
      <c r="AC20" s="1" cm="1">
        <f t="array" ref="AC20">OptionDelta("C",$Z20,$B$2,AC$5,$B$3,$AA$4,0)</f>
        <v>0.99337921785148087</v>
      </c>
      <c r="AD20" s="1" cm="1">
        <f t="array" ref="AD20">OptionDelta("C",$Z20,$B$2,AD$5,$B$3,$AA$4,0)</f>
        <v>0.98496017489321974</v>
      </c>
      <c r="AE20" s="1" cm="1">
        <f t="array" ref="AE20">OptionDelta("C",$Z20,$B$2,AE$5,$B$3,$AA$4,0)</f>
        <v>0.97507573833647321</v>
      </c>
      <c r="AF20" s="1" cm="1">
        <f t="array" ref="AF20">OptionDelta("C",$Z20,$B$2,AF$5,$B$3,$AA$4,0)</f>
        <v>0.96483221684018183</v>
      </c>
      <c r="AG20" s="1" cm="1">
        <f t="array" ref="AG20">OptionDelta("C",$Z20,$B$2,AG$5,$B$3,$AA$4,0)</f>
        <v>0.95481273623086027</v>
      </c>
      <c r="AH20" s="1" cm="1">
        <f t="array" ref="AH20">OptionDelta("C",$Z20,$B$2,AH$5,$B$3,$AA$4,0)</f>
        <v>0.9452921469955603</v>
      </c>
      <c r="AI20" s="1" cm="1">
        <f t="array" ref="AI20">OptionDelta("C",$Z20,$B$2,AI$5,$B$3,$AA$4,0)</f>
        <v>0.93638087415065951</v>
      </c>
      <c r="AJ20" s="1" cm="1">
        <f t="array" ref="AJ20">OptionDelta("C",$Z20,$B$2,AJ$5,$B$3,$AA$4,0)</f>
        <v>0.92810491023994279</v>
      </c>
      <c r="AK20" s="1" cm="1">
        <f t="array" ref="AK20">OptionDelta("C",$Z20,$B$2,AK$5,$B$3,$AA$4,0)</f>
        <v>0.87280055331254425</v>
      </c>
      <c r="AL20" s="1" cm="1">
        <f t="array" ref="AL20">OptionDelta("C",$Z20,$B$2,AL$5,$B$3,$AA$4,0)</f>
        <v>0.84546800175065795</v>
      </c>
      <c r="AM20" s="1" cm="1">
        <f t="array" ref="AM20">OptionDelta("C",$Z20,$B$2,AM$5,$B$3,$AA$4,0)</f>
        <v>0.83044131386615572</v>
      </c>
      <c r="AN20" s="1" cm="1">
        <f t="array" ref="AN20">OptionDelta("C",$Z20,$B$2,AN$5,$B$3,$AA$4,0)</f>
        <v>0.82175514850703979</v>
      </c>
      <c r="AW20" s="139"/>
      <c r="AX20" s="14">
        <v>130</v>
      </c>
      <c r="AY20" s="1" cm="1">
        <f t="array" ref="AY20">OptionTheta("C",$AX20,$B$2,AY$5,$B$3,$AY$4,0)</f>
        <v>2.7301811418871643E-3</v>
      </c>
      <c r="AZ20" s="1" cm="1">
        <f t="array" ref="AZ20">OptionTheta("C",$AX20,$B$2,AZ$5,$B$3,$AY$4,0)</f>
        <v>2.3767974083581645E-3</v>
      </c>
      <c r="BA20" s="1" cm="1">
        <f t="array" ref="BA20">OptionTheta("C",$AX20,$B$2,BA$5,$B$3,$AY$4,0)</f>
        <v>1.5007420548488425E-3</v>
      </c>
      <c r="BB20" s="1" cm="1">
        <f t="array" ref="BB20">OptionTheta("C",$AX20,$B$2,BB$5,$B$3,$AY$4,0)</f>
        <v>5.3519491505958259E-4</v>
      </c>
      <c r="BC20" s="1" cm="1">
        <f t="array" ref="BC20">OptionTheta("C",$AX20,$B$2,BC$5,$B$3,$AY$4,0)</f>
        <v>-3.0404707023068048E-4</v>
      </c>
      <c r="BD20" s="1" cm="1">
        <f t="array" ref="BD20">OptionTheta("C",$AX20,$B$2,BD$5,$B$3,$AY$4,0)</f>
        <v>-9.769482367823169E-4</v>
      </c>
      <c r="BE20" s="1" cm="1">
        <f t="array" ref="BE20">OptionTheta("C",$AX20,$B$2,BE$5,$B$3,$AY$4,0)</f>
        <v>-1.5006867432075552E-3</v>
      </c>
      <c r="BF20" s="1" cm="1">
        <f t="array" ref="BF20">OptionTheta("C",$AX20,$B$2,BF$5,$B$3,$AY$4,0)</f>
        <v>-1.9038842568086447E-3</v>
      </c>
      <c r="BG20" s="1" cm="1">
        <f t="array" ref="BG20">OptionTheta("C",$AX20,$B$2,BG$5,$B$3,$AY$4,0)</f>
        <v>-2.2130355837407262E-3</v>
      </c>
      <c r="BH20" s="1" cm="1">
        <f t="array" ref="BH20">OptionTheta("C",$AX20,$B$2,BH$5,$B$3,$AY$4,0)</f>
        <v>-2.4495749530291369E-3</v>
      </c>
      <c r="BI20" s="1" cm="1">
        <f t="array" ref="BI20">OptionTheta("C",$AX20,$B$2,BI$5,$B$3,$AY$4,0)</f>
        <v>-3.087985562656811E-3</v>
      </c>
      <c r="BJ20" s="1" cm="1">
        <f t="array" ref="BJ20">OptionTheta("C",$AX20,$B$2,BJ$5,$B$3,$AY$4,0)</f>
        <v>-2.8992429676763611E-3</v>
      </c>
      <c r="BK20" s="1" cm="1">
        <f t="array" ref="BK20">OptionTheta("C",$AX20,$B$2,BK$5,$B$3,$AY$4,0)</f>
        <v>-2.6277199398311449E-3</v>
      </c>
      <c r="BL20" s="1" cm="1">
        <f t="array" ref="BL20">OptionTheta("C",$AX20,$B$2,BL$5,$B$3,$AY$4,0)</f>
        <v>-2.3750472436481645E-3</v>
      </c>
      <c r="BU20" s="142"/>
      <c r="BV20" s="14">
        <v>130</v>
      </c>
      <c r="BW20" s="1" cm="1">
        <f t="array" ref="BW20">OptionGamma($BV20,$B$2,BW$5,$B$3,$BW$4,0)</f>
        <v>7.2972234478141014E-6</v>
      </c>
      <c r="BX20" s="1" cm="1">
        <f t="array" ref="BX20">OptionGamma($BV20,$B$2,BX$5,$B$3,$BW$4,0)</f>
        <v>3.8068919850193204E-4</v>
      </c>
      <c r="BY20" s="1" cm="1">
        <f t="array" ref="BY20">OptionGamma($BV20,$B$2,BY$5,$B$3,$BW$4,0)</f>
        <v>1.3026922814580184E-3</v>
      </c>
      <c r="BZ20" s="1" cm="1">
        <f t="array" ref="BZ20">OptionGamma($BV20,$B$2,BZ$5,$B$3,$BW$4,0)</f>
        <v>2.3082701661092638E-3</v>
      </c>
      <c r="CA20" s="1" cm="1">
        <f t="array" ref="CA20">OptionGamma($BV20,$B$2,CA$5,$B$3,$BW$4,0)</f>
        <v>3.1709157235184286E-3</v>
      </c>
      <c r="CB20" s="1" cm="1">
        <f t="array" ref="CB20">OptionGamma($BV20,$B$2,CB$5,$B$3,$BW$4,0)</f>
        <v>3.8518254155354282E-3</v>
      </c>
      <c r="CC20" s="1" cm="1">
        <f t="array" ref="CC20">OptionGamma($BV20,$B$2,CC$5,$B$3,$BW$4,0)</f>
        <v>4.3719665660242645E-3</v>
      </c>
      <c r="CD20" s="1" cm="1">
        <f t="array" ref="CD20">OptionGamma($BV20,$B$2,CD$5,$B$3,$BW$4,0)</f>
        <v>4.763448098667143E-3</v>
      </c>
      <c r="CE20" s="1" cm="1">
        <f t="array" ref="CE20">OptionGamma($BV20,$B$2,CE$5,$B$3,$BW$4,0)</f>
        <v>5.0554177985015734E-3</v>
      </c>
      <c r="CF20" s="1" cm="1">
        <f t="array" ref="CF20">OptionGamma($BV20,$B$2,CF$5,$B$3,$BW$4,0)</f>
        <v>5.2712072632879253E-3</v>
      </c>
      <c r="CG20" s="1" cm="1">
        <f t="array" ref="CG20">OptionGamma($BV20,$B$2,CG$5,$B$3,$BW$4,0)</f>
        <v>5.6669702285113378E-3</v>
      </c>
      <c r="CH20" s="1" cm="1">
        <f t="array" ref="CH20">OptionGamma($BV20,$B$2,CH$5,$B$3,$BW$4,0)</f>
        <v>5.2808038728821569E-3</v>
      </c>
      <c r="CI20" s="1" cm="1">
        <f t="array" ref="CI20">OptionGamma($BV20,$B$2,CI$5,$B$3,$BW$4,0)</f>
        <v>4.858308981287961E-3</v>
      </c>
      <c r="CJ20" s="1" cm="1">
        <f t="array" ref="CJ20">OptionGamma($BV20,$B$2,CJ$5,$B$3,$BW$4,0)</f>
        <v>4.4856819490140861E-3</v>
      </c>
      <c r="CS20" s="145"/>
      <c r="CT20" s="14">
        <v>130</v>
      </c>
      <c r="CU20" s="1" cm="1">
        <f t="array" ref="CU20">OptionVega($CT20,$B$2,CU$5,$B$3,$CU$4,0)</f>
        <v>2.4664615253611668E-5</v>
      </c>
      <c r="CV20" s="1" cm="1">
        <f t="array" ref="CV20">OptionVega($CT20,$B$2,CV$5,$B$3,$CU$4,0)</f>
        <v>2.573458981873061E-3</v>
      </c>
      <c r="CW20" s="1" cm="1">
        <f t="array" ref="CW20">OptionVega($CT20,$B$2,CW$5,$B$3,$CU$4,0)</f>
        <v>1.3209299733984308E-2</v>
      </c>
      <c r="CX20" s="1" cm="1">
        <f t="array" ref="CX20">OptionVega($CT20,$B$2,CX$5,$B$3,$CU$4,0)</f>
        <v>3.120781264579725E-2</v>
      </c>
      <c r="CY20" s="1" cm="1">
        <f t="array" ref="CY20">OptionVega($CT20,$B$2,CY$5,$B$3,$CU$4,0)</f>
        <v>5.3588475727461456E-2</v>
      </c>
      <c r="CZ20" s="1" cm="1">
        <f t="array" ref="CZ20">OptionVega($CT20,$B$2,CZ$5,$B$3,$CU$4,0)</f>
        <v>7.8115019427058494E-2</v>
      </c>
      <c r="DA20" s="1" cm="1">
        <f t="array" ref="DA20">OptionVega($CT20,$B$2,DA$5,$B$3,$CU$4,0)</f>
        <v>0.10344072895213412</v>
      </c>
      <c r="DB20" s="1" cm="1">
        <f t="array" ref="DB20">OptionVega($CT20,$B$2,DB$5,$B$3,$CU$4,0)</f>
        <v>0.12880363658795957</v>
      </c>
      <c r="DC20" s="1" cm="1">
        <f t="array" ref="DC20">OptionVega($CT20,$B$2,DC$5,$B$3,$CU$4,0)</f>
        <v>0.15378580943041786</v>
      </c>
      <c r="DD20" s="1" cm="1">
        <f t="array" ref="DD20">OptionVega($CT20,$B$2,DD$5,$B$3,$CU$4,0)</f>
        <v>0.17816680549913189</v>
      </c>
      <c r="DE20" s="1" cm="1">
        <f t="array" ref="DE20">OptionVega($CT20,$B$2,DE$5,$B$3,$CU$4,0)</f>
        <v>0.38308718744736653</v>
      </c>
      <c r="DF20" s="1" cm="1">
        <f t="array" ref="DF20">OptionVega($CT20,$B$2,DF$5,$B$3,$CU$4,0)</f>
        <v>0.53547351271025068</v>
      </c>
      <c r="DG20" s="1" cm="1">
        <f t="array" ref="DG20">OptionVega($CT20,$B$2,DG$5,$B$3,$CU$4,0)</f>
        <v>0.6568433742701324</v>
      </c>
      <c r="DH20" s="1" cm="1">
        <f t="array" ref="DH20">OptionVega($CT20,$B$2,DH$5,$B$3,$CU$4,0)</f>
        <v>0.7580802493833807</v>
      </c>
      <c r="DQ20" s="130"/>
      <c r="DR20" s="14">
        <v>130</v>
      </c>
      <c r="DS20" s="1" cm="1">
        <f t="array" ref="DS20">OptionRho("C",$DR20,$B$2,DS$5,$B$3,$DS$4,0)</f>
        <v>9.989825783141762E-2</v>
      </c>
      <c r="DT20" s="1" cm="1">
        <f t="array" ref="DT20">OptionRho("C",$DR20,$B$2,DT$5,$B$3,$DS$4,0)</f>
        <v>0.19924080062887661</v>
      </c>
      <c r="DU20" s="1" cm="1">
        <f t="array" ref="DU20">OptionRho("C",$DR20,$B$2,DU$5,$B$3,$DS$4,0)</f>
        <v>0.29642425234579128</v>
      </c>
      <c r="DV20" s="1" cm="1">
        <f t="array" ref="DV20">OptionRho("C",$DR20,$B$2,DV$5,$B$3,$DS$4,0)</f>
        <v>0.39021658405667159</v>
      </c>
      <c r="DW20" s="1" cm="1">
        <f t="array" ref="DW20">OptionRho("C",$DR20,$B$2,DW$5,$B$3,$DS$4,0)</f>
        <v>0.4803961669575153</v>
      </c>
      <c r="DX20" s="1" cm="1">
        <f t="array" ref="DX20">OptionRho("C",$DR20,$B$2,DX$5,$B$3,$DS$4,0)</f>
        <v>0.56719853041525747</v>
      </c>
      <c r="DY20" s="1" cm="1">
        <f t="array" ref="DY20">OptionRho("C",$DR20,$B$2,DY$5,$B$3,$DS$4,0)</f>
        <v>0.65098182663181059</v>
      </c>
      <c r="DZ20" s="1" cm="1">
        <f t="array" ref="DZ20">OptionRho("C",$DR20,$B$2,DZ$5,$B$3,$DS$4,0)</f>
        <v>0.73210216289147134</v>
      </c>
      <c r="EA20" s="1" cm="1">
        <f t="array" ref="EA20">OptionRho("C",$DR20,$B$2,EA$5,$B$3,$DS$4,0)</f>
        <v>0.81087590504535045</v>
      </c>
      <c r="EB20" s="1" cm="1">
        <f t="array" ref="EB20">OptionRho("C",$DR20,$B$2,EB$5,$B$3,$DS$4,0)</f>
        <v>0.88757319713568383</v>
      </c>
      <c r="EC20" s="1" cm="1">
        <f t="array" ref="EC20">OptionRho("C",$DR20,$B$2,EC$5,$B$3,$DS$4,0)</f>
        <v>1.5766424137341921</v>
      </c>
      <c r="ED20" s="1" cm="1">
        <f t="array" ref="ED20">OptionRho("C",$DR20,$B$2,ED$5,$B$3,$DS$4,0)</f>
        <v>2.1800640774968918</v>
      </c>
      <c r="EE20" s="1" cm="1">
        <f t="array" ref="EE20">OptionRho("C",$DR20,$B$2,EE$5,$B$3,$DS$4,0)</f>
        <v>2.7319626305478524</v>
      </c>
      <c r="EF20" s="1" cm="1">
        <f t="array" ref="EF20">OptionRho("C",$DR20,$B$2,EF$5,$B$3,$DS$4,0)</f>
        <v>3.2463412741759061</v>
      </c>
      <c r="EP20" s="130"/>
      <c r="EQ20" s="14">
        <v>130</v>
      </c>
      <c r="ER20" s="1" cm="1">
        <f t="array" ref="ER20">OptionRho("C",$EQ20,$B$2,ER$5,$D$3,$ER$4,0)</f>
        <v>9.5122898530148672E-2</v>
      </c>
      <c r="ES20" s="1" cm="1">
        <f t="array" ref="ES20">OptionRho("C",$EQ20,$B$2,ES$5,$D$3,$ER$4,0)</f>
        <v>0.18096191070300388</v>
      </c>
      <c r="ET20" s="1" cm="1">
        <f t="array" ref="ET20">OptionRho("C",$EQ20,$B$2,ET$5,$D$3,$ER$4,0)</f>
        <v>0.25818559017921422</v>
      </c>
      <c r="EU20" s="1" cm="1">
        <f t="array" ref="EU20">OptionRho("C",$EQ20,$B$2,EU$5,$D$3,$ER$4,0)</f>
        <v>0.32743858134157672</v>
      </c>
      <c r="EV20" s="1" cm="1">
        <f t="array" ref="EV20">OptionRho("C",$EQ20,$B$2,EV$5,$D$3,$ER$4,0)</f>
        <v>0.38932602595286564</v>
      </c>
      <c r="EW20" s="1" cm="1">
        <f t="array" ref="EW20">OptionRho("C",$EQ20,$B$2,EW$5,$D$3,$ER$4,0)</f>
        <v>0.4444061537134591</v>
      </c>
      <c r="EX20" s="1" cm="1">
        <f t="array" ref="EX20">OptionRho("C",$EQ20,$B$2,EX$5,$D$3,$ER$4,0)</f>
        <v>0.49319558240745154</v>
      </c>
      <c r="EY20" s="1" cm="1">
        <f t="array" ref="EY20">OptionRho("C",$EQ20,$B$2,EY$5,$D$3,$ER$4,0)</f>
        <v>0.53617497078850873</v>
      </c>
      <c r="EZ20" s="1" cm="1">
        <f t="array" ref="EZ20">OptionRho("C",$EQ20,$B$2,EZ$5,$D$3,$ER$4,0)</f>
        <v>0.57379286055298473</v>
      </c>
      <c r="FA20" s="1" cm="1">
        <f t="array" ref="FA20">OptionRho("C",$EQ20,$B$2,FA$5,$D$3,$ER$4,0)</f>
        <v>0.60646825582611663</v>
      </c>
      <c r="FB20" s="1" cm="1">
        <f t="array" ref="FB20">OptionRho("C",$EQ20,$B$2,FB$5,$D$3,$ER$4,0)</f>
        <v>0.73575318667206602</v>
      </c>
      <c r="FC20" s="1" cm="1">
        <f t="array" ref="FC20">OptionRho("C",$EQ20,$B$2,FC$5,$D$3,$ER$4,0)</f>
        <v>0.66939018223461655</v>
      </c>
      <c r="FD20" s="1" cm="1">
        <f t="array" ref="FD20">OptionRho("C",$EQ20,$B$2,FD$5,$D$3,$ER$4,0)</f>
        <v>0.54134111975870769</v>
      </c>
      <c r="FE20" s="1" cm="1">
        <f t="array" ref="FE20">OptionRho("C",$EQ20,$B$2,FE$5,$D$3,$ER$4,0)</f>
        <v>0.41042499257997911</v>
      </c>
    </row>
    <row r="21" spans="1:161" x14ac:dyDescent="0.2">
      <c r="A21" s="133"/>
      <c r="B21" s="15">
        <v>135</v>
      </c>
      <c r="C21" s="3" cm="1">
        <f t="array" ref="C21">OptionPrice("C",$B21,$B$2,C$5,$B$3,$C$4,0)</f>
        <v>35.099951393809917</v>
      </c>
      <c r="D21" s="3" cm="1">
        <f t="array" ref="D21">OptionPrice("C",$B21,$B$2,D$5,$B$3,$C$4,0)</f>
        <v>35.20078048387073</v>
      </c>
      <c r="E21" s="3" cm="1">
        <f t="array" ref="E21">OptionPrice("C",$B21,$B$2,E$5,$B$3,$C$4,0)</f>
        <v>35.31033895908763</v>
      </c>
      <c r="F21" s="3" cm="1">
        <f t="array" ref="F21">OptionPrice("C",$B21,$B$2,F$5,$B$3,$C$4,0)</f>
        <v>35.438541362674115</v>
      </c>
      <c r="G21" s="3" cm="1">
        <f t="array" ref="G21">OptionPrice("C",$B21,$B$2,G$5,$B$3,$C$4,0)</f>
        <v>35.588920775371363</v>
      </c>
      <c r="H21" s="3" cm="1">
        <f t="array" ref="H21">OptionPrice("C",$B21,$B$2,H$5,$B$3,$C$4,0)</f>
        <v>35.760323683939575</v>
      </c>
      <c r="I21" s="3" cm="1">
        <f t="array" ref="I21">OptionPrice("C",$B21,$B$2,I$5,$B$3,$C$4,0)</f>
        <v>35.949815583401403</v>
      </c>
      <c r="J21" s="3" cm="1">
        <f t="array" ref="J21">OptionPrice("C",$B21,$B$2,J$5,$B$3,$C$4,0)</f>
        <v>36.154171030681326</v>
      </c>
      <c r="K21" s="3" cm="1">
        <f t="array" ref="K21">OptionPrice("C",$B21,$B$2,K$5,$B$3,$C$4,0)</f>
        <v>36.370444839775416</v>
      </c>
      <c r="L21" s="3" cm="1">
        <f t="array" ref="L21">OptionPrice("C",$B21,$B$2,L$5,$B$3,$C$4,0)</f>
        <v>36.596131943215326</v>
      </c>
      <c r="M21" s="3" cm="1">
        <f t="array" ref="M21">OptionPrice("C",$B21,$B$2,M$5,$B$3,$C$4,0)</f>
        <v>39.062379588186559</v>
      </c>
      <c r="N21" s="3" cm="1">
        <f t="array" ref="N21">OptionPrice("C",$B21,$B$2,N$5,$B$3,$C$4,0)</f>
        <v>41.532147062540659</v>
      </c>
      <c r="O21" s="3" cm="1">
        <f t="array" ref="O21">OptionPrice("C",$B21,$B$2,O$5,$B$3,$C$4,0)</f>
        <v>43.868665917220454</v>
      </c>
      <c r="P21" s="4" cm="1">
        <f t="array" ref="P21">OptionPrice("C",$B21,$B$2,P$5,$B$3,$C$4,0)</f>
        <v>46.064040815200016</v>
      </c>
      <c r="Y21" s="136"/>
      <c r="Z21" s="15">
        <v>135</v>
      </c>
      <c r="AA21" s="1" cm="1">
        <f t="array" ref="AA21">OptionDelta("C",$Z21,$B$2,AA$5,$B$3,$AA$4,0)</f>
        <v>0.99999917643923686</v>
      </c>
      <c r="AB21" s="1" cm="1">
        <f t="array" ref="AB21">OptionDelta("C",$Z21,$B$2,AB$5,$B$3,$AA$4,0)</f>
        <v>0.99968959215435294</v>
      </c>
      <c r="AC21" s="1" cm="1">
        <f t="array" ref="AC21">OptionDelta("C",$Z21,$B$2,AC$5,$B$3,$AA$4,0)</f>
        <v>0.99761170131759624</v>
      </c>
      <c r="AD21" s="1" cm="1">
        <f t="array" ref="AD21">OptionDelta("C",$Z21,$B$2,AD$5,$B$3,$AA$4,0)</f>
        <v>0.99319515409537595</v>
      </c>
      <c r="AE21" s="1" cm="1">
        <f t="array" ref="AE21">OptionDelta("C",$Z21,$B$2,AE$5,$B$3,$AA$4,0)</f>
        <v>0.987063941065492</v>
      </c>
      <c r="AF21" s="1" cm="1">
        <f t="array" ref="AF21">OptionDelta("C",$Z21,$B$2,AF$5,$B$3,$AA$4,0)</f>
        <v>0.97998098357938546</v>
      </c>
      <c r="AG21" s="1" cm="1">
        <f t="array" ref="AG21">OptionDelta("C",$Z21,$B$2,AG$5,$B$3,$AA$4,0)</f>
        <v>0.97250574341060869</v>
      </c>
      <c r="AH21" s="1" cm="1">
        <f t="array" ref="AH21">OptionDelta("C",$Z21,$B$2,AH$5,$B$3,$AA$4,0)</f>
        <v>0.9649914282191755</v>
      </c>
      <c r="AI21" s="1" cm="1">
        <f t="array" ref="AI21">OptionDelta("C",$Z21,$B$2,AI$5,$B$3,$AA$4,0)</f>
        <v>0.95764540824748623</v>
      </c>
      <c r="AJ21" s="1" cm="1">
        <f t="array" ref="AJ21">OptionDelta("C",$Z21,$B$2,AJ$5,$B$3,$AA$4,0)</f>
        <v>0.95058198959185258</v>
      </c>
      <c r="AK21" s="1" cm="1">
        <f t="array" ref="AK21">OptionDelta("C",$Z21,$B$2,AK$5,$B$3,$AA$4,0)</f>
        <v>0.89851971842195577</v>
      </c>
      <c r="AL21" s="1" cm="1">
        <f t="array" ref="AL21">OptionDelta("C",$Z21,$B$2,AL$5,$B$3,$AA$4,0)</f>
        <v>0.86994580030636615</v>
      </c>
      <c r="AM21" s="1" cm="1">
        <f t="array" ref="AM21">OptionDelta("C",$Z21,$B$2,AM$5,$B$3,$AA$4,0)</f>
        <v>0.85320104521339801</v>
      </c>
      <c r="AN21" s="1" cm="1">
        <f t="array" ref="AN21">OptionDelta("C",$Z21,$B$2,AN$5,$B$3,$AA$4,0)</f>
        <v>0.8429039016580514</v>
      </c>
      <c r="AW21" s="139"/>
      <c r="AX21" s="15">
        <v>135</v>
      </c>
      <c r="AY21" s="1" cm="1">
        <f t="array" ref="AY21">OptionTheta("C",$AX21,$B$2,AY$5,$B$3,$AY$4,0)</f>
        <v>2.7365043100401076E-3</v>
      </c>
      <c r="AZ21" s="1" cm="1">
        <f t="array" ref="AZ21">OptionTheta("C",$AX21,$B$2,AZ$5,$B$3,$AY$4,0)</f>
        <v>2.6386496439523587E-3</v>
      </c>
      <c r="BA21" s="1" cm="1">
        <f t="array" ref="BA21">OptionTheta("C",$AX21,$B$2,BA$5,$B$3,$AY$4,0)</f>
        <v>2.2195451185361131E-3</v>
      </c>
      <c r="BB21" s="1" cm="1">
        <f t="array" ref="BB21">OptionTheta("C",$AX21,$B$2,BB$5,$B$3,$AY$4,0)</f>
        <v>1.5910380363446787E-3</v>
      </c>
      <c r="BC21" s="1" cm="1">
        <f t="array" ref="BC21">OptionTheta("C",$AX21,$B$2,BC$5,$B$3,$AY$4,0)</f>
        <v>9.3221853123520303E-4</v>
      </c>
      <c r="BD21" s="1" cm="1">
        <f t="array" ref="BD21">OptionTheta("C",$AX21,$B$2,BD$5,$B$3,$AY$4,0)</f>
        <v>3.3106475916117235E-4</v>
      </c>
      <c r="BE21" s="1" cm="1">
        <f t="array" ref="BE21">OptionTheta("C",$AX21,$B$2,BE$5,$B$3,$AY$4,0)</f>
        <v>-1.8549651813691944E-4</v>
      </c>
      <c r="BF21" s="1" cm="1">
        <f t="array" ref="BF21">OptionTheta("C",$AX21,$B$2,BF$5,$B$3,$AY$4,0)</f>
        <v>-6.1728826891839148E-4</v>
      </c>
      <c r="BG21" s="1" cm="1">
        <f t="array" ref="BG21">OptionTheta("C",$AX21,$B$2,BG$5,$B$3,$AY$4,0)</f>
        <v>-9.7360555662338584E-4</v>
      </c>
      <c r="BH21" s="1" cm="1">
        <f t="array" ref="BH21">OptionTheta("C",$AX21,$B$2,BH$5,$B$3,$AY$4,0)</f>
        <v>-1.2659209803035885E-3</v>
      </c>
      <c r="BI21" s="1" cm="1">
        <f t="array" ref="BI21">OptionTheta("C",$AX21,$B$2,BI$5,$B$3,$AY$4,0)</f>
        <v>-2.3862159175865325E-3</v>
      </c>
      <c r="BJ21" s="1" cm="1">
        <f t="array" ref="BJ21">OptionTheta("C",$AX21,$B$2,BJ$5,$B$3,$AY$4,0)</f>
        <v>-2.4389078675605622E-3</v>
      </c>
      <c r="BK21" s="1" cm="1">
        <f t="array" ref="BK21">OptionTheta("C",$AX21,$B$2,BK$5,$B$3,$AY$4,0)</f>
        <v>-2.2962840402778527E-3</v>
      </c>
      <c r="BL21" s="1" cm="1">
        <f t="array" ref="BL21">OptionTheta("C",$AX21,$B$2,BL$5,$B$3,$AY$4,0)</f>
        <v>-2.1209495807714023E-3</v>
      </c>
      <c r="BU21" s="142"/>
      <c r="BV21" s="15">
        <v>135</v>
      </c>
      <c r="BW21" s="1" cm="1">
        <f t="array" ref="BW21">OptionGamma($BV21,$B$2,BW$5,$B$3,$BW$4,0)</f>
        <v>4.8093577566927407E-7</v>
      </c>
      <c r="BX21" s="1" cm="1">
        <f t="array" ref="BX21">OptionGamma($BV21,$B$2,BX$5,$B$3,$BW$4,0)</f>
        <v>9.4556994587265296E-5</v>
      </c>
      <c r="BY21" s="1" cm="1">
        <f t="array" ref="BY21">OptionGamma($BV21,$B$2,BY$5,$B$3,$BW$4,0)</f>
        <v>5.0353481185787989E-4</v>
      </c>
      <c r="BZ21" s="1" cm="1">
        <f t="array" ref="BZ21">OptionGamma($BV21,$B$2,BZ$5,$B$3,$BW$4,0)</f>
        <v>1.1130292486590083E-3</v>
      </c>
      <c r="CA21" s="1" cm="1">
        <f t="array" ref="CA21">OptionGamma($BV21,$B$2,CA$5,$B$3,$BW$4,0)</f>
        <v>1.7459186523562447E-3</v>
      </c>
      <c r="CB21" s="1" cm="1">
        <f t="array" ref="CB21">OptionGamma($BV21,$B$2,CB$5,$B$3,$BW$4,0)</f>
        <v>2.3169614647433373E-3</v>
      </c>
      <c r="CC21" s="1" cm="1">
        <f t="array" ref="CC21">OptionGamma($BV21,$B$2,CC$5,$B$3,$BW$4,0)</f>
        <v>2.8013465758306814E-3</v>
      </c>
      <c r="CD21" s="1" cm="1">
        <f t="array" ref="CD21">OptionGamma($BV21,$B$2,CD$5,$B$3,$BW$4,0)</f>
        <v>3.2002933770762325E-3</v>
      </c>
      <c r="CE21" s="1" cm="1">
        <f t="array" ref="CE21">OptionGamma($BV21,$B$2,CE$5,$B$3,$BW$4,0)</f>
        <v>3.5239585209983202E-3</v>
      </c>
      <c r="CF21" s="1" cm="1">
        <f t="array" ref="CF21">OptionGamma($BV21,$B$2,CF$5,$B$3,$BW$4,0)</f>
        <v>3.7843224261389784E-3</v>
      </c>
      <c r="CG21" s="1" cm="1">
        <f t="array" ref="CG21">OptionGamma($BV21,$B$2,CG$5,$B$3,$BW$4,0)</f>
        <v>4.6456697775222452E-3</v>
      </c>
      <c r="CH21" s="1" cm="1">
        <f t="array" ref="CH21">OptionGamma($BV21,$B$2,CH$5,$B$3,$BW$4,0)</f>
        <v>4.5248469998567693E-3</v>
      </c>
      <c r="CI21" s="1" cm="1">
        <f t="array" ref="CI21">OptionGamma($BV21,$B$2,CI$5,$B$3,$BW$4,0)</f>
        <v>4.2559078918170063E-3</v>
      </c>
      <c r="CJ21" s="1" cm="1">
        <f t="array" ref="CJ21">OptionGamma($BV21,$B$2,CJ$5,$B$3,$BW$4,0)</f>
        <v>3.9819655859202495E-3</v>
      </c>
      <c r="CS21" s="145"/>
      <c r="CT21" s="15">
        <v>135</v>
      </c>
      <c r="CU21" s="1" cm="1">
        <f t="array" ref="CU21">OptionVega($CT21,$B$2,CU$5,$B$3,$CU$4,0)</f>
        <v>1.7530109023145043E-6</v>
      </c>
      <c r="CV21" s="1" cm="1">
        <f t="array" ref="CV21">OptionVega($CT21,$B$2,CV$5,$B$3,$CU$4,0)</f>
        <v>6.89320490541164E-4</v>
      </c>
      <c r="CW21" s="1" cm="1">
        <f t="array" ref="CW21">OptionVega($CT21,$B$2,CW$5,$B$3,$CU$4,0)</f>
        <v>5.5061531676659165E-3</v>
      </c>
      <c r="CX21" s="1" cm="1">
        <f t="array" ref="CX21">OptionVega($CT21,$B$2,CX$5,$B$3,$CU$4,0)</f>
        <v>1.6227966445448345E-2</v>
      </c>
      <c r="CY21" s="1" cm="1">
        <f t="array" ref="CY21">OptionVega($CT21,$B$2,CY$5,$B$3,$CU$4,0)</f>
        <v>3.1819367439192572E-2</v>
      </c>
      <c r="CZ21" s="1" cm="1">
        <f t="array" ref="CZ21">OptionVega($CT21,$B$2,CZ$5,$B$3,$CU$4,0)</f>
        <v>5.0671947233936809E-2</v>
      </c>
      <c r="DA21" s="1" cm="1">
        <f t="array" ref="DA21">OptionVega($CT21,$B$2,DA$5,$B$3,$CU$4,0)</f>
        <v>7.147635788231986E-2</v>
      </c>
      <c r="DB21" s="1" cm="1">
        <f t="array" ref="DB21">OptionVega($CT21,$B$2,DB$5,$B$3,$CU$4,0)</f>
        <v>9.3320554875542944E-2</v>
      </c>
      <c r="DC21" s="1" cm="1">
        <f t="array" ref="DC21">OptionVega($CT21,$B$2,DC$5,$B$3,$CU$4,0)</f>
        <v>0.11560345928134991</v>
      </c>
      <c r="DD21" s="1" cm="1">
        <f t="array" ref="DD21">OptionVega($CT21,$B$2,DD$5,$B$3,$CU$4,0)</f>
        <v>0.13793855243276579</v>
      </c>
      <c r="DE21" s="1" cm="1">
        <f t="array" ref="DE21">OptionVega($CT21,$B$2,DE$5,$B$3,$CU$4,0)</f>
        <v>0.33866932678137185</v>
      </c>
      <c r="DF21" s="1" cm="1">
        <f t="array" ref="DF21">OptionVega($CT21,$B$2,DF$5,$B$3,$CU$4,0)</f>
        <v>0.49479201943433782</v>
      </c>
      <c r="DG21" s="1" cm="1">
        <f t="array" ref="DG21">OptionVega($CT21,$B$2,DG$5,$B$3,$CU$4,0)</f>
        <v>0.62051137062691963</v>
      </c>
      <c r="DH21" s="1" cm="1">
        <f t="array" ref="DH21">OptionVega($CT21,$B$2,DH$5,$B$3,$CU$4,0)</f>
        <v>0.72571322803396565</v>
      </c>
      <c r="DQ21" s="130"/>
      <c r="DR21" s="15">
        <v>135</v>
      </c>
      <c r="DS21" s="1" cm="1">
        <f t="array" ref="DS21">OptionRho("C",$DR21,$B$2,DS$5,$B$3,$DS$4,0)</f>
        <v>9.9899937425487084E-2</v>
      </c>
      <c r="DT21" s="1" cm="1">
        <f t="array" ref="DT21">OptionRho("C",$DR21,$B$2,DT$5,$B$3,$DS$4,0)</f>
        <v>0.19951462891393384</v>
      </c>
      <c r="DU21" s="1" cm="1">
        <f t="array" ref="DU21">OptionRho("C",$DR21,$B$2,DU$5,$B$3,$DS$4,0)</f>
        <v>0.29810172215636355</v>
      </c>
      <c r="DV21" s="1" cm="1">
        <f t="array" ref="DV21">OptionRho("C",$DR21,$B$2,DV$5,$B$3,$DS$4,0)</f>
        <v>0.39457121776080656</v>
      </c>
      <c r="DW21" s="1" cm="1">
        <f t="array" ref="DW21">OptionRho("C",$DR21,$B$2,DW$5,$B$3,$DS$4,0)</f>
        <v>0.4883235563423502</v>
      </c>
      <c r="DX21" s="1" cm="1">
        <f t="array" ref="DX21">OptionRho("C",$DR21,$B$2,DX$5,$B$3,$DS$4,0)</f>
        <v>0.57922265459566469</v>
      </c>
      <c r="DY21" s="1" cm="1">
        <f t="array" ref="DY21">OptionRho("C",$DR21,$B$2,DY$5,$B$3,$DS$4,0)</f>
        <v>0.66736921843921537</v>
      </c>
      <c r="DZ21" s="1" cm="1">
        <f t="array" ref="DZ21">OptionRho("C",$DR21,$B$2,DZ$5,$B$3,$DS$4,0)</f>
        <v>0.75295737423125908</v>
      </c>
      <c r="EA21" s="1" cm="1">
        <f t="array" ref="EA21">OptionRho("C",$DR21,$B$2,EA$5,$B$3,$DS$4,0)</f>
        <v>0.83620516746271689</v>
      </c>
      <c r="EB21" s="1" cm="1">
        <f t="array" ref="EB21">OptionRho("C",$DR21,$B$2,EB$5,$B$3,$DS$4,0)</f>
        <v>0.91732436651684779</v>
      </c>
      <c r="EC21" s="1" cm="1">
        <f t="array" ref="EC21">OptionRho("C",$DR21,$B$2,EC$5,$B$3,$DS$4,0)</f>
        <v>1.6447556479755494</v>
      </c>
      <c r="ED21" s="1" cm="1">
        <f t="array" ref="ED21">OptionRho("C",$DR21,$B$2,ED$5,$B$3,$DS$4,0)</f>
        <v>2.2773160793645628</v>
      </c>
      <c r="EE21" s="1" cm="1">
        <f t="array" ref="EE21">OptionRho("C",$DR21,$B$2,EE$5,$B$3,$DS$4,0)</f>
        <v>2.8525390074635313</v>
      </c>
      <c r="EF21" s="1" cm="1">
        <f t="array" ref="EF21">OptionRho("C",$DR21,$B$2,EF$5,$B$3,$DS$4,0)</f>
        <v>3.3863992954318465</v>
      </c>
      <c r="EP21" s="130"/>
      <c r="EQ21" s="15">
        <v>135</v>
      </c>
      <c r="ER21" s="1" cm="1">
        <f t="array" ref="ER21">OptionRho("C",$EQ21,$B$2,ER$5,$D$3,$ER$4,0)</f>
        <v>9.512294068442799E-2</v>
      </c>
      <c r="ES21" s="1" cm="1">
        <f t="array" ref="ES21">OptionRho("C",$EQ21,$B$2,ES$5,$D$3,$ER$4,0)</f>
        <v>0.18096662533463384</v>
      </c>
      <c r="ET21" s="1" cm="1">
        <f t="array" ref="ET21">OptionRho("C",$EQ21,$B$2,ET$5,$D$3,$ER$4,0)</f>
        <v>0.25820589535925215</v>
      </c>
      <c r="EU21" s="1" cm="1">
        <f t="array" ref="EU21">OptionRho("C",$EQ21,$B$2,EU$5,$D$3,$ER$4,0)</f>
        <v>0.32747591557934391</v>
      </c>
      <c r="EV21" s="1" cm="1">
        <f t="array" ref="EV21">OptionRho("C",$EQ21,$B$2,EV$5,$D$3,$ER$4,0)</f>
        <v>0.38937431520873789</v>
      </c>
      <c r="EW21" s="1" cm="1">
        <f t="array" ref="EW21">OptionRho("C",$EQ21,$B$2,EW$5,$D$3,$ER$4,0)</f>
        <v>0.44445827751046091</v>
      </c>
      <c r="EX21" s="1" cm="1">
        <f t="array" ref="EX21">OptionRho("C",$EQ21,$B$2,EX$5,$D$3,$ER$4,0)</f>
        <v>0.49324618337463338</v>
      </c>
      <c r="EY21" s="1" cm="1">
        <f t="array" ref="EY21">OptionRho("C",$EQ21,$B$2,EY$5,$D$3,$ER$4,0)</f>
        <v>0.53622086783101131</v>
      </c>
      <c r="EZ21" s="1" cm="1">
        <f t="array" ref="EZ21">OptionRho("C",$EQ21,$B$2,EZ$5,$D$3,$ER$4,0)</f>
        <v>0.57383260574334916</v>
      </c>
      <c r="FA21" s="1" cm="1">
        <f t="array" ref="FA21">OptionRho("C",$EQ21,$B$2,FA$5,$D$3,$ER$4,0)</f>
        <v>0.60650155075320256</v>
      </c>
      <c r="FB21" s="1" cm="1">
        <f t="array" ref="FB21">OptionRho("C",$EQ21,$B$2,FB$5,$D$3,$ER$4,0)</f>
        <v>0.73575579813414582</v>
      </c>
      <c r="FC21" s="1" cm="1">
        <f t="array" ref="FC21">OptionRho("C",$EQ21,$B$2,FC$5,$D$3,$ER$4,0)</f>
        <v>0.66939031040492825</v>
      </c>
      <c r="FD21" s="1" cm="1">
        <f t="array" ref="FD21">OptionRho("C",$EQ21,$B$2,FD$5,$D$3,$ER$4,0)</f>
        <v>0.54134112522577216</v>
      </c>
      <c r="FE21" s="1" cm="1">
        <f t="array" ref="FE21">OptionRho("C",$EQ21,$B$2,FE$5,$D$3,$ER$4,0)</f>
        <v>0.41042499279852862</v>
      </c>
    </row>
    <row r="22" spans="1:161" x14ac:dyDescent="0.2">
      <c r="A22" s="133"/>
      <c r="B22" s="6" t="s">
        <v>2</v>
      </c>
      <c r="C22" s="9">
        <v>0.3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8"/>
      <c r="Y22" s="136"/>
      <c r="Z22" s="18" t="s">
        <v>2</v>
      </c>
      <c r="AA22" s="21">
        <v>0.3</v>
      </c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20"/>
      <c r="AW22" s="139"/>
      <c r="AX22" s="22" t="s">
        <v>2</v>
      </c>
      <c r="AY22" s="25">
        <v>0.3</v>
      </c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4"/>
      <c r="BU22" s="142"/>
      <c r="BV22" s="26" t="s">
        <v>2</v>
      </c>
      <c r="BW22" s="29">
        <v>0.3</v>
      </c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8"/>
      <c r="CS22" s="145"/>
      <c r="CT22" s="30" t="s">
        <v>2</v>
      </c>
      <c r="CU22" s="33">
        <v>0.3</v>
      </c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2"/>
      <c r="DQ22" s="130"/>
      <c r="DR22" s="34" t="s">
        <v>2</v>
      </c>
      <c r="DS22" s="37">
        <v>0.3</v>
      </c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6"/>
      <c r="EP22" s="130"/>
      <c r="EQ22" s="34" t="s">
        <v>2</v>
      </c>
      <c r="ER22" s="37">
        <v>0.3</v>
      </c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6"/>
    </row>
    <row r="23" spans="1:161" x14ac:dyDescent="0.2">
      <c r="A23" s="133"/>
      <c r="C23" s="10">
        <v>0.1</v>
      </c>
      <c r="D23" s="11">
        <v>0.2</v>
      </c>
      <c r="E23" s="11">
        <v>0.3</v>
      </c>
      <c r="F23" s="11">
        <v>0.4</v>
      </c>
      <c r="G23" s="11">
        <v>0.5</v>
      </c>
      <c r="H23" s="11">
        <v>0.6</v>
      </c>
      <c r="I23" s="11">
        <v>0.7</v>
      </c>
      <c r="J23" s="11">
        <v>0.8</v>
      </c>
      <c r="K23" s="11">
        <v>0.9</v>
      </c>
      <c r="L23" s="11">
        <v>1</v>
      </c>
      <c r="M23" s="11">
        <v>2</v>
      </c>
      <c r="N23" s="11">
        <v>3</v>
      </c>
      <c r="O23" s="11">
        <v>4</v>
      </c>
      <c r="P23" s="12">
        <v>5</v>
      </c>
      <c r="Y23" s="136"/>
      <c r="AA23" s="10">
        <v>0.1</v>
      </c>
      <c r="AB23" s="11">
        <v>0.2</v>
      </c>
      <c r="AC23" s="11">
        <v>0.3</v>
      </c>
      <c r="AD23" s="11">
        <v>0.4</v>
      </c>
      <c r="AE23" s="11">
        <v>0.5</v>
      </c>
      <c r="AF23" s="11">
        <v>0.6</v>
      </c>
      <c r="AG23" s="11">
        <v>0.7</v>
      </c>
      <c r="AH23" s="11">
        <v>0.8</v>
      </c>
      <c r="AI23" s="11">
        <v>0.9</v>
      </c>
      <c r="AJ23" s="11">
        <v>1</v>
      </c>
      <c r="AK23" s="11">
        <v>2</v>
      </c>
      <c r="AL23" s="11">
        <v>3</v>
      </c>
      <c r="AM23" s="11">
        <v>4</v>
      </c>
      <c r="AN23" s="12">
        <v>5</v>
      </c>
      <c r="AW23" s="139"/>
      <c r="AY23" s="10">
        <v>0.1</v>
      </c>
      <c r="AZ23" s="11">
        <v>0.2</v>
      </c>
      <c r="BA23" s="11">
        <v>0.3</v>
      </c>
      <c r="BB23" s="11">
        <v>0.4</v>
      </c>
      <c r="BC23" s="11">
        <v>0.5</v>
      </c>
      <c r="BD23" s="11">
        <v>0.6</v>
      </c>
      <c r="BE23" s="11">
        <v>0.7</v>
      </c>
      <c r="BF23" s="11">
        <v>0.8</v>
      </c>
      <c r="BG23" s="11">
        <v>0.9</v>
      </c>
      <c r="BH23" s="11">
        <v>1</v>
      </c>
      <c r="BI23" s="11">
        <v>2</v>
      </c>
      <c r="BJ23" s="11">
        <v>3</v>
      </c>
      <c r="BK23" s="11">
        <v>4</v>
      </c>
      <c r="BL23" s="12">
        <v>5</v>
      </c>
      <c r="BU23" s="142"/>
      <c r="BW23" s="10">
        <v>0.1</v>
      </c>
      <c r="BX23" s="11">
        <v>0.2</v>
      </c>
      <c r="BY23" s="11">
        <v>0.3</v>
      </c>
      <c r="BZ23" s="11">
        <v>0.4</v>
      </c>
      <c r="CA23" s="11">
        <v>0.5</v>
      </c>
      <c r="CB23" s="11">
        <v>0.6</v>
      </c>
      <c r="CC23" s="11">
        <v>0.7</v>
      </c>
      <c r="CD23" s="11">
        <v>0.8</v>
      </c>
      <c r="CE23" s="11">
        <v>0.9</v>
      </c>
      <c r="CF23" s="11">
        <v>1</v>
      </c>
      <c r="CG23" s="11">
        <v>2</v>
      </c>
      <c r="CH23" s="11">
        <v>3</v>
      </c>
      <c r="CI23" s="11">
        <v>4</v>
      </c>
      <c r="CJ23" s="12">
        <v>5</v>
      </c>
      <c r="CS23" s="145"/>
      <c r="CU23" s="10">
        <v>0.1</v>
      </c>
      <c r="CV23" s="11">
        <v>0.2</v>
      </c>
      <c r="CW23" s="11">
        <v>0.3</v>
      </c>
      <c r="CX23" s="11">
        <v>0.4</v>
      </c>
      <c r="CY23" s="11">
        <v>0.5</v>
      </c>
      <c r="CZ23" s="11">
        <v>0.6</v>
      </c>
      <c r="DA23" s="11">
        <v>0.7</v>
      </c>
      <c r="DB23" s="11">
        <v>0.8</v>
      </c>
      <c r="DC23" s="11">
        <v>0.9</v>
      </c>
      <c r="DD23" s="11">
        <v>1</v>
      </c>
      <c r="DE23" s="11">
        <v>2</v>
      </c>
      <c r="DF23" s="11">
        <v>3</v>
      </c>
      <c r="DG23" s="11">
        <v>4</v>
      </c>
      <c r="DH23" s="12">
        <v>5</v>
      </c>
      <c r="DQ23" s="130"/>
      <c r="DS23" s="10">
        <v>0.1</v>
      </c>
      <c r="DT23" s="11">
        <v>0.2</v>
      </c>
      <c r="DU23" s="11">
        <v>0.3</v>
      </c>
      <c r="DV23" s="11">
        <v>0.4</v>
      </c>
      <c r="DW23" s="11">
        <v>0.5</v>
      </c>
      <c r="DX23" s="11">
        <v>0.6</v>
      </c>
      <c r="DY23" s="11">
        <v>0.7</v>
      </c>
      <c r="DZ23" s="11">
        <v>0.8</v>
      </c>
      <c r="EA23" s="11">
        <v>0.9</v>
      </c>
      <c r="EB23" s="11">
        <v>1</v>
      </c>
      <c r="EC23" s="11">
        <v>2</v>
      </c>
      <c r="ED23" s="11">
        <v>3</v>
      </c>
      <c r="EE23" s="11">
        <v>4</v>
      </c>
      <c r="EF23" s="12">
        <v>5</v>
      </c>
      <c r="EP23" s="130"/>
      <c r="ER23" s="10">
        <v>0.1</v>
      </c>
      <c r="ES23" s="11">
        <v>0.2</v>
      </c>
      <c r="ET23" s="11">
        <v>0.3</v>
      </c>
      <c r="EU23" s="11">
        <v>0.4</v>
      </c>
      <c r="EV23" s="11">
        <v>0.5</v>
      </c>
      <c r="EW23" s="11">
        <v>0.6</v>
      </c>
      <c r="EX23" s="11">
        <v>0.7</v>
      </c>
      <c r="EY23" s="11">
        <v>0.8</v>
      </c>
      <c r="EZ23" s="11">
        <v>0.9</v>
      </c>
      <c r="FA23" s="11">
        <v>1</v>
      </c>
      <c r="FB23" s="11">
        <v>2</v>
      </c>
      <c r="FC23" s="11">
        <v>3</v>
      </c>
      <c r="FD23" s="11">
        <v>4</v>
      </c>
      <c r="FE23" s="12">
        <v>5</v>
      </c>
    </row>
    <row r="24" spans="1:161" x14ac:dyDescent="0.2">
      <c r="A24" s="133"/>
      <c r="B24" s="13">
        <v>60</v>
      </c>
      <c r="C24" s="1" cm="1">
        <f t="array" ref="C24">OptionPrice("C",$B24,$B$2,C$23,$B$3,$C$22,0)</f>
        <v>4.9426514593253982E-8</v>
      </c>
      <c r="D24" s="1" cm="1">
        <f t="array" ref="D24">OptionPrice("C",$B24,$B$2,D$23,$B$3,$C$22,0)</f>
        <v>1.8204658076036162E-4</v>
      </c>
      <c r="E24" s="1" cm="1">
        <f t="array" ref="E24">OptionPrice("C",$B24,$B$2,E$23,$B$3,$C$22,0)</f>
        <v>3.5044680915570087E-3</v>
      </c>
      <c r="F24" s="1" cm="1">
        <f t="array" ref="F24">OptionPrice("C",$B24,$B$2,F$23,$B$3,$C$22,0)</f>
        <v>1.7013676964837188E-2</v>
      </c>
      <c r="G24" s="1" cm="1">
        <f t="array" ref="G24">OptionPrice("C",$B24,$B$2,G$23,$B$3,$C$22,0)</f>
        <v>4.6503549885821505E-2</v>
      </c>
      <c r="H24" s="1" cm="1">
        <f t="array" ref="H24">OptionPrice("C",$B24,$B$2,H$23,$B$3,$C$22,0)</f>
        <v>9.4317305256830464E-2</v>
      </c>
      <c r="I24" s="1" cm="1">
        <f t="array" ref="I24">OptionPrice("C",$B24,$B$2,I$23,$B$3,$C$22,0)</f>
        <v>0.16031948325424228</v>
      </c>
      <c r="J24" s="1" cm="1">
        <f t="array" ref="J24">OptionPrice("C",$B24,$B$2,J$23,$B$3,$C$22,0)</f>
        <v>0.24312118668361693</v>
      </c>
      <c r="K24" s="1" cm="1">
        <f t="array" ref="K24">OptionPrice("C",$B24,$B$2,K$23,$B$3,$C$22,0)</f>
        <v>0.34085663597582139</v>
      </c>
      <c r="L24" s="1" cm="1">
        <f t="array" ref="L24">OptionPrice("C",$B24,$B$2,L$23,$B$3,$C$22,0)</f>
        <v>0.45158758324258441</v>
      </c>
      <c r="M24" s="1" cm="1">
        <f t="array" ref="M24">OptionPrice("C",$B24,$B$2,M$23,$B$3,$C$22,0)</f>
        <v>1.9631481246139586</v>
      </c>
      <c r="N24" s="1" cm="1">
        <f t="array" ref="N24">OptionPrice("C",$B24,$B$2,N$23,$B$3,$C$22,0)</f>
        <v>3.7220292064363303</v>
      </c>
      <c r="O24" s="1" cm="1">
        <f t="array" ref="O24">OptionPrice("C",$B24,$B$2,O$23,$B$3,$C$22,0)</f>
        <v>5.4790813399885288</v>
      </c>
      <c r="P24" s="1" cm="1">
        <f t="array" ref="P24">OptionPrice("C",$B24,$B$2,P$23,$B$3,$C$22,0)</f>
        <v>7.1726583122430654</v>
      </c>
      <c r="Y24" s="136"/>
      <c r="Z24" s="13">
        <v>60</v>
      </c>
      <c r="AA24" s="1" cm="1">
        <f t="array" ref="AA24">OptionDelta("C",$Z24,$B$2,AA$23,$B$3,$AA$22,0)</f>
        <v>5.0034162369055407E-8</v>
      </c>
      <c r="AB24" s="1" cm="1">
        <f t="array" ref="AB24">OptionDelta("C",$Z24,$B$2,AB$23,$B$3,$AA$22,0)</f>
        <v>9.7471862538906133E-5</v>
      </c>
      <c r="AC24" s="1" cm="1">
        <f t="array" ref="AC24">OptionDelta("C",$Z24,$B$2,AC$23,$B$3,$AA$22,0)</f>
        <v>1.3132659794663289E-3</v>
      </c>
      <c r="AD24" s="1" cm="1">
        <f t="array" ref="AD24">OptionDelta("C",$Z24,$B$2,AD$23,$B$3,$AA$22,0)</f>
        <v>4.992660033900336E-3</v>
      </c>
      <c r="AE24" s="1" cm="1">
        <f t="array" ref="AE24">OptionDelta("C",$Z24,$B$2,AE$23,$B$3,$AA$22,0)</f>
        <v>1.1350817464731676E-2</v>
      </c>
      <c r="AF24" s="1" cm="1">
        <f t="array" ref="AF24">OptionDelta("C",$Z24,$B$2,AF$23,$B$3,$AA$22,0)</f>
        <v>1.9879978802043376E-2</v>
      </c>
      <c r="AG24" s="1" cm="1">
        <f t="array" ref="AG24">OptionDelta("C",$Z24,$B$2,AG$23,$B$3,$AA$22,0)</f>
        <v>2.9932244764737284E-2</v>
      </c>
      <c r="AH24" s="1" cm="1">
        <f t="array" ref="AH24">OptionDelta("C",$Z24,$B$2,AH$23,$B$3,$AA$22,0)</f>
        <v>4.0950902335764483E-2</v>
      </c>
      <c r="AI24" s="1" cm="1">
        <f t="array" ref="AI24">OptionDelta("C",$Z24,$B$2,AI$23,$B$3,$AA$22,0)</f>
        <v>5.2516002614189643E-2</v>
      </c>
      <c r="AJ24" s="1" cm="1">
        <f t="array" ref="AJ24">OptionDelta("C",$Z24,$B$2,AJ$23,$B$3,$AA$22,0)</f>
        <v>6.4328563178375001E-2</v>
      </c>
      <c r="AK24" s="1" cm="1">
        <f t="array" ref="AK24">OptionDelta("C",$Z24,$B$2,AK$23,$B$3,$AA$22,0)</f>
        <v>0.17239197114368851</v>
      </c>
      <c r="AL24" s="1" cm="1">
        <f t="array" ref="AL24">OptionDelta("C",$Z24,$B$2,AL$23,$B$3,$AA$22,0)</f>
        <v>0.25285203319023192</v>
      </c>
      <c r="AM24" s="1" cm="1">
        <f t="array" ref="AM24">OptionDelta("C",$Z24,$B$2,AM$23,$B$3,$AA$22,0)</f>
        <v>0.31394125841594145</v>
      </c>
      <c r="AN24" s="1" cm="1">
        <f t="array" ref="AN24">OptionDelta("C",$Z24,$B$2,AN$23,$B$3,$AA$22,0)</f>
        <v>0.3625886029317465</v>
      </c>
      <c r="AW24" s="139"/>
      <c r="AX24" s="13">
        <v>60</v>
      </c>
      <c r="AY24" s="1" cm="1">
        <f t="array" ref="AY24">OptionTheta("C",$AX24,$B$2,AY$23,$B$3,$AY$22,0)</f>
        <v>-2.1388202444377854E-8</v>
      </c>
      <c r="AZ24" s="1" cm="1">
        <f t="array" ref="AZ24">OptionTheta("C",$AX24,$B$2,AZ$23,$B$3,$AY$22,0)</f>
        <v>-2.1151355938947981E-5</v>
      </c>
      <c r="BA24" s="1" cm="1">
        <f t="array" ref="BA24">OptionTheta("C",$AX24,$B$2,BA$23,$B$3,$AY$22,0)</f>
        <v>-1.9249725723178876E-4</v>
      </c>
      <c r="BB24" s="1" cm="1">
        <f t="array" ref="BB24">OptionTheta("C",$AX24,$B$2,BB$23,$B$3,$AY$22,0)</f>
        <v>-5.552636180151039E-4</v>
      </c>
      <c r="BC24" s="1" cm="1">
        <f t="array" ref="BC24">OptionTheta("C",$AX24,$B$2,BC$23,$B$3,$AY$22,0)</f>
        <v>-1.0204341477554112E-3</v>
      </c>
      <c r="BD24" s="1" cm="1">
        <f t="array" ref="BD24">OptionTheta("C",$AX24,$B$2,BD$23,$B$3,$AY$22,0)</f>
        <v>-1.5033352373621058E-3</v>
      </c>
      <c r="BE24" s="1" cm="1">
        <f t="array" ref="BE24">OptionTheta("C",$AX24,$B$2,BE$23,$B$3,$AY$22,0)</f>
        <v>-1.9567228955209514E-3</v>
      </c>
      <c r="BF24" s="1" cm="1">
        <f t="array" ref="BF24">OptionTheta("C",$AX24,$B$2,BF$23,$B$3,$AY$22,0)</f>
        <v>-2.3607291154805411E-3</v>
      </c>
      <c r="BG24" s="1" cm="1">
        <f t="array" ref="BG24">OptionTheta("C",$AX24,$B$2,BG$23,$B$3,$AY$22,0)</f>
        <v>-2.7104193501449247E-3</v>
      </c>
      <c r="BH24" s="1" cm="1">
        <f t="array" ref="BH24">OptionTheta("C",$AX24,$B$2,BH$23,$B$3,$AY$22,0)</f>
        <v>-3.0079450651427195E-3</v>
      </c>
      <c r="BI24" s="1" cm="1">
        <f t="array" ref="BI24">OptionTheta("C",$AX24,$B$2,BI$23,$B$3,$AY$22,0)</f>
        <v>-4.2221154024053515E-3</v>
      </c>
      <c r="BJ24" s="1" cm="1">
        <f t="array" ref="BJ24">OptionTheta("C",$AX24,$B$2,BJ$23,$B$3,$AY$22,0)</f>
        <v>-4.2374078865411793E-3</v>
      </c>
      <c r="BK24" s="1" cm="1">
        <f t="array" ref="BK24">OptionTheta("C",$AX24,$B$2,BK$23,$B$3,$AY$22,0)</f>
        <v>-4.0073760431144729E-3</v>
      </c>
      <c r="BL24" s="1" cm="1">
        <f t="array" ref="BL24">OptionTheta("C",$AX24,$B$2,BL$23,$B$3,$AY$22,0)</f>
        <v>-3.7360733280407963E-3</v>
      </c>
      <c r="BU24" s="142"/>
      <c r="BV24" s="13">
        <v>60</v>
      </c>
      <c r="BW24" s="1" cm="1">
        <f t="array" ref="BW24">OptionGamma($BV24,$B$2,BW$23,$B$3,$BW$22,0)</f>
        <v>4.8371729163416155E-8</v>
      </c>
      <c r="BX24" s="1" cm="1">
        <f t="array" ref="BX24">OptionGamma($BV24,$B$2,BX$23,$B$3,$BW$22,0)</f>
        <v>4.8005602280442924E-5</v>
      </c>
      <c r="BY24" s="1" cm="1">
        <f t="array" ref="BY24">OptionGamma($BV24,$B$2,BY$23,$B$3,$BW$22,0)</f>
        <v>4.3836057898992057E-4</v>
      </c>
      <c r="BZ24" s="1" cm="1">
        <f t="array" ref="BZ24">OptionGamma($BV24,$B$2,BZ$23,$B$3,$BW$22,0)</f>
        <v>1.2684980236185482E-3</v>
      </c>
      <c r="CA24" s="1" cm="1">
        <f t="array" ref="CA24">OptionGamma($BV24,$B$2,CA$23,$B$3,$BW$22,0)</f>
        <v>2.3382957957450985E-3</v>
      </c>
      <c r="CB24" s="1" cm="1">
        <f t="array" ref="CB24">OptionGamma($BV24,$B$2,CB$23,$B$3,$BW$22,0)</f>
        <v>3.4549517028754717E-3</v>
      </c>
      <c r="CC24" s="1" cm="1">
        <f t="array" ref="CC24">OptionGamma($BV24,$B$2,CC$23,$B$3,$BW$22,0)</f>
        <v>4.5096296845151063E-3</v>
      </c>
      <c r="CD24" s="1" cm="1">
        <f t="array" ref="CD24">OptionGamma($BV24,$B$2,CD$23,$B$3,$BW$22,0)</f>
        <v>5.4555892387964204E-3</v>
      </c>
      <c r="CE24" s="1" cm="1">
        <f t="array" ref="CE24">OptionGamma($BV24,$B$2,CE$23,$B$3,$BW$22,0)</f>
        <v>6.2802722099484769E-3</v>
      </c>
      <c r="CF24" s="1" cm="1">
        <f t="array" ref="CF24">OptionGamma($BV24,$B$2,CF$23,$B$3,$BW$22,0)</f>
        <v>6.9875383385906891E-3</v>
      </c>
      <c r="CG24" s="1" cm="1">
        <f t="array" ref="CG24">OptionGamma($BV24,$B$2,CG$23,$B$3,$BW$22,0)</f>
        <v>1.0030097674802637E-2</v>
      </c>
      <c r="CH24" s="1" cm="1">
        <f t="array" ref="CH24">OptionGamma($BV24,$B$2,CH$23,$B$3,$BW$22,0)</f>
        <v>1.025398028665004E-2</v>
      </c>
      <c r="CI24" s="1" cm="1">
        <f t="array" ref="CI24">OptionGamma($BV24,$B$2,CI$23,$B$3,$BW$22,0)</f>
        <v>9.8534950455954461E-3</v>
      </c>
      <c r="CJ24" s="1" cm="1">
        <f t="array" ref="CJ24">OptionGamma($BV24,$B$2,CJ$23,$B$3,$BW$22,0)</f>
        <v>9.3178601442685666E-3</v>
      </c>
      <c r="CS24" s="145"/>
      <c r="CT24" s="13">
        <v>60</v>
      </c>
      <c r="CU24" s="1" cm="1">
        <f t="array" ref="CU24">OptionVega($CT24,$B$2,CU$23,$B$3,$CU$22,0)</f>
        <v>5.2241467496489445E-8</v>
      </c>
      <c r="CV24" s="1" cm="1">
        <f t="array" ref="CV24">OptionVega($CT24,$B$2,CV$23,$B$3,$CU$22,0)</f>
        <v>1.0369210092575669E-4</v>
      </c>
      <c r="CW24" s="1" cm="1">
        <f t="array" ref="CW24">OptionVega($CT24,$B$2,CW$23,$B$3,$CU$22,0)</f>
        <v>1.4202882759273422E-3</v>
      </c>
      <c r="CX24" s="1" cm="1">
        <f t="array" ref="CX24">OptionVega($CT24,$B$2,CX$23,$B$3,$CU$22,0)</f>
        <v>5.4799114620321266E-3</v>
      </c>
      <c r="CY24" s="1" cm="1">
        <f t="array" ref="CY24">OptionVega($CT24,$B$2,CY$23,$B$3,$CU$22,0)</f>
        <v>1.2626797297023531E-2</v>
      </c>
      <c r="CZ24" s="1" cm="1">
        <f t="array" ref="CZ24">OptionVega($CT24,$B$2,CZ$23,$B$3,$CU$22,0)</f>
        <v>2.2388087034633054E-2</v>
      </c>
      <c r="DA24" s="1" cm="1">
        <f t="array" ref="DA24">OptionVega($CT24,$B$2,DA$23,$B$3,$CU$22,0)</f>
        <v>3.4092800414934198E-2</v>
      </c>
      <c r="DB24" s="1" cm="1">
        <f t="array" ref="DB24">OptionVega($CT24,$B$2,DB$23,$B$3,$CU$22,0)</f>
        <v>4.7136291023201063E-2</v>
      </c>
      <c r="DC24" s="1" cm="1">
        <f t="array" ref="DC24">OptionVega($CT24,$B$2,DC$23,$B$3,$CU$22,0)</f>
        <v>6.1044245880699184E-2</v>
      </c>
      <c r="DD24" s="1" cm="1">
        <f t="array" ref="DD24">OptionVega($CT24,$B$2,DD$23,$B$3,$CU$22,0)</f>
        <v>7.5465414056779437E-2</v>
      </c>
      <c r="DE24" s="1" cm="1">
        <f t="array" ref="DE24">OptionVega($CT24,$B$2,DE$23,$B$3,$CU$22,0)</f>
        <v>0.21665010977573695</v>
      </c>
      <c r="DF24" s="1" cm="1">
        <f t="array" ref="DF24">OptionVega($CT24,$B$2,DF$23,$B$3,$CU$22,0)</f>
        <v>0.33222896128746121</v>
      </c>
      <c r="DG24" s="1" cm="1">
        <f t="array" ref="DG24">OptionVega($CT24,$B$2,DG$23,$B$3,$CU$22,0)</f>
        <v>0.42567098596972325</v>
      </c>
      <c r="DH24" s="1" cm="1">
        <f t="array" ref="DH24">OptionVega($CT24,$B$2,DH$23,$B$3,$CU$22,0)</f>
        <v>0.50316444779050262</v>
      </c>
      <c r="DQ24" s="130"/>
      <c r="DR24" s="13">
        <v>60</v>
      </c>
      <c r="DS24" s="1" cm="1">
        <f t="array" ref="DS24">OptionRho("C",$DR24,$B$2,DS$23,$B$3,$DS$22,0)</f>
        <v>2.9526232275500711E-9</v>
      </c>
      <c r="DT24" s="1" cm="1">
        <f t="array" ref="DT24">OptionRho("C",$DR24,$B$2,DT$23,$B$3,$DS$22,0)</f>
        <v>1.1332530343148013E-5</v>
      </c>
      <c r="DU24" s="1" cm="1">
        <f t="array" ref="DU24">OptionRho("C",$DR24,$B$2,DU$23,$B$3,$DS$22,0)</f>
        <v>2.2587447202926817E-4</v>
      </c>
      <c r="DV24" s="1" cm="1">
        <f t="array" ref="DV24">OptionRho("C",$DR24,$B$2,DV$23,$B$3,$DS$22,0)</f>
        <v>1.1301837002767319E-3</v>
      </c>
      <c r="DW24" s="1" cm="1">
        <f t="array" ref="DW24">OptionRho("C",$DR24,$B$2,DW$23,$B$3,$DS$22,0)</f>
        <v>3.1727274899903948E-3</v>
      </c>
      <c r="DX24" s="1" cm="1">
        <f t="array" ref="DX24">OptionRho("C",$DR24,$B$2,DX$23,$B$3,$DS$22,0)</f>
        <v>6.5908885371946321E-3</v>
      </c>
      <c r="DY24" s="1" cm="1">
        <f t="array" ref="DY24">OptionRho("C",$DR24,$B$2,DY$23,$B$3,$DS$22,0)</f>
        <v>1.1449306418409964E-2</v>
      </c>
      <c r="DZ24" s="1" cm="1">
        <f t="array" ref="DZ24">OptionRho("C",$DR24,$B$2,DZ$23,$B$3,$DS$22,0)</f>
        <v>1.7711463627698015E-2</v>
      </c>
      <c r="EA24" s="1" cm="1">
        <f t="array" ref="EA24">OptionRho("C",$DR24,$B$2,EA$23,$B$3,$DS$22,0)</f>
        <v>2.5290931687880013E-2</v>
      </c>
      <c r="EB24" s="1" cm="1">
        <f t="array" ref="EB24">OptionRho("C",$DR24,$B$2,EB$23,$B$3,$DS$22,0)</f>
        <v>3.4081262074599161E-2</v>
      </c>
      <c r="EC24" s="1" cm="1">
        <f t="array" ref="EC24">OptionRho("C",$DR24,$B$2,EC$23,$B$3,$DS$22,0)</f>
        <v>0.16760740288014708</v>
      </c>
      <c r="ED24" s="1" cm="1">
        <f t="array" ref="ED24">OptionRho("C",$DR24,$B$2,ED$23,$B$3,$DS$22,0)</f>
        <v>0.34347278354932753</v>
      </c>
      <c r="EE24" s="1" cm="1">
        <f t="array" ref="EE24">OptionRho("C",$DR24,$B$2,EE$23,$B$3,$DS$22,0)</f>
        <v>0.53429576659871825</v>
      </c>
      <c r="EF24" s="1" cm="1">
        <f t="array" ref="EF24">OptionRho("C",$DR24,$B$2,EF$23,$B$3,$DS$22,0)</f>
        <v>0.72913289318308616</v>
      </c>
      <c r="EP24" s="130"/>
      <c r="EQ24" s="13">
        <v>60</v>
      </c>
      <c r="ER24" s="1" cm="1">
        <f t="array" ref="ER24">OptionRho("C",$DR24,$B$2,ER$23,$D$3,$DS$22,0)</f>
        <v>4.4443850847737939E-8</v>
      </c>
      <c r="ES24" s="1" cm="1">
        <f t="array" ref="ES24">OptionRho("C",$DR24,$B$2,ES$23,$D$3,$DS$22,0)</f>
        <v>1.586050380448617E-4</v>
      </c>
      <c r="ET24" s="1" cm="1">
        <f t="array" ref="ET24">OptionRho("C",$DR24,$B$2,ET$23,$D$3,$DS$22,0)</f>
        <v>2.9335789739923898E-3</v>
      </c>
      <c r="EU24" s="1" cm="1">
        <f t="array" ref="EU24">OptionRho("C",$DR24,$B$2,EU$23,$D$3,$DS$22,0)</f>
        <v>1.3604756414636108E-2</v>
      </c>
      <c r="EV24" s="1" cm="1">
        <f t="array" ref="EV24">OptionRho("C",$DR24,$B$2,EV$23,$D$3,$DS$22,0)</f>
        <v>3.537251740656705E-2</v>
      </c>
      <c r="EW24" s="1" cm="1">
        <f t="array" ref="EW24">OptionRho("C",$DR24,$B$2,EW$23,$D$3,$DS$22,0)</f>
        <v>6.8029459017289878E-2</v>
      </c>
      <c r="EX24" s="1" cm="1">
        <f t="array" ref="EX24">OptionRho("C",$DR24,$B$2,EX$23,$D$3,$DS$22,0)</f>
        <v>0.10939294205648278</v>
      </c>
      <c r="EY24" s="1" cm="1">
        <f t="array" ref="EY24">OptionRho("C",$DR24,$B$2,EY$23,$D$3,$DS$22,0)</f>
        <v>0.15665390440015653</v>
      </c>
      <c r="EZ24" s="1" cm="1">
        <f t="array" ref="EZ24">OptionRho("C",$DR24,$B$2,EZ$23,$D$3,$DS$22,0)</f>
        <v>0.20711492242292057</v>
      </c>
      <c r="FA24" s="1" cm="1">
        <f t="array" ref="FA24">OptionRho("C",$DR24,$B$2,FA$23,$D$3,$DS$22,0)</f>
        <v>0.25849662898186737</v>
      </c>
      <c r="FB24" s="1" cm="1">
        <f t="array" ref="FB24">OptionRho("C",$DR24,$B$2,FB$23,$D$3,$DS$22,0)</f>
        <v>0.608187468315323</v>
      </c>
      <c r="FC24" s="1" cm="1">
        <f t="array" ref="FC24">OptionRho("C",$DR24,$B$2,FC$23,$D$3,$DS$22,0)</f>
        <v>0.6358522576079646</v>
      </c>
      <c r="FD24" s="1" cm="1">
        <f t="array" ref="FD24">OptionRho("C",$DR24,$B$2,FD$23,$D$3,$DS$22,0)</f>
        <v>0.53346118607764448</v>
      </c>
      <c r="FE24" s="1" cm="1">
        <f t="array" ref="FE24">OptionRho("C",$DR24,$B$2,FE$23,$D$3,$DS$22,0)</f>
        <v>0.40867214911599392</v>
      </c>
    </row>
    <row r="25" spans="1:161" x14ac:dyDescent="0.2">
      <c r="A25" s="133"/>
      <c r="B25" s="14">
        <v>65</v>
      </c>
      <c r="C25" s="1" cm="1">
        <f t="array" ref="C25">OptionPrice("C",$B25,$B$2,C$23,$B$3,$C$22,0)</f>
        <v>4.5686725366950501E-6</v>
      </c>
      <c r="D25" s="1" cm="1">
        <f t="array" ref="D25">OptionPrice("C",$B25,$B$2,D$23,$B$3,$C$22,0)</f>
        <v>2.0279598776542021E-3</v>
      </c>
      <c r="E25" s="1" cm="1">
        <f t="array" ref="E25">OptionPrice("C",$B25,$B$2,E$23,$B$3,$C$22,0)</f>
        <v>1.9100841058150242E-2</v>
      </c>
      <c r="F25" s="1" cm="1">
        <f t="array" ref="F25">OptionPrice("C",$B25,$B$2,F$23,$B$3,$C$22,0)</f>
        <v>6.4534051213704591E-2</v>
      </c>
      <c r="G25" s="1" cm="1">
        <f t="array" ref="G25">OptionPrice("C",$B25,$B$2,G$23,$B$3,$C$22,0)</f>
        <v>0.1414677730352405</v>
      </c>
      <c r="H25" s="1" cm="1">
        <f t="array" ref="H25">OptionPrice("C",$B25,$B$2,H$23,$B$3,$C$22,0)</f>
        <v>0.24716190228057133</v>
      </c>
      <c r="I25" s="1" cm="1">
        <f t="array" ref="I25">OptionPrice("C",$B25,$B$2,I$23,$B$3,$C$22,0)</f>
        <v>0.37710987478499725</v>
      </c>
      <c r="J25" s="1" cm="1">
        <f t="array" ref="J25">OptionPrice("C",$B25,$B$2,J$23,$B$3,$C$22,0)</f>
        <v>0.5268100445486068</v>
      </c>
      <c r="K25" s="1" cm="1">
        <f t="array" ref="K25">OptionPrice("C",$B25,$B$2,K$23,$B$3,$C$22,0)</f>
        <v>0.69233675768175651</v>
      </c>
      <c r="L25" s="1" cm="1">
        <f t="array" ref="L25">OptionPrice("C",$B25,$B$2,L$23,$B$3,$C$22,0)</f>
        <v>0.87044051790688481</v>
      </c>
      <c r="M25" s="1" cm="1">
        <f t="array" ref="M25">OptionPrice("C",$B25,$B$2,M$23,$B$3,$C$22,0)</f>
        <v>2.9543707178340686</v>
      </c>
      <c r="N25" s="1" cm="1">
        <f t="array" ref="N25">OptionPrice("C",$B25,$B$2,N$23,$B$3,$C$22,0)</f>
        <v>5.1151848524195582</v>
      </c>
      <c r="O25" s="1" cm="1">
        <f t="array" ref="O25">OptionPrice("C",$B25,$B$2,O$23,$B$3,$C$22,0)</f>
        <v>7.1711281676700587</v>
      </c>
      <c r="P25" s="1" cm="1">
        <f t="array" ref="P25">OptionPrice("C",$B25,$B$2,P$23,$B$3,$C$22,0)</f>
        <v>9.1004409991036823</v>
      </c>
      <c r="Y25" s="136"/>
      <c r="Z25" s="14">
        <v>65</v>
      </c>
      <c r="AA25" s="1" cm="1">
        <f t="array" ref="AA25">OptionDelta("C",$Z25,$B$2,AA$23,$B$3,$AA$22,0)</f>
        <v>3.6821940892309305E-6</v>
      </c>
      <c r="AB25" s="1" cm="1">
        <f t="array" ref="AB25">OptionDelta("C",$Z25,$B$2,AB$23,$B$3,$AA$22,0)</f>
        <v>8.7737836912211542E-4</v>
      </c>
      <c r="AC25" s="1" cm="1">
        <f t="array" ref="AC25">OptionDelta("C",$Z25,$B$2,AC$23,$B$3,$AA$22,0)</f>
        <v>5.847011044032159E-3</v>
      </c>
      <c r="AD25" s="1" cm="1">
        <f t="array" ref="AD25">OptionDelta("C",$Z25,$B$2,AD$23,$B$3,$AA$22,0)</f>
        <v>1.5601464786896047E-2</v>
      </c>
      <c r="AE25" s="1" cm="1">
        <f t="array" ref="AE25">OptionDelta("C",$Z25,$B$2,AE$23,$B$3,$AA$22,0)</f>
        <v>2.8644857358513225E-2</v>
      </c>
      <c r="AF25" s="1" cm="1">
        <f t="array" ref="AF25">OptionDelta("C",$Z25,$B$2,AF$23,$B$3,$AA$22,0)</f>
        <v>4.3468137473605249E-2</v>
      </c>
      <c r="AG25" s="1" cm="1">
        <f t="array" ref="AG25">OptionDelta("C",$Z25,$B$2,AG$23,$B$3,$AA$22,0)</f>
        <v>5.9038935425869576E-2</v>
      </c>
      <c r="AH25" s="1" cm="1">
        <f t="array" ref="AH25">OptionDelta("C",$Z25,$B$2,AH$23,$B$3,$AA$22,0)</f>
        <v>7.4728116021825122E-2</v>
      </c>
      <c r="AI25" s="1" cm="1">
        <f t="array" ref="AI25">OptionDelta("C",$Z25,$B$2,AI$23,$B$3,$AA$22,0)</f>
        <v>9.0172813400075422E-2</v>
      </c>
      <c r="AJ25" s="1" cm="1">
        <f t="array" ref="AJ25">OptionDelta("C",$Z25,$B$2,AJ$23,$B$3,$AA$22,0)</f>
        <v>0.10517388780770238</v>
      </c>
      <c r="AK25" s="1" cm="1">
        <f t="array" ref="AK25">OptionDelta("C",$Z25,$B$2,AK$23,$B$3,$AA$22,0)</f>
        <v>0.22479684393807561</v>
      </c>
      <c r="AL25" s="1" cm="1">
        <f t="array" ref="AL25">OptionDelta("C",$Z25,$B$2,AL$23,$B$3,$AA$22,0)</f>
        <v>0.3045006830407393</v>
      </c>
      <c r="AM25" s="1" cm="1">
        <f t="array" ref="AM25">OptionDelta("C",$Z25,$B$2,AM$23,$B$3,$AA$22,0)</f>
        <v>0.36267982457804149</v>
      </c>
      <c r="AN25" s="1" cm="1">
        <f t="array" ref="AN25">OptionDelta("C",$Z25,$B$2,AN$23,$B$3,$AA$22,0)</f>
        <v>0.4081806753100849</v>
      </c>
      <c r="AW25" s="139"/>
      <c r="AX25" s="14">
        <v>65</v>
      </c>
      <c r="AY25" s="1" cm="1">
        <f t="array" ref="AY25">OptionTheta("C",$AX25,$B$2,AY$23,$B$3,$AY$22,0)</f>
        <v>-1.4516877969213794E-6</v>
      </c>
      <c r="AZ25" s="1" cm="1">
        <f t="array" ref="AZ25">OptionTheta("C",$AX25,$B$2,AZ$23,$B$3,$AY$22,0)</f>
        <v>-1.7683900083278055E-4</v>
      </c>
      <c r="BA25" s="1" cm="1">
        <f t="array" ref="BA25">OptionTheta("C",$AX25,$B$2,BA$23,$B$3,$AY$22,0)</f>
        <v>-8.0056016104071382E-4</v>
      </c>
      <c r="BB25" s="1" cm="1">
        <f t="array" ref="BB25">OptionTheta("C",$AX25,$B$2,BB$23,$B$3,$AY$22,0)</f>
        <v>-1.6284046035200219E-3</v>
      </c>
      <c r="BC25" s="1" cm="1">
        <f t="array" ref="BC25">OptionTheta("C",$AX25,$B$2,BC$23,$B$3,$AY$22,0)</f>
        <v>-2.4264809719316232E-3</v>
      </c>
      <c r="BD25" s="1" cm="1">
        <f t="array" ref="BD25">OptionTheta("C",$AX25,$B$2,BD$23,$B$3,$AY$22,0)</f>
        <v>-3.108135752252036E-3</v>
      </c>
      <c r="BE25" s="1" cm="1">
        <f t="array" ref="BE25">OptionTheta("C",$AX25,$B$2,BE$23,$B$3,$AY$22,0)</f>
        <v>-3.6606419692686992E-3</v>
      </c>
      <c r="BF25" s="1" cm="1">
        <f t="array" ref="BF25">OptionTheta("C",$AX25,$B$2,BF$23,$B$3,$AY$22,0)</f>
        <v>-4.0972529860509622E-3</v>
      </c>
      <c r="BG25" s="1" cm="1">
        <f t="array" ref="BG25">OptionTheta("C",$AX25,$B$2,BG$23,$B$3,$AY$22,0)</f>
        <v>-4.4373841103313447E-3</v>
      </c>
      <c r="BH25" s="1" cm="1">
        <f t="array" ref="BH25">OptionTheta("C",$AX25,$B$2,BH$23,$B$3,$AY$22,0)</f>
        <v>-4.6996275359724215E-3</v>
      </c>
      <c r="BI25" s="1" cm="1">
        <f t="array" ref="BI25">OptionTheta("C",$AX25,$B$2,BI$23,$B$3,$AY$22,0)</f>
        <v>-5.3426066395957858E-3</v>
      </c>
      <c r="BJ25" s="1" cm="1">
        <f t="array" ref="BJ25">OptionTheta("C",$AX25,$B$2,BJ$23,$B$3,$AY$22,0)</f>
        <v>-4.9960758054153204E-3</v>
      </c>
      <c r="BK25" s="1" cm="1">
        <f t="array" ref="BK25">OptionTheta("C",$AX25,$B$2,BK$23,$B$3,$AY$22,0)</f>
        <v>-4.5600802173021834E-3</v>
      </c>
      <c r="BL25" s="1" cm="1">
        <f t="array" ref="BL25">OptionTheta("C",$AX25,$B$2,BL$23,$B$3,$AY$22,0)</f>
        <v>-4.1614490711383047E-3</v>
      </c>
      <c r="BU25" s="142"/>
      <c r="BV25" s="14">
        <v>65</v>
      </c>
      <c r="BW25" s="1" cm="1">
        <f t="array" ref="BW25">OptionGamma($BV25,$B$2,BW$23,$B$3,$BW$22,0)</f>
        <v>2.7992835519207707E-6</v>
      </c>
      <c r="BX25" s="1" cm="1">
        <f t="array" ref="BX25">OptionGamma($BV25,$B$2,BX$23,$B$3,$BW$22,0)</f>
        <v>3.4238659642402488E-4</v>
      </c>
      <c r="BY25" s="1" cm="1">
        <f t="array" ref="BY25">OptionGamma($BV25,$B$2,BY$23,$B$3,$BW$22,0)</f>
        <v>1.5558922158995399E-3</v>
      </c>
      <c r="BZ25" s="1" cm="1">
        <f t="array" ref="BZ25">OptionGamma($BV25,$B$2,BZ$23,$B$3,$BW$22,0)</f>
        <v>3.1761382873591237E-3</v>
      </c>
      <c r="CA25" s="1" cm="1">
        <f t="array" ref="CA25">OptionGamma($BV25,$B$2,CA$23,$B$3,$BW$22,0)</f>
        <v>4.7488233231175484E-3</v>
      </c>
      <c r="CB25" s="1" cm="1">
        <f t="array" ref="CB25">OptionGamma($BV25,$B$2,CB$23,$B$3,$BW$22,0)</f>
        <v>6.1025757786037126E-3</v>
      </c>
      <c r="CC25" s="1" cm="1">
        <f t="array" ref="CC25">OptionGamma($BV25,$B$2,CC$23,$B$3,$BW$22,0)</f>
        <v>7.2096701015754924E-3</v>
      </c>
      <c r="CD25" s="1" cm="1">
        <f t="array" ref="CD25">OptionGamma($BV25,$B$2,CD$23,$B$3,$BW$22,0)</f>
        <v>8.0936358441935641E-3</v>
      </c>
      <c r="CE25" s="1" cm="1">
        <f t="array" ref="CE25">OptionGamma($BV25,$B$2,CE$23,$B$3,$BW$22,0)</f>
        <v>8.7907122230331206E-3</v>
      </c>
      <c r="CF25" s="1" cm="1">
        <f t="array" ref="CF25">OptionGamma($BV25,$B$2,CF$23,$B$3,$BW$22,0)</f>
        <v>9.336082432746199E-3</v>
      </c>
      <c r="CG25" s="1" cm="1">
        <f t="array" ref="CG25">OptionGamma($BV25,$B$2,CG$23,$B$3,$BW$22,0)</f>
        <v>1.0869825982032193E-2</v>
      </c>
      <c r="CH25" s="1" cm="1">
        <f t="array" ref="CH25">OptionGamma($BV25,$B$2,CH$23,$B$3,$BW$22,0)</f>
        <v>1.0363399155444456E-2</v>
      </c>
      <c r="CI25" s="1" cm="1">
        <f t="array" ref="CI25">OptionGamma($BV25,$B$2,CI$23,$B$3,$BW$22,0)</f>
        <v>9.6171460019162294E-3</v>
      </c>
      <c r="CJ25" s="1" cm="1">
        <f t="array" ref="CJ25">OptionGamma($BV25,$B$2,CJ$23,$B$3,$BW$22,0)</f>
        <v>8.9059405124312912E-3</v>
      </c>
      <c r="CS25" s="145"/>
      <c r="CT25" s="14">
        <v>65</v>
      </c>
      <c r="CU25" s="1" cm="1">
        <f t="array" ref="CU25">OptionVega($CT25,$B$2,CU$23,$B$3,$CU$22,0)</f>
        <v>3.5480919020595774E-6</v>
      </c>
      <c r="CV25" s="1" cm="1">
        <f t="array" ref="CV25">OptionVega($CT25,$B$2,CV$23,$B$3,$CU$22,0)</f>
        <v>8.6795002193490315E-4</v>
      </c>
      <c r="CW25" s="1" cm="1">
        <f t="array" ref="CW25">OptionVega($CT25,$B$2,CW$23,$B$3,$CU$22,0)</f>
        <v>5.9162801509579999E-3</v>
      </c>
      <c r="CX25" s="1" cm="1">
        <f t="array" ref="CX25">OptionVega($CT25,$B$2,CX$23,$B$3,$CU$22,0)</f>
        <v>1.6103021116910757E-2</v>
      </c>
      <c r="CY25" s="1" cm="1">
        <f t="array" ref="CY25">OptionVega($CT25,$B$2,CY$23,$B$3,$CU$22,0)</f>
        <v>3.0095667810257465E-2</v>
      </c>
      <c r="CZ25" s="1" cm="1">
        <f t="array" ref="CZ25">OptionVega($CT25,$B$2,CZ$23,$B$3,$CU$22,0)</f>
        <v>4.6410088796281238E-2</v>
      </c>
      <c r="DA25" s="1" cm="1">
        <f t="array" ref="DA25">OptionVega($CT25,$B$2,DA$23,$B$3,$CU$22,0)</f>
        <v>6.3967797976228563E-2</v>
      </c>
      <c r="DB25" s="1" cm="1">
        <f t="array" ref="DB25">OptionVega($CT25,$B$2,DB$23,$B$3,$CU$22,0)</f>
        <v>8.2069467460122739E-2</v>
      </c>
      <c r="DC25" s="1" cm="1">
        <f t="array" ref="DC25">OptionVega($CT25,$B$2,DC$23,$B$3,$CU$22,0)</f>
        <v>0.10028004968425032</v>
      </c>
      <c r="DD25" s="1" cm="1">
        <f t="array" ref="DD25">OptionVega($CT25,$B$2,DD$23,$B$3,$CU$22,0)</f>
        <v>0.11833484483505809</v>
      </c>
      <c r="DE25" s="1" cm="1">
        <f t="array" ref="DE25">OptionVega($CT25,$B$2,DE$23,$B$3,$CU$22,0)</f>
        <v>0.27555008864451608</v>
      </c>
      <c r="DF25" s="1" cm="1">
        <f t="array" ref="DF25">OptionVega($CT25,$B$2,DF$23,$B$3,$CU$22,0)</f>
        <v>0.39406825288577535</v>
      </c>
      <c r="DG25" s="1" cm="1">
        <f t="array" ref="DG25">OptionVega($CT25,$B$2,DG$23,$B$3,$CU$22,0)</f>
        <v>0.4875893022971528</v>
      </c>
      <c r="DH25" s="1" cm="1">
        <f t="array" ref="DH25">OptionVega($CT25,$B$2,DH$23,$B$3,$CU$22,0)</f>
        <v>0.56441397997533316</v>
      </c>
      <c r="DQ25" s="130"/>
      <c r="DR25" s="14">
        <v>65</v>
      </c>
      <c r="DS25" s="1" cm="1">
        <f t="array" ref="DS25">OptionRho("C",$DR25,$B$2,DS$23,$B$3,$DS$22,0)</f>
        <v>2.3477394326331548E-7</v>
      </c>
      <c r="DT25" s="1" cm="1">
        <f t="array" ref="DT25">OptionRho("C",$DR25,$B$2,DT$23,$B$3,$DS$22,0)</f>
        <v>1.1000326823056661E-4</v>
      </c>
      <c r="DU25" s="1" cm="1">
        <f t="array" ref="DU25">OptionRho("C",$DR25,$B$2,DU$23,$B$3,$DS$22,0)</f>
        <v>1.0828646304118204E-3</v>
      </c>
      <c r="DV25" s="1" cm="1">
        <f t="array" ref="DV25">OptionRho("C",$DR25,$B$2,DV$23,$B$3,$DS$22,0)</f>
        <v>3.7982446397381545E-3</v>
      </c>
      <c r="DW25" s="1" cm="1">
        <f t="array" ref="DW25">OptionRho("C",$DR25,$B$2,DW$23,$B$3,$DS$22,0)</f>
        <v>8.6022397763405953E-3</v>
      </c>
      <c r="DX25" s="1" cm="1">
        <f t="array" ref="DX25">OptionRho("C",$DR25,$B$2,DX$23,$B$3,$DS$22,0)</f>
        <v>1.5469602201022619E-2</v>
      </c>
      <c r="DY25" s="1" cm="1">
        <f t="array" ref="DY25">OptionRho("C",$DR25,$B$2,DY$23,$B$3,$DS$22,0)</f>
        <v>2.4222946495275673E-2</v>
      </c>
      <c r="DZ25" s="1" cm="1">
        <f t="array" ref="DZ25">OptionRho("C",$DR25,$B$2,DZ$23,$B$3,$DS$22,0)</f>
        <v>3.4644139974960214E-2</v>
      </c>
      <c r="EA25" s="1" cm="1">
        <f t="array" ref="EA25">OptionRho("C",$DR25,$B$2,EA$23,$B$3,$DS$22,0)</f>
        <v>4.652006501990831E-2</v>
      </c>
      <c r="EB25" s="1" cm="1">
        <f t="array" ref="EB25">OptionRho("C",$DR25,$B$2,EB$23,$B$3,$DS$22,0)</f>
        <v>5.9658621895937708E-2</v>
      </c>
      <c r="EC25" s="1" cm="1">
        <f t="array" ref="EC25">OptionRho("C",$DR25,$B$2,EC$23,$B$3,$DS$22,0)</f>
        <v>0.23314848276281694</v>
      </c>
      <c r="ED25" s="1" cm="1">
        <f t="array" ref="ED25">OptionRho("C",$DR25,$B$2,ED$23,$B$3,$DS$22,0)</f>
        <v>0.44032078635685484</v>
      </c>
      <c r="EE25" s="1" cm="1">
        <f t="array" ref="EE25">OptionRho("C",$DR25,$B$2,EE$23,$B$3,$DS$22,0)</f>
        <v>0.65612241719610553</v>
      </c>
      <c r="EF25" s="1" cm="1">
        <f t="array" ref="EF25">OptionRho("C",$DR25,$B$2,EF$23,$B$3,$DS$22,0)</f>
        <v>0.87156514480259184</v>
      </c>
      <c r="EP25" s="130"/>
      <c r="EQ25" s="14">
        <v>65</v>
      </c>
      <c r="ER25" s="1" cm="1">
        <f t="array" ref="ER25">OptionRho("C",$DR25,$B$2,ER$23,$D$3,$DS$22,0)</f>
        <v>2.3216212948747503E-6</v>
      </c>
      <c r="ES25" s="1" cm="1">
        <f t="array" ref="ES25">OptionRho("C",$DR25,$B$2,ES$23,$D$3,$DS$22,0)</f>
        <v>1.0244799823670033E-3</v>
      </c>
      <c r="ET25" s="1" cm="1">
        <f t="array" ref="ET25">OptionRho("C",$DR25,$B$2,ET$23,$D$3,$DS$22,0)</f>
        <v>9.4636794853694087E-3</v>
      </c>
      <c r="EU25" s="1" cm="1">
        <f t="array" ref="EU25">OptionRho("C",$DR25,$B$2,EU$23,$D$3,$DS$22,0)</f>
        <v>3.1077354428885911E-2</v>
      </c>
      <c r="EV25" s="1" cm="1">
        <f t="array" ref="EV25">OptionRho("C",$DR25,$B$2,EV$23,$D$3,$DS$22,0)</f>
        <v>6.5792922300926732E-2</v>
      </c>
      <c r="EW25" s="1" cm="1">
        <f t="array" ref="EW25">OptionRho("C",$DR25,$B$2,EW$23,$D$3,$DS$22,0)</f>
        <v>0.11048810567888029</v>
      </c>
      <c r="EX25" s="1" cm="1">
        <f t="array" ref="EX25">OptionRho("C",$DR25,$B$2,EX$23,$D$3,$DS$22,0)</f>
        <v>0.161457345557557</v>
      </c>
      <c r="EY25" s="1" cm="1">
        <f t="array" ref="EY25">OptionRho("C",$DR25,$B$2,EY$23,$D$3,$DS$22,0)</f>
        <v>0.21542733785500257</v>
      </c>
      <c r="EZ25" s="1" cm="1">
        <f t="array" ref="EZ25">OptionRho("C",$DR25,$B$2,EZ$23,$D$3,$DS$22,0)</f>
        <v>0.26982841723910761</v>
      </c>
      <c r="FA25" s="1" cm="1">
        <f t="array" ref="FA25">OptionRho("C",$DR25,$B$2,FA$23,$D$3,$DS$22,0)</f>
        <v>0.32277688815492656</v>
      </c>
      <c r="FB25" s="1" cm="1">
        <f t="array" ref="FB25">OptionRho("C",$DR25,$B$2,FB$23,$D$3,$DS$22,0)</f>
        <v>0.64059721941350856</v>
      </c>
      <c r="FC25" s="1" cm="1">
        <f t="array" ref="FC25">OptionRho("C",$DR25,$B$2,FC$23,$D$3,$DS$22,0)</f>
        <v>0.64522796085576473</v>
      </c>
      <c r="FD25" s="1" cm="1">
        <f t="array" ref="FD25">OptionRho("C",$DR25,$B$2,FD$23,$D$3,$DS$22,0)</f>
        <v>0.53576717610725455</v>
      </c>
      <c r="FE25" s="1" cm="1">
        <f t="array" ref="FE25">OptionRho("C",$DR25,$B$2,FE$23,$D$3,$DS$22,0)</f>
        <v>0.40919902169303574</v>
      </c>
    </row>
    <row r="26" spans="1:161" x14ac:dyDescent="0.2">
      <c r="A26" s="133"/>
      <c r="B26" s="14">
        <v>70</v>
      </c>
      <c r="C26" s="1" cm="1">
        <f t="array" ref="C26">OptionPrice("C",$B26,$B$2,C$23,$B$3,$C$22,0)</f>
        <v>1.6727630636436015E-4</v>
      </c>
      <c r="D26" s="1" cm="1">
        <f t="array" ref="D26">OptionPrice("C",$B26,$B$2,D$23,$B$3,$C$22,0)</f>
        <v>1.4249451403573032E-2</v>
      </c>
      <c r="E26" s="1" cm="1">
        <f t="array" ref="E26">OptionPrice("C",$B26,$B$2,E$23,$B$3,$C$22,0)</f>
        <v>7.6533790879082186E-2</v>
      </c>
      <c r="F26" s="1" cm="1">
        <f t="array" ref="F26">OptionPrice("C",$B26,$B$2,F$23,$B$3,$C$22,0)</f>
        <v>0.19412706258723977</v>
      </c>
      <c r="G26" s="1" cm="1">
        <f t="array" ref="G26">OptionPrice("C",$B26,$B$2,G$23,$B$3,$C$22,0)</f>
        <v>0.35706922285665232</v>
      </c>
      <c r="H26" s="1" cm="1">
        <f t="array" ref="H26">OptionPrice("C",$B26,$B$2,H$23,$B$3,$C$22,0)</f>
        <v>0.55373237849992929</v>
      </c>
      <c r="I26" s="1" cm="1">
        <f t="array" ref="I26">OptionPrice("C",$B26,$B$2,I$23,$B$3,$C$22,0)</f>
        <v>0.77468828582224347</v>
      </c>
      <c r="J26" s="1" cm="1">
        <f t="array" ref="J26">OptionPrice("C",$B26,$B$2,J$23,$B$3,$C$22,0)</f>
        <v>1.0129244015707828</v>
      </c>
      <c r="K26" s="1" cm="1">
        <f t="array" ref="K26">OptionPrice("C",$B26,$B$2,K$23,$B$3,$C$22,0)</f>
        <v>1.2633373341200649</v>
      </c>
      <c r="L26" s="1" cm="1">
        <f t="array" ref="L26">OptionPrice("C",$B26,$B$2,L$23,$B$3,$C$22,0)</f>
        <v>1.5222165021656782</v>
      </c>
      <c r="M26" s="1" cm="1">
        <f t="array" ref="M26">OptionPrice("C",$B26,$B$2,M$23,$B$3,$C$22,0)</f>
        <v>4.216574050066912</v>
      </c>
      <c r="N26" s="1" cm="1">
        <f t="array" ref="N26">OptionPrice("C",$B26,$B$2,N$23,$B$3,$C$22,0)</f>
        <v>6.766954332138301</v>
      </c>
      <c r="O26" s="1" cm="1">
        <f t="array" ref="O26">OptionPrice("C",$B26,$B$2,O$23,$B$3,$C$22,0)</f>
        <v>9.103343225223071</v>
      </c>
      <c r="P26" s="1" cm="1">
        <f t="array" ref="P26">OptionPrice("C",$B26,$B$2,P$23,$B$3,$C$22,0)</f>
        <v>11.250746267891707</v>
      </c>
      <c r="Y26" s="136"/>
      <c r="Z26" s="14">
        <v>70</v>
      </c>
      <c r="AA26" s="1" cm="1">
        <f t="array" ref="AA26">OptionDelta("C",$Z26,$B$2,AA$23,$B$3,$AA$22,0)</f>
        <v>1.0707610281507444E-4</v>
      </c>
      <c r="AB26" s="1" cm="1">
        <f t="array" ref="AB26">OptionDelta("C",$Z26,$B$2,AB$23,$B$3,$AA$22,0)</f>
        <v>4.9901816736536639E-3</v>
      </c>
      <c r="AC26" s="1" cm="1">
        <f t="array" ref="AC26">OptionDelta("C",$Z26,$B$2,AC$23,$B$3,$AA$22,0)</f>
        <v>1.9214994632873059E-2</v>
      </c>
      <c r="AD26" s="1" cm="1">
        <f t="array" ref="AD26">OptionDelta("C",$Z26,$B$2,AD$23,$B$3,$AA$22,0)</f>
        <v>3.8875096230606622E-2</v>
      </c>
      <c r="AE26" s="1" cm="1">
        <f t="array" ref="AE26">OptionDelta("C",$Z26,$B$2,AE$23,$B$3,$AA$22,0)</f>
        <v>6.0361557489523619E-2</v>
      </c>
      <c r="AF26" s="1" cm="1">
        <f t="array" ref="AF26">OptionDelta("C",$Z26,$B$2,AF$23,$B$3,$AA$22,0)</f>
        <v>8.1828768636166921E-2</v>
      </c>
      <c r="AG26" s="1" cm="1">
        <f t="array" ref="AG26">OptionDelta("C",$Z26,$B$2,AG$23,$B$3,$AA$22,0)</f>
        <v>0.10246339188434647</v>
      </c>
      <c r="AH26" s="1" cm="1">
        <f t="array" ref="AH26">OptionDelta("C",$Z26,$B$2,AH$23,$B$3,$AA$22,0)</f>
        <v>0.12195471445596062</v>
      </c>
      <c r="AI26" s="1" cm="1">
        <f t="array" ref="AI26">OptionDelta("C",$Z26,$B$2,AI$23,$B$3,$AA$22,0)</f>
        <v>0.1402263966706617</v>
      </c>
      <c r="AJ26" s="1" cm="1">
        <f t="array" ref="AJ26">OptionDelta("C",$Z26,$B$2,AJ$23,$B$3,$AA$22,0)</f>
        <v>0.15730806721544691</v>
      </c>
      <c r="AK26" s="1" cm="1">
        <f t="array" ref="AK26">OptionDelta("C",$Z26,$B$2,AK$23,$B$3,$AA$22,0)</f>
        <v>0.28047924339879649</v>
      </c>
      <c r="AL26" s="1" cm="1">
        <f t="array" ref="AL26">OptionDelta("C",$Z26,$B$2,AL$23,$B$3,$AA$22,0)</f>
        <v>0.35610910688425379</v>
      </c>
      <c r="AM26" s="1" cm="1">
        <f t="array" ref="AM26">OptionDelta("C",$Z26,$B$2,AM$23,$B$3,$AA$22,0)</f>
        <v>0.40990413904026235</v>
      </c>
      <c r="AN26" s="1" cm="1">
        <f t="array" ref="AN26">OptionDelta("C",$Z26,$B$2,AN$23,$B$3,$AA$22,0)</f>
        <v>0.45154699490085998</v>
      </c>
      <c r="AW26" s="139"/>
      <c r="AX26" s="14">
        <v>70</v>
      </c>
      <c r="AY26" s="1" cm="1">
        <f t="array" ref="AY26">OptionTheta("C",$AX26,$B$2,AY$23,$B$3,$AY$22,0)</f>
        <v>-3.8197714763641422E-5</v>
      </c>
      <c r="AZ26" s="1" cm="1">
        <f t="array" ref="AZ26">OptionTheta("C",$AX26,$B$2,AZ$23,$B$3,$AY$22,0)</f>
        <v>-9.1931964979989167E-4</v>
      </c>
      <c r="BA26" s="1" cm="1">
        <f t="array" ref="BA26">OptionTheta("C",$AX26,$B$2,BA$23,$B$3,$AY$22,0)</f>
        <v>-2.423218452639615E-3</v>
      </c>
      <c r="BB26" s="1" cm="1">
        <f t="array" ref="BB26">OptionTheta("C",$AX26,$B$2,BB$23,$B$3,$AY$22,0)</f>
        <v>-3.7604495857503084E-3</v>
      </c>
      <c r="BC26" s="1" cm="1">
        <f t="array" ref="BC26">OptionTheta("C",$AX26,$B$2,BC$23,$B$3,$AY$22,0)</f>
        <v>-4.7631304299087813E-3</v>
      </c>
      <c r="BD26" s="1" cm="1">
        <f t="array" ref="BD26">OptionTheta("C",$AX26,$B$2,BD$23,$B$3,$AY$22,0)</f>
        <v>-5.4744475175743526E-3</v>
      </c>
      <c r="BE26" s="1" cm="1">
        <f t="array" ref="BE26">OptionTheta("C",$AX26,$B$2,BE$23,$B$3,$AY$22,0)</f>
        <v>-5.9668848993974285E-3</v>
      </c>
      <c r="BF26" s="1" cm="1">
        <f t="array" ref="BF26">OptionTheta("C",$AX26,$B$2,BF$23,$B$3,$AY$22,0)</f>
        <v>-6.3012559266468499E-3</v>
      </c>
      <c r="BG26" s="1" cm="1">
        <f t="array" ref="BG26">OptionTheta("C",$AX26,$B$2,BG$23,$B$3,$AY$22,0)</f>
        <v>-6.5223380471701089E-3</v>
      </c>
      <c r="BH26" s="1" cm="1">
        <f t="array" ref="BH26">OptionTheta("C",$AX26,$B$2,BH$23,$B$3,$AY$22,0)</f>
        <v>-6.6619567497588107E-3</v>
      </c>
      <c r="BI26" s="1" cm="1">
        <f t="array" ref="BI26">OptionTheta("C",$AX26,$B$2,BI$23,$B$3,$AY$22,0)</f>
        <v>-6.430691586480063E-3</v>
      </c>
      <c r="BJ26" s="1" cm="1">
        <f t="array" ref="BJ26">OptionTheta("C",$AX26,$B$2,BJ$23,$B$3,$AY$22,0)</f>
        <v>-5.6925566441000846E-3</v>
      </c>
      <c r="BK26" s="1" cm="1">
        <f t="array" ref="BK26">OptionTheta("C",$AX26,$B$2,BK$23,$B$3,$AY$22,0)</f>
        <v>-5.0545396546174855E-3</v>
      </c>
      <c r="BL26" s="1" cm="1">
        <f t="array" ref="BL26">OptionTheta("C",$AX26,$B$2,BL$23,$B$3,$AY$22,0)</f>
        <v>-4.5367701439203365E-3</v>
      </c>
      <c r="BU26" s="142"/>
      <c r="BV26" s="14">
        <v>70</v>
      </c>
      <c r="BW26" s="1" cm="1">
        <f t="array" ref="BW26">OptionGamma($BV26,$B$2,BW$23,$B$3,$BW$22,0)</f>
        <v>6.3562115182022813E-5</v>
      </c>
      <c r="BX26" s="1" cm="1">
        <f t="array" ref="BX26">OptionGamma($BV26,$B$2,BX$23,$B$3,$BW$22,0)</f>
        <v>1.5369719040112578E-3</v>
      </c>
      <c r="BY26" s="1" cm="1">
        <f t="array" ref="BY26">OptionGamma($BV26,$B$2,BY$23,$B$3,$BW$22,0)</f>
        <v>4.0687523516901589E-3</v>
      </c>
      <c r="BZ26" s="1" cm="1">
        <f t="array" ref="BZ26">OptionGamma($BV26,$B$2,BZ$23,$B$3,$BW$22,0)</f>
        <v>6.3393895489089105E-3</v>
      </c>
      <c r="CA26" s="1" cm="1">
        <f t="array" ref="CA26">OptionGamma($BV26,$B$2,CA$23,$B$3,$BW$22,0)</f>
        <v>8.0599773466249677E-3</v>
      </c>
      <c r="CB26" s="1" cm="1">
        <f t="array" ref="CB26">OptionGamma($BV26,$B$2,CB$23,$B$3,$BW$22,0)</f>
        <v>9.2966719191608007E-3</v>
      </c>
      <c r="CC26" s="1" cm="1">
        <f t="array" ref="CC26">OptionGamma($BV26,$B$2,CC$23,$B$3,$BW$22,0)</f>
        <v>1.0167303762997196E-2</v>
      </c>
      <c r="CD26" s="1" cm="1">
        <f t="array" ref="CD26">OptionGamma($BV26,$B$2,CD$23,$B$3,$BW$22,0)</f>
        <v>1.0771870609204376E-2</v>
      </c>
      <c r="CE26" s="1" cm="1">
        <f t="array" ref="CE26">OptionGamma($BV26,$B$2,CE$23,$B$3,$BW$22,0)</f>
        <v>1.1184482954854207E-2</v>
      </c>
      <c r="CF26" s="1" cm="1">
        <f t="array" ref="CF26">OptionGamma($BV26,$B$2,CF$23,$B$3,$BW$22,0)</f>
        <v>1.1458084787714838E-2</v>
      </c>
      <c r="CG26" s="1" cm="1">
        <f t="array" ref="CG26">OptionGamma($BV26,$B$2,CG$23,$B$3,$BW$22,0)</f>
        <v>1.1344091423781007E-2</v>
      </c>
      <c r="CH26" s="1" cm="1">
        <f t="array" ref="CH26">OptionGamma($BV26,$B$2,CH$23,$B$3,$BW$22,0)</f>
        <v>1.0246666696571999E-2</v>
      </c>
      <c r="CI26" s="1" cm="1">
        <f t="array" ref="CI26">OptionGamma($BV26,$B$2,CI$23,$B$3,$BW$22,0)</f>
        <v>9.2553580000514068E-3</v>
      </c>
      <c r="CJ26" s="1" cm="1">
        <f t="array" ref="CJ26">OptionGamma($BV26,$B$2,CJ$23,$B$3,$BW$22,0)</f>
        <v>8.4330908674948215E-3</v>
      </c>
      <c r="CS26" s="145"/>
      <c r="CT26" s="14">
        <v>70</v>
      </c>
      <c r="CU26" s="1" cm="1">
        <f t="array" ref="CU26">OptionVega($CT26,$B$2,CU$23,$B$3,$CU$22,0)</f>
        <v>9.343630931757354E-5</v>
      </c>
      <c r="CV26" s="1" cm="1">
        <f t="array" ref="CV26">OptionVega($CT26,$B$2,CV$23,$B$3,$CU$22,0)</f>
        <v>4.5186973977930974E-3</v>
      </c>
      <c r="CW26" s="1" cm="1">
        <f t="array" ref="CW26">OptionVega($CT26,$B$2,CW$23,$B$3,$CU$22,0)</f>
        <v>1.7943197870953598E-2</v>
      </c>
      <c r="CX26" s="1" cm="1">
        <f t="array" ref="CX26">OptionVega($CT26,$B$2,CX$23,$B$3,$CU$22,0)</f>
        <v>3.7275610547584395E-2</v>
      </c>
      <c r="CY26" s="1" cm="1">
        <f t="array" ref="CY26">OptionVega($CT26,$B$2,CY$23,$B$3,$CU$22,0)</f>
        <v>5.9240833497693518E-2</v>
      </c>
      <c r="CZ26" s="1" cm="1">
        <f t="array" ref="CZ26">OptionVega($CT26,$B$2,CZ$23,$B$3,$CU$22,0)</f>
        <v>8.1996646326998268E-2</v>
      </c>
      <c r="DA26" s="1" cm="1">
        <f t="array" ref="DA26">OptionVega($CT26,$B$2,DA$23,$B$3,$CU$22,0)</f>
        <v>0.10462155572124114</v>
      </c>
      <c r="DB26" s="1" cm="1">
        <f t="array" ref="DB26">OptionVega($CT26,$B$2,DB$23,$B$3,$CU$22,0)</f>
        <v>0.12667719836424346</v>
      </c>
      <c r="DC26" s="1" cm="1">
        <f t="array" ref="DC26">OptionVega($CT26,$B$2,DC$23,$B$3,$CU$22,0)</f>
        <v>0.14797070949272112</v>
      </c>
      <c r="DD26" s="1" cm="1">
        <f t="array" ref="DD26">OptionVega($CT26,$B$2,DD$23,$B$3,$CU$22,0)</f>
        <v>0.16843384637940814</v>
      </c>
      <c r="DE26" s="1" cm="1">
        <f t="array" ref="DE26">OptionVega($CT26,$B$2,DE$23,$B$3,$CU$22,0)</f>
        <v>0.33351628785916165</v>
      </c>
      <c r="DF26" s="1" cm="1">
        <f t="array" ref="DF26">OptionVega($CT26,$B$2,DF$23,$B$3,$CU$22,0)</f>
        <v>0.45187800131882511</v>
      </c>
      <c r="DG26" s="1" cm="1">
        <f t="array" ref="DG26">OptionVega($CT26,$B$2,DG$23,$B$3,$CU$22,0)</f>
        <v>0.54421505040302276</v>
      </c>
      <c r="DH26" s="1" cm="1">
        <f t="array" ref="DH26">OptionVega($CT26,$B$2,DH$23,$B$3,$CU$22,0)</f>
        <v>0.61983217876086938</v>
      </c>
      <c r="DQ26" s="130"/>
      <c r="DR26" s="14">
        <v>70</v>
      </c>
      <c r="DS26" s="1" cm="1">
        <f t="array" ref="DS26">OptionRho("C",$DR26,$B$2,DS$23,$B$3,$DS$22,0)</f>
        <v>7.3280508906908516E-6</v>
      </c>
      <c r="DT26" s="1" cm="1">
        <f t="array" ref="DT26">OptionRho("C",$DR26,$B$2,DT$23,$B$3,$DS$22,0)</f>
        <v>6.7012653150436694E-4</v>
      </c>
      <c r="DU26" s="1" cm="1">
        <f t="array" ref="DU26">OptionRho("C",$DR26,$B$2,DU$23,$B$3,$DS$22,0)</f>
        <v>3.8055475002660962E-3</v>
      </c>
      <c r="DV26" s="1" cm="1">
        <f t="array" ref="DV26">OptionRho("C",$DR26,$B$2,DV$23,$B$3,$DS$22,0)</f>
        <v>1.0108518694220895E-2</v>
      </c>
      <c r="DW26" s="1" cm="1">
        <f t="array" ref="DW26">OptionRho("C",$DR26,$B$2,DW$23,$B$3,$DS$22,0)</f>
        <v>1.9341199007050006E-2</v>
      </c>
      <c r="DX26" s="1" cm="1">
        <f t="array" ref="DX26">OptionRho("C",$DR26,$B$2,DX$23,$B$3,$DS$22,0)</f>
        <v>3.104568855619053E-2</v>
      </c>
      <c r="DY26" s="1" cm="1">
        <f t="array" ref="DY26">OptionRho("C",$DR26,$B$2,DY$23,$B$3,$DS$22,0)</f>
        <v>4.4784244022574062E-2</v>
      </c>
      <c r="DZ26" s="1" cm="1">
        <f t="array" ref="DZ26">OptionRho("C",$DR26,$B$2,DZ$23,$B$3,$DS$22,0)</f>
        <v>6.0191244882771701E-2</v>
      </c>
      <c r="EA26" s="1" cm="1">
        <f t="array" ref="EA26">OptionRho("C",$DR26,$B$2,EA$23,$B$3,$DS$22,0)</f>
        <v>7.6972593895436286E-2</v>
      </c>
      <c r="EB26" s="1" cm="1">
        <f t="array" ref="EB26">OptionRho("C",$DR26,$B$2,EB$23,$B$3,$DS$22,0)</f>
        <v>9.4893482029156068E-2</v>
      </c>
      <c r="EC26" s="1" cm="1">
        <f t="array" ref="EC26">OptionRho("C",$DR26,$B$2,EC$23,$B$3,$DS$22,0)</f>
        <v>0.30833945975697685</v>
      </c>
      <c r="ED26" s="1" cm="1">
        <f t="array" ref="ED26">OptionRho("C",$DR26,$B$2,ED$23,$B$3,$DS$22,0)</f>
        <v>0.54482049449278391</v>
      </c>
      <c r="EE26" s="1" cm="1">
        <f t="array" ref="EE26">OptionRho("C",$DR26,$B$2,EE$23,$B$3,$DS$22,0)</f>
        <v>0.78359786030381173</v>
      </c>
      <c r="EF26" s="1" cm="1">
        <f t="array" ref="EF26">OptionRho("C",$DR26,$B$2,EF$23,$B$3,$DS$22,0)</f>
        <v>1.0178771687584245</v>
      </c>
      <c r="EP26" s="130"/>
      <c r="EQ26" s="14">
        <v>70</v>
      </c>
      <c r="ER26" s="1" cm="1">
        <f t="array" ref="ER26">OptionRho("C",$DR26,$B$2,ER$23,$D$3,$DS$22,0)</f>
        <v>4.9359594501911715E-5</v>
      </c>
      <c r="ES26" s="1" cm="1">
        <f t="array" ref="ES26">OptionRho("C",$DR26,$B$2,ES$23,$D$3,$DS$22,0)</f>
        <v>4.3141156264465208E-3</v>
      </c>
      <c r="ET26" s="1" cm="1">
        <f t="array" ref="ET26">OptionRho("C",$DR26,$B$2,ET$23,$D$3,$DS$22,0)</f>
        <v>2.3273223902619034E-2</v>
      </c>
      <c r="EU26" s="1" cm="1">
        <f t="array" ref="EU26">OptionRho("C",$DR26,$B$2,EU$23,$D$3,$DS$22,0)</f>
        <v>5.8498314225307893E-2</v>
      </c>
      <c r="EV26" s="1" cm="1">
        <f t="array" ref="EV26">OptionRho("C",$DR26,$B$2,EV$23,$D$3,$DS$22,0)</f>
        <v>0.10563780624914083</v>
      </c>
      <c r="EW26" s="1" cm="1">
        <f t="array" ref="EW26">OptionRho("C",$DR26,$B$2,EW$23,$D$3,$DS$22,0)</f>
        <v>0.15974728250822787</v>
      </c>
      <c r="EX26" s="1" cm="1">
        <f t="array" ref="EX26">OptionRho("C",$DR26,$B$2,EX$23,$D$3,$DS$22,0)</f>
        <v>0.21682538001102203</v>
      </c>
      <c r="EY26" s="1" cm="1">
        <f t="array" ref="EY26">OptionRho("C",$DR26,$B$2,EY$23,$D$3,$DS$22,0)</f>
        <v>0.27396748295955109</v>
      </c>
      <c r="EZ26" s="1" cm="1">
        <f t="array" ref="EZ26">OptionRho("C",$DR26,$B$2,EZ$23,$D$3,$DS$22,0)</f>
        <v>0.32918295193863589</v>
      </c>
      <c r="FA26" s="1" cm="1">
        <f t="array" ref="FA26">OptionRho("C",$DR26,$B$2,FA$23,$D$3,$DS$22,0)</f>
        <v>0.38117402516538057</v>
      </c>
      <c r="FB26" s="1" cm="1">
        <f t="array" ref="FB26">OptionRho("C",$DR26,$B$2,FB$23,$D$3,$DS$22,0)</f>
        <v>0.66506514034232111</v>
      </c>
      <c r="FC26" s="1" cm="1">
        <f t="array" ref="FC26">OptionRho("C",$DR26,$B$2,FC$23,$D$3,$DS$22,0)</f>
        <v>0.65188048879391236</v>
      </c>
      <c r="FD26" s="1" cm="1">
        <f t="array" ref="FD26">OptionRho("C",$DR26,$B$2,FD$23,$D$3,$DS$22,0)</f>
        <v>0.53735332732447472</v>
      </c>
      <c r="FE26" s="1" cm="1">
        <f t="array" ref="FE26">OptionRho("C",$DR26,$B$2,FE$23,$D$3,$DS$22,0)</f>
        <v>0.4095547241716947</v>
      </c>
    </row>
    <row r="27" spans="1:161" x14ac:dyDescent="0.2">
      <c r="A27" s="133"/>
      <c r="B27" s="14">
        <v>75</v>
      </c>
      <c r="C27" s="1" cm="1">
        <f t="array" ref="C27">OptionPrice("C",$B27,$B$2,C$23,$B$3,$C$22,0)</f>
        <v>2.9011531714796257E-3</v>
      </c>
      <c r="D27" s="1" cm="1">
        <f t="array" ref="D27">OptionPrice("C",$B27,$B$2,D$23,$B$3,$C$22,0)</f>
        <v>6.9085257409289724E-2</v>
      </c>
      <c r="E27" s="1" cm="1">
        <f t="array" ref="E27">OptionPrice("C",$B27,$B$2,E$23,$B$3,$C$22,0)</f>
        <v>0.23934029970543369</v>
      </c>
      <c r="F27" s="1" cm="1">
        <f t="array" ref="F27">OptionPrice("C",$B27,$B$2,F$23,$B$3,$C$22,0)</f>
        <v>0.48437482567875456</v>
      </c>
      <c r="G27" s="1" cm="1">
        <f t="array" ref="G27">OptionPrice("C",$B27,$B$2,G$23,$B$3,$C$22,0)</f>
        <v>0.7751262659992566</v>
      </c>
      <c r="H27" s="1" cm="1">
        <f t="array" ref="H27">OptionPrice("C",$B27,$B$2,H$23,$B$3,$C$22,0)</f>
        <v>1.0928579514381411</v>
      </c>
      <c r="I27" s="1" cm="1">
        <f t="array" ref="I27">OptionPrice("C",$B27,$B$2,I$23,$B$3,$C$22,0)</f>
        <v>1.4260727901033441</v>
      </c>
      <c r="J27" s="1" cm="1">
        <f t="array" ref="J27">OptionPrice("C",$B27,$B$2,J$23,$B$3,$C$22,0)</f>
        <v>1.7676483490871444</v>
      </c>
      <c r="K27" s="1" cm="1">
        <f t="array" ref="K27">OptionPrice("C",$B27,$B$2,K$23,$B$3,$C$22,0)</f>
        <v>2.1130845455203957</v>
      </c>
      <c r="L27" s="1" cm="1">
        <f t="array" ref="L27">OptionPrice("C",$B27,$B$2,L$23,$B$3,$C$22,0)</f>
        <v>2.4594858167592726</v>
      </c>
      <c r="M27" s="1" cm="1">
        <f t="array" ref="M27">OptionPrice("C",$B27,$B$2,M$23,$B$3,$C$22,0)</f>
        <v>5.7616829587822522</v>
      </c>
      <c r="N27" s="1" cm="1">
        <f t="array" ref="N27">OptionPrice("C",$B27,$B$2,N$23,$B$3,$C$22,0)</f>
        <v>8.6745275235442172</v>
      </c>
      <c r="O27" s="1" cm="1">
        <f t="array" ref="O27">OptionPrice("C",$B27,$B$2,O$23,$B$3,$C$22,0)</f>
        <v>11.266767258977016</v>
      </c>
      <c r="P27" s="1" cm="1">
        <f t="array" ref="P27">OptionPrice("C",$B27,$B$2,P$23,$B$3,$C$22,0)</f>
        <v>13.611812496101361</v>
      </c>
      <c r="Y27" s="136"/>
      <c r="Z27" s="14">
        <v>75</v>
      </c>
      <c r="AA27" s="1" cm="1">
        <f t="array" ref="AA27">OptionDelta("C",$Z27,$B$2,AA$23,$B$3,$AA$22,0)</f>
        <v>1.4675225785184831E-3</v>
      </c>
      <c r="AB27" s="1" cm="1">
        <f t="array" ref="AB27">OptionDelta("C",$Z27,$B$2,AB$23,$B$3,$AA$22,0)</f>
        <v>1.9591189701574866E-2</v>
      </c>
      <c r="AC27" s="1" cm="1">
        <f t="array" ref="AC27">OptionDelta("C",$Z27,$B$2,AC$23,$B$3,$AA$22,0)</f>
        <v>4.9434506570869327E-2</v>
      </c>
      <c r="AD27" s="1" cm="1">
        <f t="array" ref="AD27">OptionDelta("C",$Z27,$B$2,AD$23,$B$3,$AA$22,0)</f>
        <v>8.0716619021007047E-2</v>
      </c>
      <c r="AE27" s="1" cm="1">
        <f t="array" ref="AE27">OptionDelta("C",$Z27,$B$2,AE$23,$B$3,$AA$22,0)</f>
        <v>0.11000339750396831</v>
      </c>
      <c r="AF27" s="1" cm="1">
        <f t="array" ref="AF27">OptionDelta("C",$Z27,$B$2,AF$23,$B$3,$AA$22,0)</f>
        <v>0.13654438951976758</v>
      </c>
      <c r="AG27" s="1" cm="1">
        <f t="array" ref="AG27">OptionDelta("C",$Z27,$B$2,AG$23,$B$3,$AA$22,0)</f>
        <v>0.16041221101185985</v>
      </c>
      <c r="AH27" s="1" cm="1">
        <f t="array" ref="AH27">OptionDelta("C",$Z27,$B$2,AH$23,$B$3,$AA$22,0)</f>
        <v>0.18189962970104834</v>
      </c>
      <c r="AI27" s="1" cm="1">
        <f t="array" ref="AI27">OptionDelta("C",$Z27,$B$2,AI$23,$B$3,$AA$22,0)</f>
        <v>0.20132818570829822</v>
      </c>
      <c r="AJ27" s="1" cm="1">
        <f t="array" ref="AJ27">OptionDelta("C",$Z27,$B$2,AJ$23,$B$3,$AA$22,0)</f>
        <v>0.21899056011833215</v>
      </c>
      <c r="AK27" s="1" cm="1">
        <f t="array" ref="AK27">OptionDelta("C",$Z27,$B$2,AK$23,$B$3,$AA$22,0)</f>
        <v>0.33768091083242541</v>
      </c>
      <c r="AL27" s="1" cm="1">
        <f t="array" ref="AL27">OptionDelta("C",$Z27,$B$2,AL$23,$B$3,$AA$22,0)</f>
        <v>0.40667685470200449</v>
      </c>
      <c r="AM27" s="1" cm="1">
        <f t="array" ref="AM27">OptionDelta("C",$Z27,$B$2,AM$23,$B$3,$AA$22,0)</f>
        <v>0.45509318992994574</v>
      </c>
      <c r="AN27" s="1" cm="1">
        <f t="array" ref="AN27">OptionDelta("C",$Z27,$B$2,AN$23,$B$3,$AA$22,0)</f>
        <v>0.49245831881467117</v>
      </c>
      <c r="AW27" s="139"/>
      <c r="AX27" s="14">
        <v>75</v>
      </c>
      <c r="AY27" s="1" cm="1">
        <f t="array" ref="AY27">OptionTheta("C",$AX27,$B$2,AY$23,$B$3,$AY$22,0)</f>
        <v>-4.6327047911347183E-4</v>
      </c>
      <c r="AZ27" s="1" cm="1">
        <f t="array" ref="AZ27">OptionTheta("C",$AX27,$B$2,AZ$23,$B$3,$AY$22,0)</f>
        <v>-3.2406257685672554E-3</v>
      </c>
      <c r="BA27" s="1" cm="1">
        <f t="array" ref="BA27">OptionTheta("C",$AX27,$B$2,BA$23,$B$3,$AY$22,0)</f>
        <v>-5.6562876041215708E-3</v>
      </c>
      <c r="BB27" s="1" cm="1">
        <f t="array" ref="BB27">OptionTheta("C",$AX27,$B$2,BB$23,$B$3,$AY$22,0)</f>
        <v>-7.1414604264226599E-3</v>
      </c>
      <c r="BC27" s="1" cm="1">
        <f t="array" ref="BC27">OptionTheta("C",$AX27,$B$2,BC$23,$B$3,$AY$22,0)</f>
        <v>-7.9916234652525273E-3</v>
      </c>
      <c r="BD27" s="1" cm="1">
        <f t="array" ref="BD27">OptionTheta("C",$AX27,$B$2,BD$23,$B$3,$AY$22,0)</f>
        <v>-8.4562843485097329E-3</v>
      </c>
      <c r="BE27" s="1" cm="1">
        <f t="array" ref="BE27">OptionTheta("C",$AX27,$B$2,BE$23,$B$3,$AY$22,0)</f>
        <v>-8.6879639954859089E-3</v>
      </c>
      <c r="BF27" s="1" cm="1">
        <f t="array" ref="BF27">OptionTheta("C",$AX27,$B$2,BF$23,$B$3,$AY$22,0)</f>
        <v>-8.7766387095171896E-3</v>
      </c>
      <c r="BG27" s="1" cm="1">
        <f t="array" ref="BG27">OptionTheta("C",$AX27,$B$2,BG$23,$B$3,$AY$22,0)</f>
        <v>-8.7761457373693313E-3</v>
      </c>
      <c r="BH27" s="1" cm="1">
        <f t="array" ref="BH27">OptionTheta("C",$AX27,$B$2,BH$23,$B$3,$AY$22,0)</f>
        <v>-8.7194964417501991E-3</v>
      </c>
      <c r="BI27" s="1" cm="1">
        <f t="array" ref="BI27">OptionTheta("C",$AX27,$B$2,BI$23,$B$3,$AY$22,0)</f>
        <v>-7.4286707718004127E-3</v>
      </c>
      <c r="BJ27" s="1" cm="1">
        <f t="array" ref="BJ27">OptionTheta("C",$AX27,$B$2,BJ$23,$B$3,$AY$22,0)</f>
        <v>-6.3060789270419706E-3</v>
      </c>
      <c r="BK27" s="1" cm="1">
        <f t="array" ref="BK27">OptionTheta("C",$AX27,$B$2,BK$23,$B$3,$AY$22,0)</f>
        <v>-5.4826468127928043E-3</v>
      </c>
      <c r="BL27" s="1" cm="1">
        <f t="array" ref="BL27">OptionTheta("C",$AX27,$B$2,BL$23,$B$3,$AY$22,0)</f>
        <v>-4.859055785348859E-3</v>
      </c>
      <c r="BU27" s="142"/>
      <c r="BV27" s="14">
        <v>75</v>
      </c>
      <c r="BW27" s="1" cm="1">
        <f t="array" ref="BW27">OptionGamma($BV27,$B$2,BW$23,$B$3,$BW$22,0)</f>
        <v>6.7225819369320027E-4</v>
      </c>
      <c r="BX27" s="1" cm="1">
        <f t="array" ref="BX27">OptionGamma($BV27,$B$2,BX$23,$B$3,$BW$22,0)</f>
        <v>4.7282210181891805E-3</v>
      </c>
      <c r="BY27" s="1" cm="1">
        <f t="array" ref="BY27">OptionGamma($BV27,$B$2,BY$23,$B$3,$BW$22,0)</f>
        <v>8.2932442565351958E-3</v>
      </c>
      <c r="BZ27" s="1" cm="1">
        <f t="array" ref="BZ27">OptionGamma($BV27,$B$2,BZ$23,$B$3,$BW$22,0)</f>
        <v>1.0517834159617734E-2</v>
      </c>
      <c r="CA27" s="1" cm="1">
        <f t="array" ref="CA27">OptionGamma($BV27,$B$2,CA$23,$B$3,$BW$22,0)</f>
        <v>1.1819037433225307E-2</v>
      </c>
      <c r="CB27" s="1" cm="1">
        <f t="array" ref="CB27">OptionGamma($BV27,$B$2,CB$23,$B$3,$BW$22,0)</f>
        <v>1.2555154567235544E-2</v>
      </c>
      <c r="CC27" s="1" cm="1">
        <f t="array" ref="CC27">OptionGamma($BV27,$B$2,CC$23,$B$3,$BW$22,0)</f>
        <v>1.2946786325768763E-2</v>
      </c>
      <c r="CD27" s="1" cm="1">
        <f t="array" ref="CD27">OptionGamma($BV27,$B$2,CD$23,$B$3,$BW$22,0)</f>
        <v>1.3124825156577539E-2</v>
      </c>
      <c r="CE27" s="1" cm="1">
        <f t="array" ref="CE27">OptionGamma($BV27,$B$2,CE$23,$B$3,$BW$22,0)</f>
        <v>1.3168033532704496E-2</v>
      </c>
      <c r="CF27" s="1" cm="1">
        <f t="array" ref="CF27">OptionGamma($BV27,$B$2,CF$23,$B$3,$BW$22,0)</f>
        <v>1.3124994619891275E-2</v>
      </c>
      <c r="CG27" s="1" cm="1">
        <f t="array" ref="CG27">OptionGamma($BV27,$B$2,CG$23,$B$3,$BW$22,0)</f>
        <v>1.1484873818246508E-2</v>
      </c>
      <c r="CH27" s="1" cm="1">
        <f t="array" ref="CH27">OptionGamma($BV27,$B$2,CH$23,$B$3,$BW$22,0)</f>
        <v>9.9554811818721202E-3</v>
      </c>
      <c r="CI27" s="1" cm="1">
        <f t="array" ref="CI27">OptionGamma($BV27,$B$2,CI$23,$B$3,$BW$22,0)</f>
        <v>8.8091587418353094E-3</v>
      </c>
      <c r="CJ27" s="1" cm="1">
        <f t="array" ref="CJ27">OptionGamma($BV27,$B$2,CJ$23,$B$3,$BW$22,0)</f>
        <v>7.9280236081079453E-3</v>
      </c>
      <c r="CS27" s="145"/>
      <c r="CT27" s="14">
        <v>75</v>
      </c>
      <c r="CU27" s="1" cm="1">
        <f t="array" ref="CU27">OptionVega($CT27,$B$2,CU$23,$B$3,$CU$22,0)</f>
        <v>1.1344357018572753E-3</v>
      </c>
      <c r="CV27" s="1" cm="1">
        <f t="array" ref="CV27">OptionVega($CT27,$B$2,CV$23,$B$3,$CU$22,0)</f>
        <v>1.5957745936388483E-2</v>
      </c>
      <c r="CW27" s="1" cm="1">
        <f t="array" ref="CW27">OptionVega($CT27,$B$2,CW$23,$B$3,$CU$22,0)</f>
        <v>4.1984549048709421E-2</v>
      </c>
      <c r="CX27" s="1" cm="1">
        <f t="array" ref="CX27">OptionVega($CT27,$B$2,CX$23,$B$3,$CU$22,0)</f>
        <v>7.0995380577419692E-2</v>
      </c>
      <c r="CY27" s="1" cm="1">
        <f t="array" ref="CY27">OptionVega($CT27,$B$2,CY$23,$B$3,$CU$22,0)</f>
        <v>9.9723128342838543E-2</v>
      </c>
      <c r="CZ27" s="1" cm="1">
        <f t="array" ref="CZ27">OptionVega($CT27,$B$2,CZ$23,$B$3,$CU$22,0)</f>
        <v>0.12712093999325988</v>
      </c>
      <c r="DA27" s="1" cm="1">
        <f t="array" ref="DA27">OptionVega($CT27,$B$2,DA$23,$B$3,$CU$22,0)</f>
        <v>0.1529339134731435</v>
      </c>
      <c r="DB27" s="1" cm="1">
        <f t="array" ref="DB27">OptionVega($CT27,$B$2,DB$23,$B$3,$CU$22,0)</f>
        <v>0.17718513961379675</v>
      </c>
      <c r="DC27" s="1" cm="1">
        <f t="array" ref="DC27">OptionVega($CT27,$B$2,DC$23,$B$3,$CU$22,0)</f>
        <v>0.19998950927794951</v>
      </c>
      <c r="DD27" s="1" cm="1">
        <f t="array" ref="DD27">OptionVega($CT27,$B$2,DD$23,$B$3,$CU$22,0)</f>
        <v>0.22148428421066527</v>
      </c>
      <c r="DE27" s="1" cm="1">
        <f t="array" ref="DE27">OptionVega($CT27,$B$2,DE$23,$B$3,$CU$22,0)</f>
        <v>0.38761449136581971</v>
      </c>
      <c r="DF27" s="1" cm="1">
        <f t="array" ref="DF27">OptionVega($CT27,$B$2,DF$23,$B$3,$CU$22,0)</f>
        <v>0.50399623483227596</v>
      </c>
      <c r="DG27" s="1" cm="1">
        <f t="array" ref="DG27">OptionVega($CT27,$B$2,DG$23,$B$3,$CU$22,0)</f>
        <v>0.59461821507388335</v>
      </c>
      <c r="DH27" s="1" cm="1">
        <f t="array" ref="DH27">OptionVega($CT27,$B$2,DH$23,$B$3,$CU$22,0)</f>
        <v>0.66892699193410787</v>
      </c>
      <c r="DQ27" s="130"/>
      <c r="DR27" s="14">
        <v>75</v>
      </c>
      <c r="DS27" s="1" cm="1">
        <f t="array" ref="DS27">OptionRho("C",$DR27,$B$2,DS$23,$B$3,$DS$22,0)</f>
        <v>1.0716304021740663E-4</v>
      </c>
      <c r="DT27" s="1" cm="1">
        <f t="array" ref="DT27">OptionRho("C",$DR27,$B$2,DT$23,$B$3,$DS$22,0)</f>
        <v>2.8005079404176507E-3</v>
      </c>
      <c r="DU27" s="1" cm="1">
        <f t="array" ref="DU27">OptionRho("C",$DR27,$B$2,DU$23,$B$3,$DS$22,0)</f>
        <v>1.0404743079329298E-2</v>
      </c>
      <c r="DV27" s="1" cm="1">
        <f t="array" ref="DV27">OptionRho("C",$DR27,$B$2,DV$23,$B$3,$DS$22,0)</f>
        <v>2.2277486403587093E-2</v>
      </c>
      <c r="DW27" s="1" cm="1">
        <f t="array" ref="DW27">OptionRho("C",$DR27,$B$2,DW$23,$B$3,$DS$22,0)</f>
        <v>3.7375642733991826E-2</v>
      </c>
      <c r="DX27" s="1" cm="1">
        <f t="array" ref="DX27">OptionRho("C",$DR27,$B$2,DX$23,$B$3,$DS$22,0)</f>
        <v>5.4887827575266564E-2</v>
      </c>
      <c r="DY27" s="1" cm="1">
        <f t="array" ref="DY27">OptionRho("C",$DR27,$B$2,DY$23,$B$3,$DS$22,0)</f>
        <v>7.4233901250503012E-2</v>
      </c>
      <c r="DZ27" s="1" cm="1">
        <f t="array" ref="DZ27">OptionRho("C",$DR27,$B$2,DZ$23,$B$3,$DS$22,0)</f>
        <v>9.4998591027931858E-2</v>
      </c>
      <c r="EA27" s="1" cm="1">
        <f t="array" ref="EA27">OptionRho("C",$DR27,$B$2,EA$23,$B$3,$DS$22,0)</f>
        <v>0.11687876444341773</v>
      </c>
      <c r="EB27" s="1" cm="1">
        <f t="array" ref="EB27">OptionRho("C",$DR27,$B$2,EB$23,$B$3,$DS$22,0)</f>
        <v>0.13964806192115639</v>
      </c>
      <c r="EC27" s="1" cm="1">
        <f t="array" ref="EC27">OptionRho("C",$DR27,$B$2,EC$23,$B$3,$DS$22,0)</f>
        <v>0.3912877070729931</v>
      </c>
      <c r="ED27" s="1" cm="1">
        <f t="array" ref="ED27">OptionRho("C",$DR27,$B$2,ED$23,$B$3,$DS$22,0)</f>
        <v>0.65478709737318352</v>
      </c>
      <c r="EE27" s="1" cm="1">
        <f t="array" ref="EE27">OptionRho("C",$DR27,$B$2,EE$23,$B$3,$DS$22,0)</f>
        <v>0.91460887943075675</v>
      </c>
      <c r="EF27" s="1" cm="1">
        <f t="array" ref="EF27">OptionRho("C",$DR27,$B$2,EF$23,$B$3,$DS$22,0)</f>
        <v>1.1661280707499488</v>
      </c>
      <c r="EP27" s="130"/>
      <c r="EQ27" s="14">
        <v>75</v>
      </c>
      <c r="ER27" s="1" cm="1">
        <f t="array" ref="ER27">OptionRho("C",$DR27,$B$2,ER$23,$D$3,$DS$22,0)</f>
        <v>5.0821202934027226E-4</v>
      </c>
      <c r="ES27" s="1" cm="1">
        <f t="array" ref="ES27">OptionRho("C",$DR27,$B$2,ES$23,$D$3,$DS$22,0)</f>
        <v>1.2907804008633046E-2</v>
      </c>
      <c r="ET27" s="1" cm="1">
        <f t="array" ref="ET27">OptionRho("C",$DR27,$B$2,ET$23,$D$3,$DS$22,0)</f>
        <v>4.6160487618972464E-2</v>
      </c>
      <c r="EU27" s="1" cm="1">
        <f t="array" ref="EU27">OptionRho("C",$DR27,$B$2,EU$23,$D$3,$DS$22,0)</f>
        <v>9.456862866391115E-2</v>
      </c>
      <c r="EV27" s="1" cm="1">
        <f t="array" ref="EV27">OptionRho("C",$DR27,$B$2,EV$23,$D$3,$DS$22,0)</f>
        <v>0.15121186667594352</v>
      </c>
      <c r="EW27" s="1" cm="1">
        <f t="array" ref="EW27">OptionRho("C",$DR27,$B$2,EW$23,$D$3,$DS$22,0)</f>
        <v>0.2110491646434009</v>
      </c>
      <c r="EX27" s="1" cm="1">
        <f t="array" ref="EX27">OptionRho("C",$DR27,$B$2,EX$23,$D$3,$DS$22,0)</f>
        <v>0.27074255496279598</v>
      </c>
      <c r="EY27" s="1" cm="1">
        <f t="array" ref="EY27">OptionRho("C",$DR27,$B$2,EY$23,$D$3,$DS$22,0)</f>
        <v>0.32816498144326001</v>
      </c>
      <c r="EZ27" s="1" cm="1">
        <f t="array" ref="EZ27">OptionRho("C",$DR27,$B$2,EZ$23,$D$3,$DS$22,0)</f>
        <v>0.38201261857270846</v>
      </c>
      <c r="FA27" s="1" cm="1">
        <f t="array" ref="FA27">OptionRho("C",$DR27,$B$2,FA$23,$D$3,$DS$22,0)</f>
        <v>0.43153709939574525</v>
      </c>
      <c r="FB27" s="1" cm="1">
        <f t="array" ref="FB27">OptionRho("C",$DR27,$B$2,FB$23,$D$3,$DS$22,0)</f>
        <v>0.68336338474156955</v>
      </c>
      <c r="FC27" s="1" cm="1">
        <f t="array" ref="FC27">OptionRho("C",$DR27,$B$2,FC$23,$D$3,$DS$22,0)</f>
        <v>0.65662372057396645</v>
      </c>
      <c r="FD27" s="1" cm="1">
        <f t="array" ref="FD27">OptionRho("C",$DR27,$B$2,FD$23,$D$3,$DS$22,0)</f>
        <v>0.53845754135653501</v>
      </c>
      <c r="FE27" s="1" cm="1">
        <f t="array" ref="FE27">OptionRho("C",$DR27,$B$2,FE$23,$D$3,$DS$22,0)</f>
        <v>0.40979882141316271</v>
      </c>
    </row>
    <row r="28" spans="1:161" x14ac:dyDescent="0.2">
      <c r="A28" s="133"/>
      <c r="B28" s="14">
        <v>80</v>
      </c>
      <c r="C28" s="1" cm="1">
        <f t="array" ref="C28">OptionPrice("C",$B28,$B$2,C$23,$B$3,$C$22,0)</f>
        <v>2.7446643264595227E-2</v>
      </c>
      <c r="D28" s="1" cm="1">
        <f t="array" ref="D28">OptionPrice("C",$B28,$B$2,D$23,$B$3,$C$22,0)</f>
        <v>0.24798699406452318</v>
      </c>
      <c r="E28" s="1" cm="1">
        <f t="array" ref="E28">OptionPrice("C",$B28,$B$2,E$23,$B$3,$C$22,0)</f>
        <v>0.6121600953629045</v>
      </c>
      <c r="F28" s="1" cm="1">
        <f t="array" ref="F28">OptionPrice("C",$B28,$B$2,F$23,$B$3,$C$22,0)</f>
        <v>1.0381906578172906</v>
      </c>
      <c r="G28" s="1" cm="1">
        <f t="array" ref="G28">OptionPrice("C",$B28,$B$2,G$23,$B$3,$C$22,0)</f>
        <v>1.4882093860808698</v>
      </c>
      <c r="H28" s="1" cm="1">
        <f t="array" ref="H28">OptionPrice("C",$B28,$B$2,H$23,$B$3,$C$22,0)</f>
        <v>1.9448923403821556</v>
      </c>
      <c r="I28" s="1" cm="1">
        <f t="array" ref="I28">OptionPrice("C",$B28,$B$2,I$23,$B$3,$C$22,0)</f>
        <v>2.3999272802671996</v>
      </c>
      <c r="J28" s="1" cm="1">
        <f t="array" ref="J28">OptionPrice("C",$B28,$B$2,J$23,$B$3,$C$22,0)</f>
        <v>2.8492160408490435</v>
      </c>
      <c r="K28" s="1" cm="1">
        <f t="array" ref="K28">OptionPrice("C",$B28,$B$2,K$23,$B$3,$C$22,0)</f>
        <v>3.2907583763560311</v>
      </c>
      <c r="L28" s="1" cm="1">
        <f t="array" ref="L28">OptionPrice("C",$B28,$B$2,L$23,$B$3,$C$22,0)</f>
        <v>3.7236496085421251</v>
      </c>
      <c r="M28" s="1" cm="1">
        <f t="array" ref="M28">OptionPrice("C",$B28,$B$2,M$23,$B$3,$C$22,0)</f>
        <v>7.5933247959000738</v>
      </c>
      <c r="N28" s="1" cm="1">
        <f t="array" ref="N28">OptionPrice("C",$B28,$B$2,N$23,$B$3,$C$22,0)</f>
        <v>10.83072359810836</v>
      </c>
      <c r="O28" s="1" cm="1">
        <f t="array" ref="O28">OptionPrice("C",$B28,$B$2,O$23,$B$3,$C$22,0)</f>
        <v>13.650313177035141</v>
      </c>
      <c r="P28" s="1" cm="1">
        <f t="array" ref="P28">OptionPrice("C",$B28,$B$2,P$23,$B$3,$C$22,0)</f>
        <v>16.171056434810197</v>
      </c>
      <c r="Y28" s="136"/>
      <c r="Z28" s="14">
        <v>80</v>
      </c>
      <c r="AA28" s="1" cm="1">
        <f t="array" ref="AA28">OptionDelta("C",$Z28,$B$2,AA$23,$B$3,$AA$22,0)</f>
        <v>1.0890526735845741E-2</v>
      </c>
      <c r="AB28" s="1" cm="1">
        <f t="array" ref="AB28">OptionDelta("C",$Z28,$B$2,AB$23,$B$3,$AA$22,0)</f>
        <v>5.6913337986291397E-2</v>
      </c>
      <c r="AC28" s="1" cm="1">
        <f t="array" ref="AC28">OptionDelta("C",$Z28,$B$2,AC$23,$B$3,$AA$22,0)</f>
        <v>0.10426956463923276</v>
      </c>
      <c r="AD28" s="1" cm="1">
        <f t="array" ref="AD28">OptionDelta("C",$Z28,$B$2,AD$23,$B$3,$AA$22,0)</f>
        <v>0.14454509647225661</v>
      </c>
      <c r="AE28" s="1" cm="1">
        <f t="array" ref="AE28">OptionDelta("C",$Z28,$B$2,AE$23,$B$3,$AA$22,0)</f>
        <v>0.17819321540160804</v>
      </c>
      <c r="AF28" s="1" cm="1">
        <f t="array" ref="AF28">OptionDelta("C",$Z28,$B$2,AF$23,$B$3,$AA$22,0)</f>
        <v>0.20660792036453604</v>
      </c>
      <c r="AG28" s="1" cm="1">
        <f t="array" ref="AG28">OptionDelta("C",$Z28,$B$2,AG$23,$B$3,$AA$22,0)</f>
        <v>0.23097566222627239</v>
      </c>
      <c r="AH28" s="1" cm="1">
        <f t="array" ref="AH28">OptionDelta("C",$Z28,$B$2,AH$23,$B$3,$AA$22,0)</f>
        <v>0.25218534923298636</v>
      </c>
      <c r="AI28" s="1" cm="1">
        <f t="array" ref="AI28">OptionDelta("C",$Z28,$B$2,AI$23,$B$3,$AA$22,0)</f>
        <v>0.27089074616784536</v>
      </c>
      <c r="AJ28" s="1" cm="1">
        <f t="array" ref="AJ28">OptionDelta("C",$Z28,$B$2,AJ$23,$B$3,$AA$22,0)</f>
        <v>0.28757654881407335</v>
      </c>
      <c r="AK28" s="1" cm="1">
        <f t="array" ref="AK28">OptionDelta("C",$Z28,$B$2,AK$23,$B$3,$AA$22,0)</f>
        <v>0.39485704248118841</v>
      </c>
      <c r="AL28" s="1" cm="1">
        <f t="array" ref="AL28">OptionDelta("C",$Z28,$B$2,AL$23,$B$3,$AA$22,0)</f>
        <v>0.45545241211238541</v>
      </c>
      <c r="AM28" s="1" cm="1">
        <f t="array" ref="AM28">OptionDelta("C",$Z28,$B$2,AM$23,$B$3,$AA$22,0)</f>
        <v>0.49790985034594043</v>
      </c>
      <c r="AN28" s="1" cm="1">
        <f t="array" ref="AN28">OptionDelta("C",$Z28,$B$2,AN$23,$B$3,$AA$22,0)</f>
        <v>0.53080875955769424</v>
      </c>
      <c r="AW28" s="139"/>
      <c r="AX28" s="14">
        <v>80</v>
      </c>
      <c r="AY28" s="1" cm="1">
        <f t="array" ref="AY28">OptionTheta("C",$AX28,$B$2,AY$23,$B$3,$AY$22,0)</f>
        <v>-2.9616540909428806E-3</v>
      </c>
      <c r="AZ28" s="1" cm="1">
        <f t="array" ref="AZ28">OptionTheta("C",$AX28,$B$2,AZ$23,$B$3,$AY$22,0)</f>
        <v>-8.2835442380334197E-3</v>
      </c>
      <c r="BA28" s="1" cm="1">
        <f t="array" ref="BA28">OptionTheta("C",$AX28,$B$2,BA$23,$B$3,$AY$22,0)</f>
        <v>-1.064776362079203E-2</v>
      </c>
      <c r="BB28" s="1" cm="1">
        <f t="array" ref="BB28">OptionTheta("C",$AX28,$B$2,BB$23,$B$3,$AY$22,0)</f>
        <v>-1.153460687158504E-2</v>
      </c>
      <c r="BC28" s="1" cm="1">
        <f t="array" ref="BC28">OptionTheta("C",$AX28,$B$2,BC$23,$B$3,$AY$22,0)</f>
        <v>-1.1773234613842614E-2</v>
      </c>
      <c r="BD28" s="1" cm="1">
        <f t="array" ref="BD28">OptionTheta("C",$AX28,$B$2,BD$23,$B$3,$AY$22,0)</f>
        <v>-1.171580843406738E-2</v>
      </c>
      <c r="BE28" s="1" cm="1">
        <f t="array" ref="BE28">OptionTheta("C",$AX28,$B$2,BE$23,$B$3,$AY$22,0)</f>
        <v>-1.1519676675133329E-2</v>
      </c>
      <c r="BF28" s="1" cm="1">
        <f t="array" ref="BF28">OptionTheta("C",$AX28,$B$2,BF$23,$B$3,$AY$22,0)</f>
        <v>-1.12598330327168E-2</v>
      </c>
      <c r="BG28" s="1" cm="1">
        <f t="array" ref="BG28">OptionTheta("C",$AX28,$B$2,BG$23,$B$3,$AY$22,0)</f>
        <v>-1.0973852704484669E-2</v>
      </c>
      <c r="BH28" s="1" cm="1">
        <f t="array" ref="BH28">OptionTheta("C",$AX28,$B$2,BH$23,$B$3,$AY$22,0)</f>
        <v>-1.0681171916490347E-2</v>
      </c>
      <c r="BI28" s="1" cm="1">
        <f t="array" ref="BI28">OptionTheta("C",$AX28,$B$2,BI$23,$B$3,$AY$22,0)</f>
        <v>-8.2929479392561956E-3</v>
      </c>
      <c r="BJ28" s="1" cm="1">
        <f t="array" ref="BJ28">OptionTheta("C",$AX28,$B$2,BJ$23,$B$3,$AY$22,0)</f>
        <v>-6.8236953758965754E-3</v>
      </c>
      <c r="BK28" s="1" cm="1">
        <f t="array" ref="BK28">OptionTheta("C",$AX28,$B$2,BK$23,$B$3,$AY$22,0)</f>
        <v>-5.8405372096270811E-3</v>
      </c>
      <c r="BL28" s="1" cm="1">
        <f t="array" ref="BL28">OptionTheta("C",$AX28,$B$2,BL$23,$B$3,$AY$22,0)</f>
        <v>-5.1277401270427925E-3</v>
      </c>
      <c r="BU28" s="142"/>
      <c r="BV28" s="14">
        <v>80</v>
      </c>
      <c r="BW28" s="1" cm="1">
        <f t="array" ref="BW28">OptionGamma($BV28,$B$2,BW$23,$B$3,$BW$22,0)</f>
        <v>3.7827836741325775E-3</v>
      </c>
      <c r="BX28" s="1" cm="1">
        <f t="array" ref="BX28">OptionGamma($BV28,$B$2,BX$23,$B$3,$BW$22,0)</f>
        <v>1.0647723775453427E-2</v>
      </c>
      <c r="BY28" s="1" cm="1">
        <f t="array" ref="BY28">OptionGamma($BV28,$B$2,BY$23,$B$3,$BW$22,0)</f>
        <v>1.3762943653982113E-2</v>
      </c>
      <c r="BZ28" s="1" cm="1">
        <f t="array" ref="BZ28">OptionGamma($BV28,$B$2,BZ$23,$B$3,$BW$22,0)</f>
        <v>1.4983978051139487E-2</v>
      </c>
      <c r="CA28" s="1" cm="1">
        <f t="array" ref="CA28">OptionGamma($BV28,$B$2,CA$23,$B$3,$BW$22,0)</f>
        <v>1.5364246918448029E-2</v>
      </c>
      <c r="CB28" s="1" cm="1">
        <f t="array" ref="CB28">OptionGamma($BV28,$B$2,CB$23,$B$3,$BW$22,0)</f>
        <v>1.5354539900425004E-2</v>
      </c>
      <c r="CC28" s="1" cm="1">
        <f t="array" ref="CC28">OptionGamma($BV28,$B$2,CC$23,$B$3,$BW$22,0)</f>
        <v>1.5157858484034765E-2</v>
      </c>
      <c r="CD28" s="1" cm="1">
        <f t="array" ref="CD28">OptionGamma($BV28,$B$2,CD$23,$B$3,$BW$22,0)</f>
        <v>1.4871858249720597E-2</v>
      </c>
      <c r="CE28" s="1" cm="1">
        <f t="array" ref="CE28">OptionGamma($BV28,$B$2,CE$23,$B$3,$BW$22,0)</f>
        <v>1.4546046008012571E-2</v>
      </c>
      <c r="CF28" s="1" cm="1">
        <f t="array" ref="CF28">OptionGamma($BV28,$B$2,CF$23,$B$3,$BW$22,0)</f>
        <v>1.4206432265572271E-2</v>
      </c>
      <c r="CG28" s="1" cm="1">
        <f t="array" ref="CG28">OptionGamma($BV28,$B$2,CG$23,$B$3,$BW$22,0)</f>
        <v>1.1343327721716881E-2</v>
      </c>
      <c r="CH28" s="1" cm="1">
        <f t="array" ref="CH28">OptionGamma($BV28,$B$2,CH$23,$B$3,$BW$22,0)</f>
        <v>9.5371649510801234E-3</v>
      </c>
      <c r="CI28" s="1" cm="1">
        <f t="array" ref="CI28">OptionGamma($BV28,$B$2,CI$23,$B$3,$BW$22,0)</f>
        <v>8.3111834375704362E-3</v>
      </c>
      <c r="CJ28" s="1" cm="1">
        <f t="array" ref="CJ28">OptionGamma($BV28,$B$2,CJ$23,$B$3,$BW$22,0)</f>
        <v>7.4116721863495584E-3</v>
      </c>
      <c r="CS28" s="145"/>
      <c r="CT28" s="14">
        <v>80</v>
      </c>
      <c r="CU28" s="1" cm="1">
        <f t="array" ref="CU28">OptionVega($CT28,$B$2,CU$23,$B$3,$CU$22,0)</f>
        <v>7.2629446543345496E-3</v>
      </c>
      <c r="CV28" s="1" cm="1">
        <f t="array" ref="CV28">OptionVega($CT28,$B$2,CV$23,$B$3,$CU$22,0)</f>
        <v>4.0887259297741153E-2</v>
      </c>
      <c r="CW28" s="1" cm="1">
        <f t="array" ref="CW28">OptionVega($CT28,$B$2,CW$23,$B$3,$CU$22,0)</f>
        <v>7.9274555446936956E-2</v>
      </c>
      <c r="CX28" s="1" cm="1">
        <f t="array" ref="CX28">OptionVega($CT28,$B$2,CX$23,$B$3,$CU$22,0)</f>
        <v>0.11507695143275126</v>
      </c>
      <c r="CY28" s="1" cm="1">
        <f t="array" ref="CY28">OptionVega($CT28,$B$2,CY$23,$B$3,$CU$22,0)</f>
        <v>0.14749677041710108</v>
      </c>
      <c r="CZ28" s="1" cm="1">
        <f t="array" ref="CZ28">OptionVega($CT28,$B$2,CZ$23,$B$3,$CU$22,0)</f>
        <v>0.17688429965289609</v>
      </c>
      <c r="DA28" s="1" cm="1">
        <f t="array" ref="DA28">OptionVega($CT28,$B$2,DA$23,$B$3,$CU$22,0)</f>
        <v>0.20372161802542726</v>
      </c>
      <c r="DB28" s="1" cm="1">
        <f t="array" ref="DB28">OptionVega($CT28,$B$2,DB$23,$B$3,$CU$22,0)</f>
        <v>0.22843174271570832</v>
      </c>
      <c r="DC28" s="1" cm="1">
        <f t="array" ref="DC28">OptionVega($CT28,$B$2,DC$23,$B$3,$CU$22,0)</f>
        <v>0.25135567501845724</v>
      </c>
      <c r="DD28" s="1" cm="1">
        <f t="array" ref="DD28">OptionVega($CT28,$B$2,DD$23,$B$3,$CU$22,0)</f>
        <v>0.27276349949898759</v>
      </c>
      <c r="DE28" s="1" cm="1">
        <f t="array" ref="DE28">OptionVega($CT28,$B$2,DE$23,$B$3,$CU$22,0)</f>
        <v>0.43558378451392826</v>
      </c>
      <c r="DF28" s="1" cm="1">
        <f t="array" ref="DF28">OptionVega($CT28,$B$2,DF$23,$B$3,$CU$22,0)</f>
        <v>0.54934070118221501</v>
      </c>
      <c r="DG28" s="1" cm="1">
        <f t="array" ref="DG28">OptionVega($CT28,$B$2,DG$23,$B$3,$CU$22,0)</f>
        <v>0.63829888800540957</v>
      </c>
      <c r="DH28" s="1" cm="1">
        <f t="array" ref="DH28">OptionVega($CT28,$B$2,DH$23,$B$3,$CU$22,0)</f>
        <v>0.71152052988955772</v>
      </c>
      <c r="DQ28" s="130"/>
      <c r="DR28" s="14">
        <v>80</v>
      </c>
      <c r="DS28" s="1" cm="1">
        <f t="array" ref="DS28">OptionRho("C",$DR28,$B$2,DS$23,$B$3,$DS$22,0)</f>
        <v>8.4379549560306417E-4</v>
      </c>
      <c r="DT28" s="1" cm="1">
        <f t="array" ref="DT28">OptionRho("C",$DR28,$B$2,DT$23,$B$3,$DS$22,0)</f>
        <v>8.6101600896775782E-3</v>
      </c>
      <c r="DU28" s="1" cm="1">
        <f t="array" ref="DU28">OptionRho("C",$DR28,$B$2,DU$23,$B$3,$DS$22,0)</f>
        <v>2.3188215227327152E-2</v>
      </c>
      <c r="DV28" s="1" cm="1">
        <f t="array" ref="DV28">OptionRho("C",$DR28,$B$2,DV$23,$B$3,$DS$22,0)</f>
        <v>4.2101668239852952E-2</v>
      </c>
      <c r="DW28" s="1" cm="1">
        <f t="array" ref="DW28">OptionRho("C",$DR28,$B$2,DW$23,$B$3,$DS$22,0)</f>
        <v>6.3836239230238859E-2</v>
      </c>
      <c r="DX28" s="1" cm="1">
        <f t="array" ref="DX28">OptionRho("C",$DR28,$B$2,DX$23,$B$3,$DS$22,0)</f>
        <v>8.7502447732684355E-2</v>
      </c>
      <c r="DY28" s="1" cm="1">
        <f t="array" ref="DY28">OptionRho("C",$DR28,$B$2,DY$23,$B$3,$DS$22,0)</f>
        <v>0.11254687988484213</v>
      </c>
      <c r="DZ28" s="1" cm="1">
        <f t="array" ref="DZ28">OptionRho("C",$DR28,$B$2,DZ$23,$B$3,$DS$22,0)</f>
        <v>0.13860489518231894</v>
      </c>
      <c r="EA28" s="1" cm="1">
        <f t="array" ref="EA28">OptionRho("C",$DR28,$B$2,EA$23,$B$3,$DS$22,0)</f>
        <v>0.16542451185364437</v>
      </c>
      <c r="EB28" s="1" cm="1">
        <f t="array" ref="EB28">OptionRho("C",$DR28,$B$2,EB$23,$B$3,$DS$22,0)</f>
        <v>0.19282474296583746</v>
      </c>
      <c r="EC28" s="1" cm="1">
        <f t="array" ref="EC28">OptionRho("C",$DR28,$B$2,EC$23,$B$3,$DS$22,0)</f>
        <v>0.47990477205190002</v>
      </c>
      <c r="ED28" s="1" cm="1">
        <f t="array" ref="ED28">OptionRho("C",$DR28,$B$2,ED$23,$B$3,$DS$22,0)</f>
        <v>0.76816408112647405</v>
      </c>
      <c r="EE28" s="1" cm="1">
        <f t="array" ref="EE28">OptionRho("C",$DR28,$B$2,EE$23,$B$3,$DS$22,0)</f>
        <v>1.0472989940256039</v>
      </c>
      <c r="EF28" s="1" cm="1">
        <f t="array" ref="EF28">OptionRho("C",$DR28,$B$2,EF$23,$B$3,$DS$22,0)</f>
        <v>1.3146822164902674</v>
      </c>
      <c r="EP28" s="130"/>
      <c r="EQ28" s="14">
        <v>80</v>
      </c>
      <c r="ER28" s="1" cm="1">
        <f t="array" ref="ER28">OptionRho("C",$DR28,$B$2,ER$23,$D$3,$DS$22,0)</f>
        <v>2.9076072131271162E-3</v>
      </c>
      <c r="ES28" s="1" cm="1">
        <f t="array" ref="ES28">OptionRho("C",$DR28,$B$2,ES$23,$D$3,$DS$22,0)</f>
        <v>2.9375872839991529E-2</v>
      </c>
      <c r="ET28" s="1" cm="1">
        <f t="array" ref="ET28">OptionRho("C",$DR28,$B$2,ET$23,$D$3,$DS$22,0)</f>
        <v>7.7203975302595221E-2</v>
      </c>
      <c r="EU28" s="1" cm="1">
        <f t="array" ref="EU28">OptionRho("C",$DR28,$B$2,EU$23,$D$3,$DS$22,0)</f>
        <v>0.13563563746440127</v>
      </c>
      <c r="EV28" s="1" cm="1">
        <f t="array" ref="EV28">OptionRho("C",$DR28,$B$2,EV$23,$D$3,$DS$22,0)</f>
        <v>0.19789028087369739</v>
      </c>
      <c r="EW28" s="1" cm="1">
        <f t="array" ref="EW28">OptionRho("C",$DR28,$B$2,EW$23,$D$3,$DS$22,0)</f>
        <v>0.2600005829797693</v>
      </c>
      <c r="EX28" s="1" cm="1">
        <f t="array" ref="EX28">OptionRho("C",$DR28,$B$2,EX$23,$D$3,$DS$22,0)</f>
        <v>0.3196433533755112</v>
      </c>
      <c r="EY28" s="1" cm="1">
        <f t="array" ref="EY28">OptionRho("C",$DR28,$B$2,EY$23,$D$3,$DS$22,0)</f>
        <v>0.37547998481257855</v>
      </c>
      <c r="EZ28" s="1" cm="1">
        <f t="array" ref="EZ28">OptionRho("C",$DR28,$B$2,EZ$23,$D$3,$DS$22,0)</f>
        <v>0.42678276458425202</v>
      </c>
      <c r="FA28" s="1" cm="1">
        <f t="array" ref="FA28">OptionRho("C",$DR28,$B$2,FA$23,$D$3,$DS$22,0)</f>
        <v>0.47321270350771949</v>
      </c>
      <c r="FB28" s="1" cm="1">
        <f t="array" ref="FB28">OptionRho("C",$DR28,$B$2,FB$23,$D$3,$DS$22,0)</f>
        <v>0.69696194992800098</v>
      </c>
      <c r="FC28" s="1" cm="1">
        <f t="array" ref="FC28">OptionRho("C",$DR28,$B$2,FC$23,$D$3,$DS$22,0)</f>
        <v>0.66002420543373352</v>
      </c>
      <c r="FD28" s="1" cm="1">
        <f t="array" ref="FD28">OptionRho("C",$DR28,$B$2,FD$23,$D$3,$DS$22,0)</f>
        <v>0.53923504214246354</v>
      </c>
      <c r="FE28" s="1" cm="1">
        <f t="array" ref="FE28">OptionRho("C",$DR28,$B$2,FE$23,$D$3,$DS$22,0)</f>
        <v>0.40996884758793661</v>
      </c>
    </row>
    <row r="29" spans="1:161" x14ac:dyDescent="0.2">
      <c r="A29" s="133"/>
      <c r="B29" s="14">
        <v>85</v>
      </c>
      <c r="C29" s="1" cm="1">
        <f t="array" ref="C29">OptionPrice("C",$B29,$B$2,C$23,$B$3,$C$22,0)</f>
        <v>0.15874438401722912</v>
      </c>
      <c r="D29" s="1" cm="1">
        <f t="array" ref="D29">OptionPrice("C",$B29,$B$2,D$23,$B$3,$C$22,0)</f>
        <v>0.69727950119550108</v>
      </c>
      <c r="E29" s="1" cm="1">
        <f t="array" ref="E29">OptionPrice("C",$B29,$B$2,E$23,$B$3,$C$22,0)</f>
        <v>1.329102992353361</v>
      </c>
      <c r="F29" s="1" cm="1">
        <f t="array" ref="F29">OptionPrice("C",$B29,$B$2,F$23,$B$3,$C$22,0)</f>
        <v>1.9652388838322032</v>
      </c>
      <c r="G29" s="1" cm="1">
        <f t="array" ref="G29">OptionPrice("C",$B29,$B$2,G$23,$B$3,$C$22,0)</f>
        <v>2.5836202743209391</v>
      </c>
      <c r="H29" s="1" cm="1">
        <f t="array" ref="H29">OptionPrice("C",$B29,$B$2,H$23,$B$3,$C$22,0)</f>
        <v>3.1789709323163429</v>
      </c>
      <c r="I29" s="1" cm="1">
        <f t="array" ref="I29">OptionPrice("C",$B29,$B$2,I$23,$B$3,$C$22,0)</f>
        <v>3.7510043526486179</v>
      </c>
      <c r="J29" s="1" cm="1">
        <f t="array" ref="J29">OptionPrice("C",$B29,$B$2,J$23,$B$3,$C$22,0)</f>
        <v>4.3009967958314661</v>
      </c>
      <c r="K29" s="1" cm="1">
        <f t="array" ref="K29">OptionPrice("C",$B29,$B$2,K$23,$B$3,$C$22,0)</f>
        <v>4.8306487492021972</v>
      </c>
      <c r="L29" s="1" cm="1">
        <f t="array" ref="L29">OptionPrice("C",$B29,$B$2,L$23,$B$3,$C$22,0)</f>
        <v>5.3416819819594537</v>
      </c>
      <c r="M29" s="1" cm="1">
        <f t="array" ref="M29">OptionPrice("C",$B29,$B$2,M$23,$B$3,$C$22,0)</f>
        <v>9.7080839320680958</v>
      </c>
      <c r="N29" s="1" cm="1">
        <f t="array" ref="N29">OptionPrice("C",$B29,$B$2,N$23,$B$3,$C$22,0)</f>
        <v>13.225169511040644</v>
      </c>
      <c r="O29" s="1" cm="1">
        <f t="array" ref="O29">OptionPrice("C",$B29,$B$2,O$23,$B$3,$C$22,0)</f>
        <v>16.241583869687254</v>
      </c>
      <c r="P29" s="1" cm="1">
        <f t="array" ref="P29">OptionPrice("C",$B29,$B$2,P$23,$B$3,$C$22,0)</f>
        <v>18.915600108396049</v>
      </c>
      <c r="Y29" s="136"/>
      <c r="Z29" s="14">
        <v>85</v>
      </c>
      <c r="AA29" s="1" cm="1">
        <f t="array" ref="AA29">OptionDelta("C",$Z29,$B$2,AA$23,$B$3,$AA$22,0)</f>
        <v>4.8949588230018437E-2</v>
      </c>
      <c r="AB29" s="1" cm="1">
        <f t="array" ref="AB29">OptionDelta("C",$Z29,$B$2,AB$23,$B$3,$AA$22,0)</f>
        <v>0.1293739652284181</v>
      </c>
      <c r="AC29" s="1" cm="1">
        <f t="array" ref="AC29">OptionDelta("C",$Z29,$B$2,AC$23,$B$3,$AA$22,0)</f>
        <v>0.18709751221137344</v>
      </c>
      <c r="AD29" s="1" cm="1">
        <f t="array" ref="AD29">OptionDelta("C",$Z29,$B$2,AD$23,$B$3,$AA$22,0)</f>
        <v>0.22946806891671254</v>
      </c>
      <c r="AE29" s="1" cm="1">
        <f t="array" ref="AE29">OptionDelta("C",$Z29,$B$2,AE$23,$B$3,$AA$22,0)</f>
        <v>0.26223006736843324</v>
      </c>
      <c r="AF29" s="1" cm="1">
        <f t="array" ref="AF29">OptionDelta("C",$Z29,$B$2,AF$23,$B$3,$AA$22,0)</f>
        <v>0.28864049524186719</v>
      </c>
      <c r="AG29" s="1" cm="1">
        <f t="array" ref="AG29">OptionDelta("C",$Z29,$B$2,AG$23,$B$3,$AA$22,0)</f>
        <v>0.31061663415168483</v>
      </c>
      <c r="AH29" s="1" cm="1">
        <f t="array" ref="AH29">OptionDelta("C",$Z29,$B$2,AH$23,$B$3,$AA$22,0)</f>
        <v>0.32935533629557545</v>
      </c>
      <c r="AI29" s="1" cm="1">
        <f t="array" ref="AI29">OptionDelta("C",$Z29,$B$2,AI$23,$B$3,$AA$22,0)</f>
        <v>0.34564389568681986</v>
      </c>
      <c r="AJ29" s="1" cm="1">
        <f t="array" ref="AJ29">OptionDelta("C",$Z29,$B$2,AJ$23,$B$3,$AA$22,0)</f>
        <v>0.36002333083467097</v>
      </c>
      <c r="AK29" s="1" cm="1">
        <f t="array" ref="AK29">OptionDelta("C",$Z29,$B$2,AK$23,$B$3,$AA$22,0)</f>
        <v>0.45074144633462454</v>
      </c>
      <c r="AL29" s="1" cm="1">
        <f t="array" ref="AL29">OptionDelta("C",$Z29,$B$2,AL$23,$B$3,$AA$22,0)</f>
        <v>0.50190487130170336</v>
      </c>
      <c r="AM29" s="1" cm="1">
        <f t="array" ref="AM29">OptionDelta("C",$Z29,$B$2,AM$23,$B$3,$AA$22,0)</f>
        <v>0.53816099984174448</v>
      </c>
      <c r="AN29" s="1" cm="1">
        <f t="array" ref="AN29">OptionDelta("C",$Z29,$B$2,AN$23,$B$3,$AA$22,0)</f>
        <v>0.56658125708655704</v>
      </c>
      <c r="AW29" s="139"/>
      <c r="AX29" s="14">
        <v>85</v>
      </c>
      <c r="AY29" s="1" cm="1">
        <f t="array" ref="AY29">OptionTheta("C",$AX29,$B$2,AY$23,$B$3,$AY$22,0)</f>
        <v>-1.109159249420536E-2</v>
      </c>
      <c r="AZ29" s="1" cm="1">
        <f t="array" ref="AZ29">OptionTheta("C",$AX29,$B$2,AZ$23,$B$3,$AY$22,0)</f>
        <v>-1.6186294067625669E-2</v>
      </c>
      <c r="BA29" s="1" cm="1">
        <f t="array" ref="BA29">OptionTheta("C",$AX29,$B$2,BA$23,$B$3,$AY$22,0)</f>
        <v>-1.6743776366969138E-2</v>
      </c>
      <c r="BB29" s="1" cm="1">
        <f t="array" ref="BB29">OptionTheta("C",$AX29,$B$2,BB$23,$B$3,$AY$22,0)</f>
        <v>-1.6268689796484305E-2</v>
      </c>
      <c r="BC29" s="1" cm="1">
        <f t="array" ref="BC29">OptionTheta("C",$AX29,$B$2,BC$23,$B$3,$AY$22,0)</f>
        <v>-1.5554448206504904E-2</v>
      </c>
      <c r="BD29" s="1" cm="1">
        <f t="array" ref="BD29">OptionTheta("C",$AX29,$B$2,BD$23,$B$3,$AY$22,0)</f>
        <v>-1.4817544131084675E-2</v>
      </c>
      <c r="BE29" s="1" cm="1">
        <f t="array" ref="BE29">OptionTheta("C",$AX29,$B$2,BE$23,$B$3,$AY$22,0)</f>
        <v>-1.4121687140479549E-2</v>
      </c>
      <c r="BF29" s="1" cm="1">
        <f t="array" ref="BF29">OptionTheta("C",$AX29,$B$2,BF$23,$B$3,$AY$22,0)</f>
        <v>-1.3483323123614374E-2</v>
      </c>
      <c r="BG29" s="1" cm="1">
        <f t="array" ref="BG29">OptionTheta("C",$AX29,$B$2,BG$23,$B$3,$AY$22,0)</f>
        <v>-1.2903150829012791E-2</v>
      </c>
      <c r="BH29" s="1" cm="1">
        <f t="array" ref="BH29">OptionTheta("C",$AX29,$B$2,BH$23,$B$3,$AY$22,0)</f>
        <v>-1.237672326655825E-2</v>
      </c>
      <c r="BI29" s="1" cm="1">
        <f t="array" ref="BI29">OptionTheta("C",$AX29,$B$2,BI$23,$B$3,$AY$22,0)</f>
        <v>-8.9950886102445633E-3</v>
      </c>
      <c r="BJ29" s="1" cm="1">
        <f t="array" ref="BJ29">OptionTheta("C",$AX29,$B$2,BJ$23,$B$3,$AY$22,0)</f>
        <v>-7.239176296960549E-3</v>
      </c>
      <c r="BK29" s="1" cm="1">
        <f t="array" ref="BK29">OptionTheta("C",$AX29,$B$2,BK$23,$B$3,$AY$22,0)</f>
        <v>-6.1276487151441074E-3</v>
      </c>
      <c r="BL29" s="1" cm="1">
        <f t="array" ref="BL29">OptionTheta("C",$AX29,$B$2,BL$23,$B$3,$AY$22,0)</f>
        <v>-5.3440161017825616E-3</v>
      </c>
      <c r="BU29" s="142"/>
      <c r="BV29" s="14">
        <v>85</v>
      </c>
      <c r="BW29" s="1" cm="1">
        <f t="array" ref="BW29">OptionGamma($BV29,$B$2,BW$23,$B$3,$BW$22,0)</f>
        <v>1.257501258451457E-2</v>
      </c>
      <c r="BX29" s="1" cm="1">
        <f t="array" ref="BX29">OptionGamma($BV29,$B$2,BX$23,$B$3,$BW$22,0)</f>
        <v>1.8488250396357001E-2</v>
      </c>
      <c r="BY29" s="1" cm="1">
        <f t="array" ref="BY29">OptionGamma($BV29,$B$2,BY$23,$B$3,$BW$22,0)</f>
        <v>1.9245583173855805E-2</v>
      </c>
      <c r="BZ29" s="1" cm="1">
        <f t="array" ref="BZ29">OptionGamma($BV29,$B$2,BZ$23,$B$3,$BW$22,0)</f>
        <v>1.8803436356655608E-2</v>
      </c>
      <c r="CA29" s="1" cm="1">
        <f t="array" ref="CA29">OptionGamma($BV29,$B$2,CA$23,$B$3,$BW$22,0)</f>
        <v>1.8068228988525181E-2</v>
      </c>
      <c r="CB29" s="1" cm="1">
        <f t="array" ref="CB29">OptionGamma($BV29,$B$2,CB$23,$B$3,$BW$22,0)</f>
        <v>1.7291682643531966E-2</v>
      </c>
      <c r="CC29" s="1" cm="1">
        <f t="array" ref="CC29">OptionGamma($BV29,$B$2,CC$23,$B$3,$BW$22,0)</f>
        <v>1.6550341873979184E-2</v>
      </c>
      <c r="CD29" s="1" cm="1">
        <f t="array" ref="CD29">OptionGamma($BV29,$B$2,CD$23,$B$3,$BW$22,0)</f>
        <v>1.5865759347980533E-2</v>
      </c>
      <c r="CE29" s="1" cm="1">
        <f t="array" ref="CE29">OptionGamma($BV29,$B$2,CE$23,$B$3,$BW$22,0)</f>
        <v>1.5240725494598826E-2</v>
      </c>
      <c r="CF29" s="1" cm="1">
        <f t="array" ref="CF29">OptionGamma($BV29,$B$2,CF$23,$B$3,$BW$22,0)</f>
        <v>1.4671609392337213E-2</v>
      </c>
      <c r="CG29" s="1" cm="1">
        <f t="array" ref="CG29">OptionGamma($BV29,$B$2,CG$23,$B$3,$BW$22,0)</f>
        <v>1.0978106060139997E-2</v>
      </c>
      <c r="CH29" s="1" cm="1">
        <f t="array" ref="CH29">OptionGamma($BV29,$B$2,CH$23,$B$3,$BW$22,0)</f>
        <v>9.0324238181826739E-3</v>
      </c>
      <c r="CI29" s="1" cm="1">
        <f t="array" ref="CI29">OptionGamma($BV29,$B$2,CI$23,$B$3,$BW$22,0)</f>
        <v>7.7865829825335157E-3</v>
      </c>
      <c r="CJ29" s="1" cm="1">
        <f t="array" ref="CJ29">OptionGamma($BV29,$B$2,CJ$23,$B$3,$BW$22,0)</f>
        <v>6.8988971767481684E-3</v>
      </c>
      <c r="CS29" s="145"/>
      <c r="CT29" s="14">
        <v>85</v>
      </c>
      <c r="CU29" s="1" cm="1">
        <f t="array" ref="CU29">OptionVega($CT29,$B$2,CU$23,$B$3,$CU$22,0)</f>
        <v>2.725633977693533E-2</v>
      </c>
      <c r="CV29" s="1" cm="1">
        <f t="array" ref="CV29">OptionVega($CT29,$B$2,CV$23,$B$3,$CU$22,0)</f>
        <v>8.0146565468207587E-2</v>
      </c>
      <c r="CW29" s="1" cm="1">
        <f t="array" ref="CW29">OptionVega($CT29,$B$2,CW$23,$B$3,$CU$22,0)</f>
        <v>0.12514440458799733</v>
      </c>
      <c r="CX29" s="1" cm="1">
        <f t="array" ref="CX29">OptionVega($CT29,$B$2,CX$23,$B$3,$CU$22,0)</f>
        <v>0.16302579321220409</v>
      </c>
      <c r="CY29" s="1" cm="1">
        <f t="array" ref="CY29">OptionVega($CT29,$B$2,CY$23,$B$3,$CU$22,0)</f>
        <v>0.19581443166314164</v>
      </c>
      <c r="CZ29" s="1" cm="1">
        <f t="array" ref="CZ29">OptionVega($CT29,$B$2,CZ$23,$B$3,$CU$22,0)</f>
        <v>0.22487833277913319</v>
      </c>
      <c r="DA29" s="1" cm="1">
        <f t="array" ref="DA29">OptionVega($CT29,$B$2,DA$23,$B$3,$CU$22,0)</f>
        <v>0.25111006208294911</v>
      </c>
      <c r="DB29" s="1" cm="1">
        <f t="array" ref="DB29">OptionVega($CT29,$B$2,DB$23,$B$3,$CU$22,0)</f>
        <v>0.27511226709398245</v>
      </c>
      <c r="DC29" s="1" cm="1">
        <f t="array" ref="DC29">OptionVega($CT29,$B$2,DC$23,$B$3,$CU$22,0)</f>
        <v>0.29730845258588656</v>
      </c>
      <c r="DD29" s="1" cm="1">
        <f t="array" ref="DD29">OptionVega($CT29,$B$2,DD$23,$B$3,$CU$22,0)</f>
        <v>0.31800713357890908</v>
      </c>
      <c r="DE29" s="1" cm="1">
        <f t="array" ref="DE29">OptionVega($CT29,$B$2,DE$23,$B$3,$CU$22,0)</f>
        <v>0.47590089770706884</v>
      </c>
      <c r="DF29" s="1" cm="1">
        <f t="array" ref="DF29">OptionVega($CT29,$B$2,DF$23,$B$3,$CU$22,0)</f>
        <v>0.58733335877732828</v>
      </c>
      <c r="DG29" s="1" cm="1">
        <f t="array" ref="DG29">OptionVega($CT29,$B$2,DG$23,$B$3,$CU$22,0)</f>
        <v>0.67509674458565583</v>
      </c>
      <c r="DH29" s="1" cm="1">
        <f t="array" ref="DH29">OptionVega($CT29,$B$2,DH$23,$B$3,$CU$22,0)</f>
        <v>0.74766798153008274</v>
      </c>
      <c r="DQ29" s="130"/>
      <c r="DR29" s="14">
        <v>85</v>
      </c>
      <c r="DS29" s="1" cm="1">
        <f t="array" ref="DS29">OptionRho("C",$DR29,$B$2,DS$23,$B$3,$DS$22,0)</f>
        <v>4.0019706155343393E-3</v>
      </c>
      <c r="DT29" s="1" cm="1">
        <f t="array" ref="DT29">OptionRho("C",$DR29,$B$2,DT$23,$B$3,$DS$22,0)</f>
        <v>2.0599015086440079E-2</v>
      </c>
      <c r="DU29" s="1" cm="1">
        <f t="array" ref="DU29">OptionRho("C",$DR29,$B$2,DU$23,$B$3,$DS$22,0)</f>
        <v>4.3722556636840146E-2</v>
      </c>
      <c r="DV29" s="1" cm="1">
        <f t="array" ref="DV29">OptionRho("C",$DR29,$B$2,DV$23,$B$3,$DS$22,0)</f>
        <v>7.0158187896353461E-2</v>
      </c>
      <c r="DW29" s="1" cm="1">
        <f t="array" ref="DW29">OptionRho("C",$DR29,$B$2,DW$23,$B$3,$DS$22,0)</f>
        <v>9.8529677259979437E-2</v>
      </c>
      <c r="DX29" s="1" cm="1">
        <f t="array" ref="DX29">OptionRho("C",$DR29,$B$2,DX$23,$B$3,$DS$22,0)</f>
        <v>0.12813282697945419</v>
      </c>
      <c r="DY29" s="1" cm="1">
        <f t="array" ref="DY29">OptionRho("C",$DR29,$B$2,DY$23,$B$3,$DS$22,0)</f>
        <v>0.15855986685171214</v>
      </c>
      <c r="DZ29" s="1" cm="1">
        <f t="array" ref="DZ29">OptionRho("C",$DR29,$B$2,DZ$23,$B$3,$DS$22,0)</f>
        <v>0.1895536543143396</v>
      </c>
      <c r="EA29" s="1" cm="1">
        <f t="array" ref="EA29">OptionRho("C",$DR29,$B$2,EA$23,$B$3,$DS$22,0)</f>
        <v>0.22094174145759743</v>
      </c>
      <c r="EB29" s="1" cm="1">
        <f t="array" ref="EB29">OptionRho("C",$DR29,$B$2,EB$23,$B$3,$DS$22,0)</f>
        <v>0.25260301138987579</v>
      </c>
      <c r="EC29" s="1" cm="1">
        <f t="array" ref="EC29">OptionRho("C",$DR29,$B$2,EC$23,$B$3,$DS$22,0)</f>
        <v>0.57209878012749971</v>
      </c>
      <c r="ED29" s="1" cm="1">
        <f t="array" ref="ED29">OptionRho("C",$DR29,$B$2,ED$23,$B$3,$DS$22,0)</f>
        <v>0.88310233648812408</v>
      </c>
      <c r="EE29" s="1" cm="1">
        <f t="array" ref="EE29">OptionRho("C",$DR29,$B$2,EE$23,$B$3,$DS$22,0)</f>
        <v>1.1800840446744412</v>
      </c>
      <c r="EF29" s="1" cm="1">
        <f t="array" ref="EF29">OptionRho("C",$DR29,$B$2,EF$23,$B$3,$DS$22,0)</f>
        <v>1.4621903371980651</v>
      </c>
      <c r="EP29" s="130"/>
      <c r="EQ29" s="14">
        <v>85</v>
      </c>
      <c r="ER29" s="1" cm="1">
        <f t="array" ref="ER29">OptionRho("C",$DR29,$B$2,ER$23,$D$3,$DS$22,0)</f>
        <v>1.0339569794554318E-2</v>
      </c>
      <c r="ES29" s="1" cm="1">
        <f t="array" ref="ES29">OptionRho("C",$DR29,$B$2,ES$23,$D$3,$DS$22,0)</f>
        <v>5.3745957433141561E-2</v>
      </c>
      <c r="ET29" s="1" cm="1">
        <f t="array" ref="ET29">OptionRho("C",$DR29,$B$2,ET$23,$D$3,$DS$22,0)</f>
        <v>0.11286257572784061</v>
      </c>
      <c r="EU29" s="1" cm="1">
        <f t="array" ref="EU29">OptionRho("C",$DR29,$B$2,EU$23,$D$3,$DS$22,0)</f>
        <v>0.17713706424654235</v>
      </c>
      <c r="EV29" s="1" cm="1">
        <f t="array" ref="EV29">OptionRho("C",$DR29,$B$2,EV$23,$D$3,$DS$22,0)</f>
        <v>0.24155320271205127</v>
      </c>
      <c r="EW29" s="1" cm="1">
        <f t="array" ref="EW29">OptionRho("C",$DR29,$B$2,EW$23,$D$3,$DS$22,0)</f>
        <v>0.30348127919256707</v>
      </c>
      <c r="EX29" s="1" cm="1">
        <f t="array" ref="EX29">OptionRho("C",$DR29,$B$2,EX$23,$D$3,$DS$22,0)</f>
        <v>0.3614995219029779</v>
      </c>
      <c r="EY29" s="1" cm="1">
        <f t="array" ref="EY29">OptionRho("C",$DR29,$B$2,EY$23,$D$3,$DS$22,0)</f>
        <v>0.41486710502422397</v>
      </c>
      <c r="EZ29" s="1" cm="1">
        <f t="array" ref="EZ29">OptionRho("C",$DR29,$B$2,EZ$23,$D$3,$DS$22,0)</f>
        <v>0.46325216900210575</v>
      </c>
      <c r="FA29" s="1" cm="1">
        <f t="array" ref="FA29">OptionRho("C",$DR29,$B$2,FA$23,$D$3,$DS$22,0)</f>
        <v>0.50657696653438278</v>
      </c>
      <c r="FB29" s="1" cm="1">
        <f t="array" ref="FB29">OptionRho("C",$DR29,$B$2,FB$23,$D$3,$DS$22,0)</f>
        <v>0.70702821103964475</v>
      </c>
      <c r="FC29" s="1" cm="1">
        <f t="array" ref="FC29">OptionRho("C",$DR29,$B$2,FC$23,$D$3,$DS$22,0)</f>
        <v>0.66247632093033393</v>
      </c>
      <c r="FD29" s="1" cm="1">
        <f t="array" ref="FD29">OptionRho("C",$DR29,$B$2,FD$23,$D$3,$DS$22,0)</f>
        <v>0.53978840131712158</v>
      </c>
      <c r="FE29" s="1" cm="1">
        <f t="array" ref="FE29">OptionRho("C",$DR29,$B$2,FE$23,$D$3,$DS$22,0)</f>
        <v>0.41008890909009954</v>
      </c>
    </row>
    <row r="30" spans="1:161" x14ac:dyDescent="0.2">
      <c r="A30" s="133"/>
      <c r="B30" s="14">
        <v>90</v>
      </c>
      <c r="C30" s="1" cm="1">
        <f t="array" ref="C30">OptionPrice("C",$B30,$B$2,C$23,$B$3,$C$22,0)</f>
        <v>0.61674345362130545</v>
      </c>
      <c r="D30" s="1" cm="1">
        <f t="array" ref="D30">OptionPrice("C",$B30,$B$2,D$23,$B$3,$C$22,0)</f>
        <v>1.6077014427800016</v>
      </c>
      <c r="E30" s="1" cm="1">
        <f t="array" ref="E30">OptionPrice("C",$B30,$B$2,E$23,$B$3,$C$22,0)</f>
        <v>2.5241688673926532</v>
      </c>
      <c r="F30" s="1" cm="1">
        <f t="array" ref="F30">OptionPrice("C",$B30,$B$2,F$23,$B$3,$C$22,0)</f>
        <v>3.3593885969065198</v>
      </c>
      <c r="G30" s="1" cm="1">
        <f t="array" ref="G30">OptionPrice("C",$B30,$B$2,G$23,$B$3,$C$22,0)</f>
        <v>4.128125544870759</v>
      </c>
      <c r="H30" s="1" cm="1">
        <f t="array" ref="H30">OptionPrice("C",$B30,$B$2,H$23,$B$3,$C$22,0)</f>
        <v>4.8431180669831591</v>
      </c>
      <c r="I30" s="1" cm="1">
        <f t="array" ref="I30">OptionPrice("C",$B30,$B$2,I$23,$B$3,$C$22,0)</f>
        <v>5.5139531103084636</v>
      </c>
      <c r="J30" s="1" cm="1">
        <f t="array" ref="J30">OptionPrice("C",$B30,$B$2,J$23,$B$3,$C$22,0)</f>
        <v>6.1478141431660447</v>
      </c>
      <c r="K30" s="1" cm="1">
        <f t="array" ref="K30">OptionPrice("C",$B30,$B$2,K$23,$B$3,$C$22,0)</f>
        <v>6.7501796415627808</v>
      </c>
      <c r="L30" s="1" cm="1">
        <f t="array" ref="L30">OptionPrice("C",$B30,$B$2,L$23,$B$3,$C$22,0)</f>
        <v>7.3253163168065072</v>
      </c>
      <c r="M30" s="1" cm="1">
        <f t="array" ref="M30">OptionPrice("C",$B30,$B$2,M$23,$B$3,$C$22,0)</f>
        <v>12.096951406146253</v>
      </c>
      <c r="N30" s="1" cm="1">
        <f t="array" ref="N30">OptionPrice("C",$B30,$B$2,N$23,$B$3,$C$22,0)</f>
        <v>15.84531639937201</v>
      </c>
      <c r="O30" s="1" cm="1">
        <f t="array" ref="O30">OptionPrice("C",$B30,$B$2,O$23,$B$3,$C$22,0)</f>
        <v>19.027503442043063</v>
      </c>
      <c r="P30" s="1" cm="1">
        <f t="array" ref="P30">OptionPrice("C",$B30,$B$2,P$23,$B$3,$C$22,0)</f>
        <v>21.832645321064895</v>
      </c>
      <c r="Y30" s="136"/>
      <c r="Z30" s="14">
        <v>90</v>
      </c>
      <c r="AA30" s="1" cm="1">
        <f t="array" ref="AA30">OptionDelta("C",$Z30,$B$2,AA$23,$B$3,$AA$22,0)</f>
        <v>0.14625707559799994</v>
      </c>
      <c r="AB30" s="1" cm="1">
        <f t="array" ref="AB30">OptionDelta("C",$Z30,$B$2,AB$23,$B$3,$AA$22,0)</f>
        <v>0.24092762709076576</v>
      </c>
      <c r="AC30" s="1" cm="1">
        <f t="array" ref="AC30">OptionDelta("C",$Z30,$B$2,AC$23,$B$3,$AA$22,0)</f>
        <v>0.29432689998056172</v>
      </c>
      <c r="AD30" s="1" cm="1">
        <f t="array" ref="AD30">OptionDelta("C",$Z30,$B$2,AD$23,$B$3,$AA$22,0)</f>
        <v>0.33020452050949323</v>
      </c>
      <c r="AE30" s="1" cm="1">
        <f t="array" ref="AE30">OptionDelta("C",$Z30,$B$2,AE$23,$B$3,$AA$22,0)</f>
        <v>0.35679534006601854</v>
      </c>
      <c r="AF30" s="1" cm="1">
        <f t="array" ref="AF30">OptionDelta("C",$Z30,$B$2,AF$23,$B$3,$AA$22,0)</f>
        <v>0.37775204713439936</v>
      </c>
      <c r="AG30" s="1" cm="1">
        <f t="array" ref="AG30">OptionDelta("C",$Z30,$B$2,AG$23,$B$3,$AA$22,0)</f>
        <v>0.39497379522555537</v>
      </c>
      <c r="AH30" s="1" cm="1">
        <f t="array" ref="AH30">OptionDelta("C",$Z30,$B$2,AH$23,$B$3,$AA$22,0)</f>
        <v>0.4095599317357414</v>
      </c>
      <c r="AI30" s="1" cm="1">
        <f t="array" ref="AI30">OptionDelta("C",$Z30,$B$2,AI$23,$B$3,$AA$22,0)</f>
        <v>0.42219791583544131</v>
      </c>
      <c r="AJ30" s="1" cm="1">
        <f t="array" ref="AJ30">OptionDelta("C",$Z30,$B$2,AJ$23,$B$3,$AA$22,0)</f>
        <v>0.43334341092094797</v>
      </c>
      <c r="AK30" s="1" cm="1">
        <f t="array" ref="AK30">OptionDelta("C",$Z30,$B$2,AK$23,$B$3,$AA$22,0)</f>
        <v>0.50436249428511837</v>
      </c>
      <c r="AL30" s="1" cm="1">
        <f t="array" ref="AL30">OptionDelta("C",$Z30,$B$2,AL$23,$B$3,$AA$22,0)</f>
        <v>0.54568875929400229</v>
      </c>
      <c r="AM30" s="1" cm="1">
        <f t="array" ref="AM30">OptionDelta("C",$Z30,$B$2,AM$23,$B$3,$AA$22,0)</f>
        <v>0.57576298201651444</v>
      </c>
      <c r="AN30" s="1" cm="1">
        <f t="array" ref="AN30">OptionDelta("C",$Z30,$B$2,AN$23,$B$3,$AA$22,0)</f>
        <v>0.59982092332225356</v>
      </c>
      <c r="AW30" s="139"/>
      <c r="AX30" s="14">
        <v>90</v>
      </c>
      <c r="AY30" s="1" cm="1">
        <f t="array" ref="AY30">OptionTheta("C",$AX30,$B$2,AY$23,$B$3,$AY$22,0)</f>
        <v>-2.6469476874618411E-2</v>
      </c>
      <c r="AZ30" s="1" cm="1">
        <f t="array" ref="AZ30">OptionTheta("C",$AX30,$B$2,AZ$23,$B$3,$AY$22,0)</f>
        <v>-2.5214471041951188E-2</v>
      </c>
      <c r="BA30" s="1" cm="1">
        <f t="array" ref="BA30">OptionTheta("C",$AX30,$B$2,BA$23,$B$3,$AY$22,0)</f>
        <v>-2.2618182507819665E-2</v>
      </c>
      <c r="BB30" s="1" cm="1">
        <f t="array" ref="BB30">OptionTheta("C",$AX30,$B$2,BB$23,$B$3,$AY$22,0)</f>
        <v>-2.0461723142974224E-2</v>
      </c>
      <c r="BC30" s="1" cm="1">
        <f t="array" ref="BC30">OptionTheta("C",$AX30,$B$2,BC$23,$B$3,$AY$22,0)</f>
        <v>-1.8741321936741665E-2</v>
      </c>
      <c r="BD30" s="1" cm="1">
        <f t="array" ref="BD30">OptionTheta("C",$AX30,$B$2,BD$23,$B$3,$AY$22,0)</f>
        <v>-1.7348875213585663E-2</v>
      </c>
      <c r="BE30" s="1" cm="1">
        <f t="array" ref="BE30">OptionTheta("C",$AX30,$B$2,BE$23,$B$3,$AY$22,0)</f>
        <v>-1.6198497528522142E-2</v>
      </c>
      <c r="BF30" s="1" cm="1">
        <f t="array" ref="BF30">OptionTheta("C",$AX30,$B$2,BF$23,$B$3,$AY$22,0)</f>
        <v>-1.5229846016353799E-2</v>
      </c>
      <c r="BG30" s="1" cm="1">
        <f t="array" ref="BG30">OptionTheta("C",$AX30,$B$2,BG$23,$B$3,$AY$22,0)</f>
        <v>-1.4400735852088887E-2</v>
      </c>
      <c r="BH30" s="1" cm="1">
        <f t="array" ref="BH30">OptionTheta("C",$AX30,$B$2,BH$23,$B$3,$AY$22,0)</f>
        <v>-1.3681130750624887E-2</v>
      </c>
      <c r="BI30" s="1" cm="1">
        <f t="array" ref="BI30">OptionTheta("C",$AX30,$B$2,BI$23,$B$3,$AY$22,0)</f>
        <v>-9.5208089411699948E-3</v>
      </c>
      <c r="BJ30" s="1" cm="1">
        <f t="array" ref="BJ30">OptionTheta("C",$AX30,$B$2,BJ$23,$B$3,$AY$22,0)</f>
        <v>-7.5516894403615826E-3</v>
      </c>
      <c r="BK30" s="1" cm="1">
        <f t="array" ref="BK30">OptionTheta("C",$AX30,$B$2,BK$23,$B$3,$AY$22,0)</f>
        <v>-6.3458675336652819E-3</v>
      </c>
      <c r="BL30" s="1" cm="1">
        <f t="array" ref="BL30">OptionTheta("C",$AX30,$B$2,BL$23,$B$3,$AY$22,0)</f>
        <v>-5.5102995377851287E-3</v>
      </c>
      <c r="BU30" s="142"/>
      <c r="BV30" s="14">
        <v>90</v>
      </c>
      <c r="BW30" s="1" cm="1">
        <f t="array" ref="BW30">OptionGamma($BV30,$B$2,BW$23,$B$3,$BW$22,0)</f>
        <v>2.6849994493107564E-2</v>
      </c>
      <c r="BX30" s="1" cm="1">
        <f t="array" ref="BX30">OptionGamma($BV30,$B$2,BX$23,$B$3,$BW$22,0)</f>
        <v>2.5799834788109949E-2</v>
      </c>
      <c r="BY30" s="1" cm="1">
        <f t="array" ref="BY30">OptionGamma($BV30,$B$2,BY$23,$B$3,$BW$22,0)</f>
        <v>2.3306691732956811E-2</v>
      </c>
      <c r="BZ30" s="1" cm="1">
        <f t="array" ref="BZ30">OptionGamma($BV30,$B$2,BZ$23,$B$3,$BW$22,0)</f>
        <v>2.1212946857819128E-2</v>
      </c>
      <c r="CA30" s="1" cm="1">
        <f t="array" ref="CA30">OptionGamma($BV30,$B$2,CA$23,$B$3,$BW$22,0)</f>
        <v>1.9534751872486739E-2</v>
      </c>
      <c r="CB30" s="1" cm="1">
        <f t="array" ref="CB30">OptionGamma($BV30,$B$2,CB$23,$B$3,$BW$22,0)</f>
        <v>1.8172524320191757E-2</v>
      </c>
      <c r="CC30" s="1" cm="1">
        <f t="array" ref="CC30">OptionGamma($BV30,$B$2,CC$23,$B$3,$BW$22,0)</f>
        <v>1.7044687194816176E-2</v>
      </c>
      <c r="CD30" s="1" cm="1">
        <f t="array" ref="CD30">OptionGamma($BV30,$B$2,CD$23,$B$3,$BW$22,0)</f>
        <v>1.6093332217008625E-2</v>
      </c>
      <c r="CE30" s="1" cm="1">
        <f t="array" ref="CE30">OptionGamma($BV30,$B$2,CE$23,$B$3,$BW$22,0)</f>
        <v>1.5277763824001958E-2</v>
      </c>
      <c r="CF30" s="1" cm="1">
        <f t="array" ref="CF30">OptionGamma($BV30,$B$2,CF$23,$B$3,$BW$22,0)</f>
        <v>1.4568912566910484E-2</v>
      </c>
      <c r="CG30" s="1" cm="1">
        <f t="array" ref="CG30">OptionGamma($BV30,$B$2,CG$23,$B$3,$BW$22,0)</f>
        <v>1.0447330574272131E-2</v>
      </c>
      <c r="CH30" s="1" cm="1">
        <f t="array" ref="CH30">OptionGamma($BV30,$B$2,CH$23,$B$3,$BW$22,0)</f>
        <v>8.4747143075524275E-3</v>
      </c>
      <c r="CI30" s="1" cm="1">
        <f t="array" ref="CI30">OptionGamma($BV30,$B$2,CI$23,$B$3,$BW$22,0)</f>
        <v>7.2541928646975579E-3</v>
      </c>
      <c r="CJ30" s="1" cm="1">
        <f t="array" ref="CJ30">OptionGamma($BV30,$B$2,CJ$23,$B$3,$BW$22,0)</f>
        <v>6.399922384282445E-3</v>
      </c>
      <c r="CS30" s="145"/>
      <c r="CT30" s="14">
        <v>90</v>
      </c>
      <c r="CU30" s="1" cm="1">
        <f t="array" ref="CU30">OptionVega($CT30,$B$2,CU$23,$B$3,$CU$22,0)</f>
        <v>6.5245486618251372E-2</v>
      </c>
      <c r="CV30" s="1" cm="1">
        <f t="array" ref="CV30">OptionVega($CT30,$B$2,CV$23,$B$3,$CU$22,0)</f>
        <v>0.12538719707021431</v>
      </c>
      <c r="CW30" s="1" cm="1">
        <f t="array" ref="CW30">OptionVega($CT30,$B$2,CW$23,$B$3,$CU$22,0)</f>
        <v>0.16990578273325513</v>
      </c>
      <c r="CX30" s="1" cm="1">
        <f t="array" ref="CX30">OptionVega($CT30,$B$2,CX$23,$B$3,$CU$22,0)</f>
        <v>0.20618984345800193</v>
      </c>
      <c r="CY30" s="1" cm="1">
        <f t="array" ref="CY30">OptionVega($CT30,$B$2,CY$23,$B$3,$CU$22,0)</f>
        <v>0.23734723525071394</v>
      </c>
      <c r="CZ30" s="1" cm="1">
        <f t="array" ref="CZ30">OptionVega($CT30,$B$2,CZ$23,$B$3,$CU$22,0)</f>
        <v>0.26495540458839584</v>
      </c>
      <c r="DA30" s="1" cm="1">
        <f t="array" ref="DA30">OptionVega($CT30,$B$2,DA$23,$B$3,$CU$22,0)</f>
        <v>0.28993012918382316</v>
      </c>
      <c r="DB30" s="1" cm="1">
        <f t="array" ref="DB30">OptionVega($CT30,$B$2,DB$23,$B$3,$CU$22,0)</f>
        <v>0.3128543782986476</v>
      </c>
      <c r="DC30" s="1" cm="1">
        <f t="array" ref="DC30">OptionVega($CT30,$B$2,DC$23,$B$3,$CU$22,0)</f>
        <v>0.33412469483092277</v>
      </c>
      <c r="DD30" s="1" cm="1">
        <f t="array" ref="DD30">OptionVega($CT30,$B$2,DD$23,$B$3,$CU$22,0)</f>
        <v>0.35402457537592474</v>
      </c>
      <c r="DE30" s="1" cm="1">
        <f t="array" ref="DE30">OptionVega($CT30,$B$2,DE$23,$B$3,$CU$22,0)</f>
        <v>0.50774026590962573</v>
      </c>
      <c r="DF30" s="1" cm="1">
        <f t="array" ref="DF30">OptionVega($CT30,$B$2,DF$23,$B$3,$CU$22,0)</f>
        <v>0.61780667302057179</v>
      </c>
      <c r="DG30" s="1" cm="1">
        <f t="array" ref="DG30">OptionVega($CT30,$B$2,DG$23,$B$3,$CU$22,0)</f>
        <v>0.70510754644860263</v>
      </c>
      <c r="DH30" s="1" cm="1">
        <f t="array" ref="DH30">OptionVega($CT30,$B$2,DH$23,$B$3,$CU$22,0)</f>
        <v>0.77759056969031726</v>
      </c>
      <c r="DQ30" s="130"/>
      <c r="DR30" s="14">
        <v>90</v>
      </c>
      <c r="DS30" s="1" cm="1">
        <f t="array" ref="DS30">OptionRho("C",$DR30,$B$2,DS$23,$B$3,$DS$22,0)</f>
        <v>1.2546393350198692E-2</v>
      </c>
      <c r="DT30" s="1" cm="1">
        <f t="array" ref="DT30">OptionRho("C",$DR30,$B$2,DT$23,$B$3,$DS$22,0)</f>
        <v>4.015156999077784E-2</v>
      </c>
      <c r="DU30" s="1" cm="1">
        <f t="array" ref="DU30">OptionRho("C",$DR30,$B$2,DU$23,$B$3,$DS$22,0)</f>
        <v>7.1895756392573701E-2</v>
      </c>
      <c r="DV30" s="1" cm="1">
        <f t="array" ref="DV30">OptionRho("C",$DR30,$B$2,DV$23,$B$3,$DS$22,0)</f>
        <v>0.10543607299579148</v>
      </c>
      <c r="DW30" s="1" cm="1">
        <f t="array" ref="DW30">OptionRho("C",$DR30,$B$2,DW$23,$B$3,$DS$22,0)</f>
        <v>0.13991727530535455</v>
      </c>
      <c r="DX30" s="1" cm="1">
        <f t="array" ref="DX30">OptionRho("C",$DR30,$B$2,DX$23,$B$3,$DS$22,0)</f>
        <v>0.1749273970506767</v>
      </c>
      <c r="DY30" s="1" cm="1">
        <f t="array" ref="DY30">OptionRho("C",$DR30,$B$2,DY$23,$B$3,$DS$22,0)</f>
        <v>0.21023581921994061</v>
      </c>
      <c r="DZ30" s="1" cm="1">
        <f t="array" ref="DZ30">OptionRho("C",$DR30,$B$2,DZ$23,$B$3,$DS$22,0)</f>
        <v>0.24570063770440545</v>
      </c>
      <c r="EA30" s="1" cm="1">
        <f t="array" ref="EA30">OptionRho("C",$DR30,$B$2,EA$23,$B$3,$DS$22,0)</f>
        <v>0.28122869505264242</v>
      </c>
      <c r="EB30" s="1" cm="1">
        <f t="array" ref="EB30">OptionRho("C",$DR30,$B$2,EB$23,$B$3,$DS$22,0)</f>
        <v>0.31675590666078812</v>
      </c>
      <c r="EC30" s="1" cm="1">
        <f t="array" ref="EC30">OptionRho("C",$DR30,$B$2,EC$23,$B$3,$DS$22,0)</f>
        <v>0.66591346159028808</v>
      </c>
      <c r="ED30" s="1" cm="1">
        <f t="array" ref="ED30">OptionRho("C",$DR30,$B$2,ED$23,$B$3,$DS$22,0)</f>
        <v>0.99800015811264575</v>
      </c>
      <c r="EE30" s="1" cm="1">
        <f t="array" ref="EE30">OptionRho("C",$DR30,$B$2,EE$23,$B$3,$DS$22,0)</f>
        <v>1.3116465975777294</v>
      </c>
      <c r="EF30" s="1" cm="1">
        <f t="array" ref="EF30">OptionRho("C",$DR30,$B$2,EF$23,$B$3,$DS$22,0)</f>
        <v>1.6075618888968966</v>
      </c>
      <c r="EP30" s="130"/>
      <c r="EQ30" s="14">
        <v>90</v>
      </c>
      <c r="ER30" s="1" cm="1">
        <f t="array" ref="ER30">OptionRho("C",$DR30,$B$2,ER$23,$D$3,$DS$22,0)</f>
        <v>2.5114843283920784E-2</v>
      </c>
      <c r="ES30" s="1" cm="1">
        <f t="array" ref="ES30">OptionRho("C",$DR30,$B$2,ES$23,$D$3,$DS$22,0)</f>
        <v>8.277087644909055E-2</v>
      </c>
      <c r="ET30" s="1" cm="1">
        <f t="array" ref="ET30">OptionRho("C",$DR30,$B$2,ET$23,$D$3,$DS$22,0)</f>
        <v>0.14851163160461509</v>
      </c>
      <c r="EU30" s="1" cm="1">
        <f t="array" ref="EU30">OptionRho("C",$DR30,$B$2,EU$23,$D$3,$DS$22,0)</f>
        <v>0.21511864500887462</v>
      </c>
      <c r="EV30" s="1" cm="1">
        <f t="array" ref="EV30">OptionRho("C",$DR30,$B$2,EV$23,$D$3,$DS$22,0)</f>
        <v>0.27943957301437872</v>
      </c>
      <c r="EW30" s="1" cm="1">
        <f t="array" ref="EW30">OptionRho("C",$DR30,$B$2,EW$23,$D$3,$DS$22,0)</f>
        <v>0.33988886425436748</v>
      </c>
      <c r="EX30" s="1" cm="1">
        <f t="array" ref="EX30">OptionRho("C",$DR30,$B$2,EX$23,$D$3,$DS$22,0)</f>
        <v>0.39566423097638331</v>
      </c>
      <c r="EY30" s="1" cm="1">
        <f t="array" ref="EY30">OptionRho("C",$DR30,$B$2,EY$23,$D$3,$DS$22,0)</f>
        <v>0.44640637791556353</v>
      </c>
      <c r="EZ30" s="1" cm="1">
        <f t="array" ref="EZ30">OptionRho("C",$DR30,$B$2,EZ$23,$D$3,$DS$22,0)</f>
        <v>0.49202262167283167</v>
      </c>
      <c r="FA30" s="1" cm="1">
        <f t="array" ref="FA30">OptionRho("C",$DR30,$B$2,FA$23,$D$3,$DS$22,0)</f>
        <v>0.53258521935386527</v>
      </c>
      <c r="FB30" s="1" cm="1">
        <f t="array" ref="FB30">OptionRho("C",$DR30,$B$2,FB$23,$D$3,$DS$22,0)</f>
        <v>0.71446348231907586</v>
      </c>
      <c r="FC30" s="1" cm="1">
        <f t="array" ref="FC30">OptionRho("C",$DR30,$B$2,FC$23,$D$3,$DS$22,0)</f>
        <v>0.66425521392796805</v>
      </c>
      <c r="FD30" s="1" cm="1">
        <f t="array" ref="FD30">OptionRho("C",$DR30,$B$2,FD$23,$D$3,$DS$22,0)</f>
        <v>0.5401862358898426</v>
      </c>
      <c r="FE30" s="1" cm="1">
        <f t="array" ref="FE30">OptionRho("C",$DR30,$B$2,FE$23,$D$3,$DS$22,0)</f>
        <v>0.41017476099147865</v>
      </c>
    </row>
    <row r="31" spans="1:161" x14ac:dyDescent="0.2">
      <c r="A31" s="133"/>
      <c r="B31" s="14">
        <v>95</v>
      </c>
      <c r="C31" s="1" cm="1">
        <f t="array" ref="C31">OptionPrice("C",$B31,$B$2,C$23,$B$3,$C$22,0)</f>
        <v>1.742550253016006</v>
      </c>
      <c r="D31" s="1" cm="1">
        <f t="array" ref="D31">OptionPrice("C",$B31,$B$2,D$23,$B$3,$C$22,0)</f>
        <v>3.156300906729264</v>
      </c>
      <c r="E31" s="1" cm="1">
        <f t="array" ref="E31">OptionPrice("C",$B31,$B$2,E$23,$B$3,$C$22,0)</f>
        <v>4.296856922828205</v>
      </c>
      <c r="F31" s="1" cm="1">
        <f t="array" ref="F31">OptionPrice("C",$B31,$B$2,F$23,$B$3,$C$22,0)</f>
        <v>5.2801628762447521</v>
      </c>
      <c r="G31" s="1" cm="1">
        <f t="array" ref="G31">OptionPrice("C",$B31,$B$2,G$23,$B$3,$C$22,0)</f>
        <v>6.15820230879158</v>
      </c>
      <c r="H31" s="1" cm="1">
        <f t="array" ref="H31">OptionPrice("C",$B31,$B$2,H$23,$B$3,$C$22,0)</f>
        <v>6.9593992902347495</v>
      </c>
      <c r="I31" s="1" cm="1">
        <f t="array" ref="I31">OptionPrice("C",$B31,$B$2,I$23,$B$3,$C$22,0)</f>
        <v>7.7012798336696235</v>
      </c>
      <c r="J31" s="1" cm="1">
        <f t="array" ref="J31">OptionPrice("C",$B31,$B$2,J$23,$B$3,$C$22,0)</f>
        <v>8.3955492537295342</v>
      </c>
      <c r="K31" s="1" cm="1">
        <f t="array" ref="K31">OptionPrice("C",$B31,$B$2,K$23,$B$3,$C$22,0)</f>
        <v>9.0504843027109416</v>
      </c>
      <c r="L31" s="1" cm="1">
        <f t="array" ref="L31">OptionPrice("C",$B31,$B$2,L$23,$B$3,$C$22,0)</f>
        <v>9.6721935015743483</v>
      </c>
      <c r="M31" s="1" cm="1">
        <f t="array" ref="M31">OptionPrice("C",$B31,$B$2,M$23,$B$3,$C$22,0)</f>
        <v>14.746767976115322</v>
      </c>
      <c r="N31" s="1" cm="1">
        <f t="array" ref="N31">OptionPrice("C",$B31,$B$2,N$23,$B$3,$C$22,0)</f>
        <v>18.677276642004124</v>
      </c>
      <c r="O31" s="1" cm="1">
        <f t="array" ref="O31">OptionPrice("C",$B31,$B$2,O$23,$B$3,$C$22,0)</f>
        <v>21.994790566990268</v>
      </c>
      <c r="P31" s="1" cm="1">
        <f t="array" ref="P31">OptionPrice("C",$B31,$B$2,P$23,$B$3,$C$22,0)</f>
        <v>24.909731659971222</v>
      </c>
      <c r="Y31" s="136"/>
      <c r="Z31" s="14">
        <v>95</v>
      </c>
      <c r="AA31" s="1" cm="1">
        <f t="array" ref="AA31">OptionDelta("C",$Z31,$B$2,AA$23,$B$3,$AA$22,0)</f>
        <v>0.31465306570218488</v>
      </c>
      <c r="AB31" s="1" cm="1">
        <f t="array" ref="AB31">OptionDelta("C",$Z31,$B$2,AB$23,$B$3,$AA$22,0)</f>
        <v>0.3819633040789554</v>
      </c>
      <c r="AC31" s="1" cm="1">
        <f t="array" ref="AC31">OptionDelta("C",$Z31,$B$2,AC$23,$B$3,$AA$22,0)</f>
        <v>0.4161528933790935</v>
      </c>
      <c r="AD31" s="1" cm="1">
        <f t="array" ref="AD31">OptionDelta("C",$Z31,$B$2,AD$23,$B$3,$AA$22,0)</f>
        <v>0.43865142750198133</v>
      </c>
      <c r="AE31" s="1" cm="1">
        <f t="array" ref="AE31">OptionDelta("C",$Z31,$B$2,AE$23,$B$3,$AA$22,0)</f>
        <v>0.45534721551467583</v>
      </c>
      <c r="AF31" s="1" cm="1">
        <f t="array" ref="AF31">OptionDelta("C",$Z31,$B$2,AF$23,$B$3,$AA$22,0)</f>
        <v>0.46862695070489663</v>
      </c>
      <c r="AG31" s="1" cm="1">
        <f t="array" ref="AG31">OptionDelta("C",$Z31,$B$2,AG$23,$B$3,$AA$22,0)</f>
        <v>0.47967483058661126</v>
      </c>
      <c r="AH31" s="1" cm="1">
        <f t="array" ref="AH31">OptionDelta("C",$Z31,$B$2,AH$23,$B$3,$AA$22,0)</f>
        <v>0.48915788300334873</v>
      </c>
      <c r="AI31" s="1" cm="1">
        <f t="array" ref="AI31">OptionDelta("C",$Z31,$B$2,AI$23,$B$3,$AA$22,0)</f>
        <v>0.49748628363861275</v>
      </c>
      <c r="AJ31" s="1" cm="1">
        <f t="array" ref="AJ31">OptionDelta("C",$Z31,$B$2,AJ$23,$B$3,$AA$22,0)</f>
        <v>0.50492907988438374</v>
      </c>
      <c r="AK31" s="1" cm="1">
        <f t="array" ref="AK31">OptionDelta("C",$Z31,$B$2,AK$23,$B$3,$AA$22,0)</f>
        <v>0.55502719539571732</v>
      </c>
      <c r="AL31" s="1" cm="1">
        <f t="array" ref="AL31">OptionDelta("C",$Z31,$B$2,AL$23,$B$3,$AA$22,0)</f>
        <v>0.58660823860191547</v>
      </c>
      <c r="AM31" s="1" cm="1">
        <f t="array" ref="AM31">OptionDelta("C",$Z31,$B$2,AM$23,$B$3,$AA$22,0)</f>
        <v>0.61071300082010072</v>
      </c>
      <c r="AN31" s="1" cm="1">
        <f t="array" ref="AN31">OptionDelta("C",$Z31,$B$2,AN$23,$B$3,$AA$22,0)</f>
        <v>0.63061486355917407</v>
      </c>
      <c r="AW31" s="139"/>
      <c r="AX31" s="14">
        <v>95</v>
      </c>
      <c r="AY31" s="1" cm="1">
        <f t="array" ref="AY31">OptionTheta("C",$AX31,$B$2,AY$23,$B$3,$AY$22,0)</f>
        <v>-4.3065307711909202E-2</v>
      </c>
      <c r="AZ31" s="1" cm="1">
        <f t="array" ref="AZ31">OptionTheta("C",$AX31,$B$2,AZ$23,$B$3,$AY$22,0)</f>
        <v>-3.2383641385315652E-2</v>
      </c>
      <c r="BA31" s="1" cm="1">
        <f t="array" ref="BA31">OptionTheta("C",$AX31,$B$2,BA$23,$B$3,$AY$22,0)</f>
        <v>-2.6840385672500421E-2</v>
      </c>
      <c r="BB31" s="1" cm="1">
        <f t="array" ref="BB31">OptionTheta("C",$AX31,$B$2,BB$23,$B$3,$AY$22,0)</f>
        <v>-2.3337674636357358E-2</v>
      </c>
      <c r="BC31" s="1" cm="1">
        <f t="array" ref="BC31">OptionTheta("C",$AX31,$B$2,BC$23,$B$3,$AY$22,0)</f>
        <v>-2.0872029776317795E-2</v>
      </c>
      <c r="BD31" s="1" cm="1">
        <f t="array" ref="BD31">OptionTheta("C",$AX31,$B$2,BD$23,$B$3,$AY$22,0)</f>
        <v>-1.9016171047862015E-2</v>
      </c>
      <c r="BE31" s="1" cm="1">
        <f t="array" ref="BE31">OptionTheta("C",$AX31,$B$2,BE$23,$B$3,$AY$22,0)</f>
        <v>-1.7554217253300742E-2</v>
      </c>
      <c r="BF31" s="1" cm="1">
        <f t="array" ref="BF31">OptionTheta("C",$AX31,$B$2,BF$23,$B$3,$AY$22,0)</f>
        <v>-1.6363973370764433E-2</v>
      </c>
      <c r="BG31" s="1" cm="1">
        <f t="array" ref="BG31">OptionTheta("C",$AX31,$B$2,BG$23,$B$3,$AY$22,0)</f>
        <v>-1.5370448375468578E-2</v>
      </c>
      <c r="BH31" s="1" cm="1">
        <f t="array" ref="BH31">OptionTheta("C",$AX31,$B$2,BH$23,$B$3,$AY$22,0)</f>
        <v>-1.452474762321824E-2</v>
      </c>
      <c r="BI31" s="1" cm="1">
        <f t="array" ref="BI31">OptionTheta("C",$AX31,$B$2,BI$23,$B$3,$AY$22,0)</f>
        <v>-9.8677863597827955E-3</v>
      </c>
      <c r="BJ31" s="1" cm="1">
        <f t="array" ref="BJ31">OptionTheta("C",$AX31,$B$2,BJ$23,$B$3,$AY$22,0)</f>
        <v>-7.7644852947259145E-3</v>
      </c>
      <c r="BK31" s="1" cm="1">
        <f t="array" ref="BK31">OptionTheta("C",$AX31,$B$2,BK$23,$B$3,$AY$22,0)</f>
        <v>-6.4988006664126021E-3</v>
      </c>
      <c r="BL31" s="1" cm="1">
        <f t="array" ref="BL31">OptionTheta("C",$AX31,$B$2,BL$23,$B$3,$AY$22,0)</f>
        <v>-5.6298061572505418E-3</v>
      </c>
      <c r="BU31" s="142"/>
      <c r="BV31" s="14">
        <v>95</v>
      </c>
      <c r="BW31" s="1" cm="1">
        <f t="array" ref="BW31">OptionGamma($BV31,$B$2,BW$23,$B$3,$BW$22,0)</f>
        <v>3.9397555493342631E-2</v>
      </c>
      <c r="BX31" s="1" cm="1">
        <f t="array" ref="BX31">OptionGamma($BV31,$B$2,BX$23,$B$3,$BW$22,0)</f>
        <v>2.9920175402764988E-2</v>
      </c>
      <c r="BY31" s="1" cm="1">
        <f t="array" ref="BY31">OptionGamma($BV31,$B$2,BY$23,$B$3,$BW$22,0)</f>
        <v>2.4990132225163462E-2</v>
      </c>
      <c r="BZ31" s="1" cm="1">
        <f t="array" ref="BZ31">OptionGamma($BV31,$B$2,BZ$23,$B$3,$BW$22,0)</f>
        <v>2.187052870331763E-2</v>
      </c>
      <c r="CA31" s="1" cm="1">
        <f t="array" ref="CA31">OptionGamma($BV31,$B$2,CA$23,$B$3,$BW$22,0)</f>
        <v>1.9671994336736283E-2</v>
      </c>
      <c r="CB31" s="1" cm="1">
        <f t="array" ref="CB31">OptionGamma($BV31,$B$2,CB$23,$B$3,$BW$22,0)</f>
        <v>1.8015399304984771E-2</v>
      </c>
      <c r="CC31" s="1" cm="1">
        <f t="array" ref="CC31">OptionGamma($BV31,$B$2,CC$23,$B$3,$BW$22,0)</f>
        <v>1.6709061466729101E-2</v>
      </c>
      <c r="CD31" s="1" cm="1">
        <f t="array" ref="CD31">OptionGamma($BV31,$B$2,CD$23,$B$3,$BW$22,0)</f>
        <v>1.5644431582997612E-2</v>
      </c>
      <c r="CE31" s="1" cm="1">
        <f t="array" ref="CE31">OptionGamma($BV31,$B$2,CE$23,$B$3,$BW$22,0)</f>
        <v>1.4754868041798963E-2</v>
      </c>
      <c r="CF31" s="1" cm="1">
        <f t="array" ref="CF31">OptionGamma($BV31,$B$2,CF$23,$B$3,$BW$22,0)</f>
        <v>1.3996906305568678E-2</v>
      </c>
      <c r="CG31" s="1" cm="1">
        <f t="array" ref="CG31">OptionGamma($BV31,$B$2,CG$23,$B$3,$BW$22,0)</f>
        <v>9.8037554378220954E-3</v>
      </c>
      <c r="CH31" s="1" cm="1">
        <f t="array" ref="CH31">OptionGamma($BV31,$B$2,CH$23,$B$3,$BW$22,0)</f>
        <v>7.8905317151781781E-3</v>
      </c>
      <c r="CI31" s="1" cm="1">
        <f t="array" ref="CI31">OptionGamma($BV31,$B$2,CI$23,$B$3,$BW$22,0)</f>
        <v>6.727711143982254E-3</v>
      </c>
      <c r="CJ31" s="1" cm="1">
        <f t="array" ref="CJ31">OptionGamma($BV31,$B$2,CJ$23,$B$3,$BW$22,0)</f>
        <v>5.9214922774464777E-3</v>
      </c>
      <c r="CS31" s="145"/>
      <c r="CT31" s="14">
        <v>95</v>
      </c>
      <c r="CU31" s="1" cm="1">
        <f t="array" ref="CU31">OptionVega($CT31,$B$2,CU$23,$B$3,$CU$22,0)</f>
        <v>0.10666888149822518</v>
      </c>
      <c r="CV31" s="1" cm="1">
        <f t="array" ref="CV31">OptionVega($CT31,$B$2,CV$23,$B$3,$CU$22,0)</f>
        <v>0.16201774980597239</v>
      </c>
      <c r="CW31" s="1" cm="1">
        <f t="array" ref="CW31">OptionVega($CT31,$B$2,CW$23,$B$3,$CU$22,0)</f>
        <v>0.20298234899889017</v>
      </c>
      <c r="CX31" s="1" cm="1">
        <f t="array" ref="CX31">OptionVega($CT31,$B$2,CX$23,$B$3,$CU$22,0)</f>
        <v>0.23685782585692991</v>
      </c>
      <c r="CY31" s="1" cm="1">
        <f t="array" ref="CY31">OptionVega($CT31,$B$2,CY$23,$B$3,$CU$22,0)</f>
        <v>0.26630962333356745</v>
      </c>
      <c r="CZ31" s="1" cm="1">
        <f t="array" ref="CZ31">OptionVega($CT31,$B$2,CZ$23,$B$3,$CU$22,0)</f>
        <v>0.29266016170947762</v>
      </c>
      <c r="DA31" s="1" cm="1">
        <f t="array" ref="DA31">OptionVega($CT31,$B$2,DA$23,$B$3,$CU$22,0)</f>
        <v>0.31667848744818328</v>
      </c>
      <c r="DB31" s="1" cm="1">
        <f t="array" ref="DB31">OptionVega($CT31,$B$2,DB$23,$B$3,$CU$22,0)</f>
        <v>0.33885838808772822</v>
      </c>
      <c r="DC31" s="1" cm="1">
        <f t="array" ref="DC31">OptionVega($CT31,$B$2,DC$23,$B$3,$CU$22,0)</f>
        <v>0.35953924700853623</v>
      </c>
      <c r="DD31" s="1" cm="1">
        <f t="array" ref="DD31">OptionVega($CT31,$B$2,DD$23,$B$3,$CU$22,0)</f>
        <v>0.37896623822327197</v>
      </c>
      <c r="DE31" s="1" cm="1">
        <f t="array" ref="DE31">OptionVega($CT31,$B$2,DE$23,$B$3,$CU$22,0)</f>
        <v>0.53087335695806659</v>
      </c>
      <c r="DF31" s="1" cm="1">
        <f t="array" ref="DF31">OptionVega($CT31,$B$2,DF$23,$B$3,$CU$22,0)</f>
        <v>0.6409084385653474</v>
      </c>
      <c r="DG31" s="1" cm="1">
        <f t="array" ref="DG31">OptionVega($CT31,$B$2,DG$23,$B$3,$CU$22,0)</f>
        <v>0.72861111689327818</v>
      </c>
      <c r="DH31" s="1" cm="1">
        <f t="array" ref="DH31">OptionVega($CT31,$B$2,DH$23,$B$3,$CU$22,0)</f>
        <v>0.80162201705931713</v>
      </c>
      <c r="DQ31" s="130"/>
      <c r="DR31" s="14">
        <v>95</v>
      </c>
      <c r="DS31" s="1" cm="1">
        <f t="array" ref="DS31">OptionRho("C",$DR31,$B$2,DS$23,$B$3,$DS$22,0)</f>
        <v>2.8149490988691562E-2</v>
      </c>
      <c r="DT31" s="1" cm="1">
        <f t="array" ref="DT31">OptionRho("C",$DR31,$B$2,DT$23,$B$3,$DS$22,0)</f>
        <v>6.6260425961542996E-2</v>
      </c>
      <c r="DU31" s="1" cm="1">
        <f t="array" ref="DU31">OptionRho("C",$DR31,$B$2,DU$23,$B$3,$DS$22,0)</f>
        <v>0.10571300384455705</v>
      </c>
      <c r="DV31" s="1" cm="1">
        <f t="array" ref="DV31">OptionRho("C",$DR31,$B$2,DV$23,$B$3,$DS$22,0)</f>
        <v>0.14556689094577391</v>
      </c>
      <c r="DW31" s="1" cm="1">
        <f t="array" ref="DW31">OptionRho("C",$DR31,$B$2,DW$23,$B$3,$DS$22,0)</f>
        <v>0.18549891582551309</v>
      </c>
      <c r="DX31" s="1" cm="1">
        <f t="array" ref="DX31">OptionRho("C",$DR31,$B$2,DX$23,$B$3,$DS$22,0)</f>
        <v>0.22536096616038254</v>
      </c>
      <c r="DY31" s="1" cm="1">
        <f t="array" ref="DY31">OptionRho("C",$DR31,$B$2,DY$23,$B$3,$DS$22,0)</f>
        <v>0.26507480350440915</v>
      </c>
      <c r="DZ31" s="1" cm="1">
        <f t="array" ref="DZ31">OptionRho("C",$DR31,$B$2,DZ$23,$B$3,$DS$22,0)</f>
        <v>0.30459559705270878</v>
      </c>
      <c r="EA31" s="1" cm="1">
        <f t="array" ref="EA31">OptionRho("C",$DR31,$B$2,EA$23,$B$3,$DS$22,0)</f>
        <v>0.34389641378661545</v>
      </c>
      <c r="EB31" s="1" cm="1">
        <f t="array" ref="EB31">OptionRho("C",$DR31,$B$2,EB$23,$B$3,$DS$22,0)</f>
        <v>0.38296069087442108</v>
      </c>
      <c r="EC31" s="1" cm="1">
        <f t="array" ref="EC31">OptionRho("C",$DR31,$B$2,EC$23,$B$3,$DS$22,0)</f>
        <v>0.75961631172955657</v>
      </c>
      <c r="ED31" s="1" cm="1">
        <f t="array" ref="ED31">OptionRho("C",$DR31,$B$2,ED$23,$B$3,$DS$22,0)</f>
        <v>1.1115151807553352</v>
      </c>
      <c r="EE31" s="1" cm="1">
        <f t="array" ref="EE31">OptionRho("C",$DR31,$B$2,EE$23,$B$3,$DS$22,0)</f>
        <v>1.4409177804367721</v>
      </c>
      <c r="EF31" s="1" cm="1">
        <f t="array" ref="EF31">OptionRho("C",$DR31,$B$2,EF$23,$B$3,$DS$22,0)</f>
        <v>1.7499340189075157</v>
      </c>
      <c r="EP31" s="130"/>
      <c r="EQ31" s="14">
        <v>95</v>
      </c>
      <c r="ER31" s="1" cm="1">
        <f t="array" ref="ER31">OptionRho("C",$DR31,$B$2,ER$23,$D$3,$DS$22,0)</f>
        <v>4.5245517765258994E-2</v>
      </c>
      <c r="ES31" s="1" cm="1">
        <f t="array" ref="ES31">OptionRho("C",$DR31,$B$2,ES$23,$D$3,$DS$22,0)</f>
        <v>0.11154261595078449</v>
      </c>
      <c r="ET31" s="1" cm="1">
        <f t="array" ref="ET31">OptionRho("C",$DR31,$B$2,ET$23,$D$3,$DS$22,0)</f>
        <v>0.18022275578388375</v>
      </c>
      <c r="EU31" s="1" cm="1">
        <f t="array" ref="EU31">OptionRho("C",$DR31,$B$2,EU$23,$D$3,$DS$22,0)</f>
        <v>0.24711001189228241</v>
      </c>
      <c r="EV31" s="1" cm="1">
        <f t="array" ref="EV31">OptionRho("C",$DR31,$B$2,EV$23,$D$3,$DS$22,0)</f>
        <v>0.3103183456411891</v>
      </c>
      <c r="EW31" s="1" cm="1">
        <f t="array" ref="EW31">OptionRho("C",$DR31,$B$2,EW$23,$D$3,$DS$22,0)</f>
        <v>0.36891718162341219</v>
      </c>
      <c r="EX31" s="1" cm="1">
        <f t="array" ref="EX31">OptionRho("C",$DR31,$B$2,EX$23,$D$3,$DS$22,0)</f>
        <v>0.42247912211965699</v>
      </c>
      <c r="EY31" s="1" cm="1">
        <f t="array" ref="EY31">OptionRho("C",$DR31,$B$2,EY$23,$D$3,$DS$22,0)</f>
        <v>0.4708699270446286</v>
      </c>
      <c r="EZ31" s="1" cm="1">
        <f t="array" ref="EZ31">OptionRho("C",$DR31,$B$2,EZ$23,$D$3,$DS$22,0)</f>
        <v>0.51413421629187928</v>
      </c>
      <c r="FA31" s="1" cm="1">
        <f t="array" ref="FA31">OptionRho("C",$DR31,$B$2,FA$23,$D$3,$DS$22,0)</f>
        <v>0.55242726683160215</v>
      </c>
      <c r="FB31" s="1" cm="1">
        <f t="array" ref="FB31">OptionRho("C",$DR31,$B$2,FB$23,$D$3,$DS$22,0)</f>
        <v>0.71995071062704152</v>
      </c>
      <c r="FC31" s="1" cm="1">
        <f t="array" ref="FC31">OptionRho("C",$DR31,$B$2,FC$23,$D$3,$DS$22,0)</f>
        <v>0.66555355726711052</v>
      </c>
      <c r="FD31" s="1" cm="1">
        <f t="array" ref="FD31">OptionRho("C",$DR31,$B$2,FD$23,$D$3,$DS$22,0)</f>
        <v>0.54047499261710441</v>
      </c>
      <c r="FE31" s="1" cm="1">
        <f t="array" ref="FE31">OptionRho("C",$DR31,$B$2,FE$23,$D$3,$DS$22,0)</f>
        <v>0.4102368668852846</v>
      </c>
    </row>
    <row r="32" spans="1:161" x14ac:dyDescent="0.2">
      <c r="A32" s="133"/>
      <c r="B32" s="14">
        <v>100</v>
      </c>
      <c r="C32" s="1" cm="1">
        <f t="array" ref="C32">OptionPrice("C",$B32,$B$2,C$23,$B$3,$C$22,0)</f>
        <v>3.831574231402854</v>
      </c>
      <c r="D32" s="1" cm="1">
        <f t="array" ref="D32">OptionPrice("C",$B32,$B$2,D$23,$B$3,$C$22,0)</f>
        <v>5.4435105954847174</v>
      </c>
      <c r="E32" s="1" cm="1">
        <f t="array" ref="E32">OptionPrice("C",$B32,$B$2,E$23,$B$3,$C$22,0)</f>
        <v>6.6889786056810578</v>
      </c>
      <c r="F32" s="1" cm="1">
        <f t="array" ref="F32">OptionPrice("C",$B32,$B$2,F$23,$B$3,$C$22,0)</f>
        <v>7.7442445174313264</v>
      </c>
      <c r="G32" s="1" cm="1">
        <f t="array" ref="G32">OptionPrice("C",$B32,$B$2,G$23,$B$3,$C$22,0)</f>
        <v>8.6776455623360036</v>
      </c>
      <c r="H32" s="1" cm="1">
        <f t="array" ref="H32">OptionPrice("C",$B32,$B$2,H$23,$B$3,$C$22,0)</f>
        <v>9.5242598421598075</v>
      </c>
      <c r="I32" s="1" cm="1">
        <f t="array" ref="I32">OptionPrice("C",$B32,$B$2,I$23,$B$3,$C$22,0)</f>
        <v>10.304943338408442</v>
      </c>
      <c r="J32" s="1" cm="1">
        <f t="array" ref="J32">OptionPrice("C",$B32,$B$2,J$23,$B$3,$C$22,0)</f>
        <v>11.03329655837895</v>
      </c>
      <c r="K32" s="1" cm="1">
        <f t="array" ref="K32">OptionPrice("C",$B32,$B$2,K$23,$B$3,$C$22,0)</f>
        <v>11.71877456641041</v>
      </c>
      <c r="L32" s="1" cm="1">
        <f t="array" ref="L32">OptionPrice("C",$B32,$B$2,L$23,$B$3,$C$22,0)</f>
        <v>12.368267463784079</v>
      </c>
      <c r="M32" s="1" cm="1">
        <f t="array" ref="M32">OptionPrice("C",$B32,$B$2,M$23,$B$3,$C$22,0)</f>
        <v>17.641538042318359</v>
      </c>
      <c r="N32" s="1" cm="1">
        <f t="array" ref="N32">OptionPrice("C",$B32,$B$2,N$23,$B$3,$C$22,0)</f>
        <v>21.706487837663204</v>
      </c>
      <c r="O32" s="1" cm="1">
        <f t="array" ref="O32">OptionPrice("C",$B32,$B$2,O$23,$B$3,$C$22,0)</f>
        <v>25.130303166609018</v>
      </c>
      <c r="P32" s="1" cm="1">
        <f t="array" ref="P32">OptionPrice("C",$B32,$B$2,P$23,$B$3,$C$22,0)</f>
        <v>28.134906993620476</v>
      </c>
      <c r="Y32" s="136"/>
      <c r="Z32" s="14">
        <v>100</v>
      </c>
      <c r="AA32" s="1" cm="1">
        <f t="array" ref="AA32">OptionDelta("C",$Z32,$B$2,AA$23,$B$3,$AA$22,0)</f>
        <v>0.52311576495136336</v>
      </c>
      <c r="AB32" s="1" cm="1">
        <f t="array" ref="AB32">OptionDelta("C",$Z32,$B$2,AB$23,$B$3,$AA$22,0)</f>
        <v>0.53267233292182181</v>
      </c>
      <c r="AC32" s="1" cm="1">
        <f t="array" ref="AC32">OptionDelta("C",$Z32,$B$2,AC$23,$B$3,$AA$22,0)</f>
        <v>0.53999288758705544</v>
      </c>
      <c r="AD32" s="1" cm="1">
        <f t="array" ref="AD32">OptionDelta("C",$Z32,$B$2,AD$23,$B$3,$AA$22,0)</f>
        <v>0.54615398735857779</v>
      </c>
      <c r="AE32" s="1" cm="1">
        <f t="array" ref="AE32">OptionDelta("C",$Z32,$B$2,AE$23,$B$3,$AA$22,0)</f>
        <v>0.55157288637548119</v>
      </c>
      <c r="AF32" s="1" cm="1">
        <f t="array" ref="AF32">OptionDelta("C",$Z32,$B$2,AF$23,$B$3,$AA$22,0)</f>
        <v>0.55646370539182832</v>
      </c>
      <c r="AG32" s="1" cm="1">
        <f t="array" ref="AG32">OptionDelta("C",$Z32,$B$2,AG$23,$B$3,$AA$22,0)</f>
        <v>0.56095371673383299</v>
      </c>
      <c r="AH32" s="1" cm="1">
        <f t="array" ref="AH32">OptionDelta("C",$Z32,$B$2,AH$23,$B$3,$AA$22,0)</f>
        <v>0.56512589389530654</v>
      </c>
      <c r="AI32" s="1" cm="1">
        <f t="array" ref="AI32">OptionDelta("C",$Z32,$B$2,AI$23,$B$3,$AA$22,0)</f>
        <v>0.56903790416143729</v>
      </c>
      <c r="AJ32" s="1" cm="1">
        <f t="array" ref="AJ32">OptionDelta("C",$Z32,$B$2,AJ$23,$B$3,$AA$22,0)</f>
        <v>0.57273175930304054</v>
      </c>
      <c r="AK32" s="1" cm="1">
        <f t="array" ref="AK32">OptionDelta("C",$Z32,$B$2,AK$23,$B$3,$AA$22,0)</f>
        <v>0.60228749680470339</v>
      </c>
      <c r="AL32" s="1" cm="1">
        <f t="array" ref="AL32">OptionDelta("C",$Z32,$B$2,AL$23,$B$3,$AA$22,0)</f>
        <v>0.62458405795544159</v>
      </c>
      <c r="AM32" s="1" cm="1">
        <f t="array" ref="AM32">OptionDelta("C",$Z32,$B$2,AM$23,$B$3,$AA$22,0)</f>
        <v>0.64306616326250143</v>
      </c>
      <c r="AN32" s="1" cm="1">
        <f t="array" ref="AN32">OptionDelta("C",$Z32,$B$2,AN$23,$B$3,$AA$22,0)</f>
        <v>0.65907714492767744</v>
      </c>
      <c r="AW32" s="139"/>
      <c r="AX32" s="14">
        <v>100</v>
      </c>
      <c r="AY32" s="1" cm="1">
        <f t="array" ref="AY32">OptionTheta("C",$AX32,$B$2,AY$23,$B$3,$AY$22,0)</f>
        <v>-5.0429914019782029E-2</v>
      </c>
      <c r="AZ32" s="1" cm="1">
        <f t="array" ref="AZ32">OptionTheta("C",$AX32,$B$2,AZ$23,$B$3,$AY$22,0)</f>
        <v>-3.5226833826804554E-2</v>
      </c>
      <c r="BA32" s="1" cm="1">
        <f t="array" ref="BA32">OptionTheta("C",$AX32,$B$2,BA$23,$B$3,$AY$22,0)</f>
        <v>-2.8486129247863486E-2</v>
      </c>
      <c r="BB32" s="1" cm="1">
        <f t="array" ref="BB32">OptionTheta("C",$AX32,$B$2,BB$23,$B$3,$AY$22,0)</f>
        <v>-2.446478014111279E-2</v>
      </c>
      <c r="BC32" s="1" cm="1">
        <f t="array" ref="BC32">OptionTheta("C",$AX32,$B$2,BC$23,$B$3,$AY$22,0)</f>
        <v>-2.1718448927661036E-2</v>
      </c>
      <c r="BD32" s="1" cm="1">
        <f t="array" ref="BD32">OptionTheta("C",$AX32,$B$2,BD$23,$B$3,$AY$22,0)</f>
        <v>-1.9689741712229928E-2</v>
      </c>
      <c r="BE32" s="1" cm="1">
        <f t="array" ref="BE32">OptionTheta("C",$AX32,$B$2,BE$23,$B$3,$AY$22,0)</f>
        <v>-1.8111936867529634E-2</v>
      </c>
      <c r="BF32" s="1" cm="1">
        <f t="array" ref="BF32">OptionTheta("C",$AX32,$B$2,BF$23,$B$3,$AY$22,0)</f>
        <v>-1.6839246237944125E-2</v>
      </c>
      <c r="BG32" s="1" cm="1">
        <f t="array" ref="BG32">OptionTheta("C",$AX32,$B$2,BG$23,$B$3,$AY$22,0)</f>
        <v>-1.5784364607294689E-2</v>
      </c>
      <c r="BH32" s="1" cm="1">
        <f t="array" ref="BH32">OptionTheta("C",$AX32,$B$2,BH$23,$B$3,$AY$22,0)</f>
        <v>-1.4891393827865178E-2</v>
      </c>
      <c r="BI32" s="1" cm="1">
        <f t="array" ref="BI32">OptionTheta("C",$AX32,$B$2,BI$23,$B$3,$AY$22,0)</f>
        <v>-1.0042987801515472E-2</v>
      </c>
      <c r="BJ32" s="1" cm="1">
        <f t="array" ref="BJ32">OptionTheta("C",$AX32,$B$2,BJ$23,$B$3,$AY$22,0)</f>
        <v>-7.8837089439053269E-3</v>
      </c>
      <c r="BK32" s="1" cm="1">
        <f t="array" ref="BK32">OptionTheta("C",$AX32,$B$2,BK$23,$B$3,$AY$22,0)</f>
        <v>-6.5911833409823374E-3</v>
      </c>
      <c r="BL32" s="1" cm="1">
        <f t="array" ref="BL32">OptionTheta("C",$AX32,$B$2,BL$23,$B$3,$AY$22,0)</f>
        <v>-5.7062268288461671E-3</v>
      </c>
      <c r="BU32" s="142"/>
      <c r="BV32" s="14">
        <v>100</v>
      </c>
      <c r="BW32" s="1" cm="1">
        <f t="array" ref="BW32">OptionGamma($BV32,$B$2,BW$23,$B$3,$BW$22,0)</f>
        <v>4.1981596977461719E-2</v>
      </c>
      <c r="BX32" s="1" cm="1">
        <f t="array" ref="BX32">OptionGamma($BV32,$B$2,BX$23,$B$3,$BW$22,0)</f>
        <v>2.963562571944587E-2</v>
      </c>
      <c r="BY32" s="1" cm="1">
        <f t="array" ref="BY32">OptionGamma($BV32,$B$2,BY$23,$B$3,$BW$22,0)</f>
        <v>2.4156756171112039E-2</v>
      </c>
      <c r="BZ32" s="1" cm="1">
        <f t="array" ref="BZ32">OptionGamma($BV32,$B$2,BZ$23,$B$3,$BW$22,0)</f>
        <v>2.0885236208200961E-2</v>
      </c>
      <c r="CA32" s="1" cm="1">
        <f t="array" ref="CA32">OptionGamma($BV32,$B$2,CA$23,$B$3,$BW$22,0)</f>
        <v>1.8648956198552002E-2</v>
      </c>
      <c r="CB32" s="1" cm="1">
        <f t="array" ref="CB32">OptionGamma($BV32,$B$2,CB$23,$B$3,$BW$22,0)</f>
        <v>1.6995504070964788E-2</v>
      </c>
      <c r="CC32" s="1" cm="1">
        <f t="array" ref="CC32">OptionGamma($BV32,$B$2,CC$23,$B$3,$BW$22,0)</f>
        <v>1.5708358311106813E-2</v>
      </c>
      <c r="CD32" s="1" cm="1">
        <f t="array" ref="CD32">OptionGamma($BV32,$B$2,CD$23,$B$3,$BW$22,0)</f>
        <v>1.4669150678135831E-2</v>
      </c>
      <c r="CE32" s="1" cm="1">
        <f t="array" ref="CE32">OptionGamma($BV32,$B$2,CE$23,$B$3,$BW$22,0)</f>
        <v>1.38069849781331E-2</v>
      </c>
      <c r="CF32" s="1" cm="1">
        <f t="array" ref="CF32">OptionGamma($BV32,$B$2,CF$23,$B$3,$BW$22,0)</f>
        <v>1.3076461848524422E-2</v>
      </c>
      <c r="CG32" s="1" cm="1">
        <f t="array" ref="CG32">OptionGamma($BV32,$B$2,CG$23,$B$3,$BW$22,0)</f>
        <v>9.092361475410371E-3</v>
      </c>
      <c r="CH32" s="1" cm="1">
        <f t="array" ref="CH32">OptionGamma($BV32,$B$2,CH$23,$B$3,$BW$22,0)</f>
        <v>7.3001620980094519E-3</v>
      </c>
      <c r="CI32" s="1" cm="1">
        <f t="array" ref="CI32">OptionGamma($BV32,$B$2,CI$23,$B$3,$BW$22,0)</f>
        <v>6.2167667801221425E-3</v>
      </c>
      <c r="CJ32" s="1" cm="1">
        <f t="array" ref="CJ32">OptionGamma($BV32,$B$2,CJ$23,$B$3,$BW$22,0)</f>
        <v>5.4677797056007201E-3</v>
      </c>
      <c r="CS32" s="145"/>
      <c r="CT32" s="14">
        <v>100</v>
      </c>
      <c r="CU32" s="1" cm="1">
        <f t="array" ref="CU32">OptionVega($CT32,$B$2,CU$23,$B$3,$CU$22,0)</f>
        <v>0.12594479093238517</v>
      </c>
      <c r="CV32" s="1" cm="1">
        <f t="array" ref="CV32">OptionVega($CT32,$B$2,CV$23,$B$3,$CU$22,0)</f>
        <v>0.17781375431667518</v>
      </c>
      <c r="CW32" s="1" cm="1">
        <f t="array" ref="CW32">OptionVega($CT32,$B$2,CW$23,$B$3,$CU$22,0)</f>
        <v>0.21741080554000833</v>
      </c>
      <c r="CX32" s="1" cm="1">
        <f t="array" ref="CX32">OptionVega($CT32,$B$2,CX$23,$B$3,$CU$22,0)</f>
        <v>0.25062283449841155</v>
      </c>
      <c r="CY32" s="1" cm="1">
        <f t="array" ref="CY32">OptionVega($CT32,$B$2,CY$23,$B$3,$CU$22,0)</f>
        <v>0.27973434297828004</v>
      </c>
      <c r="CZ32" s="1" cm="1">
        <f t="array" ref="CZ32">OptionVega($CT32,$B$2,CZ$23,$B$3,$CU$22,0)</f>
        <v>0.30591907327736617</v>
      </c>
      <c r="DA32" s="1" cm="1">
        <f t="array" ref="DA32">OptionVega($CT32,$B$2,DA$23,$B$3,$CU$22,0)</f>
        <v>0.32987552453324309</v>
      </c>
      <c r="DB32" s="1" cm="1">
        <f t="array" ref="DB32">OptionVega($CT32,$B$2,DB$23,$B$3,$CU$22,0)</f>
        <v>0.35205961627525989</v>
      </c>
      <c r="DC32" s="1" cm="1">
        <f t="array" ref="DC32">OptionVega($CT32,$B$2,DC$23,$B$3,$CU$22,0)</f>
        <v>0.37278859440959367</v>
      </c>
      <c r="DD32" s="1" cm="1">
        <f t="array" ref="DD32">OptionVega($CT32,$B$2,DD$23,$B$3,$CU$22,0)</f>
        <v>0.39229385545573264</v>
      </c>
      <c r="DE32" s="1" cm="1">
        <f t="array" ref="DE32">OptionVega($CT32,$B$2,DE$23,$B$3,$CU$22,0)</f>
        <v>0.54554168852462226</v>
      </c>
      <c r="DF32" s="1" cm="1">
        <f t="array" ref="DF32">OptionVega($CT32,$B$2,DF$23,$B$3,$CU$22,0)</f>
        <v>0.65701458882085051</v>
      </c>
      <c r="DG32" s="1" cm="1">
        <f t="array" ref="DG32">OptionVega($CT32,$B$2,DG$23,$B$3,$CU$22,0)</f>
        <v>0.74601201361465708</v>
      </c>
      <c r="DH32" s="1" cm="1">
        <f t="array" ref="DH32">OptionVega($CT32,$B$2,DH$23,$B$3,$CU$22,0)</f>
        <v>0.8201669558401079</v>
      </c>
      <c r="DQ32" s="130"/>
      <c r="DR32" s="14">
        <v>100</v>
      </c>
      <c r="DS32" s="1" cm="1">
        <f t="array" ref="DS32">OptionRho("C",$DR32,$B$2,DS$23,$B$3,$DS$22,0)</f>
        <v>4.8480002263733495E-2</v>
      </c>
      <c r="DT32" s="1" cm="1">
        <f t="array" ref="DT32">OptionRho("C",$DR32,$B$2,DT$23,$B$3,$DS$22,0)</f>
        <v>9.5647445393394939E-2</v>
      </c>
      <c r="DU32" s="1" cm="1">
        <f t="array" ref="DU32">OptionRho("C",$DR32,$B$2,DU$23,$B$3,$DS$22,0)</f>
        <v>0.14193093045907348</v>
      </c>
      <c r="DV32" s="1" cm="1">
        <f t="array" ref="DV32">OptionRho("C",$DR32,$B$2,DV$23,$B$3,$DS$22,0)</f>
        <v>0.18748461687370585</v>
      </c>
      <c r="DW32" s="1" cm="1">
        <f t="array" ref="DW32">OptionRho("C",$DR32,$B$2,DW$23,$B$3,$DS$22,0)</f>
        <v>0.23239821537606056</v>
      </c>
      <c r="DX32" s="1" cm="1">
        <f t="array" ref="DX32">OptionRho("C",$DR32,$B$2,DX$23,$B$3,$DS$22,0)</f>
        <v>0.2767326641821381</v>
      </c>
      <c r="DY32" s="1" cm="1">
        <f t="array" ref="DY32">OptionRho("C",$DR32,$B$2,DY$23,$B$3,$DS$22,0)</f>
        <v>0.32053299834482402</v>
      </c>
      <c r="DZ32" s="1" cm="1">
        <f t="array" ref="DZ32">OptionRho("C",$DR32,$B$2,DZ$23,$B$3,$DS$22,0)</f>
        <v>0.3638343426492136</v>
      </c>
      <c r="EA32" s="1" cm="1">
        <f t="array" ref="EA32">OptionRho("C",$DR32,$B$2,EA$23,$B$3,$DS$22,0)</f>
        <v>0.40666514264759984</v>
      </c>
      <c r="EB32" s="1" cm="1">
        <f t="array" ref="EB32">OptionRho("C",$DR32,$B$2,EB$23,$B$3,$DS$22,0)</f>
        <v>0.44904908466519983</v>
      </c>
      <c r="EC32" s="1" cm="1">
        <f t="array" ref="EC32">OptionRho("C",$DR32,$B$2,EC$23,$B$3,$DS$22,0)</f>
        <v>0.85174423276303957</v>
      </c>
      <c r="ED32" s="1" cm="1">
        <f t="array" ref="ED32">OptionRho("C",$DR32,$B$2,ED$23,$B$3,$DS$22,0)</f>
        <v>1.2225575387364285</v>
      </c>
      <c r="EE32" s="1" cm="1">
        <f t="array" ref="EE32">OptionRho("C",$DR32,$B$2,EE$23,$B$3,$DS$22,0)</f>
        <v>1.5670525263856452</v>
      </c>
      <c r="EF32" s="1" cm="1">
        <f t="array" ref="EF32">OptionRho("C",$DR32,$B$2,EF$23,$B$3,$DS$22,0)</f>
        <v>1.8886403749573633</v>
      </c>
      <c r="EP32" s="130"/>
      <c r="EQ32" s="14">
        <v>100</v>
      </c>
      <c r="ER32" s="1" cm="1">
        <f t="array" ref="ER32">OptionRho("C",$DR32,$B$2,ER$23,$D$3,$DS$22,0)</f>
        <v>6.5087719631189256E-2</v>
      </c>
      <c r="ES32" s="1" cm="1">
        <f t="array" ref="ES32">OptionRho("C",$DR32,$B$2,ES$23,$D$3,$DS$22,0)</f>
        <v>0.13594295371569276</v>
      </c>
      <c r="ET32" s="1" cm="1">
        <f t="array" ref="ET32">OptionRho("C",$DR32,$B$2,ET$23,$D$3,$DS$22,0)</f>
        <v>0.20577771389110228</v>
      </c>
      <c r="EU32" s="1" cm="1">
        <f t="array" ref="EU32">OptionRho("C",$DR32,$B$2,EU$23,$D$3,$DS$22,0)</f>
        <v>0.27223685047099072</v>
      </c>
      <c r="EV32" s="1" cm="1">
        <f t="array" ref="EV32">OptionRho("C",$DR32,$B$2,EV$23,$D$3,$DS$22,0)</f>
        <v>0.33419897700028012</v>
      </c>
      <c r="EW32" s="1" cm="1">
        <f t="array" ref="EW32">OptionRho("C",$DR32,$B$2,EW$23,$D$3,$DS$22,0)</f>
        <v>0.39113584994372336</v>
      </c>
      <c r="EX32" s="1" cm="1">
        <f t="array" ref="EX32">OptionRho("C",$DR32,$B$2,EX$23,$D$3,$DS$22,0)</f>
        <v>0.4428523755942903</v>
      </c>
      <c r="EY32" s="1" cm="1">
        <f t="array" ref="EY32">OptionRho("C",$DR32,$B$2,EY$23,$D$3,$DS$22,0)</f>
        <v>0.4893537690333799</v>
      </c>
      <c r="EZ32" s="1" cm="1">
        <f t="array" ref="EZ32">OptionRho("C",$DR32,$B$2,EZ$23,$D$3,$DS$22,0)</f>
        <v>0.53076893949861015</v>
      </c>
      <c r="FA32" s="1" cm="1">
        <f t="array" ref="FA32">OptionRho("C",$DR32,$B$2,FA$23,$D$3,$DS$22,0)</f>
        <v>0.56730302719840442</v>
      </c>
      <c r="FB32" s="1" cm="1">
        <f t="array" ref="FB32">OptionRho("C",$DR32,$B$2,FB$23,$D$3,$DS$22,0)</f>
        <v>0.72400086774713168</v>
      </c>
      <c r="FC32" s="1" cm="1">
        <f t="array" ref="FC32">OptionRho("C",$DR32,$B$2,FC$23,$D$3,$DS$22,0)</f>
        <v>0.66650689415105868</v>
      </c>
      <c r="FD32" s="1" cm="1">
        <f t="array" ref="FD32">OptionRho("C",$DR32,$B$2,FD$23,$D$3,$DS$22,0)</f>
        <v>0.5406864667209017</v>
      </c>
      <c r="FE32" s="1" cm="1">
        <f t="array" ref="FE32">OptionRho("C",$DR32,$B$2,FE$23,$D$3,$DS$22,0)</f>
        <v>0.41028227971873626</v>
      </c>
    </row>
    <row r="33" spans="1:161" x14ac:dyDescent="0.2">
      <c r="A33" s="133"/>
      <c r="B33" s="14">
        <v>105</v>
      </c>
      <c r="C33" s="1" cm="1">
        <f t="array" ref="C33">OptionPrice("C",$B33,$B$2,C$23,$B$3,$C$22,0)</f>
        <v>6.9473170778706503</v>
      </c>
      <c r="D33" s="1" cm="1">
        <f t="array" ref="D33">OptionPrice("C",$B33,$B$2,D$23,$B$3,$C$22,0)</f>
        <v>8.4637651281421924</v>
      </c>
      <c r="E33" s="1" cm="1">
        <f t="array" ref="E33">OptionPrice("C",$B33,$B$2,E$23,$B$3,$C$22,0)</f>
        <v>9.6809109631195014</v>
      </c>
      <c r="F33" s="1" cm="1">
        <f t="array" ref="F33">OptionPrice("C",$B33,$B$2,F$23,$B$3,$C$22,0)</f>
        <v>10.727900761762115</v>
      </c>
      <c r="G33" s="1" cm="1">
        <f t="array" ref="G33">OptionPrice("C",$B33,$B$2,G$23,$B$3,$C$22,0)</f>
        <v>11.661565489177896</v>
      </c>
      <c r="H33" s="1" cm="1">
        <f t="array" ref="H33">OptionPrice("C",$B33,$B$2,H$23,$B$3,$C$22,0)</f>
        <v>12.512741692296608</v>
      </c>
      <c r="I33" s="1" cm="1">
        <f t="array" ref="I33">OptionPrice("C",$B33,$B$2,I$23,$B$3,$C$22,0)</f>
        <v>13.300360975006797</v>
      </c>
      <c r="J33" s="1" cm="1">
        <f t="array" ref="J33">OptionPrice("C",$B33,$B$2,J$23,$B$3,$C$22,0)</f>
        <v>14.037032132187676</v>
      </c>
      <c r="K33" s="1" cm="1">
        <f t="array" ref="K33">OptionPrice("C",$B33,$B$2,K$23,$B$3,$C$22,0)</f>
        <v>14.731653235967585</v>
      </c>
      <c r="L33" s="1" cm="1">
        <f t="array" ref="L33">OptionPrice("C",$B33,$B$2,L$23,$B$3,$C$22,0)</f>
        <v>15.390781746389528</v>
      </c>
      <c r="M33" s="1" cm="1">
        <f t="array" ref="M33">OptionPrice("C",$B33,$B$2,M$23,$B$3,$C$22,0)</f>
        <v>20.763552697287011</v>
      </c>
      <c r="N33" s="1" cm="1">
        <f t="array" ref="N33">OptionPrice("C",$B33,$B$2,N$23,$B$3,$C$22,0)</f>
        <v>24.918221914028287</v>
      </c>
      <c r="O33" s="1" cm="1">
        <f t="array" ref="O33">OptionPrice("C",$B33,$B$2,O$23,$B$3,$C$22,0)</f>
        <v>28.421281040458936</v>
      </c>
      <c r="P33" s="1" cm="1">
        <f t="array" ref="P33">OptionPrice("C",$B33,$B$2,P$23,$B$3,$C$22,0)</f>
        <v>31.496833244623943</v>
      </c>
      <c r="Y33" s="136"/>
      <c r="Z33" s="14">
        <v>105</v>
      </c>
      <c r="AA33" s="1" cm="1">
        <f t="array" ref="AA33">OptionDelta("C",$Z33,$B$2,AA$23,$B$3,$AA$22,0)</f>
        <v>0.71642998296826488</v>
      </c>
      <c r="AB33" s="1" cm="1">
        <f t="array" ref="AB33">OptionDelta("C",$Z33,$B$2,AB$23,$B$3,$AA$22,0)</f>
        <v>0.67207480164598299</v>
      </c>
      <c r="AC33" s="1" cm="1">
        <f t="array" ref="AC33">OptionDelta("C",$Z33,$B$2,AC$23,$B$3,$AA$22,0)</f>
        <v>0.65444283411208759</v>
      </c>
      <c r="AD33" s="1" cm="1">
        <f t="array" ref="AD33">OptionDelta("C",$Z33,$B$2,AD$23,$B$3,$AA$22,0)</f>
        <v>0.64546184621426217</v>
      </c>
      <c r="AE33" s="1" cm="1">
        <f t="array" ref="AE33">OptionDelta("C",$Z33,$B$2,AE$23,$B$3,$AA$22,0)</f>
        <v>0.64044005264399373</v>
      </c>
      <c r="AF33" s="1" cm="1">
        <f t="array" ref="AF33">OptionDelta("C",$Z33,$B$2,AF$23,$B$3,$AA$22,0)</f>
        <v>0.6375691792945577</v>
      </c>
      <c r="AG33" s="1" cm="1">
        <f t="array" ref="AG33">OptionDelta("C",$Z33,$B$2,AG$23,$B$3,$AA$22,0)</f>
        <v>0.63599441741087059</v>
      </c>
      <c r="AH33" s="1" cm="1">
        <f t="array" ref="AH33">OptionDelta("C",$Z33,$B$2,AH$23,$B$3,$AA$22,0)</f>
        <v>0.63525669084775638</v>
      </c>
      <c r="AI33" s="1" cm="1">
        <f t="array" ref="AI33">OptionDelta("C",$Z33,$B$2,AI$23,$B$3,$AA$22,0)</f>
        <v>0.63508678730440149</v>
      </c>
      <c r="AJ33" s="1" cm="1">
        <f t="array" ref="AJ33">OptionDelta("C",$Z33,$B$2,AJ$23,$B$3,$AA$22,0)</f>
        <v>0.63531632275589001</v>
      </c>
      <c r="AK33" s="1" cm="1">
        <f t="array" ref="AK33">OptionDelta("C",$Z33,$B$2,AK$23,$B$3,$AA$22,0)</f>
        <v>0.64589902155139922</v>
      </c>
      <c r="AL33" s="1" cm="1">
        <f t="array" ref="AL33">OptionDelta("C",$Z33,$B$2,AL$23,$B$3,$AA$22,0)</f>
        <v>0.65962480217204278</v>
      </c>
      <c r="AM33" s="1" cm="1">
        <f t="array" ref="AM33">OptionDelta("C",$Z33,$B$2,AM$23,$B$3,$AA$22,0)</f>
        <v>0.67291748622828185</v>
      </c>
      <c r="AN33" s="1" cm="1">
        <f t="array" ref="AN33">OptionDelta("C",$Z33,$B$2,AN$23,$B$3,$AA$22,0)</f>
        <v>0.68533776358227261</v>
      </c>
      <c r="AW33" s="139"/>
      <c r="AX33" s="14">
        <v>105</v>
      </c>
      <c r="AY33" s="1" cm="1">
        <f t="array" ref="AY33">OptionTheta("C",$AX33,$B$2,AY$23,$B$3,$AY$22,0)</f>
        <v>-4.434447712002039E-2</v>
      </c>
      <c r="AZ33" s="1" cm="1">
        <f t="array" ref="AZ33">OptionTheta("C",$AX33,$B$2,AZ$23,$B$3,$AY$22,0)</f>
        <v>-3.3152833020150423E-2</v>
      </c>
      <c r="BA33" s="1" cm="1">
        <f t="array" ref="BA33">OptionTheta("C",$AX33,$B$2,BA$23,$B$3,$AY$22,0)</f>
        <v>-2.7426394828022834E-2</v>
      </c>
      <c r="BB33" s="1" cm="1">
        <f t="array" ref="BB33">OptionTheta("C",$AX33,$B$2,BB$23,$B$3,$AY$22,0)</f>
        <v>-2.3825813962483393E-2</v>
      </c>
      <c r="BC33" s="1" cm="1">
        <f t="array" ref="BC33">OptionTheta("C",$AX33,$B$2,BC$23,$B$3,$AY$22,0)</f>
        <v>-2.1297754660577151E-2</v>
      </c>
      <c r="BD33" s="1" cm="1">
        <f t="array" ref="BD33">OptionTheta("C",$AX33,$B$2,BD$23,$B$3,$AY$22,0)</f>
        <v>-1.9397896326821137E-2</v>
      </c>
      <c r="BE33" s="1" cm="1">
        <f t="array" ref="BE33">OptionTheta("C",$AX33,$B$2,BE$23,$B$3,$AY$22,0)</f>
        <v>-1.7902863275272088E-2</v>
      </c>
      <c r="BF33" s="1" cm="1">
        <f t="array" ref="BF33">OptionTheta("C",$AX33,$B$2,BF$23,$B$3,$AY$22,0)</f>
        <v>-1.6686613131416193E-2</v>
      </c>
      <c r="BG33" s="1" cm="1">
        <f t="array" ref="BG33">OptionTheta("C",$AX33,$B$2,BG$23,$B$3,$AY$22,0)</f>
        <v>-1.5671960507313846E-2</v>
      </c>
      <c r="BH33" s="1" cm="1">
        <f t="array" ref="BH33">OptionTheta("C",$AX33,$B$2,BH$23,$B$3,$AY$22,0)</f>
        <v>-1.4808659655744903E-2</v>
      </c>
      <c r="BI33" s="1" cm="1">
        <f t="array" ref="BI33">OptionTheta("C",$AX33,$B$2,BI$23,$B$3,$AY$22,0)</f>
        <v>-1.0059989052764239E-2</v>
      </c>
      <c r="BJ33" s="1" cm="1">
        <f t="array" ref="BJ33">OptionTheta("C",$AX33,$B$2,BJ$23,$B$3,$AY$22,0)</f>
        <v>-7.9173932603715542E-3</v>
      </c>
      <c r="BK33" s="1" cm="1">
        <f t="array" ref="BK33">OptionTheta("C",$AX33,$B$2,BK$23,$B$3,$AY$22,0)</f>
        <v>-6.62841328844115E-3</v>
      </c>
      <c r="BL33" s="1" cm="1">
        <f t="array" ref="BL33">OptionTheta("C",$AX33,$B$2,BL$23,$B$3,$AY$22,0)</f>
        <v>-5.7434844548699118E-3</v>
      </c>
      <c r="BU33" s="142"/>
      <c r="BV33" s="14">
        <v>105</v>
      </c>
      <c r="BW33" s="1" cm="1">
        <f t="array" ref="BW33">OptionGamma($BV33,$B$2,BW$23,$B$3,$BW$22,0)</f>
        <v>3.4000529020197359E-2</v>
      </c>
      <c r="BX33" s="1" cm="1">
        <f t="array" ref="BX33">OptionGamma($BV33,$B$2,BX$23,$B$3,$BW$22,0)</f>
        <v>2.5642378317564656E-2</v>
      </c>
      <c r="BY33" s="1" cm="1">
        <f t="array" ref="BY33">OptionGamma($BV33,$B$2,BY$23,$B$3,$BW$22,0)</f>
        <v>2.1367578691690262E-2</v>
      </c>
      <c r="BZ33" s="1" cm="1">
        <f t="array" ref="BZ33">OptionGamma($BV33,$B$2,BZ$23,$B$3,$BW$22,0)</f>
        <v>1.8678514542129088E-2</v>
      </c>
      <c r="CA33" s="1" cm="1">
        <f t="array" ref="CA33">OptionGamma($BV33,$B$2,CA$23,$B$3,$BW$22,0)</f>
        <v>1.6789169768697557E-2</v>
      </c>
      <c r="CB33" s="1" cm="1">
        <f t="array" ref="CB33">OptionGamma($BV33,$B$2,CB$23,$B$3,$BW$22,0)</f>
        <v>1.5368208376167369E-2</v>
      </c>
      <c r="CC33" s="1" cm="1">
        <f t="array" ref="CC33">OptionGamma($BV33,$B$2,CC$23,$B$3,$BW$22,0)</f>
        <v>1.4249101786859477E-2</v>
      </c>
      <c r="CD33" s="1" cm="1">
        <f t="array" ref="CD33">OptionGamma($BV33,$B$2,CD$23,$B$3,$BW$22,0)</f>
        <v>1.3337894677823489E-2</v>
      </c>
      <c r="CE33" s="1" cm="1">
        <f t="array" ref="CE33">OptionGamma($BV33,$B$2,CE$23,$B$3,$BW$22,0)</f>
        <v>1.2577052515957671E-2</v>
      </c>
      <c r="CF33" s="1" cm="1">
        <f t="array" ref="CF33">OptionGamma($BV33,$B$2,CF$23,$B$3,$BW$22,0)</f>
        <v>1.1929120878360653E-2</v>
      </c>
      <c r="CG33" s="1" cm="1">
        <f t="array" ref="CG33">OptionGamma($BV33,$B$2,CG$23,$B$3,$BW$22,0)</f>
        <v>8.3496184427614972E-3</v>
      </c>
      <c r="CH33" s="1" cm="1">
        <f t="array" ref="CH33">OptionGamma($BV33,$B$2,CH$23,$B$3,$BW$22,0)</f>
        <v>6.7186139847336453E-3</v>
      </c>
      <c r="CI33" s="1" cm="1">
        <f t="array" ref="CI33">OptionGamma($BV33,$B$2,CI$23,$B$3,$BW$22,0)</f>
        <v>5.7278335105389287E-3</v>
      </c>
      <c r="CJ33" s="1" cm="1">
        <f t="array" ref="CJ33">OptionGamma($BV33,$B$2,CJ$23,$B$3,$BW$22,0)</f>
        <v>5.0410846970877594E-3</v>
      </c>
      <c r="CS33" s="145"/>
      <c r="CT33" s="14">
        <v>105</v>
      </c>
      <c r="CU33" s="1" cm="1">
        <f t="array" ref="CU33">OptionVega($CT33,$B$2,CU$23,$B$3,$CU$22,0)</f>
        <v>0.11245674973430275</v>
      </c>
      <c r="CV33" s="1" cm="1">
        <f t="array" ref="CV33">OptionVega($CT33,$B$2,CV$23,$B$3,$CU$22,0)</f>
        <v>0.16962433257069018</v>
      </c>
      <c r="CW33" s="1" cm="1">
        <f t="array" ref="CW33">OptionVega($CT33,$B$2,CW$23,$B$3,$CU$22,0)</f>
        <v>0.21201979956829659</v>
      </c>
      <c r="CX33" s="1" cm="1">
        <f t="array" ref="CX33">OptionVega($CT33,$B$2,CX$23,$B$3,$CU$22,0)</f>
        <v>0.24711674739236783</v>
      </c>
      <c r="CY33" s="1" cm="1">
        <f t="array" ref="CY33">OptionVega($CT33,$B$2,CY$23,$B$3,$CU$22,0)</f>
        <v>0.27765089504983587</v>
      </c>
      <c r="CZ33" s="1" cm="1">
        <f t="array" ref="CZ33">OptionVega($CT33,$B$2,CZ$23,$B$3,$CU$22,0)</f>
        <v>0.30498209522504149</v>
      </c>
      <c r="DA33" s="1" cm="1">
        <f t="array" ref="DA33">OptionVega($CT33,$B$2,DA$23,$B$3,$CU$22,0)</f>
        <v>0.32990232912026402</v>
      </c>
      <c r="DB33" s="1" cm="1">
        <f t="array" ref="DB33">OptionVega($CT33,$B$2,DB$23,$B$3,$CU$22,0)</f>
        <v>0.35292069317520947</v>
      </c>
      <c r="DC33" s="1" cm="1">
        <f t="array" ref="DC33">OptionVega($CT33,$B$2,DC$23,$B$3,$CU$22,0)</f>
        <v>0.37438741076876991</v>
      </c>
      <c r="DD33" s="1" cm="1">
        <f t="array" ref="DD33">OptionVega($CT33,$B$2,DD$23,$B$3,$CU$22,0)</f>
        <v>0.39455567305177863</v>
      </c>
      <c r="DE33" s="1" cm="1">
        <f t="array" ref="DE33">OptionVega($CT33,$B$2,DE$23,$B$3,$CU$22,0)</f>
        <v>0.55232725998867305</v>
      </c>
      <c r="DF33" s="1" cm="1">
        <f t="array" ref="DF33">OptionVega($CT33,$B$2,DF$23,$B$3,$CU$22,0)</f>
        <v>0.66665447263519584</v>
      </c>
      <c r="DG33" s="1" cm="1">
        <f t="array" ref="DG33">OptionVega($CT33,$B$2,DG$23,$B$3,$CU$22,0)</f>
        <v>0.75779237344430039</v>
      </c>
      <c r="DH33" s="1" cm="1">
        <f t="array" ref="DH33">OptionVega($CT33,$B$2,DH$23,$B$3,$CU$22,0)</f>
        <v>0.83366938178088823</v>
      </c>
      <c r="DQ33" s="130"/>
      <c r="DR33" s="14">
        <v>105</v>
      </c>
      <c r="DS33" s="1" cm="1">
        <f t="array" ref="DS33">OptionRho("C",$DR33,$B$2,DS$23,$B$3,$DS$22,0)</f>
        <v>6.8277831133797179E-2</v>
      </c>
      <c r="DT33" s="1" cm="1">
        <f t="array" ref="DT33">OptionRho("C",$DR33,$B$2,DT$23,$B$3,$DS$22,0)</f>
        <v>0.12420817808937207</v>
      </c>
      <c r="DU33" s="1" cm="1">
        <f t="array" ref="DU33">OptionRho("C",$DR33,$B$2,DU$23,$B$3,$DS$22,0)</f>
        <v>0.17710675985594912</v>
      </c>
      <c r="DV33" s="1" cm="1">
        <f t="array" ref="DV33">OptionRho("C",$DR33,$B$2,DV$23,$B$3,$DS$22,0)</f>
        <v>0.22818237236294167</v>
      </c>
      <c r="DW33" s="1" cm="1">
        <f t="array" ref="DW33">OptionRho("C",$DR33,$B$2,DW$23,$B$3,$DS$22,0)</f>
        <v>0.27792320019220718</v>
      </c>
      <c r="DX33" s="1" cm="1">
        <f t="array" ref="DX33">OptionRho("C",$DR33,$B$2,DX$23,$B$3,$DS$22,0)</f>
        <v>0.32659213280179167</v>
      </c>
      <c r="DY33" s="1" cm="1">
        <f t="array" ref="DY33">OptionRho("C",$DR33,$B$2,DY$23,$B$3,$DS$22,0)</f>
        <v>0.37435336997194235</v>
      </c>
      <c r="DZ33" s="1" cm="1">
        <f t="array" ref="DZ33">OptionRho("C",$DR33,$B$2,DZ$23,$B$3,$DS$22,0)</f>
        <v>0.42131936325461394</v>
      </c>
      <c r="EA33" s="1" cm="1">
        <f t="array" ref="EA33">OptionRho("C",$DR33,$B$2,EA$23,$B$3,$DS$22,0)</f>
        <v>0.46757213487895111</v>
      </c>
      <c r="EB33" s="1" cm="1">
        <f t="array" ref="EB33">OptionRho("C",$DR33,$B$2,EB$23,$B$3,$DS$22,0)</f>
        <v>0.51317432142978925</v>
      </c>
      <c r="EC33" s="1" cm="1">
        <f t="array" ref="EC33">OptionRho("C",$DR33,$B$2,EC$23,$B$3,$DS$22,0)</f>
        <v>0.941116891312198</v>
      </c>
      <c r="ED33" s="1" cm="1">
        <f t="array" ref="ED33">OptionRho("C",$DR33,$B$2,ED$23,$B$3,$DS$22,0)</f>
        <v>1.3302714694210862</v>
      </c>
      <c r="EE33" s="1" cm="1">
        <f t="array" ref="EE33">OptionRho("C",$DR33,$B$2,EE$23,$B$3,$DS$22,0)</f>
        <v>1.6894022005404263</v>
      </c>
      <c r="EF33" s="1" cm="1">
        <f t="array" ref="EF33">OptionRho("C",$DR33,$B$2,EF$23,$B$3,$DS$22,0)</f>
        <v>2.0231815965757343</v>
      </c>
      <c r="EP33" s="130"/>
      <c r="EQ33" s="14">
        <v>105</v>
      </c>
      <c r="ER33" s="1" cm="1">
        <f t="array" ref="ER33">OptionRho("C",$DR33,$B$2,ER$23,$D$3,$DS$22,0)</f>
        <v>7.9890485792183913E-2</v>
      </c>
      <c r="ES33" s="1" cm="1">
        <f t="array" ref="ES33">OptionRho("C",$DR33,$B$2,ES$23,$D$3,$DS$22,0)</f>
        <v>0.1540538085304671</v>
      </c>
      <c r="ET33" s="1" cm="1">
        <f t="array" ref="ET33">OptionRho("C",$DR33,$B$2,ET$23,$D$3,$DS$22,0)</f>
        <v>0.22471295323454341</v>
      </c>
      <c r="EU33" s="1" cm="1">
        <f t="array" ref="EU33">OptionRho("C",$DR33,$B$2,EU$23,$D$3,$DS$22,0)</f>
        <v>0.29083876709256018</v>
      </c>
      <c r="EV33" s="1" cm="1">
        <f t="array" ref="EV33">OptionRho("C",$DR33,$B$2,EV$23,$D$3,$DS$22,0)</f>
        <v>0.35186909809854622</v>
      </c>
      <c r="EW33" s="1" cm="1">
        <f t="array" ref="EW33">OptionRho("C",$DR33,$B$2,EW$23,$D$3,$DS$22,0)</f>
        <v>0.40757051005110145</v>
      </c>
      <c r="EX33" s="1" cm="1">
        <f t="array" ref="EX33">OptionRho("C",$DR33,$B$2,EX$23,$D$3,$DS$22,0)</f>
        <v>0.45791827572059574</v>
      </c>
      <c r="EY33" s="1" cm="1">
        <f t="array" ref="EY33">OptionRho("C",$DR33,$B$2,EY$23,$D$3,$DS$22,0)</f>
        <v>0.50301990905019023</v>
      </c>
      <c r="EZ33" s="1" cm="1">
        <f t="array" ref="EZ33">OptionRho("C",$DR33,$B$2,EZ$23,$D$3,$DS$22,0)</f>
        <v>0.54306613548173033</v>
      </c>
      <c r="FA33" s="1" cm="1">
        <f t="array" ref="FA33">OptionRho("C",$DR33,$B$2,FA$23,$D$3,$DS$22,0)</f>
        <v>0.57829863345541066</v>
      </c>
      <c r="FB33" s="1" cm="1">
        <f t="array" ref="FB33">OptionRho("C",$DR33,$B$2,FB$23,$D$3,$DS$22,0)</f>
        <v>0.72699302410417932</v>
      </c>
      <c r="FC33" s="1" cm="1">
        <f t="array" ref="FC33">OptionRho("C",$DR33,$B$2,FC$23,$D$3,$DS$22,0)</f>
        <v>0.66721107277126623</v>
      </c>
      <c r="FD33" s="1" cm="1">
        <f t="array" ref="FD33">OptionRho("C",$DR33,$B$2,FD$23,$D$3,$DS$22,0)</f>
        <v>0.5408426575841635</v>
      </c>
      <c r="FE33" s="1" cm="1">
        <f t="array" ref="FE33">OptionRho("C",$DR33,$B$2,FE$23,$D$3,$DS$22,0)</f>
        <v>0.41031581903625336</v>
      </c>
    </row>
    <row r="34" spans="1:161" x14ac:dyDescent="0.2">
      <c r="A34" s="133"/>
      <c r="B34" s="14">
        <v>110</v>
      </c>
      <c r="C34" s="1" cm="1">
        <f t="array" ref="C34">OptionPrice("C",$B34,$B$2,C$23,$B$3,$C$22,0)</f>
        <v>10.904232987098837</v>
      </c>
      <c r="D34" s="1" cm="1">
        <f t="array" ref="D34">OptionPrice("C",$B34,$B$2,D$23,$B$3,$C$22,0)</f>
        <v>12.121128415518015</v>
      </c>
      <c r="E34" s="1" cm="1">
        <f t="array" ref="E34">OptionPrice("C",$B34,$B$2,E$23,$B$3,$C$22,0)</f>
        <v>13.204813936063033</v>
      </c>
      <c r="F34" s="1" cm="1">
        <f t="array" ref="F34">OptionPrice("C",$B34,$B$2,F$23,$B$3,$C$22,0)</f>
        <v>14.177103145874099</v>
      </c>
      <c r="G34" s="1" cm="1">
        <f t="array" ref="G34">OptionPrice("C",$B34,$B$2,G$23,$B$3,$C$22,0)</f>
        <v>15.064238906089493</v>
      </c>
      <c r="H34" s="1" cm="1">
        <f t="array" ref="H34">OptionPrice("C",$B34,$B$2,H$23,$B$3,$C$22,0)</f>
        <v>15.884723247593477</v>
      </c>
      <c r="I34" s="1" cm="1">
        <f t="array" ref="I34">OptionPrice("C",$B34,$B$2,I$23,$B$3,$C$22,0)</f>
        <v>16.651479057598031</v>
      </c>
      <c r="J34" s="1" cm="1">
        <f t="array" ref="J34">OptionPrice("C",$B34,$B$2,J$23,$B$3,$C$22,0)</f>
        <v>17.373812271670815</v>
      </c>
      <c r="K34" s="1" cm="1">
        <f t="array" ref="K34">OptionPrice("C",$B34,$B$2,K$23,$B$3,$C$22,0)</f>
        <v>18.058645623803827</v>
      </c>
      <c r="L34" s="1" cm="1">
        <f t="array" ref="L34">OptionPrice("C",$B34,$B$2,L$23,$B$3,$C$22,0)</f>
        <v>18.711279045653235</v>
      </c>
      <c r="M34" s="1" cm="1">
        <f t="array" ref="M34">OptionPrice("C",$B34,$B$2,M$23,$B$3,$C$22,0)</f>
        <v>24.094302140122849</v>
      </c>
      <c r="N34" s="1" cm="1">
        <f t="array" ref="N34">OptionPrice("C",$B34,$B$2,N$23,$B$3,$C$22,0)</f>
        <v>28.297962321686285</v>
      </c>
      <c r="O34" s="1" cm="1">
        <f t="array" ref="O34">OptionPrice("C",$B34,$B$2,O$23,$B$3,$C$22,0)</f>
        <v>31.855509277140932</v>
      </c>
      <c r="P34" s="1" cm="1">
        <f t="array" ref="P34">OptionPrice("C",$B34,$B$2,P$23,$B$3,$C$22,0)</f>
        <v>34.984844992297333</v>
      </c>
      <c r="Y34" s="136"/>
      <c r="Z34" s="14">
        <v>110</v>
      </c>
      <c r="AA34" s="1" cm="1">
        <f t="array" ref="AA34">OptionDelta("C",$Z34,$B$2,AA$23,$B$3,$AA$22,0)</f>
        <v>0.85602570106502918</v>
      </c>
      <c r="AB34" s="1" cm="1">
        <f t="array" ref="AB34">OptionDelta("C",$Z34,$B$2,AB$23,$B$3,$AA$22,0)</f>
        <v>0.78593314054026053</v>
      </c>
      <c r="AC34" s="1" cm="1">
        <f t="array" ref="AC34">OptionDelta("C",$Z34,$B$2,AC$23,$B$3,$AA$22,0)</f>
        <v>0.75189182389050946</v>
      </c>
      <c r="AD34" s="1" cm="1">
        <f t="array" ref="AD34">OptionDelta("C",$Z34,$B$2,AD$23,$B$3,$AA$22,0)</f>
        <v>0.7318042573881709</v>
      </c>
      <c r="AE34" s="1" cm="1">
        <f t="array" ref="AE34">OptionDelta("C",$Z34,$B$2,AE$23,$B$3,$AA$22,0)</f>
        <v>0.71868272096314856</v>
      </c>
      <c r="AF34" s="1" cm="1">
        <f t="array" ref="AF34">OptionDelta("C",$Z34,$B$2,AF$23,$B$3,$AA$22,0)</f>
        <v>0.70958032306564656</v>
      </c>
      <c r="AG34" s="1" cm="1">
        <f t="array" ref="AG34">OptionDelta("C",$Z34,$B$2,AG$23,$B$3,$AA$22,0)</f>
        <v>0.70302215257089251</v>
      </c>
      <c r="AH34" s="1" cm="1">
        <f t="array" ref="AH34">OptionDelta("C",$Z34,$B$2,AH$23,$B$3,$AA$22,0)</f>
        <v>0.69818182521677907</v>
      </c>
      <c r="AI34" s="1" cm="1">
        <f t="array" ref="AI34">OptionDelta("C",$Z34,$B$2,AI$23,$B$3,$AA$22,0)</f>
        <v>0.69455768345693381</v>
      </c>
      <c r="AJ34" s="1" cm="1">
        <f t="array" ref="AJ34">OptionDelta("C",$Z34,$B$2,AJ$23,$B$3,$AA$22,0)</f>
        <v>0.69182637898167587</v>
      </c>
      <c r="AK34" s="1" cm="1">
        <f t="array" ref="AK34">OptionDelta("C",$Z34,$B$2,AK$23,$B$3,$AA$22,0)</f>
        <v>0.68577893776060739</v>
      </c>
      <c r="AL34" s="1" cm="1">
        <f t="array" ref="AL34">OptionDelta("C",$Z34,$B$2,AL$23,$B$3,$AA$22,0)</f>
        <v>0.69180288754629138</v>
      </c>
      <c r="AM34" s="1" cm="1">
        <f t="array" ref="AM34">OptionDelta("C",$Z34,$B$2,AM$23,$B$3,$AA$22,0)</f>
        <v>0.70038806898924744</v>
      </c>
      <c r="AN34" s="1" cm="1">
        <f t="array" ref="AN34">OptionDelta("C",$Z34,$B$2,AN$23,$B$3,$AA$22,0)</f>
        <v>0.70953466945632937</v>
      </c>
      <c r="AW34" s="139"/>
      <c r="AX34" s="14">
        <v>110</v>
      </c>
      <c r="AY34" s="1" cm="1">
        <f t="array" ref="AY34">OptionTheta("C",$AX34,$B$2,AY$23,$B$3,$AY$22,0)</f>
        <v>-3.0145517541572544E-2</v>
      </c>
      <c r="AZ34" s="1" cm="1">
        <f t="array" ref="AZ34">OptionTheta("C",$AX34,$B$2,AZ$23,$B$3,$AY$22,0)</f>
        <v>-2.7424254240045728E-2</v>
      </c>
      <c r="BA34" s="1" cm="1">
        <f t="array" ref="BA34">OptionTheta("C",$AX34,$B$2,BA$23,$B$3,$AY$22,0)</f>
        <v>-2.4217245091292444E-2</v>
      </c>
      <c r="BB34" s="1" cm="1">
        <f t="array" ref="BB34">OptionTheta("C",$AX34,$B$2,BB$23,$B$3,$AY$22,0)</f>
        <v>-2.1736859963508132E-2</v>
      </c>
      <c r="BC34" s="1" cm="1">
        <f t="array" ref="BC34">OptionTheta("C",$AX34,$B$2,BC$23,$B$3,$AY$22,0)</f>
        <v>-1.9816142944062028E-2</v>
      </c>
      <c r="BD34" s="1" cm="1">
        <f t="array" ref="BD34">OptionTheta("C",$AX34,$B$2,BD$23,$B$3,$AY$22,0)</f>
        <v>-1.8287148465902233E-2</v>
      </c>
      <c r="BE34" s="1" cm="1">
        <f t="array" ref="BE34">OptionTheta("C",$AX34,$B$2,BE$23,$B$3,$AY$22,0)</f>
        <v>-1.7037306857940117E-2</v>
      </c>
      <c r="BF34" s="1" cm="1">
        <f t="array" ref="BF34">OptionTheta("C",$AX34,$B$2,BF$23,$B$3,$AY$22,0)</f>
        <v>-1.5992657542040999E-2</v>
      </c>
      <c r="BG34" s="1" cm="1">
        <f t="array" ref="BG34">OptionTheta("C",$AX34,$B$2,BG$23,$B$3,$AY$22,0)</f>
        <v>-1.5103355869618489E-2</v>
      </c>
      <c r="BH34" s="1" cm="1">
        <f t="array" ref="BH34">OptionTheta("C",$AX34,$B$2,BH$23,$B$3,$AY$22,0)</f>
        <v>-1.4334729425121259E-2</v>
      </c>
      <c r="BI34" s="1" cm="1">
        <f t="array" ref="BI34">OptionTheta("C",$AX34,$B$2,BI$23,$B$3,$AY$22,0)</f>
        <v>-9.9365652545404491E-3</v>
      </c>
      <c r="BJ34" s="1" cm="1">
        <f t="array" ref="BJ34">OptionTheta("C",$AX34,$B$2,BJ$23,$B$3,$AY$22,0)</f>
        <v>-7.8746467543464385E-3</v>
      </c>
      <c r="BK34" s="1" cm="1">
        <f t="array" ref="BK34">OptionTheta("C",$AX34,$B$2,BK$23,$B$3,$AY$22,0)</f>
        <v>-6.6161961438274313E-3</v>
      </c>
      <c r="BL34" s="1" cm="1">
        <f t="array" ref="BL34">OptionTheta("C",$AX34,$B$2,BL$23,$B$3,$AY$22,0)</f>
        <v>-5.7455565858172165E-3</v>
      </c>
      <c r="BU34" s="142"/>
      <c r="BV34" s="14">
        <v>110</v>
      </c>
      <c r="BW34" s="1" cm="1">
        <f t="array" ref="BW34">OptionGamma($BV34,$B$2,BW$23,$B$3,$BW$22,0)</f>
        <v>2.1736822486638243E-2</v>
      </c>
      <c r="BX34" s="1" cm="1">
        <f t="array" ref="BX34">OptionGamma($BV34,$B$2,BX$23,$B$3,$BW$22,0)</f>
        <v>1.9748701502398165E-2</v>
      </c>
      <c r="BY34" s="1" cm="1">
        <f t="array" ref="BY34">OptionGamma($BV34,$B$2,BY$23,$B$3,$BW$22,0)</f>
        <v>1.7510243021562306E-2</v>
      </c>
      <c r="BZ34" s="1" cm="1">
        <f t="array" ref="BZ34">OptionGamma($BV34,$B$2,BZ$23,$B$3,$BW$22,0)</f>
        <v>1.5789104753624824E-2</v>
      </c>
      <c r="CA34" s="1" cm="1">
        <f t="array" ref="CA34">OptionGamma($BV34,$B$2,CA$23,$B$3,$BW$22,0)</f>
        <v>1.4458770943216178E-2</v>
      </c>
      <c r="CB34" s="1" cm="1">
        <f t="array" ref="CB34">OptionGamma($BV34,$B$2,CB$23,$B$3,$BW$22,0)</f>
        <v>1.3400367884206782E-2</v>
      </c>
      <c r="CC34" s="1" cm="1">
        <f t="array" ref="CC34">OptionGamma($BV34,$B$2,CC$23,$B$3,$BW$22,0)</f>
        <v>1.253521869678631E-2</v>
      </c>
      <c r="CD34" s="1" cm="1">
        <f t="array" ref="CD34">OptionGamma($BV34,$B$2,CD$23,$B$3,$BW$22,0)</f>
        <v>1.1811904293602783E-2</v>
      </c>
      <c r="CE34" s="1" cm="1">
        <f t="array" ref="CE34">OptionGamma($BV34,$B$2,CE$23,$B$3,$BW$22,0)</f>
        <v>1.1195871235951033E-2</v>
      </c>
      <c r="CF34" s="1" cm="1">
        <f t="array" ref="CF34">OptionGamma($BV34,$B$2,CF$23,$B$3,$BW$22,0)</f>
        <v>1.0663126660408761E-2</v>
      </c>
      <c r="CG34" s="1" cm="1">
        <f t="array" ref="CG34">OptionGamma($BV34,$B$2,CG$23,$B$3,$BW$22,0)</f>
        <v>7.603783522576131E-3</v>
      </c>
      <c r="CH34" s="1" cm="1">
        <f t="array" ref="CH34">OptionGamma($BV34,$B$2,CH$23,$B$3,$BW$22,0)</f>
        <v>6.1565649557768741E-3</v>
      </c>
      <c r="CI34" s="1" cm="1">
        <f t="array" ref="CI34">OptionGamma($BV34,$B$2,CI$23,$B$3,$BW$22,0)</f>
        <v>5.2649832426331956E-3</v>
      </c>
      <c r="CJ34" s="1" cm="1">
        <f t="array" ref="CJ34">OptionGamma($BV34,$B$2,CJ$23,$B$3,$BW$22,0)</f>
        <v>4.6423651796185005E-3</v>
      </c>
      <c r="CS34" s="145"/>
      <c r="CT34" s="14">
        <v>110</v>
      </c>
      <c r="CU34" s="1" cm="1">
        <f t="array" ref="CU34">OptionVega($CT34,$B$2,CU$23,$B$3,$CU$22,0)</f>
        <v>7.8904665626496825E-2</v>
      </c>
      <c r="CV34" s="1" cm="1">
        <f t="array" ref="CV34">OptionVega($CT34,$B$2,CV$23,$B$3,$CU$22,0)</f>
        <v>0.14337557290741065</v>
      </c>
      <c r="CW34" s="1" cm="1">
        <f t="array" ref="CW34">OptionVega($CT34,$B$2,CW$23,$B$3,$CU$22,0)</f>
        <v>0.19068654650481348</v>
      </c>
      <c r="CX34" s="1" cm="1">
        <f t="array" ref="CX34">OptionVega($CT34,$B$2,CX$23,$B$3,$CU$22,0)</f>
        <v>0.22925780102263246</v>
      </c>
      <c r="CY34" s="1" cm="1">
        <f t="array" ref="CY34">OptionVega($CT34,$B$2,CY$23,$B$3,$CU$22,0)</f>
        <v>0.26242669261937368</v>
      </c>
      <c r="CZ34" s="1" cm="1">
        <f t="array" ref="CZ34">OptionVega($CT34,$B$2,CZ$23,$B$3,$CU$22,0)</f>
        <v>0.29186001251802374</v>
      </c>
      <c r="DA34" s="1" cm="1">
        <f t="array" ref="DA34">OptionVega($CT34,$B$2,DA$23,$B$3,$CU$22,0)</f>
        <v>0.31851990708534011</v>
      </c>
      <c r="DB34" s="1" cm="1">
        <f t="array" ref="DB34">OptionVega($CT34,$B$2,DB$23,$B$3,$CU$22,0)</f>
        <v>0.34301770068622478</v>
      </c>
      <c r="DC34" s="1" cm="1">
        <f t="array" ref="DC34">OptionVega($CT34,$B$2,DC$23,$B$3,$CU$22,0)</f>
        <v>0.36576911327852024</v>
      </c>
      <c r="DD34" s="1" cm="1">
        <f t="array" ref="DD34">OptionVega($CT34,$B$2,DD$23,$B$3,$CU$22,0)</f>
        <v>0.38707149777283806</v>
      </c>
      <c r="DE34" s="1" cm="1">
        <f t="array" ref="DE34">OptionVega($CT34,$B$2,DE$23,$B$3,$CU$22,0)</f>
        <v>0.5520346837390272</v>
      </c>
      <c r="DF34" s="1" cm="1">
        <f t="array" ref="DF34">OptionVega($CT34,$B$2,DF$23,$B$3,$CU$22,0)</f>
        <v>0.6704499236841015</v>
      </c>
      <c r="DG34" s="1" cm="1">
        <f t="array" ref="DG34">OptionVega($CT34,$B$2,DG$23,$B$3,$CU$22,0)</f>
        <v>0.76447556683034001</v>
      </c>
      <c r="DH34" s="1" cm="1">
        <f t="array" ref="DH34">OptionVega($CT34,$B$2,DH$23,$B$3,$CU$22,0)</f>
        <v>0.84258928010075784</v>
      </c>
      <c r="DQ34" s="130"/>
      <c r="DR34" s="14">
        <v>110</v>
      </c>
      <c r="DS34" s="1" cm="1">
        <f t="array" ref="DS34">OptionRho("C",$DR34,$B$2,DS$23,$B$3,$DS$22,0)</f>
        <v>8.3258594130054389E-2</v>
      </c>
      <c r="DT34" s="1" cm="1">
        <f t="array" ref="DT34">OptionRho("C",$DR34,$B$2,DT$23,$B$3,$DS$22,0)</f>
        <v>0.14866303408782128</v>
      </c>
      <c r="DU34" s="1" cm="1">
        <f t="array" ref="DU34">OptionRho("C",$DR34,$B$2,DU$23,$B$3,$DS$22,0)</f>
        <v>0.20850986007567904</v>
      </c>
      <c r="DV34" s="1" cm="1">
        <f t="array" ref="DV34">OptionRho("C",$DR34,$B$2,DV$23,$B$3,$DS$22,0)</f>
        <v>0.26528546066729886</v>
      </c>
      <c r="DW34" s="1" cm="1">
        <f t="array" ref="DW34">OptionRho("C",$DR34,$B$2,DW$23,$B$3,$DS$22,0)</f>
        <v>0.31995430199928421</v>
      </c>
      <c r="DX34" s="1" cm="1">
        <f t="array" ref="DX34">OptionRho("C",$DR34,$B$2,DX$23,$B$3,$DS$22,0)</f>
        <v>0.37301467373776581</v>
      </c>
      <c r="DY34" s="1" cm="1">
        <f t="array" ref="DY34">OptionRho("C",$DR34,$B$2,DY$23,$B$3,$DS$22,0)</f>
        <v>0.42476670407640099</v>
      </c>
      <c r="DZ34" s="1" cm="1">
        <f t="array" ref="DZ34">OptionRho("C",$DR34,$B$2,DZ$23,$B$3,$DS$22,0)</f>
        <v>0.47540950801739912</v>
      </c>
      <c r="EA34" s="1" cm="1">
        <f t="array" ref="EA34">OptionRho("C",$DR34,$B$2,EA$23,$B$3,$DS$22,0)</f>
        <v>0.52508429600813011</v>
      </c>
      <c r="EB34" s="1" cm="1">
        <f t="array" ref="EB34">OptionRho("C",$DR34,$B$2,EB$23,$B$3,$DS$22,0)</f>
        <v>0.57389622642331117</v>
      </c>
      <c r="EC34" s="1" cm="1">
        <f t="array" ref="EC34">OptionRho("C",$DR34,$B$2,EC$23,$B$3,$DS$22,0)</f>
        <v>1.0268276202708793</v>
      </c>
      <c r="ED34" s="1" cm="1">
        <f t="array" ref="ED34">OptionRho("C",$DR34,$B$2,ED$23,$B$3,$DS$22,0)</f>
        <v>1.4340106592521729</v>
      </c>
      <c r="EE34" s="1" cm="1">
        <f t="array" ref="EE34">OptionRho("C",$DR34,$B$2,EE$23,$B$3,$DS$22,0)</f>
        <v>1.8074871324670514</v>
      </c>
      <c r="EF34" s="1" cm="1">
        <f t="array" ref="EF34">OptionRho("C",$DR34,$B$2,EF$23,$B$3,$DS$22,0)</f>
        <v>2.1531984323949449</v>
      </c>
      <c r="EP34" s="130"/>
      <c r="EQ34" s="14">
        <v>110</v>
      </c>
      <c r="ER34" s="1" cm="1">
        <f t="array" ref="ER34">OptionRho("C",$DR34,$B$2,ER$23,$D$3,$DS$22,0)</f>
        <v>8.8571948749589874E-2</v>
      </c>
      <c r="ES34" s="1" cm="1">
        <f t="array" ref="ES34">OptionRho("C",$DR34,$B$2,ES$23,$D$3,$DS$22,0)</f>
        <v>0.16604383027867206</v>
      </c>
      <c r="ET34" s="1" cm="1">
        <f t="array" ref="ET34">OptionRho("C",$DR34,$B$2,ET$23,$D$3,$DS$22,0)</f>
        <v>0.23777258355337746</v>
      </c>
      <c r="EU34" s="1" cm="1">
        <f t="array" ref="EU34">OptionRho("C",$DR34,$B$2,EU$23,$D$3,$DS$22,0)</f>
        <v>0.3039351662833551</v>
      </c>
      <c r="EV34" s="1" cm="1">
        <f t="array" ref="EV34">OptionRho("C",$DR34,$B$2,EV$23,$D$3,$DS$22,0)</f>
        <v>0.36446439872475017</v>
      </c>
      <c r="EW34" s="1" cm="1">
        <f t="array" ref="EW34">OptionRho("C",$DR34,$B$2,EW$23,$D$3,$DS$22,0)</f>
        <v>0.41938238717132842</v>
      </c>
      <c r="EX34" s="1" cm="1">
        <f t="array" ref="EX34">OptionRho("C",$DR34,$B$2,EX$23,$D$3,$DS$22,0)</f>
        <v>0.46881058369585621</v>
      </c>
      <c r="EY34" s="1" cm="1">
        <f t="array" ref="EY34">OptionRho("C",$DR34,$B$2,EY$23,$D$3,$DS$22,0)</f>
        <v>0.51294414944661382</v>
      </c>
      <c r="EZ34" s="1" cm="1">
        <f t="array" ref="EZ34">OptionRho("C",$DR34,$B$2,EZ$23,$D$3,$DS$22,0)</f>
        <v>0.55202714438117306</v>
      </c>
      <c r="FA34" s="1" cm="1">
        <f t="array" ref="FA34">OptionRho("C",$DR34,$B$2,FA$23,$D$3,$DS$22,0)</f>
        <v>0.58633334181324381</v>
      </c>
      <c r="FB34" s="1" cm="1">
        <f t="array" ref="FB34">OptionRho("C",$DR34,$B$2,FB$23,$D$3,$DS$22,0)</f>
        <v>0.72920684450427475</v>
      </c>
      <c r="FC34" s="1" cm="1">
        <f t="array" ref="FC34">OptionRho("C",$DR34,$B$2,FC$23,$D$3,$DS$22,0)</f>
        <v>0.66773424626019118</v>
      </c>
      <c r="FD34" s="1" cm="1">
        <f t="array" ref="FD34">OptionRho("C",$DR34,$B$2,FD$23,$D$3,$DS$22,0)</f>
        <v>0.54095894196001626</v>
      </c>
      <c r="FE34" s="1" cm="1">
        <f t="array" ref="FE34">OptionRho("C",$DR34,$B$2,FE$23,$D$3,$DS$22,0)</f>
        <v>0.41034082029155194</v>
      </c>
    </row>
    <row r="35" spans="1:161" x14ac:dyDescent="0.2">
      <c r="A35" s="133"/>
      <c r="B35" s="14">
        <v>115</v>
      </c>
      <c r="C35" s="1" cm="1">
        <f t="array" ref="C35">OptionPrice("C",$B35,$B$2,C$23,$B$3,$C$22,0)</f>
        <v>15.408909383531551</v>
      </c>
      <c r="D35" s="1" cm="1">
        <f t="array" ref="D35">OptionPrice("C",$B35,$B$2,D$23,$B$3,$C$22,0)</f>
        <v>16.27207424826868</v>
      </c>
      <c r="E35" s="1" cm="1">
        <f t="array" ref="E35">OptionPrice("C",$B35,$B$2,E$23,$B$3,$C$22,0)</f>
        <v>17.166041816268432</v>
      </c>
      <c r="F35" s="1" cm="1">
        <f t="array" ref="F35">OptionPrice("C",$B35,$B$2,F$23,$B$3,$C$22,0)</f>
        <v>18.020657423036525</v>
      </c>
      <c r="G35" s="1" cm="1">
        <f t="array" ref="G35">OptionPrice("C",$B35,$B$2,G$23,$B$3,$C$22,0)</f>
        <v>18.828090048531578</v>
      </c>
      <c r="H35" s="1" cm="1">
        <f t="array" ref="H35">OptionPrice("C",$B35,$B$2,H$23,$B$3,$C$22,0)</f>
        <v>19.591493840660419</v>
      </c>
      <c r="I35" s="1" cm="1">
        <f t="array" ref="I35">OptionPrice("C",$B35,$B$2,I$23,$B$3,$C$22,0)</f>
        <v>20.315813190960839</v>
      </c>
      <c r="J35" s="1" cm="1">
        <f t="array" ref="J35">OptionPrice("C",$B35,$B$2,J$23,$B$3,$C$22,0)</f>
        <v>21.00576861685883</v>
      </c>
      <c r="K35" s="1" cm="1">
        <f t="array" ref="K35">OptionPrice("C",$B35,$B$2,K$23,$B$3,$C$22,0)</f>
        <v>21.665446790723919</v>
      </c>
      <c r="L35" s="1" cm="1">
        <f t="array" ref="L35">OptionPrice("C",$B35,$B$2,L$23,$B$3,$C$22,0)</f>
        <v>22.29829273406115</v>
      </c>
      <c r="M35" s="1" cm="1">
        <f t="array" ref="M35">OptionPrice("C",$B35,$B$2,M$23,$B$3,$C$22,0)</f>
        <v>27.615183942476541</v>
      </c>
      <c r="N35" s="1" cm="1">
        <f t="array" ref="N35">OptionPrice("C",$B35,$B$2,N$23,$B$3,$C$22,0)</f>
        <v>31.831672799052541</v>
      </c>
      <c r="O35" s="1" cm="1">
        <f t="array" ref="O35">OptionPrice("C",$B35,$B$2,O$23,$B$3,$C$22,0)</f>
        <v>35.421421311159513</v>
      </c>
      <c r="P35" s="1" cm="1">
        <f t="array" ref="P35">OptionPrice("C",$B35,$B$2,P$23,$B$3,$C$22,0)</f>
        <v>38.588974248498218</v>
      </c>
      <c r="Y35" s="136"/>
      <c r="Z35" s="14">
        <v>115</v>
      </c>
      <c r="AA35" s="1" cm="1">
        <f t="array" ref="AA35">OptionDelta("C",$Z35,$B$2,AA$23,$B$3,$AA$22,0)</f>
        <v>0.9371394361344666</v>
      </c>
      <c r="AB35" s="1" cm="1">
        <f t="array" ref="AB35">OptionDelta("C",$Z35,$B$2,AB$23,$B$3,$AA$22,0)</f>
        <v>0.86943263666792814</v>
      </c>
      <c r="AC35" s="1" cm="1">
        <f t="array" ref="AC35">OptionDelta("C",$Z35,$B$2,AC$23,$B$3,$AA$22,0)</f>
        <v>0.82919270948748747</v>
      </c>
      <c r="AD35" s="1" cm="1">
        <f t="array" ref="AD35">OptionDelta("C",$Z35,$B$2,AD$23,$B$3,$AA$22,0)</f>
        <v>0.80304840536517041</v>
      </c>
      <c r="AE35" s="1" cm="1">
        <f t="array" ref="AE35">OptionDelta("C",$Z35,$B$2,AE$23,$B$3,$AA$22,0)</f>
        <v>0.78479210831011448</v>
      </c>
      <c r="AF35" s="1" cm="1">
        <f t="array" ref="AF35">OptionDelta("C",$Z35,$B$2,AF$23,$B$3,$AA$22,0)</f>
        <v>0.77139506484411136</v>
      </c>
      <c r="AG35" s="1" cm="1">
        <f t="array" ref="AG35">OptionDelta("C",$Z35,$B$2,AG$23,$B$3,$AA$22,0)</f>
        <v>0.76121383901599127</v>
      </c>
      <c r="AH35" s="1" cm="1">
        <f t="array" ref="AH35">OptionDelta("C",$Z35,$B$2,AH$23,$B$3,$AA$22,0)</f>
        <v>0.75327765691030435</v>
      </c>
      <c r="AI35" s="1" cm="1">
        <f t="array" ref="AI35">OptionDelta("C",$Z35,$B$2,AI$23,$B$3,$AA$22,0)</f>
        <v>0.74697433142683933</v>
      </c>
      <c r="AJ35" s="1" cm="1">
        <f t="array" ref="AJ35">OptionDelta("C",$Z35,$B$2,AJ$23,$B$3,$AA$22,0)</f>
        <v>0.74189753633829758</v>
      </c>
      <c r="AK35" s="1" cm="1">
        <f t="array" ref="AK35">OptionDelta("C",$Z35,$B$2,AK$23,$B$3,$AA$22,0)</f>
        <v>0.72196690064701641</v>
      </c>
      <c r="AL35" s="1" cm="1">
        <f t="array" ref="AL35">OptionDelta("C",$Z35,$B$2,AL$23,$B$3,$AA$22,0)</f>
        <v>0.72123513401713546</v>
      </c>
      <c r="AM35" s="1" cm="1">
        <f t="array" ref="AM35">OptionDelta("C",$Z35,$B$2,AM$23,$B$3,$AA$22,0)</f>
        <v>0.72561465541937875</v>
      </c>
      <c r="AN35" s="1" cm="1">
        <f t="array" ref="AN35">OptionDelta("C",$Z35,$B$2,AN$23,$B$3,$AA$22,0)</f>
        <v>0.7318081009305093</v>
      </c>
      <c r="AW35" s="139"/>
      <c r="AX35" s="14">
        <v>115</v>
      </c>
      <c r="AY35" s="1" cm="1">
        <f t="array" ref="AY35">OptionTheta("C",$AX35,$B$2,AY$23,$B$3,$AY$22,0)</f>
        <v>-1.5932084049782788E-2</v>
      </c>
      <c r="AZ35" s="1" cm="1">
        <f t="array" ref="AZ35">OptionTheta("C",$AX35,$B$2,AZ$23,$B$3,$AY$22,0)</f>
        <v>-2.0129448753042394E-2</v>
      </c>
      <c r="BA35" s="1" cm="1">
        <f t="array" ref="BA35">OptionTheta("C",$AX35,$B$2,BA$23,$B$3,$AY$22,0)</f>
        <v>-1.9758870791303805E-2</v>
      </c>
      <c r="BB35" s="1" cm="1">
        <f t="array" ref="BB35">OptionTheta("C",$AX35,$B$2,BB$23,$B$3,$AY$22,0)</f>
        <v>-1.8690775043302178E-2</v>
      </c>
      <c r="BC35" s="1" cm="1">
        <f t="array" ref="BC35">OptionTheta("C",$AX35,$B$2,BC$23,$B$3,$AY$22,0)</f>
        <v>-1.7583026465543689E-2</v>
      </c>
      <c r="BD35" s="1" cm="1">
        <f t="array" ref="BD35">OptionTheta("C",$AX35,$B$2,BD$23,$B$3,$AY$22,0)</f>
        <v>-1.6569651507169068E-2</v>
      </c>
      <c r="BE35" s="1" cm="1">
        <f t="array" ref="BE35">OptionTheta("C",$AX35,$B$2,BE$23,$B$3,$AY$22,0)</f>
        <v>-1.5669932082095918E-2</v>
      </c>
      <c r="BF35" s="1" cm="1">
        <f t="array" ref="BF35">OptionTheta("C",$AX35,$B$2,BF$23,$B$3,$AY$22,0)</f>
        <v>-1.4875318867875248E-2</v>
      </c>
      <c r="BG35" s="1" cm="1">
        <f t="array" ref="BG35">OptionTheta("C",$AX35,$B$2,BG$23,$B$3,$AY$22,0)</f>
        <v>-1.4171623219197476E-2</v>
      </c>
      <c r="BH35" s="1" cm="1">
        <f t="array" ref="BH35">OptionTheta("C",$AX35,$B$2,BH$23,$B$3,$AY$22,0)</f>
        <v>-1.3545059086436483E-2</v>
      </c>
      <c r="BI35" s="1" cm="1">
        <f t="array" ref="BI35">OptionTheta("C",$AX35,$B$2,BI$23,$B$3,$AY$22,0)</f>
        <v>-9.692686930245482E-3</v>
      </c>
      <c r="BJ35" s="1" cm="1">
        <f t="array" ref="BJ35">OptionTheta("C",$AX35,$B$2,BJ$23,$B$3,$AY$22,0)</f>
        <v>-7.7650257703771397E-3</v>
      </c>
      <c r="BK35" s="1" cm="1">
        <f t="array" ref="BK35">OptionTheta("C",$AX35,$B$2,BK$23,$B$3,$AY$22,0)</f>
        <v>-6.5602838545613827E-3</v>
      </c>
      <c r="BL35" s="1" cm="1">
        <f t="array" ref="BL35">OptionTheta("C",$AX35,$B$2,BL$23,$B$3,$AY$22,0)</f>
        <v>-5.7163497316359835E-3</v>
      </c>
      <c r="BU35" s="142"/>
      <c r="BV35" s="14">
        <v>115</v>
      </c>
      <c r="BW35" s="1" cm="1">
        <f t="array" ref="BW35">OptionGamma($BV35,$B$2,BW$23,$B$3,$BW$22,0)</f>
        <v>1.132338909622355E-2</v>
      </c>
      <c r="BX35" s="1" cm="1">
        <f t="array" ref="BX35">OptionGamma($BV35,$B$2,BX$23,$B$3,$BW$22,0)</f>
        <v>1.3752363931184045E-2</v>
      </c>
      <c r="BY35" s="1" cm="1">
        <f t="array" ref="BY35">OptionGamma($BV35,$B$2,BY$23,$B$3,$BW$22,0)</f>
        <v>1.3432302518922605E-2</v>
      </c>
      <c r="BZ35" s="1" cm="1">
        <f t="array" ref="BZ35">OptionGamma($BV35,$B$2,BZ$23,$B$3,$BW$22,0)</f>
        <v>1.2712341075815795E-2</v>
      </c>
      <c r="CA35" s="1" cm="1">
        <f t="array" ref="CA35">OptionGamma($BV35,$B$2,CA$23,$B$3,$BW$22,0)</f>
        <v>1.1984095247208172E-2</v>
      </c>
      <c r="CB35" s="1" cm="1">
        <f t="array" ref="CB35">OptionGamma($BV35,$B$2,CB$23,$B$3,$BW$22,0)</f>
        <v>1.132386000635301E-2</v>
      </c>
      <c r="CC35" s="1" cm="1">
        <f t="array" ref="CC35">OptionGamma($BV35,$B$2,CC$23,$B$3,$BW$22,0)</f>
        <v>1.074020246658062E-2</v>
      </c>
      <c r="CD35" s="1" cm="1">
        <f t="array" ref="CD35">OptionGamma($BV35,$B$2,CD$23,$B$3,$BW$22,0)</f>
        <v>1.022592397572397E-2</v>
      </c>
      <c r="CE35" s="1" cm="1">
        <f t="array" ref="CE35">OptionGamma($BV35,$B$2,CE$23,$B$3,$BW$22,0)</f>
        <v>9.7710707636894881E-3</v>
      </c>
      <c r="CF35" s="1" cm="1">
        <f t="array" ref="CF35">OptionGamma($BV35,$B$2,CF$23,$B$3,$BW$22,0)</f>
        <v>9.366344559542529E-3</v>
      </c>
      <c r="CG35" s="1" cm="1">
        <f t="array" ref="CG35">OptionGamma($BV35,$B$2,CG$23,$B$3,$BW$22,0)</f>
        <v>6.8757669831697628E-3</v>
      </c>
      <c r="CH35" s="1" cm="1">
        <f t="array" ref="CH35">OptionGamma($BV35,$B$2,CH$23,$B$3,$BW$22,0)</f>
        <v>5.6212360131347814E-3</v>
      </c>
      <c r="CI35" s="1" cm="1">
        <f t="array" ref="CI35">OptionGamma($BV35,$B$2,CI$23,$B$3,$BW$22,0)</f>
        <v>4.8304914892427558E-3</v>
      </c>
      <c r="CJ35" s="1" cm="1">
        <f t="array" ref="CJ35">OptionGamma($BV35,$B$2,CJ$23,$B$3,$BW$22,0)</f>
        <v>4.2716357498546308E-3</v>
      </c>
      <c r="CS35" s="145"/>
      <c r="CT35" s="14">
        <v>115</v>
      </c>
      <c r="CU35" s="1" cm="1">
        <f t="array" ref="CU35">OptionVega($CT35,$B$2,CU$23,$B$3,$CU$22,0)</f>
        <v>4.4925546239266936E-2</v>
      </c>
      <c r="CV35" s="1" cm="1">
        <f t="array" ref="CV35">OptionVega($CT35,$B$2,CV$23,$B$3,$CU$22,0)</f>
        <v>0.10912500779394539</v>
      </c>
      <c r="CW35" s="1" cm="1">
        <f t="array" ref="CW35">OptionVega($CT35,$B$2,CW$23,$B$3,$CU$22,0)</f>
        <v>0.1598779807314763</v>
      </c>
      <c r="CX35" s="1" cm="1">
        <f t="array" ref="CX35">OptionVega($CT35,$B$2,CX$23,$B$3,$CU$22,0)</f>
        <v>0.20174485287319668</v>
      </c>
      <c r="CY35" s="1" cm="1">
        <f t="array" ref="CY35">OptionVega($CT35,$B$2,CY$23,$B$3,$CU$22,0)</f>
        <v>0.23773448946649214</v>
      </c>
      <c r="CZ35" s="1" cm="1">
        <f t="array" ref="CZ35">OptionVega($CT35,$B$2,CZ$23,$B$3,$CU$22,0)</f>
        <v>0.26956448745123346</v>
      </c>
      <c r="DA35" s="1" cm="1">
        <f t="array" ref="DA35">OptionVega($CT35,$B$2,DA$23,$B$3,$CU$22,0)</f>
        <v>0.29828227300311033</v>
      </c>
      <c r="DB35" s="1" cm="1">
        <f t="array" ref="DB35">OptionVega($CT35,$B$2,DB$23,$B$3,$CU$22,0)</f>
        <v>0.32457082698947876</v>
      </c>
      <c r="DC35" s="1" cm="1">
        <f t="array" ref="DC35">OptionVega($CT35,$B$2,DC$23,$B$3,$CU$22,0)</f>
        <v>0.34890050929444233</v>
      </c>
      <c r="DD35" s="1" cm="1">
        <f t="array" ref="DD35">OptionVega($CT35,$B$2,DD$23,$B$3,$CU$22,0)</f>
        <v>0.37160972039984985</v>
      </c>
      <c r="DE35" s="1" cm="1">
        <f t="array" ref="DE35">OptionVega($CT35,$B$2,DE$23,$B$3,$CU$22,0)</f>
        <v>0.5455921101145208</v>
      </c>
      <c r="DF35" s="1" cm="1">
        <f t="array" ref="DF35">OptionVega($CT35,$B$2,DF$23,$B$3,$CU$22,0)</f>
        <v>0.66906761646336732</v>
      </c>
      <c r="DG35" s="1" cm="1">
        <f t="array" ref="DG35">OptionVega($CT35,$B$2,DG$23,$B$3,$CU$22,0)</f>
        <v>0.76659899934282549</v>
      </c>
      <c r="DH35" s="1" cm="1">
        <f t="array" ref="DH35">OptionVega($CT35,$B$2,DH$23,$B$3,$CU$22,0)</f>
        <v>0.84738574187741256</v>
      </c>
      <c r="DQ35" s="130"/>
      <c r="DR35" s="14">
        <v>115</v>
      </c>
      <c r="DS35" s="1" cm="1">
        <f t="array" ref="DS35">OptionRho("C",$DR35,$B$2,DS$23,$B$3,$DS$22,0)</f>
        <v>9.2362125771932119E-2</v>
      </c>
      <c r="DT35" s="1" cm="1">
        <f t="array" ref="DT35">OptionRho("C",$DR35,$B$2,DT$23,$B$3,$DS$22,0)</f>
        <v>0.16742535793708613</v>
      </c>
      <c r="DU35" s="1" cm="1">
        <f t="array" ref="DU35">OptionRho("C",$DR35,$B$2,DU$23,$B$3,$DS$22,0)</f>
        <v>0.23457335932437789</v>
      </c>
      <c r="DV35" s="1" cm="1">
        <f t="array" ref="DV35">OptionRho("C",$DR35,$B$2,DV$23,$B$3,$DS$22,0)</f>
        <v>0.29731963677583234</v>
      </c>
      <c r="DW35" s="1" cm="1">
        <f t="array" ref="DW35">OptionRho("C",$DR35,$B$2,DW$23,$B$3,$DS$22,0)</f>
        <v>0.35711501203565793</v>
      </c>
      <c r="DX35" s="1" cm="1">
        <f t="array" ref="DX35">OptionRho("C",$DR35,$B$2,DX$23,$B$3,$DS$22,0)</f>
        <v>0.41471363169847436</v>
      </c>
      <c r="DY35" s="1" cm="1">
        <f t="array" ref="DY35">OptionRho("C",$DR35,$B$2,DY$23,$B$3,$DS$22,0)</f>
        <v>0.47056644807114706</v>
      </c>
      <c r="DZ35" s="1" cm="1">
        <f t="array" ref="DZ35">OptionRho("C",$DR35,$B$2,DZ$23,$B$3,$DS$22,0)</f>
        <v>0.52496929542260928</v>
      </c>
      <c r="EA35" s="1" cm="1">
        <f t="array" ref="EA35">OptionRho("C",$DR35,$B$2,EA$23,$B$3,$DS$22,0)</f>
        <v>0.57812941191026346</v>
      </c>
      <c r="EB35" s="1" cm="1">
        <f t="array" ref="EB35">OptionRho("C",$DR35,$B$2,EB$23,$B$3,$DS$22,0)</f>
        <v>0.6301992394484307</v>
      </c>
      <c r="EC35" s="1" cm="1">
        <f t="array" ref="EC35">OptionRho("C",$DR35,$B$2,EC$23,$B$3,$DS$22,0)</f>
        <v>1.1082201926386068</v>
      </c>
      <c r="ED35" s="1" cm="1">
        <f t="array" ref="ED35">OptionRho("C",$DR35,$B$2,ED$23,$B$3,$DS$22,0)</f>
        <v>1.5333110283875411</v>
      </c>
      <c r="EE35" s="1" cm="1">
        <f t="array" ref="EE35">OptionRho("C",$DR35,$B$2,EE$23,$B$3,$DS$22,0)</f>
        <v>1.9209705624827618</v>
      </c>
      <c r="EF35" s="1" cm="1">
        <f t="array" ref="EF35">OptionRho("C",$DR35,$B$2,EF$23,$B$3,$DS$22,0)</f>
        <v>2.2784478679255176</v>
      </c>
      <c r="EP35" s="130"/>
      <c r="EQ35" s="14">
        <v>115</v>
      </c>
      <c r="ER35" s="1" cm="1">
        <f t="array" ref="ER35">OptionRho("C",$DR35,$B$2,ER$23,$D$3,$DS$22,0)</f>
        <v>9.2704942687530503E-2</v>
      </c>
      <c r="ES35" s="1" cm="1">
        <f t="array" ref="ES35">OptionRho("C",$DR35,$B$2,ES$23,$D$3,$DS$22,0)</f>
        <v>0.17323720316531968</v>
      </c>
      <c r="ET35" s="1" cm="1">
        <f t="array" ref="ET35">OptionRho("C",$DR35,$B$2,ET$23,$D$3,$DS$22,0)</f>
        <v>0.24624306163465623</v>
      </c>
      <c r="EU35" s="1" cm="1">
        <f t="array" ref="EU35">OptionRho("C",$DR35,$B$2,EU$23,$D$3,$DS$22,0)</f>
        <v>0.3127686964057052</v>
      </c>
      <c r="EV35" s="1" cm="1">
        <f t="array" ref="EV35">OptionRho("C",$DR35,$B$2,EV$23,$D$3,$DS$22,0)</f>
        <v>0.37316236383091961</v>
      </c>
      <c r="EW35" s="1" cm="1">
        <f t="array" ref="EW35">OptionRho("C",$DR35,$B$2,EW$23,$D$3,$DS$22,0)</f>
        <v>0.427668592544449</v>
      </c>
      <c r="EX35" s="1" cm="1">
        <f t="array" ref="EX35">OptionRho("C",$DR35,$B$2,EX$23,$D$3,$DS$22,0)</f>
        <v>0.47653807275174076</v>
      </c>
      <c r="EY35" s="1" cm="1">
        <f t="array" ref="EY35">OptionRho("C",$DR35,$B$2,EY$23,$D$3,$DS$22,0)</f>
        <v>0.52004449829615784</v>
      </c>
      <c r="EZ35" s="1" cm="1">
        <f t="array" ref="EZ35">OptionRho("C",$DR35,$B$2,EZ$23,$D$3,$DS$22,0)</f>
        <v>0.55848057438911858</v>
      </c>
      <c r="FA35" s="1" cm="1">
        <f t="array" ref="FA35">OptionRho("C",$DR35,$B$2,FA$23,$D$3,$DS$22,0)</f>
        <v>0.59215016452611235</v>
      </c>
      <c r="FB35" s="1" cm="1">
        <f t="array" ref="FB35">OptionRho("C",$DR35,$B$2,FB$23,$D$3,$DS$22,0)</f>
        <v>0.7308479557657459</v>
      </c>
      <c r="FC35" s="1" cm="1">
        <f t="array" ref="FC35">OptionRho("C",$DR35,$B$2,FC$23,$D$3,$DS$22,0)</f>
        <v>0.6681251519285264</v>
      </c>
      <c r="FD35" s="1" cm="1">
        <f t="array" ref="FD35">OptionRho("C",$DR35,$B$2,FD$23,$D$3,$DS$22,0)</f>
        <v>0.54104617151307388</v>
      </c>
      <c r="FE35" s="1" cm="1">
        <f t="array" ref="FE35">OptionRho("C",$DR35,$B$2,FE$23,$D$3,$DS$22,0)</f>
        <v>0.41035961925738967</v>
      </c>
    </row>
    <row r="36" spans="1:161" x14ac:dyDescent="0.2">
      <c r="A36" s="133"/>
      <c r="B36" s="14">
        <v>120</v>
      </c>
      <c r="C36" s="1" cm="1">
        <f t="array" ref="C36">OptionPrice("C",$B36,$B$2,C$23,$B$3,$C$22,0)</f>
        <v>20.205372347696084</v>
      </c>
      <c r="D36" s="1" cm="1">
        <f t="array" ref="D36">OptionPrice("C",$B36,$B$2,D$23,$B$3,$C$22,0)</f>
        <v>20.769033566902849</v>
      </c>
      <c r="E36" s="1" cm="1">
        <f t="array" ref="E36">OptionPrice("C",$B36,$B$2,E$23,$B$3,$C$22,0)</f>
        <v>21.463892582468333</v>
      </c>
      <c r="F36" s="1" cm="1">
        <f t="array" ref="F36">OptionPrice("C",$B36,$B$2,F$23,$B$3,$C$22,0)</f>
        <v>22.182404402392308</v>
      </c>
      <c r="G36" s="1" cm="1">
        <f t="array" ref="G36">OptionPrice("C",$B36,$B$2,G$23,$B$3,$C$22,0)</f>
        <v>22.89176090679311</v>
      </c>
      <c r="H36" s="1" cm="1">
        <f t="array" ref="H36">OptionPrice("C",$B36,$B$2,H$23,$B$3,$C$22,0)</f>
        <v>23.58150439512923</v>
      </c>
      <c r="I36" s="1" cm="1">
        <f t="array" ref="I36">OptionPrice("C",$B36,$B$2,I$23,$B$3,$C$22,0)</f>
        <v>24.248760172424369</v>
      </c>
      <c r="J36" s="1" cm="1">
        <f t="array" ref="J36">OptionPrice("C",$B36,$B$2,J$23,$B$3,$C$22,0)</f>
        <v>24.893462612657999</v>
      </c>
      <c r="K36" s="1" cm="1">
        <f t="array" ref="K36">OptionPrice("C",$B36,$B$2,K$23,$B$3,$C$22,0)</f>
        <v>25.516604615130348</v>
      </c>
      <c r="L36" s="1" cm="1">
        <f t="array" ref="L36">OptionPrice("C",$B36,$B$2,L$23,$B$3,$C$22,0)</f>
        <v>26.119539700591233</v>
      </c>
      <c r="M36" s="1" cm="1">
        <f t="array" ref="M36">OptionPrice("C",$B36,$B$2,M$23,$B$3,$C$22,0)</f>
        <v>31.308028143442222</v>
      </c>
      <c r="N36" s="1" cm="1">
        <f t="array" ref="N36">OptionPrice("C",$B36,$B$2,N$23,$B$3,$C$22,0)</f>
        <v>35.505979488422838</v>
      </c>
      <c r="O36" s="1" cm="1">
        <f t="array" ref="O36">OptionPrice("C",$B36,$B$2,O$23,$B$3,$C$22,0)</f>
        <v>39.108156803070322</v>
      </c>
      <c r="P36" s="1" cm="1">
        <f t="array" ref="P36">OptionPrice("C",$B36,$B$2,P$23,$B$3,$C$22,0)</f>
        <v>42.299951438494368</v>
      </c>
      <c r="Y36" s="136"/>
      <c r="Z36" s="14">
        <v>120</v>
      </c>
      <c r="AA36" s="1" cm="1">
        <f t="array" ref="AA36">OptionDelta("C",$Z36,$B$2,AA$23,$B$3,$AA$22,0)</f>
        <v>0.97613772992890591</v>
      </c>
      <c r="AB36" s="1" cm="1">
        <f t="array" ref="AB36">OptionDelta("C",$Z36,$B$2,AB$23,$B$3,$AA$22,0)</f>
        <v>0.92519830817009863</v>
      </c>
      <c r="AC36" s="1" cm="1">
        <f t="array" ref="AC36">OptionDelta("C",$Z36,$B$2,AC$23,$B$3,$AA$22,0)</f>
        <v>0.88685853170876361</v>
      </c>
      <c r="AD36" s="1" cm="1">
        <f t="array" ref="AD36">OptionDelta("C",$Z36,$B$2,AD$23,$B$3,$AA$22,0)</f>
        <v>0.85923063815805933</v>
      </c>
      <c r="AE36" s="1" cm="1">
        <f t="array" ref="AE36">OptionDelta("C",$Z36,$B$2,AE$23,$B$3,$AA$22,0)</f>
        <v>0.83869492248144772</v>
      </c>
      <c r="AF36" s="1" cm="1">
        <f t="array" ref="AF36">OptionDelta("C",$Z36,$B$2,AF$23,$B$3,$AA$22,0)</f>
        <v>0.82293195018806276</v>
      </c>
      <c r="AG36" s="1" cm="1">
        <f t="array" ref="AG36">OptionDelta("C",$Z36,$B$2,AG$23,$B$3,$AA$22,0)</f>
        <v>0.81050916202186163</v>
      </c>
      <c r="AH36" s="1" cm="1">
        <f t="array" ref="AH36">OptionDelta("C",$Z36,$B$2,AH$23,$B$3,$AA$22,0)</f>
        <v>0.80051177059449707</v>
      </c>
      <c r="AI36" s="1" cm="1">
        <f t="array" ref="AI36">OptionDelta("C",$Z36,$B$2,AI$23,$B$3,$AA$22,0)</f>
        <v>0.79233157169098423</v>
      </c>
      <c r="AJ36" s="1" cm="1">
        <f t="array" ref="AJ36">OptionDelta("C",$Z36,$B$2,AJ$23,$B$3,$AA$22,0)</f>
        <v>0.78554896929810647</v>
      </c>
      <c r="AK36" s="1" cm="1">
        <f t="array" ref="AK36">OptionDelta("C",$Z36,$B$2,AK$23,$B$3,$AA$22,0)</f>
        <v>0.754591046066726</v>
      </c>
      <c r="AL36" s="1" cm="1">
        <f t="array" ref="AL36">OptionDelta("C",$Z36,$B$2,AL$23,$B$3,$AA$22,0)</f>
        <v>0.74806744044833073</v>
      </c>
      <c r="AM36" s="1" cm="1">
        <f t="array" ref="AM36">OptionDelta("C",$Z36,$B$2,AM$23,$B$3,$AA$22,0)</f>
        <v>0.74874189438577665</v>
      </c>
      <c r="AN36" s="1" cm="1">
        <f t="array" ref="AN36">OptionDelta("C",$Z36,$B$2,AN$23,$B$3,$AA$22,0)</f>
        <v>0.75229664733269386</v>
      </c>
      <c r="AW36" s="139"/>
      <c r="AX36" s="14">
        <v>120</v>
      </c>
      <c r="AY36" s="1" cm="1">
        <f t="array" ref="AY36">OptionTheta("C",$AX36,$B$2,AY$23,$B$3,$AY$22,0)</f>
        <v>-6.1092408940331905E-3</v>
      </c>
      <c r="AZ36" s="1" cm="1">
        <f t="array" ref="AZ36">OptionTheta("C",$AX36,$B$2,AZ$23,$B$3,$AY$22,0)</f>
        <v>-1.310534968979812E-2</v>
      </c>
      <c r="BA36" s="1" cm="1">
        <f t="array" ref="BA36">OptionTheta("C",$AX36,$B$2,BA$23,$B$3,$AY$22,0)</f>
        <v>-1.4947005925677725E-2</v>
      </c>
      <c r="BB36" s="1" cm="1">
        <f t="array" ref="BB36">OptionTheta("C",$AX36,$B$2,BB$23,$B$3,$AY$22,0)</f>
        <v>-1.5202763923008351E-2</v>
      </c>
      <c r="BC36" s="1" cm="1">
        <f t="array" ref="BC36">OptionTheta("C",$AX36,$B$2,BC$23,$B$3,$AY$22,0)</f>
        <v>-1.4929145860893642E-2</v>
      </c>
      <c r="BD36" s="1" cm="1">
        <f t="array" ref="BD36">OptionTheta("C",$AX36,$B$2,BD$23,$B$3,$AY$22,0)</f>
        <v>-1.4474449731285272E-2</v>
      </c>
      <c r="BE36" s="1" cm="1">
        <f t="array" ref="BE36">OptionTheta("C",$AX36,$B$2,BE$23,$B$3,$AY$22,0)</f>
        <v>-1.3968310780124225E-2</v>
      </c>
      <c r="BF36" s="1" cm="1">
        <f t="array" ref="BF36">OptionTheta("C",$AX36,$B$2,BF$23,$B$3,$AY$22,0)</f>
        <v>-1.3462378183588303E-2</v>
      </c>
      <c r="BG36" s="1" cm="1">
        <f t="array" ref="BG36">OptionTheta("C",$AX36,$B$2,BG$23,$B$3,$AY$22,0)</f>
        <v>-1.2977394085094992E-2</v>
      </c>
      <c r="BH36" s="1" cm="1">
        <f t="array" ref="BH36">OptionTheta("C",$AX36,$B$2,BH$23,$B$3,$AY$22,0)</f>
        <v>-1.2520966771419909E-2</v>
      </c>
      <c r="BI36" s="1" cm="1">
        <f t="array" ref="BI36">OptionTheta("C",$AX36,$B$2,BI$23,$B$3,$AY$22,0)</f>
        <v>-9.3489575952225932E-3</v>
      </c>
      <c r="BJ36" s="1" cm="1">
        <f t="array" ref="BJ36">OptionTheta("C",$AX36,$B$2,BJ$23,$B$3,$AY$22,0)</f>
        <v>-7.5980689808797085E-3</v>
      </c>
      <c r="BK36" s="1" cm="1">
        <f t="array" ref="BK36">OptionTheta("C",$AX36,$B$2,BK$23,$B$3,$AY$22,0)</f>
        <v>-6.4662884071539917E-3</v>
      </c>
      <c r="BL36" s="1" cm="1">
        <f t="array" ref="BL36">OptionTheta("C",$AX36,$B$2,BL$23,$B$3,$AY$22,0)</f>
        <v>-5.659613570313241E-3</v>
      </c>
      <c r="BU36" s="142"/>
      <c r="BV36" s="14">
        <v>120</v>
      </c>
      <c r="BW36" s="1" cm="1">
        <f t="array" ref="BW36">OptionGamma($BV36,$B$2,BW$23,$B$3,$BW$22,0)</f>
        <v>4.9370130845059279E-3</v>
      </c>
      <c r="BX36" s="1" cm="1">
        <f t="array" ref="BX36">OptionGamma($BV36,$B$2,BX$23,$B$3,$BW$22,0)</f>
        <v>8.7746917760978451E-3</v>
      </c>
      <c r="BY36" s="1" cm="1">
        <f t="array" ref="BY36">OptionGamma($BV36,$B$2,BY$23,$B$3,$BW$22,0)</f>
        <v>9.7303217208305603E-3</v>
      </c>
      <c r="BZ36" s="1" cm="1">
        <f t="array" ref="BZ36">OptionGamma($BV36,$B$2,BZ$23,$B$3,$BW$22,0)</f>
        <v>9.8121320272589463E-3</v>
      </c>
      <c r="CA36" s="1" cm="1">
        <f t="array" ref="CA36">OptionGamma($BV36,$B$2,CA$23,$B$3,$BW$22,0)</f>
        <v>9.6090347795308416E-3</v>
      </c>
      <c r="CB36" s="1" cm="1">
        <f t="array" ref="CB36">OptionGamma($BV36,$B$2,CB$23,$B$3,$BW$22,0)</f>
        <v>9.313082481780104E-3</v>
      </c>
      <c r="CC36" s="1" cm="1">
        <f t="array" ref="CC36">OptionGamma($BV36,$B$2,CC$23,$B$3,$BW$22,0)</f>
        <v>8.9946864621100828E-3</v>
      </c>
      <c r="CD36" s="1" cm="1">
        <f t="array" ref="CD36">OptionGamma($BV36,$B$2,CD$23,$B$3,$BW$22,0)</f>
        <v>8.6812461969082502E-3</v>
      </c>
      <c r="CE36" s="1" cm="1">
        <f t="array" ref="CE36">OptionGamma($BV36,$B$2,CE$23,$B$3,$BW$22,0)</f>
        <v>8.3833035199653554E-3</v>
      </c>
      <c r="CF36" s="1" cm="1">
        <f t="array" ref="CF36">OptionGamma($BV36,$B$2,CF$23,$B$3,$BW$22,0)</f>
        <v>8.1043460458643246E-3</v>
      </c>
      <c r="CG36" s="1" cm="1">
        <f t="array" ref="CG36">OptionGamma($BV36,$B$2,CG$23,$B$3,$BW$22,0)</f>
        <v>6.1802445927498402E-3</v>
      </c>
      <c r="CH36" s="1" cm="1">
        <f t="array" ref="CH36">OptionGamma($BV36,$B$2,CH$23,$B$3,$BW$22,0)</f>
        <v>5.1171548019673802E-3</v>
      </c>
      <c r="CI36" s="1" cm="1">
        <f t="array" ref="CI36">OptionGamma($BV36,$B$2,CI$23,$B$3,$BW$22,0)</f>
        <v>4.4253147744497462E-3</v>
      </c>
      <c r="CJ36" s="1" cm="1">
        <f t="array" ref="CJ36">OptionGamma($BV36,$B$2,CJ$23,$B$3,$BW$22,0)</f>
        <v>3.928264530213923E-3</v>
      </c>
      <c r="CS36" s="145"/>
      <c r="CT36" s="14">
        <v>120</v>
      </c>
      <c r="CU36" s="1" cm="1">
        <f t="array" ref="CU36">OptionVega($CT36,$B$2,CU$23,$B$3,$CU$22,0)</f>
        <v>2.1327896525065605E-2</v>
      </c>
      <c r="CV36" s="1" cm="1">
        <f t="array" ref="CV36">OptionVega($CT36,$B$2,CV$23,$B$3,$CU$22,0)</f>
        <v>7.5813336945485366E-2</v>
      </c>
      <c r="CW36" s="1" cm="1">
        <f t="array" ref="CW36">OptionVega($CT36,$B$2,CW$23,$B$3,$CU$22,0)</f>
        <v>0.12610496950196404</v>
      </c>
      <c r="CX36" s="1" cm="1">
        <f t="array" ref="CX36">OptionVega($CT36,$B$2,CX$23,$B$3,$CU$22,0)</f>
        <v>0.16955364143103457</v>
      </c>
      <c r="CY36" s="1" cm="1">
        <f t="array" ref="CY36">OptionVega($CT36,$B$2,CY$23,$B$3,$CU$22,0)</f>
        <v>0.20755515123786619</v>
      </c>
      <c r="CZ36" s="1" cm="1">
        <f t="array" ref="CZ36">OptionVega($CT36,$B$2,CZ$23,$B$3,$CU$22,0)</f>
        <v>0.24139509792774025</v>
      </c>
      <c r="DA36" s="1" cm="1">
        <f t="array" ref="DA36">OptionVega($CT36,$B$2,DA$23,$B$3,$CU$22,0)</f>
        <v>0.27199931861420884</v>
      </c>
      <c r="DB36" s="1" cm="1">
        <f t="array" ref="DB36">OptionVega($CT36,$B$2,DB$23,$B$3,$CU$22,0)</f>
        <v>0.30002386856514912</v>
      </c>
      <c r="DC36" s="1" cm="1">
        <f t="array" ref="DC36">OptionVega($CT36,$B$2,DC$23,$B$3,$CU$22,0)</f>
        <v>0.32594284085625297</v>
      </c>
      <c r="DD36" s="1" cm="1">
        <f t="array" ref="DD36">OptionVega($CT36,$B$2,DD$23,$B$3,$CU$22,0)</f>
        <v>0.3501077491813388</v>
      </c>
      <c r="DE36" s="1" cm="1">
        <f t="array" ref="DE36">OptionVega($CT36,$B$2,DE$23,$B$3,$CU$22,0)</f>
        <v>0.53397313281358616</v>
      </c>
      <c r="DF36" s="1" cm="1">
        <f t="array" ref="DF36">OptionVega($CT36,$B$2,DF$23,$B$3,$CU$22,0)</f>
        <v>0.66318326233497227</v>
      </c>
      <c r="DG36" s="1" cm="1">
        <f t="array" ref="DG36">OptionVega($CT36,$B$2,DG$23,$B$3,$CU$22,0)</f>
        <v>0.76469439302491615</v>
      </c>
      <c r="DH36" s="1" cm="1">
        <f t="array" ref="DH36">OptionVega($CT36,$B$2,DH$23,$B$3,$CU$22,0)</f>
        <v>0.84850513852620746</v>
      </c>
      <c r="DQ36" s="130"/>
      <c r="DR36" s="14">
        <v>120</v>
      </c>
      <c r="DS36" s="1" cm="1">
        <f t="array" ref="DS36">OptionRho("C",$DR36,$B$2,DS$23,$B$3,$DS$22,0)</f>
        <v>9.6931155243772646E-2</v>
      </c>
      <c r="DT36" s="1" cm="1">
        <f t="array" ref="DT36">OptionRho("C",$DR36,$B$2,DT$23,$B$3,$DS$22,0)</f>
        <v>0.18050952682701799</v>
      </c>
      <c r="DU36" s="1" cm="1">
        <f t="array" ref="DU36">OptionRho("C",$DR36,$B$2,DU$23,$B$3,$DS$22,0)</f>
        <v>0.25487739366774992</v>
      </c>
      <c r="DV36" s="1" cm="1">
        <f t="array" ref="DV36">OptionRho("C",$DR36,$B$2,DV$23,$B$3,$DS$22,0)</f>
        <v>0.32370108870629927</v>
      </c>
      <c r="DW36" s="1" cm="1">
        <f t="array" ref="DW36">OptionRho("C",$DR36,$B$2,DW$23,$B$3,$DS$22,0)</f>
        <v>0.38875814895490307</v>
      </c>
      <c r="DX36" s="1" cm="1">
        <f t="array" ref="DX36">OptionRho("C",$DR36,$B$2,DX$23,$B$3,$DS$22,0)</f>
        <v>0.45102197776462982</v>
      </c>
      <c r="DY36" s="1" cm="1">
        <f t="array" ref="DY36">OptionRho("C",$DR36,$B$2,DY$23,$B$3,$DS$22,0)</f>
        <v>0.51108637489139319</v>
      </c>
      <c r="DZ36" s="1" cm="1">
        <f t="array" ref="DZ36">OptionRho("C",$DR36,$B$2,DZ$23,$B$3,$DS$22,0)</f>
        <v>0.56934359886945329</v>
      </c>
      <c r="EA36" s="1" cm="1">
        <f t="array" ref="EA36">OptionRho("C",$DR36,$B$2,EA$23,$B$3,$DS$22,0)</f>
        <v>0.62606865589008986</v>
      </c>
      <c r="EB36" s="1" cm="1">
        <f t="array" ref="EB36">OptionRho("C",$DR36,$B$2,EB$23,$B$3,$DS$22,0)</f>
        <v>0.68146336615181546</v>
      </c>
      <c r="EC36" s="1" cm="1">
        <f t="array" ref="EC36">OptionRho("C",$DR36,$B$2,EC$23,$B$3,$DS$22,0)</f>
        <v>1.1848579476912982</v>
      </c>
      <c r="ED36" s="1" cm="1">
        <f t="array" ref="ED36">OptionRho("C",$DR36,$B$2,ED$23,$B$3,$DS$22,0)</f>
        <v>1.6278634009613053</v>
      </c>
      <c r="EE36" s="1" cm="1">
        <f t="array" ref="EE36">OptionRho("C",$DR36,$B$2,EE$23,$B$3,$DS$22,0)</f>
        <v>2.0296348209289148</v>
      </c>
      <c r="EF36" s="1" cm="1">
        <f t="array" ref="EF36">OptionRho("C",$DR36,$B$2,EF$23,$B$3,$DS$22,0)</f>
        <v>2.3987823120714449</v>
      </c>
      <c r="EP36" s="130"/>
      <c r="EQ36" s="14">
        <v>120</v>
      </c>
      <c r="ER36" s="1" cm="1">
        <f t="array" ref="ER36">OptionRho("C",$DR36,$B$2,ER$23,$D$3,$DS$22,0)</f>
        <v>9.4346252319765886E-2</v>
      </c>
      <c r="ES36" s="1" cm="1">
        <f t="array" ref="ES36">OptionRho("C",$DR36,$B$2,ES$23,$D$3,$DS$22,0)</f>
        <v>0.17720081369134141</v>
      </c>
      <c r="ET36" s="1" cm="1">
        <f t="array" ref="ET36">OptionRho("C",$DR36,$B$2,ET$23,$D$3,$DS$22,0)</f>
        <v>0.25145433980081766</v>
      </c>
      <c r="EU36" s="1" cm="1">
        <f t="array" ref="EU36">OptionRho("C",$DR36,$B$2,EU$23,$D$3,$DS$22,0)</f>
        <v>0.31851249281774036</v>
      </c>
      <c r="EV36" s="1" cm="1">
        <f t="array" ref="EV36">OptionRho("C",$DR36,$B$2,EV$23,$D$3,$DS$22,0)</f>
        <v>0.37900929885029644</v>
      </c>
      <c r="EW36" s="1" cm="1">
        <f t="array" ref="EW36">OptionRho("C",$DR36,$B$2,EW$23,$D$3,$DS$22,0)</f>
        <v>0.43336379177104634</v>
      </c>
      <c r="EX36" s="1" cm="1">
        <f t="array" ref="EX36">OptionRho("C",$DR36,$B$2,EX$23,$D$3,$DS$22,0)</f>
        <v>0.48193423656989065</v>
      </c>
      <c r="EY36" s="1" cm="1">
        <f t="array" ref="EY36">OptionRho("C",$DR36,$B$2,EY$23,$D$3,$DS$22,0)</f>
        <v>0.52506214149231833</v>
      </c>
      <c r="EZ36" s="1" cm="1">
        <f t="array" ref="EZ36">OptionRho("C",$DR36,$B$2,EZ$23,$D$3,$DS$22,0)</f>
        <v>0.5630835252555525</v>
      </c>
      <c r="FA36" s="1" cm="1">
        <f t="array" ref="FA36">OptionRho("C",$DR36,$B$2,FA$23,$D$3,$DS$22,0)</f>
        <v>0.59632994323993571</v>
      </c>
      <c r="FB36" s="1" cm="1">
        <f t="array" ref="FB36">OptionRho("C",$DR36,$B$2,FB$23,$D$3,$DS$22,0)</f>
        <v>0.73206727267155303</v>
      </c>
      <c r="FC36" s="1" cm="1">
        <f t="array" ref="FC36">OptionRho("C",$DR36,$B$2,FC$23,$D$3,$DS$22,0)</f>
        <v>0.66841884413861208</v>
      </c>
      <c r="FD36" s="1" cm="1">
        <f t="array" ref="FD36">OptionRho("C",$DR36,$B$2,FD$23,$D$3,$DS$22,0)</f>
        <v>0.54111207463112732</v>
      </c>
      <c r="FE36" s="1" cm="1">
        <f t="array" ref="FE36">OptionRho("C",$DR36,$B$2,FE$23,$D$3,$DS$22,0)</f>
        <v>0.41037386974350715</v>
      </c>
    </row>
    <row r="37" spans="1:161" x14ac:dyDescent="0.2">
      <c r="A37" s="133"/>
      <c r="B37" s="14">
        <v>125</v>
      </c>
      <c r="C37" s="1" cm="1">
        <f t="array" ref="C37">OptionPrice("C",$B37,$B$2,C$23,$B$3,$C$22,0)</f>
        <v>25.132174079099357</v>
      </c>
      <c r="D37" s="1" cm="1">
        <f t="array" ref="D37">OptionPrice("C",$B37,$B$2,D$23,$B$3,$C$22,0)</f>
        <v>25.488309491781067</v>
      </c>
      <c r="E37" s="1" cm="1">
        <f t="array" ref="E37">OptionPrice("C",$B37,$B$2,E$23,$B$3,$C$22,0)</f>
        <v>26.006437508288911</v>
      </c>
      <c r="F37" s="1" cm="1">
        <f t="array" ref="F37">OptionPrice("C",$B37,$B$2,F$23,$B$3,$C$22,0)</f>
        <v>26.590278186160873</v>
      </c>
      <c r="G37" s="1" cm="1">
        <f t="array" ref="G37">OptionPrice("C",$B37,$B$2,G$23,$B$3,$C$22,0)</f>
        <v>27.196190947300906</v>
      </c>
      <c r="H37" s="1" cm="1">
        <f t="array" ref="H37">OptionPrice("C",$B37,$B$2,H$23,$B$3,$C$22,0)</f>
        <v>27.80472034380729</v>
      </c>
      <c r="I37" s="1" cm="1">
        <f t="array" ref="I37">OptionPrice("C",$B37,$B$2,I$23,$B$3,$C$22,0)</f>
        <v>28.406862085182695</v>
      </c>
      <c r="J37" s="1" cm="1">
        <f t="array" ref="J37">OptionPrice("C",$B37,$B$2,J$23,$B$3,$C$22,0)</f>
        <v>28.998418797050377</v>
      </c>
      <c r="K37" s="1" cm="1">
        <f t="array" ref="K37">OptionPrice("C",$B37,$B$2,K$23,$B$3,$C$22,0)</f>
        <v>29.57753848102314</v>
      </c>
      <c r="L37" s="1" cm="1">
        <f t="array" ref="L37">OptionPrice("C",$B37,$B$2,L$23,$B$3,$C$22,0)</f>
        <v>30.143562712272043</v>
      </c>
      <c r="M37" s="1" cm="1">
        <f t="array" ref="M37">OptionPrice("C",$B37,$B$2,M$23,$B$3,$C$22,0)</f>
        <v>35.155466565545169</v>
      </c>
      <c r="N37" s="1" cm="1">
        <f t="array" ref="N37">OptionPrice("C",$B37,$B$2,N$23,$B$3,$C$22,0)</f>
        <v>39.308285462663235</v>
      </c>
      <c r="O37" s="1" cm="1">
        <f t="array" ref="O37">OptionPrice("C",$B37,$B$2,O$23,$B$3,$C$22,0)</f>
        <v>42.905586323033681</v>
      </c>
      <c r="P37" s="1" cm="1">
        <f t="array" ref="P37">OptionPrice("C",$B37,$B$2,P$23,$B$3,$C$22,0)</f>
        <v>46.109190058404991</v>
      </c>
      <c r="Y37" s="136"/>
      <c r="Z37" s="14">
        <v>125</v>
      </c>
      <c r="AA37" s="1" cm="1">
        <f t="array" ref="AA37">OptionDelta("C",$Z37,$B$2,AA$23,$B$3,$AA$22,0)</f>
        <v>0.99202624587419741</v>
      </c>
      <c r="AB37" s="1" cm="1">
        <f t="array" ref="AB37">OptionDelta("C",$Z37,$B$2,AB$23,$B$3,$AA$22,0)</f>
        <v>0.95952522958374731</v>
      </c>
      <c r="AC37" s="1" cm="1">
        <f t="array" ref="AC37">OptionDelta("C",$Z37,$B$2,AC$23,$B$3,$AA$22,0)</f>
        <v>0.92763817410360494</v>
      </c>
      <c r="AD37" s="1" cm="1">
        <f t="array" ref="AD37">OptionDelta("C",$Z37,$B$2,AD$23,$B$3,$AA$22,0)</f>
        <v>0.90182488378357173</v>
      </c>
      <c r="AE37" s="1" cm="1">
        <f t="array" ref="AE37">OptionDelta("C",$Z37,$B$2,AE$23,$B$3,$AA$22,0)</f>
        <v>0.8813068623898227</v>
      </c>
      <c r="AF37" s="1" cm="1">
        <f t="array" ref="AF37">OptionDelta("C",$Z37,$B$2,AF$23,$B$3,$AA$22,0)</f>
        <v>0.86482705141973804</v>
      </c>
      <c r="AG37" s="1" cm="1">
        <f t="array" ref="AG37">OptionDelta("C",$Z37,$B$2,AG$23,$B$3,$AA$22,0)</f>
        <v>0.85138984659601924</v>
      </c>
      <c r="AH37" s="1" cm="1">
        <f t="array" ref="AH37">OptionDelta("C",$Z37,$B$2,AH$23,$B$3,$AA$22,0)</f>
        <v>0.84027414396084255</v>
      </c>
      <c r="AI37" s="1" cm="1">
        <f t="array" ref="AI37">OptionDelta("C",$Z37,$B$2,AI$23,$B$3,$AA$22,0)</f>
        <v>0.83096150825161674</v>
      </c>
      <c r="AJ37" s="1" cm="1">
        <f t="array" ref="AJ37">OptionDelta("C",$Z37,$B$2,AJ$23,$B$3,$AA$22,0)</f>
        <v>0.82307441711333762</v>
      </c>
      <c r="AK37" s="1" cm="1">
        <f t="array" ref="AK37">OptionDelta("C",$Z37,$B$2,AK$23,$B$3,$AA$22,0)</f>
        <v>0.78383972120701739</v>
      </c>
      <c r="AL37" s="1" cm="1">
        <f t="array" ref="AL37">OptionDelta("C",$Z37,$B$2,AL$23,$B$3,$AA$22,0)</f>
        <v>0.77246297183665924</v>
      </c>
      <c r="AM37" s="1" cm="1">
        <f t="array" ref="AM37">OptionDelta("C",$Z37,$B$2,AM$23,$B$3,$AA$22,0)</f>
        <v>0.76991671192728905</v>
      </c>
      <c r="AN37" s="1" cm="1">
        <f t="array" ref="AN37">OptionDelta("C",$Z37,$B$2,AN$23,$B$3,$AA$22,0)</f>
        <v>0.77113459229413017</v>
      </c>
      <c r="AW37" s="139"/>
      <c r="AX37" s="14">
        <v>125</v>
      </c>
      <c r="AY37" s="1" cm="1">
        <f t="array" ref="AY37">OptionTheta("C",$AX37,$B$2,AY$23,$B$3,$AY$22,0)</f>
        <v>-8.4167040319571443E-4</v>
      </c>
      <c r="AZ37" s="1" cm="1">
        <f t="array" ref="AZ37">OptionTheta("C",$AX37,$B$2,AZ$23,$B$3,$AY$22,0)</f>
        <v>-7.4060691455719316E-3</v>
      </c>
      <c r="BA37" s="1" cm="1">
        <f t="array" ref="BA37">OptionTheta("C",$AX37,$B$2,BA$23,$B$3,$AY$22,0)</f>
        <v>-1.0453368483121001E-2</v>
      </c>
      <c r="BB37" s="1" cm="1">
        <f t="array" ref="BB37">OptionTheta("C",$AX37,$B$2,BB$23,$B$3,$AY$22,0)</f>
        <v>-1.1703811603569023E-2</v>
      </c>
      <c r="BC37" s="1" cm="1">
        <f t="array" ref="BC37">OptionTheta("C",$AX37,$B$2,BC$23,$B$3,$AY$22,0)</f>
        <v>-1.214759418968365E-2</v>
      </c>
      <c r="BD37" s="1" cm="1">
        <f t="array" ref="BD37">OptionTheta("C",$AX37,$B$2,BD$23,$B$3,$AY$22,0)</f>
        <v>-1.2211593065403835E-2</v>
      </c>
      <c r="BE37" s="1" cm="1">
        <f t="array" ref="BE37">OptionTheta("C",$AX37,$B$2,BE$23,$B$3,$AY$22,0)</f>
        <v>-1.2089505497760973E-2</v>
      </c>
      <c r="BF37" s="1" cm="1">
        <f t="array" ref="BF37">OptionTheta("C",$AX37,$B$2,BF$23,$B$3,$AY$22,0)</f>
        <v>-1.1875344186170067E-2</v>
      </c>
      <c r="BG37" s="1" cm="1">
        <f t="array" ref="BG37">OptionTheta("C",$AX37,$B$2,BG$23,$B$3,$AY$22,0)</f>
        <v>-1.1617300254076779E-2</v>
      </c>
      <c r="BH37" s="1" cm="1">
        <f t="array" ref="BH37">OptionTheta("C",$AX37,$B$2,BH$23,$B$3,$AY$22,0)</f>
        <v>-1.1341061644959231E-2</v>
      </c>
      <c r="BI37" s="1" cm="1">
        <f t="array" ref="BI37">OptionTheta("C",$AX37,$B$2,BI$23,$B$3,$AY$22,0)</f>
        <v>-8.9254695983287391E-3</v>
      </c>
      <c r="BJ37" s="1" cm="1">
        <f t="array" ref="BJ37">OptionTheta("C",$AX37,$B$2,BJ$23,$B$3,$AY$22,0)</f>
        <v>-7.3829678156991279E-3</v>
      </c>
      <c r="BK37" s="1" cm="1">
        <f t="array" ref="BK37">OptionTheta("C",$AX37,$B$2,BK$23,$B$3,$AY$22,0)</f>
        <v>-6.3395549713659008E-3</v>
      </c>
      <c r="BL37" s="1" cm="1">
        <f t="array" ref="BL37">OptionTheta("C",$AX37,$B$2,BL$23,$B$3,$AY$22,0)</f>
        <v>-5.5788854348364563E-3</v>
      </c>
      <c r="BU37" s="142"/>
      <c r="BV37" s="14">
        <v>125</v>
      </c>
      <c r="BW37" s="1" cm="1">
        <f t="array" ref="BW37">OptionGamma($BV37,$B$2,BW$23,$B$3,$BW$22,0)</f>
        <v>1.8430873083992024E-3</v>
      </c>
      <c r="BX37" s="1" cm="1">
        <f t="array" ref="BX37">OptionGamma($BV37,$B$2,BX$23,$B$3,$BW$22,0)</f>
        <v>5.1878950118337827E-3</v>
      </c>
      <c r="BY37" s="1" cm="1">
        <f t="array" ref="BY37">OptionGamma($BV37,$B$2,BY$23,$B$3,$BW$22,0)</f>
        <v>6.7057249264153357E-3</v>
      </c>
      <c r="BZ37" s="1" cm="1">
        <f t="array" ref="BZ37">OptionGamma($BV37,$B$2,BZ$23,$B$3,$BW$22,0)</f>
        <v>7.3006500382870035E-3</v>
      </c>
      <c r="CA37" s="1" cm="1">
        <f t="array" ref="CA37">OptionGamma($BV37,$B$2,CA$23,$B$3,$BW$22,0)</f>
        <v>7.4859286012427398E-3</v>
      </c>
      <c r="CB37" s="1" cm="1">
        <f t="array" ref="CB37">OptionGamma($BV37,$B$2,CB$23,$B$3,$BW$22,0)</f>
        <v>7.4811990466972442E-3</v>
      </c>
      <c r="CC37" s="1" cm="1">
        <f t="array" ref="CC37">OptionGamma($BV37,$B$2,CC$23,$B$3,$BW$22,0)</f>
        <v>7.3853698760191324E-3</v>
      </c>
      <c r="CD37" s="1" cm="1">
        <f t="array" ref="CD37">OptionGamma($BV37,$B$2,CD$23,$B$3,$BW$22,0)</f>
        <v>7.2460218594597326E-3</v>
      </c>
      <c r="CE37" s="1" cm="1">
        <f t="array" ref="CE37">OptionGamma($BV37,$B$2,CE$23,$B$3,$BW$22,0)</f>
        <v>7.0872762215001793E-3</v>
      </c>
      <c r="CF37" s="1" cm="1">
        <f t="array" ref="CF37">OptionGamma($BV37,$B$2,CF$23,$B$3,$BW$22,0)</f>
        <v>6.9218060724324567E-3</v>
      </c>
      <c r="CG37" s="1" cm="1">
        <f t="array" ref="CG37">OptionGamma($BV37,$B$2,CG$23,$B$3,$BW$22,0)</f>
        <v>5.5268144202571534E-3</v>
      </c>
      <c r="CH37" s="1" cm="1">
        <f t="array" ref="CH37">OptionGamma($BV37,$B$2,CH$23,$B$3,$BW$22,0)</f>
        <v>4.6467969605679992E-3</v>
      </c>
      <c r="CI37" s="1" cm="1">
        <f t="array" ref="CI37">OptionGamma($BV37,$B$2,CI$23,$B$3,$BW$22,0)</f>
        <v>4.0494614630788676E-3</v>
      </c>
      <c r="CJ37" s="1" cm="1">
        <f t="array" ref="CJ37">OptionGamma($BV37,$B$2,CJ$23,$B$3,$BW$22,0)</f>
        <v>3.6111922111984628E-3</v>
      </c>
      <c r="CS37" s="145"/>
      <c r="CT37" s="14">
        <v>125</v>
      </c>
      <c r="CU37" s="1" cm="1">
        <f t="array" ref="CU37">OptionVega($CT37,$B$2,CU$23,$B$3,$CU$22,0)</f>
        <v>8.6394717581212612E-3</v>
      </c>
      <c r="CV37" s="1" cm="1">
        <f t="array" ref="CV37">OptionVega($CT37,$B$2,CV$23,$B$3,$CU$22,0)</f>
        <v>4.8636515735941716E-2</v>
      </c>
      <c r="CW37" s="1" cm="1">
        <f t="array" ref="CW37">OptionVega($CT37,$B$2,CW$23,$B$3,$CU$22,0)</f>
        <v>9.4299256777715626E-2</v>
      </c>
      <c r="CX37" s="1" cm="1">
        <f t="array" ref="CX37">OptionVega($CT37,$B$2,CX$23,$B$3,$CU$22,0)</f>
        <v>0.13688718821788132</v>
      </c>
      <c r="CY37" s="1" cm="1">
        <f t="array" ref="CY37">OptionVega($CT37,$B$2,CY$23,$B$3,$CU$22,0)</f>
        <v>0.17545145159162673</v>
      </c>
      <c r="CZ37" s="1" cm="1">
        <f t="array" ref="CZ37">OptionVega($CT37,$B$2,CZ$23,$B$3,$CU$22,0)</f>
        <v>0.21040872318836001</v>
      </c>
      <c r="DA37" s="1" cm="1">
        <f t="array" ref="DA37">OptionVega($CT37,$B$2,DA$23,$B$3,$CU$22,0)</f>
        <v>0.24233244905687776</v>
      </c>
      <c r="DB37" s="1" cm="1">
        <f t="array" ref="DB37">OptionVega($CT37,$B$2,DB$23,$B$3,$CU$22,0)</f>
        <v>0.27172581972973997</v>
      </c>
      <c r="DC37" s="1" cm="1">
        <f t="array" ref="DC37">OptionVega($CT37,$B$2,DC$23,$B$3,$CU$22,0)</f>
        <v>0.29899446559453879</v>
      </c>
      <c r="DD37" s="1" cm="1">
        <f t="array" ref="DD37">OptionVega($CT37,$B$2,DD$23,$B$3,$CU$22,0)</f>
        <v>0.3244596596452714</v>
      </c>
      <c r="DE37" s="1" cm="1">
        <f t="array" ref="DE37">OptionVega($CT37,$B$2,DE$23,$B$3,$CU$22,0)</f>
        <v>0.51813885189910813</v>
      </c>
      <c r="DF37" s="1" cm="1">
        <f t="array" ref="DF37">OptionVega($CT37,$B$2,DF$23,$B$3,$CU$22,0)</f>
        <v>0.65345582257987467</v>
      </c>
      <c r="DG37" s="1" cm="1">
        <f t="array" ref="DG37">OptionVega($CT37,$B$2,DG$23,$B$3,$CU$22,0)</f>
        <v>0.75927402432728763</v>
      </c>
      <c r="DH37" s="1" cm="1">
        <f t="array" ref="DH37">OptionVega($CT37,$B$2,DH$23,$B$3,$CU$22,0)</f>
        <v>0.84637317449963978</v>
      </c>
      <c r="DQ37" s="130"/>
      <c r="DR37" s="14">
        <v>125</v>
      </c>
      <c r="DS37" s="1" cm="1">
        <f t="array" ref="DS37">OptionRho("C",$DR37,$B$2,DS$23,$B$3,$DS$22,0)</f>
        <v>9.8871106655175345E-2</v>
      </c>
      <c r="DT37" s="1" cm="1">
        <f t="array" ref="DT37">OptionRho("C",$DR37,$B$2,DT$23,$B$3,$DS$22,0)</f>
        <v>0.1889046884123747</v>
      </c>
      <c r="DU37" s="1" cm="1">
        <f t="array" ref="DU37">OptionRho("C",$DR37,$B$2,DU$23,$B$3,$DS$22,0)</f>
        <v>0.26984500276398515</v>
      </c>
      <c r="DV37" s="1" cm="1">
        <f t="array" ref="DV37">OptionRho("C",$DR37,$B$2,DV$23,$B$3,$DS$22,0)</f>
        <v>0.34455132914714243</v>
      </c>
      <c r="DW37" s="1" cm="1">
        <f t="array" ref="DW37">OptionRho("C",$DR37,$B$2,DW$23,$B$3,$DS$22,0)</f>
        <v>0.41483583425713461</v>
      </c>
      <c r="DX37" s="1" cm="1">
        <f t="array" ref="DX37">OptionRho("C",$DR37,$B$2,DX$23,$B$3,$DS$22,0)</f>
        <v>0.48179196650195977</v>
      </c>
      <c r="DY37" s="1" cm="1">
        <f t="array" ref="DY37">OptionRho("C",$DR37,$B$2,DY$23,$B$3,$DS$22,0)</f>
        <v>0.54611808117523786</v>
      </c>
      <c r="DZ37" s="1" cm="1">
        <f t="array" ref="DZ37">OptionRho("C",$DR37,$B$2,DZ$23,$B$3,$DS$22,0)</f>
        <v>0.6082867935844396</v>
      </c>
      <c r="EA37" s="1" cm="1">
        <f t="array" ref="EA37">OptionRho("C",$DR37,$B$2,EA$23,$B$3,$DS$22,0)</f>
        <v>0.66863385045386048</v>
      </c>
      <c r="EB37" s="1" cm="1">
        <f t="array" ref="EB37">OptionRho("C",$DR37,$B$2,EB$23,$B$3,$DS$22,0)</f>
        <v>0.72740739426895162</v>
      </c>
      <c r="EC37" s="1" cm="1">
        <f t="array" ref="EC37">OptionRho("C",$DR37,$B$2,EC$23,$B$3,$DS$22,0)</f>
        <v>1.2564899717066402</v>
      </c>
      <c r="ED37" s="1" cm="1">
        <f t="array" ref="ED37">OptionRho("C",$DR37,$B$2,ED$23,$B$3,$DS$22,0)</f>
        <v>1.7174875805075749</v>
      </c>
      <c r="EE37" s="1" cm="1">
        <f t="array" ref="EE37">OptionRho("C",$DR37,$B$2,EE$23,$B$3,$DS$22,0)</f>
        <v>2.1333601067150982</v>
      </c>
      <c r="EF37" s="1" cm="1">
        <f t="array" ref="EF37">OptionRho("C",$DR37,$B$2,EF$23,$B$3,$DS$22,0)</f>
        <v>2.5141316989180638</v>
      </c>
      <c r="EP37" s="130"/>
      <c r="EQ37" s="14">
        <v>125</v>
      </c>
      <c r="ER37" s="1" cm="1">
        <f t="array" ref="ER37">OptionRho("C",$DR37,$B$2,ER$23,$D$3,$DS$22,0)</f>
        <v>9.490276239008813E-2</v>
      </c>
      <c r="ES37" s="1" cm="1">
        <f t="array" ref="ES37">OptionRho("C",$DR37,$B$2,ES$23,$D$3,$DS$22,0)</f>
        <v>0.17922955744992922</v>
      </c>
      <c r="ET37" s="1" cm="1">
        <f t="array" ref="ET37">OptionRho("C",$DR37,$B$2,ET$23,$D$3,$DS$22,0)</f>
        <v>0.25451774435865965</v>
      </c>
      <c r="EU37" s="1" cm="1">
        <f t="array" ref="EU37">OptionRho("C",$DR37,$B$2,EU$23,$D$3,$DS$22,0)</f>
        <v>0.32213174308568654</v>
      </c>
      <c r="EV37" s="1" cm="1">
        <f t="array" ref="EV37">OptionRho("C",$DR37,$B$2,EV$23,$D$3,$DS$22,0)</f>
        <v>0.38285057039540549</v>
      </c>
      <c r="EW37" s="1" cm="1">
        <f t="array" ref="EW37">OptionRho("C",$DR37,$B$2,EW$23,$D$3,$DS$22,0)</f>
        <v>0.43721107011738108</v>
      </c>
      <c r="EX37" s="1" cm="1">
        <f t="array" ref="EX37">OptionRho("C",$DR37,$B$2,EX$23,$D$3,$DS$22,0)</f>
        <v>0.4856528211812825</v>
      </c>
      <c r="EY37" s="1" cm="1">
        <f t="array" ref="EY37">OptionRho("C",$DR37,$B$2,EY$23,$D$3,$DS$22,0)</f>
        <v>0.52857193648417988</v>
      </c>
      <c r="EZ37" s="1" cm="1">
        <f t="array" ref="EZ37">OptionRho("C",$DR37,$B$2,EZ$23,$D$3,$DS$22,0)</f>
        <v>0.5663409001938613</v>
      </c>
      <c r="FA37" s="1" cm="1">
        <f t="array" ref="FA37">OptionRho("C",$DR37,$B$2,FA$23,$D$3,$DS$22,0)</f>
        <v>0.59931550167405356</v>
      </c>
      <c r="FB37" s="1" cm="1">
        <f t="array" ref="FB37">OptionRho("C",$DR37,$B$2,FB$23,$D$3,$DS$22,0)</f>
        <v>0.73297548502484344</v>
      </c>
      <c r="FC37" s="1" cm="1">
        <f t="array" ref="FC37">OptionRho("C",$DR37,$B$2,FC$23,$D$3,$DS$22,0)</f>
        <v>0.66864068151668365</v>
      </c>
      <c r="FD37" s="1" cm="1">
        <f t="array" ref="FD37">OptionRho("C",$DR37,$B$2,FD$23,$D$3,$DS$22,0)</f>
        <v>0.54116220316461439</v>
      </c>
      <c r="FE37" s="1" cm="1">
        <f t="array" ref="FE37">OptionRho("C",$DR37,$B$2,FE$23,$D$3,$DS$22,0)</f>
        <v>0.41038475480983549</v>
      </c>
    </row>
    <row r="38" spans="1:161" x14ac:dyDescent="0.2">
      <c r="A38" s="133"/>
      <c r="B38" s="14">
        <v>130</v>
      </c>
      <c r="C38" s="1" cm="1">
        <f t="array" ref="C38">OptionPrice("C",$B38,$B$2,C$23,$B$3,$C$22,0)</f>
        <v>30.108854893724384</v>
      </c>
      <c r="D38" s="1" cm="1">
        <f t="array" ref="D38">OptionPrice("C",$B38,$B$2,D$23,$B$3,$C$22,0)</f>
        <v>30.339944955501139</v>
      </c>
      <c r="E38" s="1" cm="1">
        <f t="array" ref="E38">OptionPrice("C",$B38,$B$2,E$23,$B$3,$C$22,0)</f>
        <v>30.718188738276297</v>
      </c>
      <c r="F38" s="1" cm="1">
        <f t="array" ref="F38">OptionPrice("C",$B38,$B$2,F$23,$B$3,$C$22,0)</f>
        <v>31.181660292572587</v>
      </c>
      <c r="G38" s="1" cm="1">
        <f t="array" ref="G38">OptionPrice("C",$B38,$B$2,G$23,$B$3,$C$22,0)</f>
        <v>31.688451596380276</v>
      </c>
      <c r="H38" s="1" cm="1">
        <f t="array" ref="H38">OptionPrice("C",$B38,$B$2,H$23,$B$3,$C$22,0)</f>
        <v>32.215467453901169</v>
      </c>
      <c r="I38" s="1" cm="1">
        <f t="array" ref="I38">OptionPrice("C",$B38,$B$2,I$23,$B$3,$C$22,0)</f>
        <v>32.749985987409346</v>
      </c>
      <c r="J38" s="1" cm="1">
        <f t="array" ref="J38">OptionPrice("C",$B38,$B$2,J$23,$B$3,$C$22,0)</f>
        <v>33.284838173014563</v>
      </c>
      <c r="K38" s="1" cm="1">
        <f t="array" ref="K38">OptionPrice("C",$B38,$B$2,K$23,$B$3,$C$22,0)</f>
        <v>33.815914843573424</v>
      </c>
      <c r="L38" s="1" cm="1">
        <f t="array" ref="L38">OptionPrice("C",$B38,$B$2,L$23,$B$3,$C$22,0)</f>
        <v>34.340853976921039</v>
      </c>
      <c r="M38" s="1" cm="1">
        <f t="array" ref="M38">OptionPrice("C",$B38,$B$2,M$23,$B$3,$C$22,0)</f>
        <v>39.141175032012484</v>
      </c>
      <c r="N38" s="1" cm="1">
        <f t="array" ref="N38">OptionPrice("C",$B38,$B$2,N$23,$B$3,$C$22,0)</f>
        <v>43.22683370682855</v>
      </c>
      <c r="O38" s="1" cm="1">
        <f t="array" ref="O38">OptionPrice("C",$B38,$B$2,O$23,$B$3,$C$22,0)</f>
        <v>46.804312150550835</v>
      </c>
      <c r="P38" s="1" cm="1">
        <f t="array" ref="P38">OptionPrice("C",$B38,$B$2,P$23,$B$3,$C$22,0)</f>
        <v>50.008760524562405</v>
      </c>
      <c r="Y38" s="136"/>
      <c r="Z38" s="14">
        <v>130</v>
      </c>
      <c r="AA38" s="1" cm="1">
        <f t="array" ref="AA38">OptionDelta("C",$Z38,$B$2,AA$23,$B$3,$AA$22,0)</f>
        <v>0.9976251547967403</v>
      </c>
      <c r="AB38" s="1" cm="1">
        <f t="array" ref="AB38">OptionDelta("C",$Z38,$B$2,AB$23,$B$3,$AA$22,0)</f>
        <v>0.97920186730211123</v>
      </c>
      <c r="AC38" s="1" cm="1">
        <f t="array" ref="AC38">OptionDelta("C",$Z38,$B$2,AC$23,$B$3,$AA$22,0)</f>
        <v>0.95516243259384059</v>
      </c>
      <c r="AD38" s="1" cm="1">
        <f t="array" ref="AD38">OptionDelta("C",$Z38,$B$2,AD$23,$B$3,$AA$22,0)</f>
        <v>0.93302831921275364</v>
      </c>
      <c r="AE38" s="1" cm="1">
        <f t="array" ref="AE38">OptionDelta("C",$Z38,$B$2,AE$23,$B$3,$AA$22,0)</f>
        <v>0.91409849026161683</v>
      </c>
      <c r="AF38" s="1" cm="1">
        <f t="array" ref="AF38">OptionDelta("C",$Z38,$B$2,AF$23,$B$3,$AA$22,0)</f>
        <v>0.89814375452956496</v>
      </c>
      <c r="AG38" s="1" cm="1">
        <f t="array" ref="AG38">OptionDelta("C",$Z38,$B$2,AG$23,$B$3,$AA$22,0)</f>
        <v>0.8846722298971994</v>
      </c>
      <c r="AH38" s="1" cm="1">
        <f t="array" ref="AH38">OptionDelta("C",$Z38,$B$2,AH$23,$B$3,$AA$22,0)</f>
        <v>0.87322148228571717</v>
      </c>
      <c r="AI38" s="1" cm="1">
        <f t="array" ref="AI38">OptionDelta("C",$Z38,$B$2,AI$23,$B$3,$AA$22,0)</f>
        <v>0.86341232176687477</v>
      </c>
      <c r="AJ38" s="1" cm="1">
        <f t="array" ref="AJ38">OptionDelta("C",$Z38,$B$2,AJ$23,$B$3,$AA$22,0)</f>
        <v>0.85494512380940124</v>
      </c>
      <c r="AK38" s="1" cm="1">
        <f t="array" ref="AK38">OptionDelta("C",$Z38,$B$2,AK$23,$B$3,$AA$22,0)</f>
        <v>0.80993885351262629</v>
      </c>
      <c r="AL38" s="1" cm="1">
        <f t="array" ref="AL38">OptionDelta("C",$Z38,$B$2,AL$23,$B$3,$AA$22,0)</f>
        <v>0.79459325631183764</v>
      </c>
      <c r="AM38" s="1" cm="1">
        <f t="array" ref="AM38">OptionDelta("C",$Z38,$B$2,AM$23,$B$3,$AA$22,0)</f>
        <v>0.78928431354169604</v>
      </c>
      <c r="AN38" s="1" cm="1">
        <f t="array" ref="AN38">OptionDelta("C",$Z38,$B$2,AN$23,$B$3,$AA$22,0)</f>
        <v>0.78845019812977468</v>
      </c>
      <c r="AW38" s="139"/>
      <c r="AX38" s="14">
        <v>130</v>
      </c>
      <c r="AY38" s="1" cm="1">
        <f t="array" ref="AY38">OptionTheta("C",$AX38,$B$2,AY$23,$B$3,$AY$22,0)</f>
        <v>1.476657402491671E-3</v>
      </c>
      <c r="AZ38" s="1" cm="1">
        <f t="array" ref="AZ38">OptionTheta("C",$AX38,$B$2,AZ$23,$B$3,$AY$22,0)</f>
        <v>-3.3227893551345923E-3</v>
      </c>
      <c r="BA38" s="1" cm="1">
        <f t="array" ref="BA38">OptionTheta("C",$AX38,$B$2,BA$23,$B$3,$AY$22,0)</f>
        <v>-6.6582397102136889E-3</v>
      </c>
      <c r="BB38" s="1" cm="1">
        <f t="array" ref="BB38">OptionTheta("C",$AX38,$B$2,BB$23,$B$3,$AY$22,0)</f>
        <v>-8.4925940100280279E-3</v>
      </c>
      <c r="BC38" s="1" cm="1">
        <f t="array" ref="BC38">OptionTheta("C",$AX38,$B$2,BC$23,$B$3,$AY$22,0)</f>
        <v>-9.4625981097802379E-3</v>
      </c>
      <c r="BD38" s="1" cm="1">
        <f t="array" ref="BD38">OptionTheta("C",$AX38,$B$2,BD$23,$B$3,$AY$22,0)</f>
        <v>-9.9514308016561605E-3</v>
      </c>
      <c r="BE38" s="1" cm="1">
        <f t="array" ref="BE38">OptionTheta("C",$AX38,$B$2,BE$23,$B$3,$AY$22,0)</f>
        <v>-1.0165826843404471E-2</v>
      </c>
      <c r="BF38" s="1" cm="1">
        <f t="array" ref="BF38">OptionTheta("C",$AX38,$B$2,BF$23,$B$3,$AY$22,0)</f>
        <v>-1.0219307229780471E-2</v>
      </c>
      <c r="BG38" s="1" cm="1">
        <f t="array" ref="BG38">OptionTheta("C",$AX38,$B$2,BG$23,$B$3,$AY$22,0)</f>
        <v>-1.0176520887028376E-2</v>
      </c>
      <c r="BH38" s="1" cm="1">
        <f t="array" ref="BH38">OptionTheta("C",$AX38,$B$2,BH$23,$B$3,$AY$22,0)</f>
        <v>-1.0075623545492149E-2</v>
      </c>
      <c r="BI38" s="1" cm="1">
        <f t="array" ref="BI38">OptionTheta("C",$AX38,$B$2,BI$23,$B$3,$AY$22,0)</f>
        <v>-8.4410239369225315E-3</v>
      </c>
      <c r="BJ38" s="1" cm="1">
        <f t="array" ref="BJ38">OptionTheta("C",$AX38,$B$2,BJ$23,$B$3,$AY$22,0)</f>
        <v>-7.1283464840293563E-3</v>
      </c>
      <c r="BK38" s="1" cm="1">
        <f t="array" ref="BK38">OptionTheta("C",$AX38,$B$2,BK$23,$B$3,$AY$22,0)</f>
        <v>-6.1850808679763253E-3</v>
      </c>
      <c r="BL38" s="1" cm="1">
        <f t="array" ref="BL38">OptionTheta("C",$AX38,$B$2,BL$23,$B$3,$AY$22,0)</f>
        <v>-5.4774574077337329E-3</v>
      </c>
      <c r="BU38" s="142"/>
      <c r="BV38" s="14">
        <v>130</v>
      </c>
      <c r="BW38" s="1" cm="1">
        <f t="array" ref="BW38">OptionGamma($BV38,$B$2,BW$23,$B$3,$BW$22,0)</f>
        <v>6.0071558236562614E-4</v>
      </c>
      <c r="BX38" s="1" cm="1">
        <f t="array" ref="BX38">OptionGamma($BV38,$B$2,BX$23,$B$3,$BW$22,0)</f>
        <v>2.8696661309163176E-3</v>
      </c>
      <c r="BY38" s="1" cm="1">
        <f t="array" ref="BY38">OptionGamma($BV38,$B$2,BY$23,$B$3,$BW$22,0)</f>
        <v>4.4244401962093699E-3</v>
      </c>
      <c r="BZ38" s="1" cm="1">
        <f t="array" ref="BZ38">OptionGamma($BV38,$B$2,BZ$23,$B$3,$BW$22,0)</f>
        <v>5.2609033868653314E-3</v>
      </c>
      <c r="CA38" s="1" cm="1">
        <f t="array" ref="CA38">OptionGamma($BV38,$B$2,CA$23,$B$3,$BW$22,0)</f>
        <v>5.6874317310270693E-3</v>
      </c>
      <c r="CB38" s="1" cm="1">
        <f t="array" ref="CB38">OptionGamma($BV38,$B$2,CB$23,$B$3,$BW$22,0)</f>
        <v>5.8878427994134399E-3</v>
      </c>
      <c r="CC38" s="1" cm="1">
        <f t="array" ref="CC38">OptionGamma($BV38,$B$2,CC$23,$B$3,$BW$22,0)</f>
        <v>5.9606848610583791E-3</v>
      </c>
      <c r="CD38" s="1" cm="1">
        <f t="array" ref="CD38">OptionGamma($BV38,$B$2,CD$23,$B$3,$BW$22,0)</f>
        <v>5.9597458042224315E-3</v>
      </c>
      <c r="CE38" s="1" cm="1">
        <f t="array" ref="CE38">OptionGamma($BV38,$B$2,CE$23,$B$3,$BW$22,0)</f>
        <v>5.91545955769436E-3</v>
      </c>
      <c r="CF38" s="1" cm="1">
        <f t="array" ref="CF38">OptionGamma($BV38,$B$2,CF$23,$B$3,$BW$22,0)</f>
        <v>5.8456577452828994E-3</v>
      </c>
      <c r="CG38" s="1" cm="1">
        <f t="array" ref="CG38">OptionGamma($BV38,$B$2,CG$23,$B$3,$BW$22,0)</f>
        <v>4.9210815203458436E-3</v>
      </c>
      <c r="CH38" s="1" cm="1">
        <f t="array" ref="CH38">OptionGamma($BV38,$B$2,CH$23,$B$3,$BW$22,0)</f>
        <v>4.2111102732515695E-3</v>
      </c>
      <c r="CI38" s="1" cm="1">
        <f t="array" ref="CI38">OptionGamma($BV38,$B$2,CI$23,$B$3,$BW$22,0)</f>
        <v>3.7022761379487913E-3</v>
      </c>
      <c r="CJ38" s="1" cm="1">
        <f t="array" ref="CJ38">OptionGamma($BV38,$B$2,CJ$23,$B$3,$BW$22,0)</f>
        <v>3.3190921842812561E-3</v>
      </c>
      <c r="CS38" s="145"/>
      <c r="CT38" s="14">
        <v>130</v>
      </c>
      <c r="CU38" s="1" cm="1">
        <f t="array" ref="CU38">OptionVega($CT38,$B$2,CU$23,$B$3,$CU$22,0)</f>
        <v>3.0456280025937246E-3</v>
      </c>
      <c r="CV38" s="1" cm="1">
        <f t="array" ref="CV38">OptionVega($CT38,$B$2,CV$23,$B$3,$CU$22,0)</f>
        <v>2.909841456749146E-2</v>
      </c>
      <c r="CW38" s="1" cm="1">
        <f t="array" ref="CW38">OptionVega($CT38,$B$2,CW$23,$B$3,$CU$22,0)</f>
        <v>6.729573538434451E-2</v>
      </c>
      <c r="CX38" s="1" cm="1">
        <f t="array" ref="CX38">OptionVega($CT38,$B$2,CX$23,$B$3,$CU$22,0)</f>
        <v>0.10669112068562892</v>
      </c>
      <c r="CY38" s="1" cm="1">
        <f t="array" ref="CY38">OptionVega($CT38,$B$2,CY$23,$B$3,$CU$22,0)</f>
        <v>0.1441763943815362</v>
      </c>
      <c r="CZ38" s="1" cm="1">
        <f t="array" ref="CZ38">OptionVega($CT38,$B$2,CZ$23,$B$3,$CU$22,0)</f>
        <v>0.17910817795815687</v>
      </c>
      <c r="DA38" s="1" cm="1">
        <f t="array" ref="DA38">OptionVega($CT38,$B$2,DA$23,$B$3,$CU$22,0)</f>
        <v>0.21154470571896189</v>
      </c>
      <c r="DB38" s="1" cm="1">
        <f t="array" ref="DB38">OptionVega($CT38,$B$2,DB$23,$B$3,$CU$22,0)</f>
        <v>0.24172728981926181</v>
      </c>
      <c r="DC38" s="1" cm="1">
        <f t="array" ref="DC38">OptionVega($CT38,$B$2,DC$23,$B$3,$CU$22,0)</f>
        <v>0.26992241961759361</v>
      </c>
      <c r="DD38" s="1" cm="1">
        <f t="array" ref="DD38">OptionVega($CT38,$B$2,DD$23,$B$3,$CU$22,0)</f>
        <v>0.29637484768584299</v>
      </c>
      <c r="DE38" s="1" cm="1">
        <f t="array" ref="DE38">OptionVega($CT38,$B$2,DE$23,$B$3,$CU$22,0)</f>
        <v>0.49899766616306857</v>
      </c>
      <c r="DF38" s="1" cm="1">
        <f t="array" ref="DF38">OptionVega($CT38,$B$2,DF$23,$B$3,$CU$22,0)</f>
        <v>0.64050987256156355</v>
      </c>
      <c r="DG38" s="1" cm="1">
        <f t="array" ref="DG38">OptionVega($CT38,$B$2,DG$23,$B$3,$CU$22,0)</f>
        <v>0.7508216007760149</v>
      </c>
      <c r="DH38" s="1" cm="1">
        <f t="array" ref="DH38">OptionVega($CT38,$B$2,DH$23,$B$3,$CU$22,0)</f>
        <v>0.84138986871529853</v>
      </c>
      <c r="DQ38" s="130"/>
      <c r="DR38" s="14">
        <v>130</v>
      </c>
      <c r="DS38" s="1" cm="1">
        <f t="array" ref="DS38">OptionRho("C",$DR38,$B$2,DS$23,$B$3,$DS$22,0)</f>
        <v>9.9582415229851867E-2</v>
      </c>
      <c r="DT38" s="1" cm="1">
        <f t="array" ref="DT38">OptionRho("C",$DR38,$B$2,DT$23,$B$3,$DS$22,0)</f>
        <v>0.19391259558754664</v>
      </c>
      <c r="DU38" s="1" cm="1">
        <f t="array" ref="DU38">OptionRho("C",$DR38,$B$2,DU$23,$B$3,$DS$22,0)</f>
        <v>0.28035878249676893</v>
      </c>
      <c r="DV38" s="1" cm="1">
        <f t="array" ref="DV38">OptionRho("C",$DR38,$B$2,DV$23,$B$3,$DS$22,0)</f>
        <v>0.36044808482034152</v>
      </c>
      <c r="DW38" s="1" cm="1">
        <f t="array" ref="DW38">OptionRho("C",$DR38,$B$2,DW$23,$B$3,$DS$22,0)</f>
        <v>0.4357217606881495</v>
      </c>
      <c r="DX38" s="1" cm="1">
        <f t="array" ref="DX38">OptionRho("C",$DR38,$B$2,DX$23,$B$3,$DS$22,0)</f>
        <v>0.50725932380965366</v>
      </c>
      <c r="DY38" s="1" cm="1">
        <f t="array" ref="DY38">OptionRho("C",$DR38,$B$2,DY$23,$B$3,$DS$22,0)</f>
        <v>0.57580182729458596</v>
      </c>
      <c r="DZ38" s="1" cm="1">
        <f t="array" ref="DZ38">OptionRho("C",$DR38,$B$2,DZ$23,$B$3,$DS$22,0)</f>
        <v>0.64187163619302945</v>
      </c>
      <c r="EA38" s="1" cm="1">
        <f t="array" ref="EA38">OptionRho("C",$DR38,$B$2,EA$23,$B$3,$DS$22,0)</f>
        <v>0.70584918287508258</v>
      </c>
      <c r="EB38" s="1" cm="1">
        <f t="array" ref="EB38">OptionRho("C",$DR38,$B$2,EB$23,$B$3,$DS$22,0)</f>
        <v>0.76802012118301122</v>
      </c>
      <c r="EC38" s="1" cm="1">
        <f t="array" ref="EC38">OptionRho("C",$DR38,$B$2,EC$23,$B$3,$DS$22,0)</f>
        <v>1.3230175184925788</v>
      </c>
      <c r="ED38" s="1" cm="1">
        <f t="array" ref="ED38">OptionRho("C",$DR38,$B$2,ED$23,$B$3,$DS$22,0)</f>
        <v>1.80210868841131</v>
      </c>
      <c r="EE38" s="1" cm="1">
        <f t="array" ref="EE38">OptionRho("C",$DR38,$B$2,EE$23,$B$3,$DS$22,0)</f>
        <v>2.2321059443947862</v>
      </c>
      <c r="EF38" s="1" cm="1">
        <f t="array" ref="EF38">OptionRho("C",$DR38,$B$2,EF$23,$B$3,$DS$22,0)</f>
        <v>2.624488261615415</v>
      </c>
      <c r="EP38" s="130"/>
      <c r="EQ38" s="14">
        <v>130</v>
      </c>
      <c r="ER38" s="1" cm="1">
        <f t="array" ref="ER38">OptionRho("C",$DR38,$B$2,ER$23,$D$3,$DS$22,0)</f>
        <v>9.5067115385328332E-2</v>
      </c>
      <c r="ES38" s="1" cm="1">
        <f t="array" ref="ES38">OptionRho("C",$DR38,$B$2,ES$23,$D$3,$DS$22,0)</f>
        <v>0.18020353112636253</v>
      </c>
      <c r="ET38" s="1" cm="1">
        <f t="array" ref="ET38">OptionRho("C",$DR38,$B$2,ET$23,$D$3,$DS$22,0)</f>
        <v>0.25624907063965435</v>
      </c>
      <c r="EU38" s="1" cm="1">
        <f t="array" ref="EU38">OptionRho("C",$DR38,$B$2,EU$23,$D$3,$DS$22,0)</f>
        <v>0.32435157768800543</v>
      </c>
      <c r="EV38" s="1" cm="1">
        <f t="array" ref="EV38">OptionRho("C",$DR38,$B$2,EV$23,$D$3,$DS$22,0)</f>
        <v>0.38532528915291797</v>
      </c>
      <c r="EW38" s="1" cm="1">
        <f t="array" ref="EW38">OptionRho("C",$DR38,$B$2,EW$23,$D$3,$DS$22,0)</f>
        <v>0.43977231181923793</v>
      </c>
      <c r="EX38" s="1" cm="1">
        <f t="array" ref="EX38">OptionRho("C",$DR38,$B$2,EX$23,$D$3,$DS$22,0)</f>
        <v>0.48818711566422313</v>
      </c>
      <c r="EY38" s="1" cm="1">
        <f t="array" ref="EY38">OptionRho("C",$DR38,$B$2,EY$23,$D$3,$DS$22,0)</f>
        <v>0.53100639090796364</v>
      </c>
      <c r="EZ38" s="1" cm="1">
        <f t="array" ref="EZ38">OptionRho("C",$DR38,$B$2,EZ$23,$D$3,$DS$22,0)</f>
        <v>0.56863141136883955</v>
      </c>
      <c r="FA38" s="1" cm="1">
        <f t="array" ref="FA38">OptionRho("C",$DR38,$B$2,FA$23,$D$3,$DS$22,0)</f>
        <v>0.60143800029761085</v>
      </c>
      <c r="FB38" s="1" cm="1">
        <f t="array" ref="FB38">OptionRho("C",$DR38,$B$2,FB$23,$D$3,$DS$22,0)</f>
        <v>0.73365380026749261</v>
      </c>
      <c r="FC38" s="1" cm="1">
        <f t="array" ref="FC38">OptionRho("C",$DR38,$B$2,FC$23,$D$3,$DS$22,0)</f>
        <v>0.6688091137262141</v>
      </c>
      <c r="FD38" s="1" cm="1">
        <f t="array" ref="FD38">OptionRho("C",$DR38,$B$2,FD$23,$D$3,$DS$22,0)</f>
        <v>0.54120057826943302</v>
      </c>
      <c r="FE38" s="1" cm="1">
        <f t="array" ref="FE38">OptionRho("C",$DR38,$B$2,FE$23,$D$3,$DS$22,0)</f>
        <v>0.41039312895482172</v>
      </c>
    </row>
    <row r="39" spans="1:161" x14ac:dyDescent="0.2">
      <c r="A39" s="133"/>
      <c r="B39" s="15">
        <v>135</v>
      </c>
      <c r="C39" s="1" cm="1">
        <f t="array" ref="C39">OptionPrice("C",$B39,$B$2,C$23,$B$3,$C$22,0)</f>
        <v>35.102195315765016</v>
      </c>
      <c r="D39" s="1" cm="1">
        <f t="array" ref="D39">OptionPrice("C",$B39,$B$2,D$23,$B$3,$C$22,0)</f>
        <v>35.265291948469894</v>
      </c>
      <c r="E39" s="1" cm="1">
        <f t="array" ref="E39">OptionPrice("C",$B39,$B$2,E$23,$B$3,$C$22,0)</f>
        <v>35.541946403818145</v>
      </c>
      <c r="F39" s="1" cm="1">
        <f t="array" ref="F39">OptionPrice("C",$B39,$B$2,F$23,$B$3,$C$22,0)</f>
        <v>35.905539485060018</v>
      </c>
      <c r="G39" s="1" cm="1">
        <f t="array" ref="G39">OptionPrice("C",$B39,$B$2,G$23,$B$3,$C$22,0)</f>
        <v>36.323607026580689</v>
      </c>
      <c r="H39" s="1" cm="1">
        <f t="array" ref="H39">OptionPrice("C",$B39,$B$2,H$23,$B$3,$C$22,0)</f>
        <v>36.773949632765962</v>
      </c>
      <c r="I39" s="1" cm="1">
        <f t="array" ref="I39">OptionPrice("C",$B39,$B$2,I$23,$B$3,$C$22,0)</f>
        <v>37.24255287557709</v>
      </c>
      <c r="J39" s="1" cm="1">
        <f t="array" ref="J39">OptionPrice("C",$B39,$B$2,J$23,$B$3,$C$22,0)</f>
        <v>37.720598727937812</v>
      </c>
      <c r="K39" s="1" cm="1">
        <f t="array" ref="K39">OptionPrice("C",$B39,$B$2,K$23,$B$3,$C$22,0)</f>
        <v>38.202469032161034</v>
      </c>
      <c r="L39" s="1" cm="1">
        <f t="array" ref="L39">OptionPrice("C",$B39,$B$2,L$23,$B$3,$C$22,0)</f>
        <v>38.684536434897623</v>
      </c>
      <c r="M39" s="1" cm="1">
        <f t="array" ref="M39">OptionPrice("C",$B39,$B$2,M$23,$B$3,$C$22,0)</f>
        <v>43.25001548351625</v>
      </c>
      <c r="N39" s="1" cm="1">
        <f t="array" ref="N39">OptionPrice("C",$B39,$B$2,N$23,$B$3,$C$22,0)</f>
        <v>47.250731684329665</v>
      </c>
      <c r="O39" s="1" cm="1">
        <f t="array" ref="O39">OptionPrice("C",$B39,$B$2,O$23,$B$3,$C$22,0)</f>
        <v>50.795652336517428</v>
      </c>
      <c r="P39" s="1" cm="1">
        <f t="array" ref="P39">OptionPrice("C",$B39,$B$2,P$23,$B$3,$C$22,0)</f>
        <v>53.991357248470038</v>
      </c>
      <c r="Y39" s="136"/>
      <c r="Z39" s="15">
        <v>135</v>
      </c>
      <c r="AA39" s="1" cm="1">
        <f t="array" ref="AA39">OptionDelta("C",$Z39,$B$2,AA$23,$B$3,$AA$22,0)</f>
        <v>0.99936207053892745</v>
      </c>
      <c r="AB39" s="1" cm="1">
        <f t="array" ref="AB39">OptionDelta("C",$Z39,$B$2,AB$23,$B$3,$AA$22,0)</f>
        <v>0.98979805440371849</v>
      </c>
      <c r="AC39" s="1" cm="1">
        <f t="array" ref="AC39">OptionDelta("C",$Z39,$B$2,AC$23,$B$3,$AA$22,0)</f>
        <v>0.97299735807546195</v>
      </c>
      <c r="AD39" s="1" cm="1">
        <f t="array" ref="AD39">OptionDelta("C",$Z39,$B$2,AD$23,$B$3,$AA$22,0)</f>
        <v>0.95521216048553548</v>
      </c>
      <c r="AE39" s="1" cm="1">
        <f t="array" ref="AE39">OptionDelta("C",$Z39,$B$2,AE$23,$B$3,$AA$22,0)</f>
        <v>0.93874735257652986</v>
      </c>
      <c r="AF39" s="1" cm="1">
        <f t="array" ref="AF39">OptionDelta("C",$Z39,$B$2,AF$23,$B$3,$AA$22,0)</f>
        <v>0.92413592245152854</v>
      </c>
      <c r="AG39" s="1" cm="1">
        <f t="array" ref="AG39">OptionDelta("C",$Z39,$B$2,AG$23,$B$3,$AA$22,0)</f>
        <v>0.91133681457196536</v>
      </c>
      <c r="AH39" s="1" cm="1">
        <f t="array" ref="AH39">OptionDelta("C",$Z39,$B$2,AH$23,$B$3,$AA$22,0)</f>
        <v>0.90014918606468963</v>
      </c>
      <c r="AI39" s="1" cm="1">
        <f t="array" ref="AI39">OptionDelta("C",$Z39,$B$2,AI$23,$B$3,$AA$22,0)</f>
        <v>0.89034882296294016</v>
      </c>
      <c r="AJ39" s="1" cm="1">
        <f t="array" ref="AJ39">OptionDelta("C",$Z39,$B$2,AJ$23,$B$3,$AA$22,0)</f>
        <v>0.88173051157264637</v>
      </c>
      <c r="AK39" s="1" cm="1">
        <f t="array" ref="AK39">OptionDelta("C",$Z39,$B$2,AK$23,$B$3,$AA$22,0)</f>
        <v>0.83313443249219921</v>
      </c>
      <c r="AL39" s="1" cm="1">
        <f t="array" ref="AL39">OptionDelta("C",$Z39,$B$2,AL$23,$B$3,$AA$22,0)</f>
        <v>0.81463163438593589</v>
      </c>
      <c r="AM39" s="1" cm="1">
        <f t="array" ref="AM39">OptionDelta("C",$Z39,$B$2,AM$23,$B$3,$AA$22,0)</f>
        <v>0.80698542949219532</v>
      </c>
      <c r="AN39" s="1" cm="1">
        <f t="array" ref="AN39">OptionDelta("C",$Z39,$B$2,AN$23,$B$3,$AA$22,0)</f>
        <v>0.80436467483037943</v>
      </c>
      <c r="AW39" s="139"/>
      <c r="AX39" s="15">
        <v>135</v>
      </c>
      <c r="AY39" s="1" cm="1">
        <f t="array" ref="AY39">OptionTheta("C",$AX39,$B$2,AY$23,$B$3,$AY$22,0)</f>
        <v>2.3440162297894453E-3</v>
      </c>
      <c r="AZ39" s="1" cm="1">
        <f t="array" ref="AZ39">OptionTheta("C",$AX39,$B$2,AZ$23,$B$3,$AY$22,0)</f>
        <v>-6.6981552281736138E-4</v>
      </c>
      <c r="BA39" s="1" cm="1">
        <f t="array" ref="BA39">OptionTheta("C",$AX39,$B$2,BA$23,$B$3,$AY$22,0)</f>
        <v>-3.6891415492476595E-3</v>
      </c>
      <c r="BB39" s="1" cm="1">
        <f t="array" ref="BB39">OptionTheta("C",$AX39,$B$2,BB$23,$B$3,$AY$22,0)</f>
        <v>-5.7339282761189481E-3</v>
      </c>
      <c r="BC39" s="1" cm="1">
        <f t="array" ref="BC39">OptionTheta("C",$AX39,$B$2,BC$23,$B$3,$AY$22,0)</f>
        <v>-7.0217443309908102E-3</v>
      </c>
      <c r="BD39" s="1" cm="1">
        <f t="array" ref="BD39">OptionTheta("C",$AX39,$B$2,BD$23,$B$3,$AY$22,0)</f>
        <v>-7.8170885546039216E-3</v>
      </c>
      <c r="BE39" s="1" cm="1">
        <f t="array" ref="BE39">OptionTheta("C",$AX39,$B$2,BE$23,$B$3,$AY$22,0)</f>
        <v>-8.2986532041895694E-3</v>
      </c>
      <c r="BF39" s="1" cm="1">
        <f t="array" ref="BF39">OptionTheta("C",$AX39,$B$2,BF$23,$B$3,$AY$22,0)</f>
        <v>-8.5780544028748063E-3</v>
      </c>
      <c r="BG39" s="1" cm="1">
        <f t="array" ref="BG39">OptionTheta("C",$AX39,$B$2,BG$23,$B$3,$AY$22,0)</f>
        <v>-8.7249424102550689E-3</v>
      </c>
      <c r="BH39" s="1" cm="1">
        <f t="array" ref="BH39">OptionTheta("C",$AX39,$B$2,BH$23,$B$3,$AY$22,0)</f>
        <v>-8.7835670737753113E-3</v>
      </c>
      <c r="BI39" s="1" cm="1">
        <f t="array" ref="BI39">OptionTheta("C",$AX39,$B$2,BI$23,$B$3,$AY$22,0)</f>
        <v>-7.9126479671477439E-3</v>
      </c>
      <c r="BJ39" s="1" cm="1">
        <f t="array" ref="BJ39">OptionTheta("C",$AX39,$B$2,BJ$23,$B$3,$AY$22,0)</f>
        <v>-6.8421275437640693E-3</v>
      </c>
      <c r="BK39" s="1" cm="1">
        <f t="array" ref="BK39">OptionTheta("C",$AX39,$B$2,BK$23,$B$3,$AY$22,0)</f>
        <v>-6.007469127612167E-3</v>
      </c>
      <c r="BL39" s="1" cm="1">
        <f t="array" ref="BL39">OptionTheta("C",$AX39,$B$2,BL$23,$B$3,$AY$22,0)</f>
        <v>-5.3583600072541846E-3</v>
      </c>
      <c r="BU39" s="142"/>
      <c r="BV39" s="15">
        <v>135</v>
      </c>
      <c r="BW39" s="1" cm="1">
        <f t="array" ref="BW39">OptionGamma($BV39,$B$2,BW$23,$B$3,$BW$22,0)</f>
        <v>1.7381608681207663E-4</v>
      </c>
      <c r="BX39" s="1" cm="1">
        <f t="array" ref="BX39">OptionGamma($BV39,$B$2,BX$23,$B$3,$BW$22,0)</f>
        <v>1.4974023713320017E-3</v>
      </c>
      <c r="BY39" s="1" cm="1">
        <f t="array" ref="BY39">OptionGamma($BV39,$B$2,BY$23,$B$3,$BW$22,0)</f>
        <v>2.8101370337925168E-3</v>
      </c>
      <c r="BZ39" s="1" cm="1">
        <f t="array" ref="BZ39">OptionGamma($BV39,$B$2,BZ$23,$B$3,$BW$22,0)</f>
        <v>3.6864683342030654E-3</v>
      </c>
      <c r="CA39" s="1" cm="1">
        <f t="array" ref="CA39">OptionGamma($BV39,$B$2,CA$23,$B$3,$BW$22,0)</f>
        <v>4.2274159872265253E-3</v>
      </c>
      <c r="CB39" s="1" cm="1">
        <f t="array" ref="CB39">OptionGamma($BV39,$B$2,CB$23,$B$3,$BW$22,0)</f>
        <v>4.5518443181372789E-3</v>
      </c>
      <c r="CC39" s="1" cm="1">
        <f t="array" ref="CC39">OptionGamma($BV39,$B$2,CC$23,$B$3,$BW$22,0)</f>
        <v>4.7393843504899566E-3</v>
      </c>
      <c r="CD39" s="1" cm="1">
        <f t="array" ref="CD39">OptionGamma($BV39,$B$2,CD$23,$B$3,$BW$22,0)</f>
        <v>4.8394882133299885E-3</v>
      </c>
      <c r="CE39" s="1" cm="1">
        <f t="array" ref="CE39">OptionGamma($BV39,$B$2,CE$23,$B$3,$BW$22,0)</f>
        <v>4.8828534679731259E-3</v>
      </c>
      <c r="CF39" s="1" cm="1">
        <f t="array" ref="CF39">OptionGamma($BV39,$B$2,CF$23,$B$3,$BW$22,0)</f>
        <v>4.8888801197403868E-3</v>
      </c>
      <c r="CG39" s="1" cm="1">
        <f t="array" ref="CG39">OptionGamma($BV39,$B$2,CG$23,$B$3,$BW$22,0)</f>
        <v>4.3656123603575472E-3</v>
      </c>
      <c r="CH39" s="1" cm="1">
        <f t="array" ref="CH39">OptionGamma($BV39,$B$2,CH$23,$B$3,$BW$22,0)</f>
        <v>3.8099337821083405E-3</v>
      </c>
      <c r="CI39" s="1" cm="1">
        <f t="array" ref="CI39">OptionGamma($BV39,$B$2,CI$23,$B$3,$BW$22,0)</f>
        <v>3.3826551294348179E-3</v>
      </c>
      <c r="CJ39" s="1" cm="1">
        <f t="array" ref="CJ39">OptionGamma($BV39,$B$2,CJ$23,$B$3,$BW$22,0)</f>
        <v>3.0504863785204566E-3</v>
      </c>
      <c r="CS39" s="145"/>
      <c r="CT39" s="15">
        <v>135</v>
      </c>
      <c r="CU39" s="1" cm="1">
        <f t="array" ref="CU39">OptionVega($CT39,$B$2,CU$23,$B$3,$CU$22,0)</f>
        <v>9.503394546450289E-4</v>
      </c>
      <c r="CV39" s="1" cm="1">
        <f t="array" ref="CV39">OptionVega($CT39,$B$2,CV$23,$B$3,$CU$22,0)</f>
        <v>1.6374094930515438E-2</v>
      </c>
      <c r="CW39" s="1" cm="1">
        <f t="array" ref="CW39">OptionVega($CT39,$B$2,CW$23,$B$3,$CU$22,0)</f>
        <v>4.6093272696781748E-2</v>
      </c>
      <c r="CX39" s="1" cm="1">
        <f t="array" ref="CX39">OptionVega($CT39,$B$2,CX$23,$B$3,$CU$22,0)</f>
        <v>8.062306246902104E-2</v>
      </c>
      <c r="CY39" s="1" cm="1">
        <f t="array" ref="CY39">OptionVega($CT39,$B$2,CY$23,$B$3,$CU$22,0)</f>
        <v>0.11556698455080515</v>
      </c>
      <c r="CZ39" s="1" cm="1">
        <f t="array" ref="CZ39">OptionVega($CT39,$B$2,CZ$23,$B$3,$CU$22,0)</f>
        <v>0.14932325285649345</v>
      </c>
      <c r="DA39" s="1" cm="1">
        <f t="array" ref="DA39">OptionVega($CT39,$B$2,DA$23,$B$3,$CU$22,0)</f>
        <v>0.18138808755412689</v>
      </c>
      <c r="DB39" s="1" cm="1">
        <f t="array" ref="DB39">OptionVega($CT39,$B$2,DB$23,$B$3,$CU$22,0)</f>
        <v>0.2116792144510537</v>
      </c>
      <c r="DC39" s="1" cm="1">
        <f t="array" ref="DC39">OptionVega($CT39,$B$2,DC$23,$B$3,$CU$22,0)</f>
        <v>0.24027301202528756</v>
      </c>
      <c r="DD39" s="1" cm="1">
        <f t="array" ref="DD39">OptionVega($CT39,$B$2,DD$23,$B$3,$CU$22,0)</f>
        <v>0.26729952054680567</v>
      </c>
      <c r="DE39" s="1" cm="1">
        <f t="array" ref="DE39">OptionVega($CT39,$B$2,DE$23,$B$3,$CU$22,0)</f>
        <v>0.47737971160509779</v>
      </c>
      <c r="DF39" s="1" cm="1">
        <f t="array" ref="DF39">OptionVega($CT39,$B$2,DF$23,$B$3,$CU$22,0)</f>
        <v>0.62492438861032051</v>
      </c>
      <c r="DG39" s="1" cm="1">
        <f t="array" ref="DG39">OptionVega($CT39,$B$2,DG$23,$B$3,$CU$22,0)</f>
        <v>0.73978667680739474</v>
      </c>
      <c r="DH39" s="1" cm="1">
        <f t="array" ref="DH39">OptionVega($CT39,$B$2,DH$23,$B$3,$CU$22,0)</f>
        <v>0.83392671372802984</v>
      </c>
      <c r="DQ39" s="130"/>
      <c r="DR39" s="15">
        <v>135</v>
      </c>
      <c r="DS39" s="1" cm="1">
        <f t="array" ref="DS39">OptionRho("C",$DR39,$B$2,DS$23,$B$3,$DS$22,0)</f>
        <v>9.98116842069902E-2</v>
      </c>
      <c r="DT39" s="1" cm="1">
        <f t="array" ref="DT39">OptionRho("C",$DR39,$B$2,DT$23,$B$3,$DS$22,0)</f>
        <v>0.1967148907920642</v>
      </c>
      <c r="DU39" s="1" cm="1">
        <f t="array" ref="DU39">OptionRho("C",$DR39,$B$2,DU$23,$B$3,$DS$22,0)</f>
        <v>0.28743809080910765</v>
      </c>
      <c r="DV39" s="1" cm="1">
        <f t="array" ref="DV39">OptionRho("C",$DR39,$B$2,DV$23,$B$3,$DS$22,0)</f>
        <v>0.37219240872194909</v>
      </c>
      <c r="DW39" s="1" cm="1">
        <f t="array" ref="DW39">OptionRho("C",$DR39,$B$2,DW$23,$B$3,$DS$22,0)</f>
        <v>0.45203642785625414</v>
      </c>
      <c r="DX39" s="1" cm="1">
        <f t="array" ref="DX39">OptionRho("C",$DR39,$B$2,DX$23,$B$3,$DS$22,0)</f>
        <v>0.5279063993891423</v>
      </c>
      <c r="DY39" s="1" cm="1">
        <f t="array" ref="DY39">OptionRho("C",$DR39,$B$2,DY$23,$B$3,$DS$22,0)</f>
        <v>0.6005154196414676</v>
      </c>
      <c r="DZ39" s="1" cm="1">
        <f t="array" ref="DZ39">OptionRho("C",$DR39,$B$2,DZ$23,$B$3,$DS$22,0)</f>
        <v>0.67039633112636232</v>
      </c>
      <c r="EA39" s="1" cm="1">
        <f t="array" ref="EA39">OptionRho("C",$DR39,$B$2,EA$23,$B$3,$DS$22,0)</f>
        <v>0.73795159861052295</v>
      </c>
      <c r="EB39" s="1" cm="1">
        <f t="array" ref="EB39">OptionRho("C",$DR39,$B$2,EB$23,$B$3,$DS$22,0)</f>
        <v>0.80349082627409651</v>
      </c>
      <c r="EC39" s="1" cm="1">
        <f t="array" ref="EC39">OptionRho("C",$DR39,$B$2,EC$23,$B$3,$DS$22,0)</f>
        <v>1.3844626580586128</v>
      </c>
      <c r="ED39" s="1" cm="1">
        <f t="array" ref="ED39">OptionRho("C",$DR39,$B$2,ED$23,$B$3,$DS$22,0)</f>
        <v>1.8817361687331504</v>
      </c>
      <c r="EE39" s="1" cm="1">
        <f t="array" ref="EE39">OptionRho("C",$DR39,$B$2,EE$23,$B$3,$DS$22,0)</f>
        <v>2.3258952257971575</v>
      </c>
      <c r="EF39" s="1" cm="1">
        <f t="array" ref="EF39">OptionRho("C",$DR39,$B$2,EF$23,$B$3,$DS$22,0)</f>
        <v>2.7298936926815593</v>
      </c>
      <c r="EP39" s="130"/>
      <c r="EQ39" s="15">
        <v>135</v>
      </c>
      <c r="ER39" s="1" cm="1">
        <f t="array" ref="ER39">OptionRho("C",$DR39,$B$2,ER$23,$D$3,$DS$22,0)</f>
        <v>9.5110125255167585E-2</v>
      </c>
      <c r="ES39" s="1" cm="1">
        <f t="array" ref="ES39">OptionRho("C",$DR39,$B$2,ES$23,$D$3,$DS$22,0)</f>
        <v>0.18064576859599021</v>
      </c>
      <c r="ET39" s="1" cm="1">
        <f t="array" ref="ET39">OptionRho("C",$DR39,$B$2,ET$23,$D$3,$DS$22,0)</f>
        <v>0.25719480138561768</v>
      </c>
      <c r="EU39" s="1" cm="1">
        <f t="array" ref="EU39">OptionRho("C",$DR39,$B$2,EU$23,$D$3,$DS$22,0)</f>
        <v>0.32568187442136648</v>
      </c>
      <c r="EV39" s="1" cm="1">
        <f t="array" ref="EV39">OptionRho("C",$DR39,$B$2,EV$23,$D$3,$DS$22,0)</f>
        <v>0.38689322925392516</v>
      </c>
      <c r="EW39" s="1" cm="1">
        <f t="array" ref="EW39">OptionRho("C",$DR39,$B$2,EW$23,$D$3,$DS$22,0)</f>
        <v>0.44145647735840682</v>
      </c>
      <c r="EX39" s="1" cm="1">
        <f t="array" ref="EX39">OptionRho("C",$DR39,$B$2,EX$23,$D$3,$DS$22,0)</f>
        <v>0.48989839046285349</v>
      </c>
      <c r="EY39" s="1" cm="1">
        <f t="array" ref="EY39">OptionRho("C",$DR39,$B$2,EY$23,$D$3,$DS$22,0)</f>
        <v>0.53268331844113181</v>
      </c>
      <c r="EZ39" s="1" cm="1">
        <f t="array" ref="EZ39">OptionRho("C",$DR39,$B$2,EZ$23,$D$3,$DS$22,0)</f>
        <v>0.57023382623804897</v>
      </c>
      <c r="FA39" s="1" cm="1">
        <f t="array" ref="FA39">OptionRho("C",$DR39,$B$2,FA$23,$D$3,$DS$22,0)</f>
        <v>0.60294140272622632</v>
      </c>
      <c r="FB39" s="1" cm="1">
        <f t="array" ref="FB39">OptionRho("C",$DR39,$B$2,FB$23,$D$3,$DS$22,0)</f>
        <v>0.73416185218632857</v>
      </c>
      <c r="FC39" s="1" cm="1">
        <f t="array" ref="FC39">OptionRho("C",$DR39,$B$2,FC$23,$D$3,$DS$22,0)</f>
        <v>0.66893763943297035</v>
      </c>
      <c r="FD39" s="1" cm="1">
        <f t="array" ref="FD39">OptionRho("C",$DR39,$B$2,FD$23,$D$3,$DS$22,0)</f>
        <v>0.54123013521952723</v>
      </c>
      <c r="FE39" s="1" cm="1">
        <f t="array" ref="FE39">OptionRho("C",$DR39,$B$2,FE$23,$D$3,$DS$22,0)</f>
        <v>0.41039961496998306</v>
      </c>
    </row>
    <row r="40" spans="1:161" x14ac:dyDescent="0.2">
      <c r="A40" s="133"/>
      <c r="B40" s="6" t="s">
        <v>2</v>
      </c>
      <c r="C40" s="9">
        <v>0.1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8"/>
      <c r="Y40" s="136"/>
      <c r="Z40" s="18" t="s">
        <v>2</v>
      </c>
      <c r="AA40" s="21">
        <v>0.1</v>
      </c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20"/>
      <c r="AW40" s="139"/>
      <c r="AX40" s="22" t="s">
        <v>2</v>
      </c>
      <c r="AY40" s="25">
        <v>0.1</v>
      </c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4"/>
      <c r="BU40" s="142"/>
      <c r="BV40" s="26" t="s">
        <v>2</v>
      </c>
      <c r="BW40" s="29">
        <v>0.1</v>
      </c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8"/>
      <c r="CS40" s="145"/>
      <c r="CT40" s="30" t="s">
        <v>2</v>
      </c>
      <c r="CU40" s="33">
        <v>0.1</v>
      </c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2"/>
      <c r="DQ40" s="130"/>
      <c r="DR40" s="34" t="s">
        <v>2</v>
      </c>
      <c r="DS40" s="37">
        <v>0.1</v>
      </c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6"/>
      <c r="EP40" s="130"/>
      <c r="EQ40" s="34" t="s">
        <v>2</v>
      </c>
      <c r="ER40" s="37">
        <v>0.1</v>
      </c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6"/>
    </row>
    <row r="41" spans="1:161" x14ac:dyDescent="0.2">
      <c r="A41" s="133"/>
      <c r="B41" s="5"/>
      <c r="C41" s="10">
        <v>0.1</v>
      </c>
      <c r="D41" s="11">
        <v>0.2</v>
      </c>
      <c r="E41" s="11">
        <v>0.3</v>
      </c>
      <c r="F41" s="11">
        <v>0.4</v>
      </c>
      <c r="G41" s="11">
        <v>0.5</v>
      </c>
      <c r="H41" s="11">
        <v>0.6</v>
      </c>
      <c r="I41" s="11">
        <v>0.7</v>
      </c>
      <c r="J41" s="11">
        <v>0.8</v>
      </c>
      <c r="K41" s="11">
        <v>0.9</v>
      </c>
      <c r="L41" s="11">
        <v>1</v>
      </c>
      <c r="M41" s="11">
        <v>2</v>
      </c>
      <c r="N41" s="11">
        <v>3</v>
      </c>
      <c r="O41" s="11">
        <v>4</v>
      </c>
      <c r="P41" s="12">
        <v>5</v>
      </c>
      <c r="Y41" s="136"/>
      <c r="Z41" s="5"/>
      <c r="AA41" s="10">
        <v>0.1</v>
      </c>
      <c r="AB41" s="11">
        <v>0.2</v>
      </c>
      <c r="AC41" s="11">
        <v>0.3</v>
      </c>
      <c r="AD41" s="11">
        <v>0.4</v>
      </c>
      <c r="AE41" s="11">
        <v>0.5</v>
      </c>
      <c r="AF41" s="11">
        <v>0.6</v>
      </c>
      <c r="AG41" s="11">
        <v>0.7</v>
      </c>
      <c r="AH41" s="11">
        <v>0.8</v>
      </c>
      <c r="AI41" s="11">
        <v>0.9</v>
      </c>
      <c r="AJ41" s="11">
        <v>1</v>
      </c>
      <c r="AK41" s="11">
        <v>2</v>
      </c>
      <c r="AL41" s="11">
        <v>3</v>
      </c>
      <c r="AM41" s="11">
        <v>4</v>
      </c>
      <c r="AN41" s="12">
        <v>5</v>
      </c>
      <c r="AW41" s="139"/>
      <c r="AX41" s="5"/>
      <c r="AY41" s="10">
        <v>0.1</v>
      </c>
      <c r="AZ41" s="11">
        <v>0.2</v>
      </c>
      <c r="BA41" s="11">
        <v>0.3</v>
      </c>
      <c r="BB41" s="11">
        <v>0.4</v>
      </c>
      <c r="BC41" s="11">
        <v>0.5</v>
      </c>
      <c r="BD41" s="11">
        <v>0.6</v>
      </c>
      <c r="BE41" s="11">
        <v>0.7</v>
      </c>
      <c r="BF41" s="11">
        <v>0.8</v>
      </c>
      <c r="BG41" s="11">
        <v>0.9</v>
      </c>
      <c r="BH41" s="11">
        <v>1</v>
      </c>
      <c r="BI41" s="11">
        <v>2</v>
      </c>
      <c r="BJ41" s="11">
        <v>3</v>
      </c>
      <c r="BK41" s="11">
        <v>4</v>
      </c>
      <c r="BL41" s="12">
        <v>5</v>
      </c>
      <c r="BU41" s="142"/>
      <c r="BV41" s="5"/>
      <c r="BW41" s="10">
        <v>0.1</v>
      </c>
      <c r="BX41" s="11">
        <v>0.2</v>
      </c>
      <c r="BY41" s="11">
        <v>0.3</v>
      </c>
      <c r="BZ41" s="11">
        <v>0.4</v>
      </c>
      <c r="CA41" s="11">
        <v>0.5</v>
      </c>
      <c r="CB41" s="11">
        <v>0.6</v>
      </c>
      <c r="CC41" s="11">
        <v>0.7</v>
      </c>
      <c r="CD41" s="11">
        <v>0.8</v>
      </c>
      <c r="CE41" s="11">
        <v>0.9</v>
      </c>
      <c r="CF41" s="11">
        <v>1</v>
      </c>
      <c r="CG41" s="11">
        <v>2</v>
      </c>
      <c r="CH41" s="11">
        <v>3</v>
      </c>
      <c r="CI41" s="11">
        <v>4</v>
      </c>
      <c r="CJ41" s="12">
        <v>5</v>
      </c>
      <c r="CS41" s="145"/>
      <c r="CT41" s="5"/>
      <c r="CU41" s="10">
        <v>0.1</v>
      </c>
      <c r="CV41" s="11">
        <v>0.2</v>
      </c>
      <c r="CW41" s="11">
        <v>0.3</v>
      </c>
      <c r="CX41" s="11">
        <v>0.4</v>
      </c>
      <c r="CY41" s="11">
        <v>0.5</v>
      </c>
      <c r="CZ41" s="11">
        <v>0.6</v>
      </c>
      <c r="DA41" s="11">
        <v>0.7</v>
      </c>
      <c r="DB41" s="11">
        <v>0.8</v>
      </c>
      <c r="DC41" s="11">
        <v>0.9</v>
      </c>
      <c r="DD41" s="11">
        <v>1</v>
      </c>
      <c r="DE41" s="11">
        <v>2</v>
      </c>
      <c r="DF41" s="11">
        <v>3</v>
      </c>
      <c r="DG41" s="11">
        <v>4</v>
      </c>
      <c r="DH41" s="12">
        <v>5</v>
      </c>
      <c r="DQ41" s="130"/>
      <c r="DR41" s="5"/>
      <c r="DS41" s="10">
        <v>0.1</v>
      </c>
      <c r="DT41" s="11">
        <v>0.2</v>
      </c>
      <c r="DU41" s="11">
        <v>0.3</v>
      </c>
      <c r="DV41" s="11">
        <v>0.4</v>
      </c>
      <c r="DW41" s="11">
        <v>0.5</v>
      </c>
      <c r="DX41" s="11">
        <v>0.6</v>
      </c>
      <c r="DY41" s="11">
        <v>0.7</v>
      </c>
      <c r="DZ41" s="11">
        <v>0.8</v>
      </c>
      <c r="EA41" s="11">
        <v>0.9</v>
      </c>
      <c r="EB41" s="11">
        <v>1</v>
      </c>
      <c r="EC41" s="11">
        <v>2</v>
      </c>
      <c r="ED41" s="11">
        <v>3</v>
      </c>
      <c r="EE41" s="11">
        <v>4</v>
      </c>
      <c r="EF41" s="12">
        <v>5</v>
      </c>
      <c r="EP41" s="130"/>
      <c r="EQ41" s="5"/>
      <c r="ER41" s="10">
        <v>0.1</v>
      </c>
      <c r="ES41" s="11">
        <v>0.2</v>
      </c>
      <c r="ET41" s="11">
        <v>0.3</v>
      </c>
      <c r="EU41" s="11">
        <v>0.4</v>
      </c>
      <c r="EV41" s="11">
        <v>0.5</v>
      </c>
      <c r="EW41" s="11">
        <v>0.6</v>
      </c>
      <c r="EX41" s="11">
        <v>0.7</v>
      </c>
      <c r="EY41" s="11">
        <v>0.8</v>
      </c>
      <c r="EZ41" s="11">
        <v>0.9</v>
      </c>
      <c r="FA41" s="11">
        <v>1</v>
      </c>
      <c r="FB41" s="11">
        <v>2</v>
      </c>
      <c r="FC41" s="11">
        <v>3</v>
      </c>
      <c r="FD41" s="11">
        <v>4</v>
      </c>
      <c r="FE41" s="12">
        <v>5</v>
      </c>
    </row>
    <row r="42" spans="1:161" x14ac:dyDescent="0.2">
      <c r="A42" s="133"/>
      <c r="B42" s="13">
        <v>60</v>
      </c>
      <c r="C42" s="1" cm="1">
        <f t="array" ref="C42">OptionPrice("C",$B42,$B$2,C$41,$B$3,$C$40,0)</f>
        <v>1.3444456590962219E-59</v>
      </c>
      <c r="D42" s="1" cm="1">
        <f t="array" ref="D42">OptionPrice("C",$B42,$B$2,D$41,$B$3,$C$40,0)</f>
        <v>8.0901024177661744E-31</v>
      </c>
      <c r="E42" s="1" cm="1">
        <f t="array" ref="E42">OptionPrice("C",$B42,$B$2,E$41,$B$3,$C$40,0)</f>
        <v>4.0961118536044201E-21</v>
      </c>
      <c r="F42" s="1" cm="1">
        <f t="array" ref="F42">OptionPrice("C",$B42,$B$2,F$41,$B$3,$C$40,0)</f>
        <v>3.2977960165986952E-16</v>
      </c>
      <c r="G42" s="1" cm="1">
        <f t="array" ref="G42">OptionPrice("C",$B42,$B$2,G$41,$B$3,$C$40,0)</f>
        <v>3.1141641285845824E-13</v>
      </c>
      <c r="H42" s="1" cm="1">
        <f t="array" ref="H42">OptionPrice("C",$B42,$B$2,H$41,$B$3,$C$40,0)</f>
        <v>3.1445180517350564E-11</v>
      </c>
      <c r="I42" s="1" cm="1">
        <f t="array" ref="I42">OptionPrice("C",$B42,$B$2,I$41,$B$3,$C$40,0)</f>
        <v>8.7868848537246802E-10</v>
      </c>
      <c r="J42" s="1" cm="1">
        <f t="array" ref="J42">OptionPrice("C",$B42,$B$2,J$41,$B$3,$C$40,0)</f>
        <v>1.0951353569529932E-8</v>
      </c>
      <c r="K42" s="1" cm="1">
        <f t="array" ref="K42">OptionPrice("C",$B42,$B$2,K$41,$B$3,$C$40,0)</f>
        <v>7.9441820838737225E-8</v>
      </c>
      <c r="L42" s="1" cm="1">
        <f t="array" ref="L42">OptionPrice("C",$B42,$B$2,L$41,$B$3,$C$40,0)</f>
        <v>3.9373016997327622E-7</v>
      </c>
      <c r="M42" s="1" cm="1">
        <f t="array" ref="M42">OptionPrice("C",$B42,$B$2,M$41,$B$3,$C$40,0)</f>
        <v>7.1090615327521964E-4</v>
      </c>
      <c r="N42" s="1" cm="1">
        <f t="array" ref="N42">OptionPrice("C",$B42,$B$2,N$41,$B$3,$C$40,0)</f>
        <v>1.0863823592524302E-2</v>
      </c>
      <c r="O42" s="1" cm="1">
        <f t="array" ref="O42">OptionPrice("C",$B42,$B$2,O$41,$B$3,$C$40,0)</f>
        <v>4.7197883455536993E-2</v>
      </c>
      <c r="P42" s="1" cm="1">
        <f t="array" ref="P42">OptionPrice("C",$B42,$B$2,P$41,$B$3,$C$40,0)</f>
        <v>0.12105890918477868</v>
      </c>
      <c r="Y42" s="136"/>
      <c r="Z42" s="13">
        <v>60</v>
      </c>
      <c r="AA42" s="1" cm="1">
        <f t="array" ref="AA42">OptionDelta("C",$Z42,$B$2,AA$41,$B$3,$AA$40,0)</f>
        <v>1.152199866581175E-58</v>
      </c>
      <c r="AB42" s="1" cm="1">
        <f t="array" ref="AB42">OptionDelta("C",$Z42,$B$2,AB$41,$B$3,$AA$40,0)</f>
        <v>3.4889502026674058E-30</v>
      </c>
      <c r="AC42" s="1" cm="1">
        <f t="array" ref="AC42">OptionDelta("C",$Z42,$B$2,AC$41,$B$3,$AA$40,0)</f>
        <v>1.1850476086013734E-20</v>
      </c>
      <c r="AD42" s="1" cm="1">
        <f t="array" ref="AD42">OptionDelta("C",$Z42,$B$2,AD$41,$B$3,$AA$40,0)</f>
        <v>7.1994037560856956E-16</v>
      </c>
      <c r="AE42" s="1" cm="1">
        <f t="array" ref="AE42">OptionDelta("C",$Z42,$B$2,AE$41,$B$3,$AA$40,0)</f>
        <v>5.4712789718468615E-13</v>
      </c>
      <c r="AF42" s="1" cm="1">
        <f t="array" ref="AF42">OptionDelta("C",$Z42,$B$2,AF$41,$B$3,$AA$40,0)</f>
        <v>4.6306900470662182E-11</v>
      </c>
      <c r="AG42" s="1" cm="1">
        <f t="array" ref="AG42">OptionDelta("C",$Z42,$B$2,AG$41,$B$3,$AA$40,0)</f>
        <v>1.1154484392717851E-9</v>
      </c>
      <c r="AH42" s="1" cm="1">
        <f t="array" ref="AH42">OptionDelta("C",$Z42,$B$2,AH$41,$B$3,$AA$40,0)</f>
        <v>1.2232280237899387E-8</v>
      </c>
      <c r="AI42" s="1" cm="1">
        <f t="array" ref="AI42">OptionDelta("C",$Z42,$B$2,AI$41,$B$3,$AA$40,0)</f>
        <v>7.9305503738124766E-8</v>
      </c>
      <c r="AJ42" s="1" cm="1">
        <f t="array" ref="AJ42">OptionDelta("C",$Z42,$B$2,AJ$41,$B$3,$AA$40,0)</f>
        <v>3.5564355541459722E-7</v>
      </c>
      <c r="AK42" s="1" cm="1">
        <f t="array" ref="AK42">OptionDelta("C",$Z42,$B$2,AK$41,$B$3,$AA$40,0)</f>
        <v>3.3699015309893697E-4</v>
      </c>
      <c r="AL42" s="1" cm="1">
        <f t="array" ref="AL42">OptionDelta("C",$Z42,$B$2,AL$41,$B$3,$AA$40,0)</f>
        <v>3.5785417129918693E-3</v>
      </c>
      <c r="AM42" s="1" cm="1">
        <f t="array" ref="AM42">OptionDelta("C",$Z42,$B$2,AM$41,$B$3,$AA$40,0)</f>
        <v>1.2094054588474413E-2</v>
      </c>
      <c r="AN42" s="1" cm="1">
        <f t="array" ref="AN42">OptionDelta("C",$Z42,$B$2,AN$41,$B$3,$AA$40,0)</f>
        <v>2.564344677496205E-2</v>
      </c>
      <c r="AW42" s="139"/>
      <c r="AX42" s="13">
        <v>60</v>
      </c>
      <c r="AY42" s="1" cm="1">
        <f t="array" ref="AY42">OptionTheta("C",$AX42,$B$2,AY$41,$B$3,$AY$40,0)</f>
        <v>-4.8229322480073432E-59</v>
      </c>
      <c r="AZ42" s="1" cm="1">
        <f t="array" ref="AZ42">OptionTheta("C",$AX42,$B$2,AZ$41,$B$3,$AY$40,0)</f>
        <v>-7.2797748550212078E-31</v>
      </c>
      <c r="BA42" s="1" cm="1">
        <f t="array" ref="BA42">OptionTheta("C",$AX42,$B$2,BA$41,$B$3,$AY$40,0)</f>
        <v>-1.6433332448894664E-21</v>
      </c>
      <c r="BB42" s="1" cm="1">
        <f t="array" ref="BB42">OptionTheta("C",$AX42,$B$2,BB$41,$B$3,$AY$40,0)</f>
        <v>-7.4643867791599165E-17</v>
      </c>
      <c r="BC42" s="1" cm="1">
        <f t="array" ref="BC42">OptionTheta("C",$AX42,$B$2,BC$41,$B$3,$AY$40,0)</f>
        <v>-4.5238891558426521E-14</v>
      </c>
      <c r="BD42" s="1" cm="1">
        <f t="array" ref="BD42">OptionTheta("C",$AX42,$B$2,BD$41,$B$3,$AY$40,0)</f>
        <v>-3.1806249692828647E-12</v>
      </c>
      <c r="BE42" s="1" cm="1">
        <f t="array" ref="BE42">OptionTheta("C",$AX42,$B$2,BE$41,$B$3,$AY$40,0)</f>
        <v>-6.5461223070391869E-11</v>
      </c>
      <c r="BF42" s="1" cm="1">
        <f t="array" ref="BF42">OptionTheta("C",$AX42,$B$2,BF$41,$B$3,$AY$40,0)</f>
        <v>-6.2611602466551874E-10</v>
      </c>
      <c r="BG42" s="1" cm="1">
        <f t="array" ref="BG42">OptionTheta("C",$AX42,$B$2,BG$41,$B$3,$AY$40,0)</f>
        <v>-3.5966096256031937E-9</v>
      </c>
      <c r="BH42" s="1" cm="1">
        <f t="array" ref="BH42">OptionTheta("C",$AX42,$B$2,BH$41,$B$3,$AY$40,0)</f>
        <v>-1.446882179480382E-8</v>
      </c>
      <c r="BI42" s="1" cm="1">
        <f t="array" ref="BI42">OptionTheta("C",$AX42,$B$2,BI$41,$B$3,$AY$40,0)</f>
        <v>-6.6281800168779741E-6</v>
      </c>
      <c r="BJ42" s="1" cm="1">
        <f t="array" ref="BJ42">OptionTheta("C",$AX42,$B$2,BJ$41,$B$3,$AY$40,0)</f>
        <v>-4.529268118048049E-5</v>
      </c>
      <c r="BK42" s="1" cm="1">
        <f t="array" ref="BK42">OptionTheta("C",$AX42,$B$2,BK$41,$B$3,$AY$40,0)</f>
        <v>-1.1064235534244021E-4</v>
      </c>
      <c r="BL42" s="1" cm="1">
        <f t="array" ref="BL42">OptionTheta("C",$AX42,$B$2,BL$41,$B$3,$AY$40,0)</f>
        <v>-1.8061391491424629E-4</v>
      </c>
      <c r="BU42" s="142"/>
      <c r="BV42" s="13">
        <v>60</v>
      </c>
      <c r="BW42" s="1" cm="1">
        <f t="array" ref="BW42">OptionGamma($BV42,$B$2,BW$41,$B$3,$BW$40,0)</f>
        <v>9.8181668070309793E-58</v>
      </c>
      <c r="BX42" s="1" cm="1">
        <f t="array" ref="BX42">OptionGamma($BV42,$B$2,BX$41,$B$3,$BW$40,0)</f>
        <v>1.4877614568192042E-29</v>
      </c>
      <c r="BY42" s="1" cm="1">
        <f t="array" ref="BY42">OptionGamma($BV42,$B$2,BY$41,$B$3,$BW$40,0)</f>
        <v>3.3715886606540406E-20</v>
      </c>
      <c r="BZ42" s="1" cm="1">
        <f t="array" ref="BZ42">OptionGamma($BV42,$B$2,BZ$41,$B$3,$BW$40,0)</f>
        <v>1.5374265651823462E-15</v>
      </c>
      <c r="CA42" s="1" cm="1">
        <f t="array" ref="CA42">OptionGamma($BV42,$B$2,CA$41,$B$3,$BW$40,0)</f>
        <v>9.3540877738932821E-13</v>
      </c>
      <c r="CB42" s="1" cm="1">
        <f t="array" ref="CB42">OptionGamma($BV42,$B$2,CB$41,$B$3,$BW$40,0)</f>
        <v>6.6022100125859387E-11</v>
      </c>
      <c r="CC42" s="1" cm="1">
        <f t="array" ref="CC42">OptionGamma($BV42,$B$2,CC$41,$B$3,$BW$40,0)</f>
        <v>1.3641015888556874E-9</v>
      </c>
      <c r="CD42" s="1" cm="1">
        <f t="array" ref="CD42">OptionGamma($BV42,$B$2,CD$41,$B$3,$BW$40,0)</f>
        <v>1.309790020055326E-8</v>
      </c>
      <c r="CE42" s="1" cm="1">
        <f t="array" ref="CE42">OptionGamma($BV42,$B$2,CE$41,$B$3,$BW$40,0)</f>
        <v>7.5530633187758507E-8</v>
      </c>
      <c r="CF42" s="1" cm="1">
        <f t="array" ref="CF42">OptionGamma($BV42,$B$2,CF$41,$B$3,$BW$40,0)</f>
        <v>3.0503159925846777E-7</v>
      </c>
      <c r="CG42" s="1" cm="1">
        <f t="array" ref="CG42">OptionGamma($BV42,$B$2,CG$41,$B$3,$BW$40,0)</f>
        <v>1.4524281869372614E-4</v>
      </c>
      <c r="CH42" s="1" cm="1">
        <f t="array" ref="CH42">OptionGamma($BV42,$B$2,CH$41,$B$3,$BW$40,0)</f>
        <v>1.0316841901525141E-3</v>
      </c>
      <c r="CI42" s="1" cm="1">
        <f t="array" ref="CI42">OptionGamma($BV42,$B$2,CI$41,$B$3,$BW$40,0)</f>
        <v>2.6204952010288863E-3</v>
      </c>
      <c r="CJ42" s="1" cm="1">
        <f t="array" ref="CJ42">OptionGamma($BV42,$B$2,CJ$41,$B$3,$BW$40,0)</f>
        <v>4.4499754398238511E-3</v>
      </c>
      <c r="CS42" s="145"/>
      <c r="CT42" s="13">
        <v>60</v>
      </c>
      <c r="CU42" s="1" cm="1">
        <f t="array" ref="CU42">OptionVega($CT42,$B$2,CU$41,$B$3,$CU$40,0)</f>
        <v>3.5345400505311531E-58</v>
      </c>
      <c r="CV42" s="1" cm="1">
        <f t="array" ref="CV42">OptionVega($CT42,$B$2,CV$41,$B$3,$CU$40,0)</f>
        <v>1.0711882489098268E-29</v>
      </c>
      <c r="CW42" s="1" cm="1">
        <f t="array" ref="CW42">OptionVega($CT42,$B$2,CW$41,$B$3,$CU$40,0)</f>
        <v>3.6413157535063633E-20</v>
      </c>
      <c r="CX42" s="1" cm="1">
        <f t="array" ref="CX42">OptionVega($CT42,$B$2,CX$41,$B$3,$CU$40,0)</f>
        <v>2.2138942538625791E-15</v>
      </c>
      <c r="CY42" s="1" cm="1">
        <f t="array" ref="CY42">OptionVega($CT42,$B$2,CY$41,$B$3,$CU$40,0)</f>
        <v>1.6837357993007909E-12</v>
      </c>
      <c r="CZ42" s="1" cm="1">
        <f t="array" ref="CZ42">OptionVega($CT42,$B$2,CZ$41,$B$3,$CU$40,0)</f>
        <v>1.4260773627185629E-10</v>
      </c>
      <c r="DA42" s="1" cm="1">
        <f t="array" ref="DA42">OptionVega($CT42,$B$2,DA$41,$B$3,$CU$40,0)</f>
        <v>3.4375360039163326E-9</v>
      </c>
      <c r="DB42" s="1" cm="1">
        <f t="array" ref="DB42">OptionVega($CT42,$B$2,DB$41,$B$3,$CU$40,0)</f>
        <v>3.7721952577593385E-8</v>
      </c>
      <c r="DC42" s="1" cm="1">
        <f t="array" ref="DC42">OptionVega($CT42,$B$2,DC$41,$B$3,$CU$40,0)</f>
        <v>2.4471925152833756E-7</v>
      </c>
      <c r="DD42" s="1" cm="1">
        <f t="array" ref="DD42">OptionVega($CT42,$B$2,DD$41,$B$3,$CU$40,0)</f>
        <v>1.0981137573304838E-6</v>
      </c>
      <c r="DE42" s="1" cm="1">
        <f t="array" ref="DE42">OptionVega($CT42,$B$2,DE$41,$B$3,$CU$40,0)</f>
        <v>1.0457482945948283E-3</v>
      </c>
      <c r="DF42" s="1" cm="1">
        <f t="array" ref="DF42">OptionVega($CT42,$B$2,DF$41,$B$3,$CU$40,0)</f>
        <v>1.1142189253647152E-2</v>
      </c>
      <c r="DG42" s="1" cm="1">
        <f t="array" ref="DG42">OptionVega($CT42,$B$2,DG$41,$B$3,$CU$40,0)</f>
        <v>3.7735130894815956E-2</v>
      </c>
      <c r="DH42" s="1" cm="1">
        <f t="array" ref="DH42">OptionVega($CT42,$B$2,DH$41,$B$3,$CU$40,0)</f>
        <v>8.0099557916829336E-2</v>
      </c>
      <c r="DQ42" s="130"/>
      <c r="DR42" s="13">
        <v>60</v>
      </c>
      <c r="DS42" s="1" cm="1">
        <f t="array" ref="DS42">OptionRho("C",$DR42,$B$2,DS$41,$B$3,$DS$40,0)</f>
        <v>6.8997547428960883E-60</v>
      </c>
      <c r="DT42" s="1" cm="1">
        <f t="array" ref="DT42">OptionRho("C",$DR42,$B$2,DT$41,$B$3,$DS$40,0)</f>
        <v>4.1705600383653559E-31</v>
      </c>
      <c r="DU42" s="1" cm="1">
        <f t="array" ref="DU42">OptionRho("C",$DR42,$B$2,DU$41,$B$3,$DS$40,0)</f>
        <v>2.1207973599216589E-21</v>
      </c>
      <c r="DV42" s="1" cm="1">
        <f t="array" ref="DV42">OptionRho("C",$DR42,$B$2,DV$41,$B$3,$DS$40,0)</f>
        <v>1.7146657173941722E-16</v>
      </c>
      <c r="DW42" s="1" cm="1">
        <f t="array" ref="DW42">OptionRho("C",$DR42,$B$2,DW$41,$B$3,$DS$40,0)</f>
        <v>1.6258128709111354E-13</v>
      </c>
      <c r="DX42" s="1" cm="1">
        <f t="array" ref="DX42">OptionRho("C",$DR42,$B$2,DX$41,$B$3,$DS$40,0)</f>
        <v>1.6481813086334279E-11</v>
      </c>
      <c r="DY42" s="1" cm="1">
        <f t="array" ref="DY42">OptionRho("C",$DR42,$B$2,DY$41,$B$3,$DS$40,0)</f>
        <v>4.6233752509654254E-10</v>
      </c>
      <c r="DZ42" s="1" cm="1">
        <f t="array" ref="DZ42">OptionRho("C",$DR42,$B$2,DZ$41,$B$3,$DS$40,0)</f>
        <v>5.7838836856354677E-9</v>
      </c>
      <c r="EA42" s="1" cm="1">
        <f t="array" ref="EA42">OptionRho("C",$DR42,$B$2,EA$41,$B$3,$DS$40,0)</f>
        <v>4.2109995631038731E-8</v>
      </c>
      <c r="EB42" s="1" cm="1">
        <f t="array" ref="EB42">OptionRho("C",$DR42,$B$2,EB$41,$B$3,$DS$40,0)</f>
        <v>2.0944883154902559E-7</v>
      </c>
      <c r="EC42" s="1" cm="1">
        <f t="array" ref="EC42">OptionRho("C",$DR42,$B$2,EC$41,$B$3,$DS$40,0)</f>
        <v>3.9017006065321993E-4</v>
      </c>
      <c r="ED42" s="1" cm="1">
        <f t="array" ref="ED42">OptionRho("C",$DR42,$B$2,ED$41,$B$3,$DS$40,0)</f>
        <v>6.1154603756096351E-3</v>
      </c>
      <c r="EE42" s="1" cm="1">
        <f t="array" ref="EE42">OptionRho("C",$DR42,$B$2,EE$41,$B$3,$DS$40,0)</f>
        <v>2.7137815674117115E-2</v>
      </c>
      <c r="EF42" s="1" cm="1">
        <f t="array" ref="EF42">OptionRho("C",$DR42,$B$2,EF$41,$B$3,$DS$40,0)</f>
        <v>7.0877394865647217E-2</v>
      </c>
      <c r="EP42" s="130"/>
      <c r="EQ42" s="13">
        <v>60</v>
      </c>
      <c r="ER42" s="1" cm="1">
        <f t="array" ref="ER42">OptionRho("C",$DR42,$B$2,ER$41,$D$3,$DS$40,0)</f>
        <v>1.5834548020036538E-49</v>
      </c>
      <c r="ES42" s="1" cm="1">
        <f t="array" ref="ES42">OptionRho("C",$DR42,$B$2,ES$41,$D$3,$DS$40,0)</f>
        <v>2.9868286261853974E-21</v>
      </c>
      <c r="ET42" s="1" cm="1">
        <f t="array" ref="ET42">OptionRho("C",$DR42,$B$2,ET$41,$D$3,$DS$40,0)</f>
        <v>4.7927308576129333E-12</v>
      </c>
      <c r="EU42" s="1" cm="1">
        <f t="array" ref="EU42">OptionRho("C",$DR42,$B$2,EU$41,$D$3,$DS$40,0)</f>
        <v>1.2391216537929973E-7</v>
      </c>
      <c r="EV42" s="1" cm="1">
        <f t="array" ref="EV42">OptionRho("C",$DR42,$B$2,EV$41,$D$3,$DS$40,0)</f>
        <v>3.8180956298086526E-5</v>
      </c>
      <c r="EW42" s="1" cm="1">
        <f t="array" ref="EW42">OptionRho("C",$DR42,$B$2,EW$41,$D$3,$DS$40,0)</f>
        <v>1.2827349075370989E-3</v>
      </c>
      <c r="EX42" s="1" cm="1">
        <f t="array" ref="EX42">OptionRho("C",$DR42,$B$2,EX$41,$D$3,$DS$40,0)</f>
        <v>1.2214230590150584E-2</v>
      </c>
      <c r="EY42" s="1" cm="1">
        <f t="array" ref="EY42">OptionRho("C",$DR42,$B$2,EY$41,$D$3,$DS$40,0)</f>
        <v>5.3415288879470051E-2</v>
      </c>
      <c r="EZ42" s="1" cm="1">
        <f t="array" ref="EZ42">OptionRho("C",$DR42,$B$2,EZ$41,$D$3,$DS$40,0)</f>
        <v>0.14090681429383031</v>
      </c>
      <c r="FA42" s="1" cm="1">
        <f t="array" ref="FA42">OptionRho("C",$DR42,$B$2,FA$41,$D$3,$DS$40,0)</f>
        <v>0.2651311978346933</v>
      </c>
      <c r="FB42" s="1" cm="1">
        <f t="array" ref="FB42">OptionRho("C",$DR42,$B$2,FB$41,$D$3,$DS$40,0)</f>
        <v>0.73550013862702646</v>
      </c>
      <c r="FC42" s="1" cm="1">
        <f t="array" ref="FC42">OptionRho("C",$DR42,$B$2,FC$41,$D$3,$DS$40,0)</f>
        <v>0.66939047421475029</v>
      </c>
      <c r="FD42" s="1" cm="1">
        <f t="array" ref="FD42">OptionRho("C",$DR42,$B$2,FD$41,$D$3,$DS$40,0)</f>
        <v>0.54134113294639541</v>
      </c>
      <c r="FE42" s="1" cm="1">
        <f t="array" ref="FE42">OptionRho("C",$DR42,$B$2,FE$41,$D$3,$DS$40,0)</f>
        <v>0.41042499311949399</v>
      </c>
    </row>
    <row r="43" spans="1:161" x14ac:dyDescent="0.2">
      <c r="A43" s="133"/>
      <c r="B43" s="14">
        <v>65</v>
      </c>
      <c r="C43" s="1" cm="1">
        <f t="array" ref="C43">OptionPrice("C",$B43,$B$2,C$41,$B$3,$C$40,0)</f>
        <v>4.2041457159750459E-43</v>
      </c>
      <c r="D43" s="1" cm="1">
        <f t="array" ref="D43">OptionPrice("C",$B43,$B$2,D$41,$B$3,$C$40,0)</f>
        <v>1.6536649773032294E-22</v>
      </c>
      <c r="E43" s="1" cm="1">
        <f t="array" ref="E43">OptionPrice("C",$B43,$B$2,E$41,$B$3,$C$40,0)</f>
        <v>1.5620339975239817E-15</v>
      </c>
      <c r="F43" s="1" cm="1">
        <f t="array" ref="F43">OptionPrice("C",$B43,$B$2,F$41,$B$3,$C$40,0)</f>
        <v>5.4236055610289425E-12</v>
      </c>
      <c r="G43" s="1" cm="1">
        <f t="array" ref="G43">OptionPrice("C",$B43,$B$2,G$41,$B$3,$C$40,0)</f>
        <v>7.7581325570999865E-10</v>
      </c>
      <c r="H43" s="1" cm="1">
        <f t="array" ref="H43">OptionPrice("C",$B43,$B$2,H$41,$B$3,$C$40,0)</f>
        <v>2.2240859832093045E-8</v>
      </c>
      <c r="I43" s="1" cm="1">
        <f t="array" ref="I43">OptionPrice("C",$B43,$B$2,I$41,$B$3,$C$40,0)</f>
        <v>2.5266097851067091E-7</v>
      </c>
      <c r="J43" s="1" cm="1">
        <f t="array" ref="J43">OptionPrice("C",$B43,$B$2,J$41,$B$3,$C$40,0)</f>
        <v>1.602306474654617E-6</v>
      </c>
      <c r="K43" s="1" cm="1">
        <f t="array" ref="K43">OptionPrice("C",$B43,$B$2,K$41,$B$3,$C$40,0)</f>
        <v>6.8690033375286091E-6</v>
      </c>
      <c r="L43" s="1" cm="1">
        <f t="array" ref="L43">OptionPrice("C",$B43,$B$2,L$41,$B$3,$C$40,0)</f>
        <v>2.2341641923778613E-5</v>
      </c>
      <c r="M43" s="1" cm="1">
        <f t="array" ref="M43">OptionPrice("C",$B43,$B$2,M$41,$B$3,$C$40,0)</f>
        <v>6.0039478866674156E-3</v>
      </c>
      <c r="N43" s="1" cm="1">
        <f t="array" ref="N43">OptionPrice("C",$B43,$B$2,N$41,$B$3,$C$40,0)</f>
        <v>4.8205790504016077E-2</v>
      </c>
      <c r="O43" s="1" cm="1">
        <f t="array" ref="O43">OptionPrice("C",$B43,$B$2,O$41,$B$3,$C$40,0)</f>
        <v>0.15111158229560351</v>
      </c>
      <c r="P43" s="1" cm="1">
        <f t="array" ref="P43">OptionPrice("C",$B43,$B$2,P$41,$B$3,$C$40,0)</f>
        <v>0.31777682440018928</v>
      </c>
      <c r="Y43" s="136"/>
      <c r="Z43" s="14">
        <v>65</v>
      </c>
      <c r="AA43" s="1" cm="1">
        <f t="array" ref="AA43">OptionDelta("C",$Z43,$B$2,AA$41,$B$3,$AA$40,0)</f>
        <v>2.8126612880569749E-42</v>
      </c>
      <c r="AB43" s="1" cm="1">
        <f t="array" ref="AB43">OptionDelta("C",$Z43,$B$2,AB$41,$B$3,$AA$40,0)</f>
        <v>5.5821144851585946E-22</v>
      </c>
      <c r="AC43" s="1" cm="1">
        <f t="array" ref="AC43">OptionDelta("C",$Z43,$B$2,AC$41,$B$3,$AA$40,0)</f>
        <v>3.5461176703588084E-15</v>
      </c>
      <c r="AD43" s="1" cm="1">
        <f t="array" ref="AD43">OptionDelta("C",$Z43,$B$2,AD$41,$B$3,$AA$40,0)</f>
        <v>9.3129642843240566E-12</v>
      </c>
      <c r="AE43" s="1" cm="1">
        <f t="array" ref="AE43">OptionDelta("C",$Z43,$B$2,AE$41,$B$3,$AA$40,0)</f>
        <v>1.0745001039870842E-9</v>
      </c>
      <c r="AF43" s="1" cm="1">
        <f t="array" ref="AF43">OptionDelta("C",$Z43,$B$2,AF$41,$B$3,$AA$40,0)</f>
        <v>2.5874472084445203E-8</v>
      </c>
      <c r="AG43" s="1" cm="1">
        <f t="array" ref="AG43">OptionDelta("C",$Z43,$B$2,AG$41,$B$3,$AA$40,0)</f>
        <v>2.5390046836316603E-7</v>
      </c>
      <c r="AH43" s="1" cm="1">
        <f t="array" ref="AH43">OptionDelta("C",$Z43,$B$2,AH$41,$B$3,$AA$40,0)</f>
        <v>1.4195096494921114E-6</v>
      </c>
      <c r="AI43" s="1" cm="1">
        <f t="array" ref="AI43">OptionDelta("C",$Z43,$B$2,AI$41,$B$3,$AA$40,0)</f>
        <v>5.4488726576165721E-6</v>
      </c>
      <c r="AJ43" s="1" cm="1">
        <f t="array" ref="AJ43">OptionDelta("C",$Z43,$B$2,AJ$41,$B$3,$AA$40,0)</f>
        <v>1.6064307266339651E-5</v>
      </c>
      <c r="AK43" s="1" cm="1">
        <f t="array" ref="AK43">OptionDelta("C",$Z43,$B$2,AK$41,$B$3,$AA$40,0)</f>
        <v>2.2987314592982327E-3</v>
      </c>
      <c r="AL43" s="1" cm="1">
        <f t="array" ref="AL43">OptionDelta("C",$Z43,$B$2,AL$41,$B$3,$AA$40,0)</f>
        <v>1.2962990657514536E-2</v>
      </c>
      <c r="AM43" s="1" cm="1">
        <f t="array" ref="AM43">OptionDelta("C",$Z43,$B$2,AM$41,$B$3,$AA$40,0)</f>
        <v>3.1875690795675732E-2</v>
      </c>
      <c r="AN43" s="1" cm="1">
        <f t="array" ref="AN43">OptionDelta("C",$Z43,$B$2,AN$41,$B$3,$AA$40,0)</f>
        <v>5.5792459445646918E-2</v>
      </c>
      <c r="AW43" s="139"/>
      <c r="AX43" s="14">
        <v>65</v>
      </c>
      <c r="AY43" s="1" cm="1">
        <f t="array" ref="AY43">OptionTheta("C",$AX43,$B$2,AY$41,$B$3,$AY$40,0)</f>
        <v>-1.0758816027387067E-42</v>
      </c>
      <c r="AZ43" s="1" cm="1">
        <f t="array" ref="AZ43">OptionTheta("C",$AX43,$B$2,AZ$41,$B$3,$AY$40,0)</f>
        <v>-1.0646033177470248E-22</v>
      </c>
      <c r="BA43" s="1" cm="1">
        <f t="array" ref="BA43">OptionTheta("C",$AX43,$B$2,BA$41,$B$3,$AY$40,0)</f>
        <v>-4.4957138773605802E-16</v>
      </c>
      <c r="BB43" s="1" cm="1">
        <f t="array" ref="BB43">OptionTheta("C",$AX43,$B$2,BB$41,$B$3,$AY$40,0)</f>
        <v>-8.8291643741194131E-13</v>
      </c>
      <c r="BC43" s="1" cm="1">
        <f t="array" ref="BC43">OptionTheta("C",$AX43,$B$2,BC$41,$B$3,$AY$40,0)</f>
        <v>-8.1251517869680539E-11</v>
      </c>
      <c r="BD43" s="1" cm="1">
        <f t="array" ref="BD43">OptionTheta("C",$AX43,$B$2,BD$41,$B$3,$AY$40,0)</f>
        <v>-1.6255423450036807E-9</v>
      </c>
      <c r="BE43" s="1" cm="1">
        <f t="array" ref="BE43">OptionTheta("C",$AX43,$B$2,BE$41,$B$3,$AY$40,0)</f>
        <v>-1.363035569191267E-8</v>
      </c>
      <c r="BF43" s="1" cm="1">
        <f t="array" ref="BF43">OptionTheta("C",$AX43,$B$2,BF$41,$B$3,$AY$40,0)</f>
        <v>-6.6471482671022123E-8</v>
      </c>
      <c r="BG43" s="1" cm="1">
        <f t="array" ref="BG43">OptionTheta("C",$AX43,$B$2,BG$41,$B$3,$AY$40,0)</f>
        <v>-2.2608869230918151E-7</v>
      </c>
      <c r="BH43" s="1" cm="1">
        <f t="array" ref="BH43">OptionTheta("C",$AX43,$B$2,BH$41,$B$3,$AY$40,0)</f>
        <v>-5.979812111969222E-7</v>
      </c>
      <c r="BI43" s="1" cm="1">
        <f t="array" ref="BI43">OptionTheta("C",$AX43,$B$2,BI$41,$B$3,$AY$40,0)</f>
        <v>-4.1360687072468178E-5</v>
      </c>
      <c r="BJ43" s="1" cm="1">
        <f t="array" ref="BJ43">OptionTheta("C",$AX43,$B$2,BJ$41,$B$3,$AY$40,0)</f>
        <v>-1.4990166929791313E-4</v>
      </c>
      <c r="BK43" s="1" cm="1">
        <f t="array" ref="BK43">OptionTheta("C",$AX43,$B$2,BK$41,$B$3,$AY$40,0)</f>
        <v>-2.658943449115014E-4</v>
      </c>
      <c r="BL43" s="1" cm="1">
        <f t="array" ref="BL43">OptionTheta("C",$AX43,$B$2,BL$41,$B$3,$AY$40,0)</f>
        <v>-3.5735096472375107E-4</v>
      </c>
      <c r="BU43" s="142"/>
      <c r="BV43" s="14">
        <v>65</v>
      </c>
      <c r="BW43" s="1" cm="1">
        <f t="array" ref="BW43">OptionGamma($BV43,$B$2,BW$41,$B$3,$BW$40,0)</f>
        <v>1.867554133449226E-41</v>
      </c>
      <c r="BX43" s="1" cm="1">
        <f t="array" ref="BX43">OptionGamma($BV43,$B$2,BX$41,$B$3,$BW$40,0)</f>
        <v>1.8565304082520428E-21</v>
      </c>
      <c r="BY43" s="1" cm="1">
        <f t="array" ref="BY43">OptionGamma($BV43,$B$2,BY$41,$B$3,$BW$40,0)</f>
        <v>7.8761142092032735E-15</v>
      </c>
      <c r="BZ43" s="1" cm="1">
        <f t="array" ref="BZ43">OptionGamma($BV43,$B$2,BZ$41,$B$3,$BW$40,0)</f>
        <v>1.5539109604002787E-11</v>
      </c>
      <c r="CA43" s="1" cm="1">
        <f t="array" ref="CA43">OptionGamma($BV43,$B$2,CA$41,$B$3,$BW$40,0)</f>
        <v>1.4365666725428593E-9</v>
      </c>
      <c r="CB43" s="1" cm="1">
        <f t="array" ref="CB43">OptionGamma($BV43,$B$2,CB$41,$B$3,$BW$40,0)</f>
        <v>2.8871903156587544E-8</v>
      </c>
      <c r="CC43" s="1" cm="1">
        <f t="array" ref="CC43">OptionGamma($BV43,$B$2,CC$41,$B$3,$BW$40,0)</f>
        <v>2.4319945667214557E-7</v>
      </c>
      <c r="CD43" s="1" cm="1">
        <f t="array" ref="CD43">OptionGamma($BV43,$B$2,CD$41,$B$3,$BW$40,0)</f>
        <v>1.191420089105155E-6</v>
      </c>
      <c r="CE43" s="1" cm="1">
        <f t="array" ref="CE43">OptionGamma($BV43,$B$2,CE$41,$B$3,$BW$40,0)</f>
        <v>4.070790527191798E-6</v>
      </c>
      <c r="CF43" s="1" cm="1">
        <f t="array" ref="CF43">OptionGamma($BV43,$B$2,CF$41,$B$3,$BW$40,0)</f>
        <v>1.0815693509621757E-5</v>
      </c>
      <c r="CG43" s="1" cm="1">
        <f t="array" ref="CG43">OptionGamma($BV43,$B$2,CG$41,$B$3,$BW$40,0)</f>
        <v>7.8252244975754123E-4</v>
      </c>
      <c r="CH43" s="1" cm="1">
        <f t="array" ref="CH43">OptionGamma($BV43,$B$2,CH$41,$B$3,$BW$40,0)</f>
        <v>2.966058949873731E-3</v>
      </c>
      <c r="CI43" s="1" cm="1">
        <f t="array" ref="CI43">OptionGamma($BV43,$B$2,CI$41,$B$3,$BW$40,0)</f>
        <v>5.5034091875470386E-3</v>
      </c>
      <c r="CJ43" s="1" cm="1">
        <f t="array" ref="CJ43">OptionGamma($BV43,$B$2,CJ$41,$B$3,$BW$40,0)</f>
        <v>7.7406121902881767E-3</v>
      </c>
      <c r="CS43" s="145"/>
      <c r="CT43" s="14">
        <v>65</v>
      </c>
      <c r="CU43" s="1" cm="1">
        <f t="array" ref="CU43">OptionVega($CT43,$B$2,CU$41,$B$3,$CU$40,0)</f>
        <v>7.8904162138229814E-42</v>
      </c>
      <c r="CV43" s="1" cm="1">
        <f t="array" ref="CV43">OptionVega($CT43,$B$2,CV$41,$B$3,$CU$40,0)</f>
        <v>1.5687681949729765E-21</v>
      </c>
      <c r="CW43" s="1" cm="1">
        <f t="array" ref="CW43">OptionVega($CT43,$B$2,CW$41,$B$3,$CU$40,0)</f>
        <v>9.9829747601651493E-15</v>
      </c>
      <c r="CX43" s="1" cm="1">
        <f t="array" ref="CX43">OptionVega($CT43,$B$2,CX$41,$B$3,$CU$40,0)</f>
        <v>2.6261095230764715E-11</v>
      </c>
      <c r="CY43" s="1" cm="1">
        <f t="array" ref="CY43">OptionVega($CT43,$B$2,CY$41,$B$3,$CU$40,0)</f>
        <v>3.0347470957467911E-9</v>
      </c>
      <c r="CZ43" s="1" cm="1">
        <f t="array" ref="CZ43">OptionVega($CT43,$B$2,CZ$41,$B$3,$CU$40,0)</f>
        <v>7.3190274501949445E-8</v>
      </c>
      <c r="DA43" s="1" cm="1">
        <f t="array" ref="DA43">OptionVega($CT43,$B$2,DA$41,$B$3,$CU$40,0)</f>
        <v>7.1926239310787059E-7</v>
      </c>
      <c r="DB43" s="1" cm="1">
        <f t="array" ref="DB43">OptionVega($CT43,$B$2,DB$41,$B$3,$CU$40,0)</f>
        <v>4.026999901175424E-6</v>
      </c>
      <c r="DC43" s="1" cm="1">
        <f t="array" ref="DC43">OptionVega($CT43,$B$2,DC$41,$B$3,$CU$40,0)</f>
        <v>1.5479180979646812E-5</v>
      </c>
      <c r="DD43" s="1" cm="1">
        <f t="array" ref="DD43">OptionVega($CT43,$B$2,DD$41,$B$3,$CU$40,0)</f>
        <v>4.569630507815192E-5</v>
      </c>
      <c r="DE43" s="1" cm="1">
        <f t="array" ref="DE43">OptionVega($CT43,$B$2,DE$41,$B$3,$CU$40,0)</f>
        <v>6.612314700451225E-3</v>
      </c>
      <c r="DF43" s="1" cm="1">
        <f t="array" ref="DF43">OptionVega($CT43,$B$2,DF$41,$B$3,$CU$40,0)</f>
        <v>3.7594797189649538E-2</v>
      </c>
      <c r="DG43" s="1" cm="1">
        <f t="array" ref="DG43">OptionVega($CT43,$B$2,DG$41,$B$3,$CU$40,0)</f>
        <v>9.3007615269544958E-2</v>
      </c>
      <c r="DH43" s="1" cm="1">
        <f t="array" ref="DH43">OptionVega($CT43,$B$2,DH$41,$B$3,$CU$40,0)</f>
        <v>0.16352043251983775</v>
      </c>
      <c r="DQ43" s="130"/>
      <c r="DR43" s="14">
        <v>65</v>
      </c>
      <c r="DS43" s="1" cm="1">
        <f t="array" ref="DS43">OptionRho("C",$DR43,$B$2,DS$41,$B$3,$DS$40,0)</f>
        <v>1.824025691521059E-43</v>
      </c>
      <c r="DT43" s="1" cm="1">
        <f t="array" ref="DT43">OptionRho("C",$DR43,$B$2,DT$41,$B$3,$DS$40,0)</f>
        <v>7.2236755311601088E-23</v>
      </c>
      <c r="DU43" s="1" cm="1">
        <f t="array" ref="DU43">OptionRho("C",$DR43,$B$2,DU$41,$B$3,$DS$40,0)</f>
        <v>6.8680684372739567E-16</v>
      </c>
      <c r="DV43" s="1" cm="1">
        <f t="array" ref="DV43">OptionRho("C",$DR43,$B$2,DV$41,$B$3,$DS$40,0)</f>
        <v>2.3996762916801391E-12</v>
      </c>
      <c r="DW43" s="1" cm="1">
        <f t="array" ref="DW43">OptionRho("C",$DR43,$B$2,DW$41,$B$3,$DS$40,0)</f>
        <v>3.4533346751725232E-10</v>
      </c>
      <c r="DX43" s="1" cm="1">
        <f t="array" ref="DX43">OptionRho("C",$DR43,$B$2,DX$41,$B$3,$DS$40,0)</f>
        <v>9.9575989539410699E-9</v>
      </c>
      <c r="DY43" s="1" cm="1">
        <f t="array" ref="DY43">OptionRho("C",$DR43,$B$2,DY$41,$B$3,$DS$40,0)</f>
        <v>1.1375608625566583E-7</v>
      </c>
      <c r="DZ43" s="1" cm="1">
        <f t="array" ref="DZ43">OptionRho("C",$DR43,$B$2,DZ$41,$B$3,$DS$40,0)</f>
        <v>7.2532656593866114E-7</v>
      </c>
      <c r="EA43" s="1" cm="1">
        <f t="array" ref="EA43">OptionRho("C",$DR43,$B$2,EA$41,$B$3,$DS$40,0)</f>
        <v>3.1257694746679378E-6</v>
      </c>
      <c r="EB43" s="1" cm="1">
        <f t="array" ref="EB43">OptionRho("C",$DR43,$B$2,EB$41,$B$3,$DS$40,0)</f>
        <v>1.0218383303882987E-5</v>
      </c>
      <c r="EC43" s="1" cm="1">
        <f t="array" ref="EC43">OptionRho("C",$DR43,$B$2,EC$41,$B$3,$DS$40,0)</f>
        <v>2.8682719393543542E-3</v>
      </c>
      <c r="ED43" s="1" cm="1">
        <f t="array" ref="ED43">OptionRho("C",$DR43,$B$2,ED$41,$B$3,$DS$40,0)</f>
        <v>2.3831658067032861E-2</v>
      </c>
      <c r="EE43" s="1" cm="1">
        <f t="array" ref="EE43">OptionRho("C",$DR43,$B$2,EE$41,$B$3,$DS$40,0)</f>
        <v>7.6832332776932757E-2</v>
      </c>
      <c r="EF43" s="1" cm="1">
        <f t="array" ref="EF43">OptionRho("C",$DR43,$B$2,EF$41,$B$3,$DS$40,0)</f>
        <v>0.16543665197834301</v>
      </c>
      <c r="EP43" s="130"/>
      <c r="EQ43" s="14">
        <v>65</v>
      </c>
      <c r="ER43" s="1" cm="1">
        <f t="array" ref="ER43">OptionRho("C",$DR43,$B$2,ER$41,$D$3,$DS$40,0)</f>
        <v>8.4502441451465514E-35</v>
      </c>
      <c r="ES43" s="1" cm="1">
        <f t="array" ref="ES43">OptionRho("C",$DR43,$B$2,ES$41,$D$3,$DS$40,0)</f>
        <v>1.0686543838288439E-14</v>
      </c>
      <c r="ET43" s="1" cm="1">
        <f t="array" ref="ET43">OptionRho("C",$DR43,$B$2,ET$41,$D$3,$DS$40,0)</f>
        <v>3.2963170067831719E-8</v>
      </c>
      <c r="EU43" s="1" cm="1">
        <f t="array" ref="EU43">OptionRho("C",$DR43,$B$2,EU$41,$D$3,$DS$40,0)</f>
        <v>3.8098251562141906E-5</v>
      </c>
      <c r="EV43" s="1" cm="1">
        <f t="array" ref="EV43">OptionRho("C",$DR43,$B$2,EV$41,$D$3,$DS$40,0)</f>
        <v>1.85776079220992E-3</v>
      </c>
      <c r="EW43" s="1" cm="1">
        <f t="array" ref="EW43">OptionRho("C",$DR43,$B$2,EW$41,$D$3,$DS$40,0)</f>
        <v>1.8700692571927715E-2</v>
      </c>
      <c r="EX43" s="1" cm="1">
        <f t="array" ref="EX43">OptionRho("C",$DR43,$B$2,EX$41,$D$3,$DS$40,0)</f>
        <v>7.7384870170941672E-2</v>
      </c>
      <c r="EY43" s="1" cm="1">
        <f t="array" ref="EY43">OptionRho("C",$DR43,$B$2,EY$41,$D$3,$DS$40,0)</f>
        <v>0.18698211658387784</v>
      </c>
      <c r="EZ43" s="1" cm="1">
        <f t="array" ref="EZ43">OptionRho("C",$DR43,$B$2,EZ$41,$D$3,$DS$40,0)</f>
        <v>0.32230644401052871</v>
      </c>
      <c r="FA43" s="1" cm="1">
        <f t="array" ref="FA43">OptionRho("C",$DR43,$B$2,FA$41,$D$3,$DS$40,0)</f>
        <v>0.44860151972981599</v>
      </c>
      <c r="FB43" s="1" cm="1">
        <f t="array" ref="FB43">OptionRho("C",$DR43,$B$2,FB$41,$D$3,$DS$40,0)</f>
        <v>0.73573063976985342</v>
      </c>
      <c r="FC43" s="1" cm="1">
        <f t="array" ref="FC43">OptionRho("C",$DR43,$B$2,FC$41,$D$3,$DS$40,0)</f>
        <v>0.66939048005909296</v>
      </c>
      <c r="FD43" s="1" cm="1">
        <f t="array" ref="FD43">OptionRho("C",$DR43,$B$2,FD$41,$D$3,$DS$40,0)</f>
        <v>0.54134113294644826</v>
      </c>
      <c r="FE43" s="1" cm="1">
        <f t="array" ref="FE43">OptionRho("C",$DR43,$B$2,FE$41,$D$3,$DS$40,0)</f>
        <v>0.41042499311949399</v>
      </c>
    </row>
    <row r="44" spans="1:161" x14ac:dyDescent="0.2">
      <c r="A44" s="133"/>
      <c r="B44" s="14">
        <v>70</v>
      </c>
      <c r="C44" s="1" cm="1">
        <f t="array" ref="C44">OptionPrice("C",$B44,$B$2,C$41,$B$3,$C$40,0)</f>
        <v>2.7600364744636217E-30</v>
      </c>
      <c r="D44" s="1" cm="1">
        <f t="array" ref="D44">OptionPrice("C",$B44,$B$2,D$41,$B$3,$C$40,0)</f>
        <v>4.9795679087084692E-16</v>
      </c>
      <c r="E44" s="1" cm="1">
        <f t="array" ref="E44">OptionPrice("C",$B44,$B$2,E$41,$B$3,$C$40,0)</f>
        <v>3.6152174874581629E-11</v>
      </c>
      <c r="F44" s="1" cm="1">
        <f t="array" ref="F44">OptionPrice("C",$B44,$B$2,F$41,$B$3,$C$40,0)</f>
        <v>1.0979680995629168E-8</v>
      </c>
      <c r="G44" s="1" cm="1">
        <f t="array" ref="G44">OptionPrice("C",$B44,$B$2,G$41,$B$3,$C$40,0)</f>
        <v>3.6345670158069736E-7</v>
      </c>
      <c r="H44" s="1" cm="1">
        <f t="array" ref="H44">OptionPrice("C",$B44,$B$2,H$41,$B$3,$C$40,0)</f>
        <v>3.922477572798806E-6</v>
      </c>
      <c r="I44" s="1" cm="1">
        <f t="array" ref="I44">OptionPrice("C",$B44,$B$2,I$41,$B$3,$C$40,0)</f>
        <v>2.2154006721437133E-5</v>
      </c>
      <c r="J44" s="1" cm="1">
        <f t="array" ref="J44">OptionPrice("C",$B44,$B$2,J$41,$B$3,$C$40,0)</f>
        <v>8.311672066359764E-5</v>
      </c>
      <c r="K44" s="1" cm="1">
        <f t="array" ref="K44">OptionPrice("C",$B44,$B$2,K$41,$B$3,$C$40,0)</f>
        <v>2.3672082144272216E-4</v>
      </c>
      <c r="L44" s="1" cm="1">
        <f t="array" ref="L44">OptionPrice("C",$B44,$B$2,L$41,$B$3,$C$40,0)</f>
        <v>5.5479840936930799E-4</v>
      </c>
      <c r="M44" s="1" cm="1">
        <f t="array" ref="M44">OptionPrice("C",$B44,$B$2,M$41,$B$3,$C$40,0)</f>
        <v>3.3706989697705692E-2</v>
      </c>
      <c r="N44" s="1" cm="1">
        <f t="array" ref="N44">OptionPrice("C",$B44,$B$2,N$41,$B$3,$C$40,0)</f>
        <v>0.16314088976241337</v>
      </c>
      <c r="O44" s="1" cm="1">
        <f t="array" ref="O44">OptionPrice("C",$B44,$B$2,O$41,$B$3,$C$40,0)</f>
        <v>0.39495389349549903</v>
      </c>
      <c r="P44" s="1" cm="1">
        <f t="array" ref="P44">OptionPrice("C",$B44,$B$2,P$41,$B$3,$C$40,0)</f>
        <v>0.70907003323345119</v>
      </c>
      <c r="Y44" s="136"/>
      <c r="Z44" s="14">
        <v>70</v>
      </c>
      <c r="AA44" s="1" cm="1">
        <f t="array" ref="AA44">OptionDelta("C",$Z44,$B$2,AA$41,$B$3,$AA$40,0)</f>
        <v>1.4260381787834196E-29</v>
      </c>
      <c r="AB44" s="1" cm="1">
        <f t="array" ref="AB44">OptionDelta("C",$Z44,$B$2,AB$41,$B$3,$AA$40,0)</f>
        <v>1.3034623767509508E-15</v>
      </c>
      <c r="AC44" s="1" cm="1">
        <f t="array" ref="AC44">OptionDelta("C",$Z44,$B$2,AC$41,$B$3,$AA$40,0)</f>
        <v>6.3883719199083708E-11</v>
      </c>
      <c r="AD44" s="1" cm="1">
        <f t="array" ref="AD44">OptionDelta("C",$Z44,$B$2,AD$41,$B$3,$AA$40,0)</f>
        <v>1.4726488482514407E-8</v>
      </c>
      <c r="AE44" s="1" cm="1">
        <f t="array" ref="AE44">OptionDelta("C",$Z44,$B$2,AE$41,$B$3,$AA$40,0)</f>
        <v>3.9447858056893467E-7</v>
      </c>
      <c r="AF44" s="1" cm="1">
        <f t="array" ref="AF44">OptionDelta("C",$Z44,$B$2,AF$41,$B$3,$AA$40,0)</f>
        <v>3.5869233961988741E-6</v>
      </c>
      <c r="AG44" s="1" cm="1">
        <f t="array" ref="AG44">OptionDelta("C",$Z44,$B$2,AG$41,$B$3,$AA$40,0)</f>
        <v>1.7549254029347776E-5</v>
      </c>
      <c r="AH44" s="1" cm="1">
        <f t="array" ref="AH44">OptionDelta("C",$Z44,$B$2,AH$41,$B$3,$AA$40,0)</f>
        <v>5.820088365787128E-5</v>
      </c>
      <c r="AI44" s="1" cm="1">
        <f t="array" ref="AI44">OptionDelta("C",$Z44,$B$2,AI$41,$B$3,$AA$40,0)</f>
        <v>1.4879923588186921E-4</v>
      </c>
      <c r="AJ44" s="1" cm="1">
        <f t="array" ref="AJ44">OptionDelta("C",$Z44,$B$2,AJ$41,$B$3,$AA$40,0)</f>
        <v>3.1686788675612499E-4</v>
      </c>
      <c r="AK44" s="1" cm="1">
        <f t="array" ref="AK44">OptionDelta("C",$Z44,$B$2,AK$41,$B$3,$AA$40,0)</f>
        <v>1.0445719216560184E-2</v>
      </c>
      <c r="AL44" s="1" cm="1">
        <f t="array" ref="AL44">OptionDelta("C",$Z44,$B$2,AL$41,$B$3,$AA$40,0)</f>
        <v>3.5973278929724156E-2</v>
      </c>
      <c r="AM44" s="1" cm="1">
        <f t="array" ref="AM44">OptionDelta("C",$Z44,$B$2,AM$41,$B$3,$AA$40,0)</f>
        <v>6.8987440114615495E-2</v>
      </c>
      <c r="AN44" s="1" cm="1">
        <f t="array" ref="AN44">OptionDelta("C",$Z44,$B$2,AN$41,$B$3,$AA$40,0)</f>
        <v>0.10389085170754279</v>
      </c>
      <c r="AW44" s="139"/>
      <c r="AX44" s="14">
        <v>70</v>
      </c>
      <c r="AY44" s="1" cm="1">
        <f t="array" ref="AY44">OptionTheta("C",$AX44,$B$2,AY$41,$B$3,$AY$40,0)</f>
        <v>-4.8674221922236454E-30</v>
      </c>
      <c r="AZ44" s="1" cm="1">
        <f t="array" ref="AZ44">OptionTheta("C",$AX44,$B$2,AZ$41,$B$3,$AY$40,0)</f>
        <v>-2.2197131579323962E-16</v>
      </c>
      <c r="BA44" s="1" cm="1">
        <f t="array" ref="BA44">OptionTheta("C",$AX44,$B$2,BA$41,$B$3,$AY$40,0)</f>
        <v>-7.2360905546874347E-12</v>
      </c>
      <c r="BB44" s="1" cm="1">
        <f t="array" ref="BB44">OptionTheta("C",$AX44,$B$2,BB$41,$B$3,$AY$40,0)</f>
        <v>-1.2480500168547002E-9</v>
      </c>
      <c r="BC44" s="1" cm="1">
        <f t="array" ref="BC44">OptionTheta("C",$AX44,$B$2,BC$41,$B$3,$AY$40,0)</f>
        <v>-2.6678350923263346E-8</v>
      </c>
      <c r="BD44" s="1" cm="1">
        <f t="array" ref="BD44">OptionTheta("C",$AX44,$B$2,BD$41,$B$3,$AY$40,0)</f>
        <v>-2.0162653067878417E-7</v>
      </c>
      <c r="BE44" s="1" cm="1">
        <f t="array" ref="BE44">OptionTheta("C",$AX44,$B$2,BE$41,$B$3,$AY$40,0)</f>
        <v>-8.4327681216657823E-7</v>
      </c>
      <c r="BF44" s="1" cm="1">
        <f t="array" ref="BF44">OptionTheta("C",$AX44,$B$2,BF$41,$B$3,$AY$40,0)</f>
        <v>-2.4403147977753383E-6</v>
      </c>
      <c r="BG44" s="1" cm="1">
        <f t="array" ref="BG44">OptionTheta("C",$AX44,$B$2,BG$41,$B$3,$AY$40,0)</f>
        <v>-5.5300293586365474E-6</v>
      </c>
      <c r="BH44" s="1" cm="1">
        <f t="array" ref="BH44">OptionTheta("C",$AX44,$B$2,BH$41,$B$3,$AY$40,0)</f>
        <v>-1.0567656736874637E-5</v>
      </c>
      <c r="BI44" s="1" cm="1">
        <f t="array" ref="BI44">OptionTheta("C",$AX44,$B$2,BI$41,$B$3,$AY$40,0)</f>
        <v>-1.6861051482168664E-4</v>
      </c>
      <c r="BJ44" s="1" cm="1">
        <f t="array" ref="BJ44">OptionTheta("C",$AX44,$B$2,BJ$41,$B$3,$AY$40,0)</f>
        <v>-3.7299446871789585E-4</v>
      </c>
      <c r="BK44" s="1" cm="1">
        <f t="array" ref="BK44">OptionTheta("C",$AX44,$B$2,BK$41,$B$3,$AY$40,0)</f>
        <v>-5.1508329576400438E-4</v>
      </c>
      <c r="BL44" s="1" cm="1">
        <f t="array" ref="BL44">OptionTheta("C",$AX44,$B$2,BL$41,$B$3,$AY$40,0)</f>
        <v>-5.9398191304144328E-4</v>
      </c>
      <c r="BU44" s="142"/>
      <c r="BV44" s="14">
        <v>70</v>
      </c>
      <c r="BW44" s="1" cm="1">
        <f t="array" ref="BW44">OptionGamma($BV44,$B$2,BW$41,$B$3,$BW$40,0)</f>
        <v>7.2920970083606921E-29</v>
      </c>
      <c r="BX44" s="1" cm="1">
        <f t="array" ref="BX44">OptionGamma($BV44,$B$2,BX$41,$B$3,$BW$40,0)</f>
        <v>3.3439581371571196E-15</v>
      </c>
      <c r="BY44" s="1" cm="1">
        <f t="array" ref="BY44">OptionGamma($BV44,$B$2,BY$41,$B$3,$BW$40,0)</f>
        <v>1.0961347486332762E-10</v>
      </c>
      <c r="BZ44" s="1" cm="1">
        <f t="array" ref="BZ44">OptionGamma($BV44,$B$2,BZ$41,$B$3,$BW$40,0)</f>
        <v>1.9009673521623235E-8</v>
      </c>
      <c r="CA44" s="1" cm="1">
        <f t="array" ref="CA44">OptionGamma($BV44,$B$2,CA$41,$B$3,$BW$40,0)</f>
        <v>4.0857545005606393E-7</v>
      </c>
      <c r="CB44" s="1" cm="1">
        <f t="array" ref="CB44">OptionGamma($BV44,$B$2,CB$41,$B$3,$BW$40,0)</f>
        <v>3.1047063387496907E-6</v>
      </c>
      <c r="CC44" s="1" cm="1">
        <f t="array" ref="CC44">OptionGamma($BV44,$B$2,CC$41,$B$3,$BW$40,0)</f>
        <v>1.3055468334454289E-5</v>
      </c>
      <c r="CD44" s="1" cm="1">
        <f t="array" ref="CD44">OptionGamma($BV44,$B$2,CD$41,$B$3,$BW$40,0)</f>
        <v>3.7984667450688666E-5</v>
      </c>
      <c r="CE44" s="1" cm="1">
        <f t="array" ref="CE44">OptionGamma($BV44,$B$2,CE$41,$B$3,$BW$40,0)</f>
        <v>8.6540937665519212E-5</v>
      </c>
      <c r="CF44" s="1" cm="1">
        <f t="array" ref="CF44">OptionGamma($BV44,$B$2,CF$41,$B$3,$BW$40,0)</f>
        <v>1.6626343859570762E-4</v>
      </c>
      <c r="CG44" s="1" cm="1">
        <f t="array" ref="CG44">OptionGamma($BV44,$B$2,CG$41,$B$3,$BW$40,0)</f>
        <v>2.7966437332461501E-3</v>
      </c>
      <c r="CH44" s="1" cm="1">
        <f t="array" ref="CH44">OptionGamma($BV44,$B$2,CH$41,$B$3,$BW$40,0)</f>
        <v>6.5180762218454997E-3</v>
      </c>
      <c r="CI44" s="1" cm="1">
        <f t="array" ref="CI44">OptionGamma($BV44,$B$2,CI$41,$B$3,$BW$40,0)</f>
        <v>9.4835539632301003E-3</v>
      </c>
      <c r="CJ44" s="1" cm="1">
        <f t="array" ref="CJ44">OptionGamma($BV44,$B$2,CJ$41,$B$3,$BW$40,0)</f>
        <v>1.1528012005023357E-2</v>
      </c>
      <c r="CS44" s="145"/>
      <c r="CT44" s="14">
        <v>70</v>
      </c>
      <c r="CU44" s="1" cm="1">
        <f t="array" ref="CU44">OptionVega($CT44,$B$2,CU$41,$B$3,$CU$40,0)</f>
        <v>3.5731275340967404E-29</v>
      </c>
      <c r="CV44" s="1" cm="1">
        <f t="array" ref="CV44">OptionVega($CT44,$B$2,CV$41,$B$3,$CU$40,0)</f>
        <v>3.2770789744139775E-15</v>
      </c>
      <c r="CW44" s="1" cm="1">
        <f t="array" ref="CW44">OptionVega($CT44,$B$2,CW$41,$B$3,$CU$40,0)</f>
        <v>1.6113180804909157E-10</v>
      </c>
      <c r="CX44" s="1" cm="1">
        <f t="array" ref="CX44">OptionVega($CT44,$B$2,CX$41,$B$3,$CU$40,0)</f>
        <v>3.7258960102381551E-8</v>
      </c>
      <c r="CY44" s="1" cm="1">
        <f t="array" ref="CY44">OptionVega($CT44,$B$2,CY$41,$B$3,$CU$40,0)</f>
        <v>1.0010098526373569E-6</v>
      </c>
      <c r="CZ44" s="1" cm="1">
        <f t="array" ref="CZ44">OptionVega($CT44,$B$2,CZ$41,$B$3,$CU$40,0)</f>
        <v>9.1278366359240927E-6</v>
      </c>
      <c r="DA44" s="1" cm="1">
        <f t="array" ref="DA44">OptionVega($CT44,$B$2,DA$41,$B$3,$CU$40,0)</f>
        <v>4.478025638717822E-5</v>
      </c>
      <c r="DB44" s="1" cm="1">
        <f t="array" ref="DB44">OptionVega($CT44,$B$2,DB$41,$B$3,$CU$40,0)</f>
        <v>1.4889989640669957E-4</v>
      </c>
      <c r="DC44" s="1" cm="1">
        <f t="array" ref="DC44">OptionVega($CT44,$B$2,DC$41,$B$3,$CU$40,0)</f>
        <v>3.8164553510493981E-4</v>
      </c>
      <c r="DD44" s="1" cm="1">
        <f t="array" ref="DD44">OptionVega($CT44,$B$2,DD$41,$B$3,$CU$40,0)</f>
        <v>8.1469084911896749E-4</v>
      </c>
      <c r="DE44" s="1" cm="1">
        <f t="array" ref="DE44">OptionVega($CT44,$B$2,DE$41,$B$3,$CU$40,0)</f>
        <v>2.740710858581228E-2</v>
      </c>
      <c r="DF44" s="1" cm="1">
        <f t="array" ref="DF44">OptionVega($CT44,$B$2,DF$41,$B$3,$CU$40,0)</f>
        <v>9.581572046112885E-2</v>
      </c>
      <c r="DG44" s="1" cm="1">
        <f t="array" ref="DG44">OptionVega($CT44,$B$2,DG$41,$B$3,$CU$40,0)</f>
        <v>0.18587765767931</v>
      </c>
      <c r="DH44" s="1" cm="1">
        <f t="array" ref="DH44">OptionVega($CT44,$B$2,DH$41,$B$3,$CU$40,0)</f>
        <v>0.28243629412307231</v>
      </c>
      <c r="DQ44" s="130"/>
      <c r="DR44" s="14">
        <v>70</v>
      </c>
      <c r="DS44" s="1" cm="1">
        <f t="array" ref="DS44">OptionRho("C",$DR44,$B$2,DS$41,$B$3,$DS$40,0)</f>
        <v>9.954666886739304E-31</v>
      </c>
      <c r="DT44" s="1" cm="1">
        <f t="array" ref="DT44">OptionRho("C",$DR44,$B$2,DT$41,$B$3,$DS$40,0)</f>
        <v>1.8148881916339142E-16</v>
      </c>
      <c r="DU44" s="1" cm="1">
        <f t="array" ref="DU44">OptionRho("C",$DR44,$B$2,DU$41,$B$3,$DS$40,0)</f>
        <v>1.3307124507183836E-11</v>
      </c>
      <c r="DV44" s="1" cm="1">
        <f t="array" ref="DV44">OptionRho("C",$DR44,$B$2,DV$41,$B$3,$DS$40,0)</f>
        <v>4.0794980511215184E-9</v>
      </c>
      <c r="DW44" s="1" cm="1">
        <f t="array" ref="DW44">OptionRho("C",$DR44,$B$2,DW$41,$B$3,$DS$40,0)</f>
        <v>1.3625021969122364E-7</v>
      </c>
      <c r="DX44" s="1" cm="1">
        <f t="array" ref="DX44">OptionRho("C",$DR44,$B$2,DX$41,$B$3,$DS$40,0)</f>
        <v>1.4829729609667339E-6</v>
      </c>
      <c r="DY44" s="1" cm="1">
        <f t="array" ref="DY44">OptionRho("C",$DR44,$B$2,DY$41,$B$3,$DS$40,0)</f>
        <v>8.4440564273303502E-6</v>
      </c>
      <c r="DZ44" s="1" cm="1">
        <f t="array" ref="DZ44">OptionRho("C",$DR44,$B$2,DZ$41,$B$3,$DS$40,0)</f>
        <v>3.1927561083099139E-5</v>
      </c>
      <c r="EA44" s="1" cm="1">
        <f t="array" ref="EA44">OptionRho("C",$DR44,$B$2,EA$41,$B$3,$DS$40,0)</f>
        <v>9.1613031212593103E-5</v>
      </c>
      <c r="EB44" s="1" cm="1">
        <f t="array" ref="EB44">OptionRho("C",$DR44,$B$2,EB$41,$B$3,$DS$40,0)</f>
        <v>2.1625953663559442E-4</v>
      </c>
      <c r="EC44" s="1" cm="1">
        <f t="array" ref="EC44">OptionRho("C",$DR44,$B$2,EC$41,$B$3,$DS$40,0)</f>
        <v>1.3949867109230144E-2</v>
      </c>
      <c r="ED44" s="1" cm="1">
        <f t="array" ref="ED44">OptionRho("C",$DR44,$B$2,ED$41,$B$3,$DS$40,0)</f>
        <v>7.0649659059548314E-2</v>
      </c>
      <c r="EE44" s="1" cm="1">
        <f t="array" ref="EE44">OptionRho("C",$DR44,$B$2,EE$41,$B$3,$DS$40,0)</f>
        <v>0.17736667658110342</v>
      </c>
      <c r="EF44" s="1" cm="1">
        <f t="array" ref="EF44">OptionRho("C",$DR44,$B$2,EF$41,$B$3,$DS$40,0)</f>
        <v>0.3281644793147272</v>
      </c>
      <c r="EP44" s="130"/>
      <c r="EQ44" s="14">
        <v>70</v>
      </c>
      <c r="ER44" s="1" cm="1">
        <f t="array" ref="ER44">OptionRho("C",$DR44,$B$2,ER$41,$D$3,$DS$40,0)</f>
        <v>1.2533746694710647E-23</v>
      </c>
      <c r="ES44" s="1" cm="1">
        <f t="array" ref="ES44">OptionRho("C",$DR44,$B$2,ES$41,$D$3,$DS$40,0)</f>
        <v>7.5307841655962746E-10</v>
      </c>
      <c r="ET44" s="1" cm="1">
        <f t="array" ref="ET44">OptionRho("C",$DR44,$B$2,ET$41,$D$3,$DS$40,0)</f>
        <v>1.8625674264355892E-5</v>
      </c>
      <c r="EU44" s="1" cm="1">
        <f t="array" ref="EU44">OptionRho("C",$DR44,$B$2,EU$41,$D$3,$DS$40,0)</f>
        <v>1.9832549683878125E-3</v>
      </c>
      <c r="EV44" s="1" cm="1">
        <f t="array" ref="EV44">OptionRho("C",$DR44,$B$2,EV$41,$D$3,$DS$40,0)</f>
        <v>2.386953534189672E-2</v>
      </c>
      <c r="EW44" s="1" cm="1">
        <f t="array" ref="EW44">OptionRho("C",$DR44,$B$2,EW$41,$D$3,$DS$40,0)</f>
        <v>9.8024146893233327E-2</v>
      </c>
      <c r="EX44" s="1" cm="1">
        <f t="array" ref="EX44">OptionRho("C",$DR44,$B$2,EX$41,$D$3,$DS$40,0)</f>
        <v>0.22276719546869028</v>
      </c>
      <c r="EY44" s="1" cm="1">
        <f t="array" ref="EY44">OptionRho("C",$DR44,$B$2,EY$41,$D$3,$DS$40,0)</f>
        <v>0.35924383134718846</v>
      </c>
      <c r="EZ44" s="1" cm="1">
        <f t="array" ref="EZ44">OptionRho("C",$DR44,$B$2,EZ$41,$D$3,$DS$40,0)</f>
        <v>0.47369151166125295</v>
      </c>
      <c r="FA44" s="1" cm="1">
        <f t="array" ref="FA44">OptionRho("C",$DR44,$B$2,FA$41,$D$3,$DS$40,0)</f>
        <v>0.55601027931765445</v>
      </c>
      <c r="FB44" s="1" cm="1">
        <f t="array" ref="FB44">OptionRho("C",$DR44,$B$2,FB$41,$D$3,$DS$40,0)</f>
        <v>0.73575611422275422</v>
      </c>
      <c r="FC44" s="1" cm="1">
        <f t="array" ref="FC44">OptionRho("C",$DR44,$B$2,FC$41,$D$3,$DS$40,0)</f>
        <v>0.66939048042086113</v>
      </c>
      <c r="FD44" s="1" cm="1">
        <f t="array" ref="FD44">OptionRho("C",$DR44,$B$2,FD$41,$D$3,$DS$40,0)</f>
        <v>0.5413411329464507</v>
      </c>
      <c r="FE44" s="1" cm="1">
        <f t="array" ref="FE44">OptionRho("C",$DR44,$B$2,FE$41,$D$3,$DS$40,0)</f>
        <v>0.41042499311949399</v>
      </c>
    </row>
    <row r="45" spans="1:161" x14ac:dyDescent="0.2">
      <c r="A45" s="133"/>
      <c r="B45" s="14">
        <v>75</v>
      </c>
      <c r="C45" s="1" cm="1">
        <f t="array" ref="C45">OptionPrice("C",$B45,$B$2,C$41,$B$3,$C$40,0)</f>
        <v>1.8261957994063713E-20</v>
      </c>
      <c r="D45" s="1" cm="1">
        <f t="array" ref="D45">OptionPrice("C",$B45,$B$2,D$41,$B$3,$C$40,0)</f>
        <v>4.8637894515099881E-11</v>
      </c>
      <c r="E45" s="1" cm="1">
        <f t="array" ref="E45">OptionPrice("C",$B45,$B$2,E$41,$B$3,$C$40,0)</f>
        <v>8.6161515321586608E-8</v>
      </c>
      <c r="F45" s="1" cm="1">
        <f t="array" ref="F45">OptionPrice("C",$B45,$B$2,F$41,$B$3,$C$40,0)</f>
        <v>4.0734082753137303E-6</v>
      </c>
      <c r="G45" s="1" cm="1">
        <f t="array" ref="G45">OptionPrice("C",$B45,$B$2,G$41,$B$3,$C$40,0)</f>
        <v>4.4062896470022875E-5</v>
      </c>
      <c r="H45" s="1" cm="1">
        <f t="array" ref="H45">OptionPrice("C",$B45,$B$2,H$41,$B$3,$C$40,0)</f>
        <v>2.2519656307245367E-4</v>
      </c>
      <c r="I45" s="1" cm="1">
        <f t="array" ref="I45">OptionPrice("C",$B45,$B$2,I$41,$B$3,$C$40,0)</f>
        <v>7.4469179174152522E-4</v>
      </c>
      <c r="J45" s="1" cm="1">
        <f t="array" ref="J45">OptionPrice("C",$B45,$B$2,J$41,$B$3,$C$40,0)</f>
        <v>1.8679896275579366E-3</v>
      </c>
      <c r="K45" s="1" cm="1">
        <f t="array" ref="K45">OptionPrice("C",$B45,$B$2,K$41,$B$3,$C$40,0)</f>
        <v>3.8864022340582005E-3</v>
      </c>
      <c r="L45" s="1" cm="1">
        <f t="array" ref="L45">OptionPrice("C",$B45,$B$2,L$41,$B$3,$C$40,0)</f>
        <v>7.0798671445624628E-3</v>
      </c>
      <c r="M45" s="1" cm="1">
        <f t="array" ref="M45">OptionPrice("C",$B45,$B$2,M$41,$B$3,$C$40,0)</f>
        <v>0.13630480096416431</v>
      </c>
      <c r="N45" s="1" cm="1">
        <f t="array" ref="N45">OptionPrice("C",$B45,$B$2,N$41,$B$3,$C$40,0)</f>
        <v>0.44411394728174614</v>
      </c>
      <c r="O45" s="1" cm="1">
        <f t="array" ref="O45">OptionPrice("C",$B45,$B$2,O$41,$B$3,$C$40,0)</f>
        <v>0.87684904884574344</v>
      </c>
      <c r="P45" s="1" cm="1">
        <f t="array" ref="P45">OptionPrice("C",$B45,$B$2,P$41,$B$3,$C$40,0)</f>
        <v>1.388178731557927</v>
      </c>
      <c r="Y45" s="136"/>
      <c r="Z45" s="14">
        <v>75</v>
      </c>
      <c r="AA45" s="1" cm="1">
        <f t="array" ref="AA45">OptionDelta("C",$Z45,$B$2,AA$41,$B$3,$AA$40,0)</f>
        <v>7.1568181094979558E-20</v>
      </c>
      <c r="AB45" s="1" cm="1">
        <f t="array" ref="AB45">OptionDelta("C",$Z45,$B$2,AB$41,$B$3,$AA$40,0)</f>
        <v>9.7210253802256359E-11</v>
      </c>
      <c r="AC45" s="1" cm="1">
        <f t="array" ref="AC45">OptionDelta("C",$Z45,$B$2,AC$41,$B$3,$AA$40,0)</f>
        <v>1.1693829518833768E-7</v>
      </c>
      <c r="AD45" s="1" cm="1">
        <f t="array" ref="AD45">OptionDelta("C",$Z45,$B$2,AD$41,$B$3,$AA$40,0)</f>
        <v>4.2184867637814504E-6</v>
      </c>
      <c r="AE45" s="1" cm="1">
        <f t="array" ref="AE45">OptionDelta("C",$Z45,$B$2,AE$41,$B$3,$AA$40,0)</f>
        <v>3.7104262232348042E-5</v>
      </c>
      <c r="AF45" s="1" cm="1">
        <f t="array" ref="AF45">OptionDelta("C",$Z45,$B$2,AF$41,$B$3,$AA$40,0)</f>
        <v>1.6047856986437615E-4</v>
      </c>
      <c r="AG45" s="1" cm="1">
        <f t="array" ref="AG45">OptionDelta("C",$Z45,$B$2,AG$41,$B$3,$AA$40,0)</f>
        <v>4.6157184850289515E-4</v>
      </c>
      <c r="AH45" s="1" cm="1">
        <f t="array" ref="AH45">OptionDelta("C",$Z45,$B$2,AH$41,$B$3,$AA$40,0)</f>
        <v>1.0273171406440292E-3</v>
      </c>
      <c r="AI45" s="1" cm="1">
        <f t="array" ref="AI45">OptionDelta("C",$Z45,$B$2,AI$41,$B$3,$AA$40,0)</f>
        <v>1.9253955209529885E-3</v>
      </c>
      <c r="AJ45" s="1" cm="1">
        <f t="array" ref="AJ45">OptionDelta("C",$Z45,$B$2,AJ$41,$B$3,$AA$40,0)</f>
        <v>3.1973886164727121E-3</v>
      </c>
      <c r="AK45" s="1" cm="1">
        <f t="array" ref="AK45">OptionDelta("C",$Z45,$B$2,AK$41,$B$3,$AA$40,0)</f>
        <v>3.4220862001572698E-2</v>
      </c>
      <c r="AL45" s="1" cm="1">
        <f t="array" ref="AL45">OptionDelta("C",$Z45,$B$2,AL$41,$B$3,$AA$40,0)</f>
        <v>8.0588258967957058E-2</v>
      </c>
      <c r="AM45" s="1" cm="1">
        <f t="array" ref="AM45">OptionDelta("C",$Z45,$B$2,AM$41,$B$3,$AA$40,0)</f>
        <v>0.127474584567597</v>
      </c>
      <c r="AN45" s="1" cm="1">
        <f t="array" ref="AN45">OptionDelta("C",$Z45,$B$2,AN$41,$B$3,$AA$40,0)</f>
        <v>0.17076585813219761</v>
      </c>
      <c r="AW45" s="139"/>
      <c r="AX45" s="14">
        <v>75</v>
      </c>
      <c r="AY45" s="1" cm="1">
        <f t="array" ref="AY45">OptionTheta("C",$AX45,$B$2,AY$41,$B$3,$AY$40,0)</f>
        <v>-2.1147119037623106E-20</v>
      </c>
      <c r="AZ45" s="1" cm="1">
        <f t="array" ref="AZ45">OptionTheta("C",$AX45,$B$2,AZ$41,$B$3,$AY$40,0)</f>
        <v>-1.4353017789604989E-11</v>
      </c>
      <c r="BA45" s="1" cm="1">
        <f t="array" ref="BA45">OptionTheta("C",$AX45,$B$2,BA$41,$B$3,$AY$40,0)</f>
        <v>-1.1499994926423536E-8</v>
      </c>
      <c r="BB45" s="1" cm="1">
        <f t="array" ref="BB45">OptionTheta("C",$AX45,$B$2,BB$41,$B$3,$AY$40,0)</f>
        <v>-3.1077582786395914E-7</v>
      </c>
      <c r="BC45" s="1" cm="1">
        <f t="array" ref="BC45">OptionTheta("C",$AX45,$B$2,BC$41,$B$3,$AY$40,0)</f>
        <v>-2.183700132075416E-6</v>
      </c>
      <c r="BD45" s="1" cm="1">
        <f t="array" ref="BD45">OptionTheta("C",$AX45,$B$2,BD$41,$B$3,$AY$40,0)</f>
        <v>-7.8578622005984244E-6</v>
      </c>
      <c r="BE45" s="1" cm="1">
        <f t="array" ref="BE45">OptionTheta("C",$AX45,$B$2,BE$41,$B$3,$AY$40,0)</f>
        <v>-1.9337425832125605E-5</v>
      </c>
      <c r="BF45" s="1" cm="1">
        <f t="array" ref="BF45">OptionTheta("C",$AX45,$B$2,BF$41,$B$3,$AY$40,0)</f>
        <v>-3.7585237622209033E-5</v>
      </c>
      <c r="BG45" s="1" cm="1">
        <f t="array" ref="BG45">OptionTheta("C",$AX45,$B$2,BG$41,$B$3,$AY$40,0)</f>
        <v>-6.24824836601744E-5</v>
      </c>
      <c r="BH45" s="1" cm="1">
        <f t="array" ref="BH45">OptionTheta("C",$AX45,$B$2,BH$41,$B$3,$AY$40,0)</f>
        <v>-9.3173479554957279E-5</v>
      </c>
      <c r="BI45" s="1" cm="1">
        <f t="array" ref="BI45">OptionTheta("C",$AX45,$B$2,BI$41,$B$3,$AY$40,0)</f>
        <v>-4.8448413083600368E-4</v>
      </c>
      <c r="BJ45" s="1" cm="1">
        <f t="array" ref="BJ45">OptionTheta("C",$AX45,$B$2,BJ$41,$B$3,$AY$40,0)</f>
        <v>-7.3331171544938284E-4</v>
      </c>
      <c r="BK45" s="1" cm="1">
        <f t="array" ref="BK45">OptionTheta("C",$AX45,$B$2,BK$41,$B$3,$AY$40,0)</f>
        <v>-8.341030260438743E-4</v>
      </c>
      <c r="BL45" s="1" cm="1">
        <f t="array" ref="BL45">OptionTheta("C",$AX45,$B$2,BL$41,$B$3,$AY$40,0)</f>
        <v>-8.5319082506419338E-4</v>
      </c>
      <c r="BU45" s="142"/>
      <c r="BV45" s="14">
        <v>75</v>
      </c>
      <c r="BW45" s="1" cm="1">
        <f t="array" ref="BW45">OptionGamma($BV45,$B$2,BW$41,$B$3,$BW$40,0)</f>
        <v>2.7634460319906583E-19</v>
      </c>
      <c r="BX45" s="1" cm="1">
        <f t="array" ref="BX45">OptionGamma($BV45,$B$2,BX$41,$B$3,$BW$40,0)</f>
        <v>1.8884525527510619E-10</v>
      </c>
      <c r="BY45" s="1" cm="1">
        <f t="array" ref="BY45">OptionGamma($BV45,$B$2,BY$41,$B$3,$BW$40,0)</f>
        <v>1.5233209793360453E-7</v>
      </c>
      <c r="BZ45" s="1" cm="1">
        <f t="array" ref="BZ45">OptionGamma($BV45,$B$2,BZ$41,$B$3,$BW$40,0)</f>
        <v>4.1442242901485517E-6</v>
      </c>
      <c r="CA45" s="1" cm="1">
        <f t="array" ref="CA45">OptionGamma($BV45,$B$2,CA$41,$B$3,$BW$40,0)</f>
        <v>2.9313355232607553E-5</v>
      </c>
      <c r="CB45" s="1" cm="1">
        <f t="array" ref="CB45">OptionGamma($BV45,$B$2,CB$41,$B$3,$BW$40,0)</f>
        <v>1.0617694808839046E-4</v>
      </c>
      <c r="CC45" s="1" cm="1">
        <f t="array" ref="CC45">OptionGamma($BV45,$B$2,CC$41,$B$3,$BW$40,0)</f>
        <v>2.630006185665992E-4</v>
      </c>
      <c r="CD45" s="1" cm="1">
        <f t="array" ref="CD45">OptionGamma($BV45,$B$2,CD$41,$B$3,$BW$40,0)</f>
        <v>5.1450381124671068E-4</v>
      </c>
      <c r="CE45" s="1" cm="1">
        <f t="array" ref="CE45">OptionGamma($BV45,$B$2,CE$41,$B$3,$BW$40,0)</f>
        <v>8.6084583659867776E-4</v>
      </c>
      <c r="CF45" s="1" cm="1">
        <f t="array" ref="CF45">OptionGamma($BV45,$B$2,CF$41,$B$3,$BW$40,0)</f>
        <v>1.2919311227899846E-3</v>
      </c>
      <c r="CG45" s="1" cm="1">
        <f t="array" ref="CG45">OptionGamma($BV45,$B$2,CG$41,$B$3,$BW$40,0)</f>
        <v>7.1516197776597054E-3</v>
      </c>
      <c r="CH45" s="1" cm="1">
        <f t="array" ref="CH45">OptionGamma($BV45,$B$2,CH$41,$B$3,$BW$40,0)</f>
        <v>1.150786954283289E-2</v>
      </c>
      <c r="CI45" s="1" cm="1">
        <f t="array" ref="CI45">OptionGamma($BV45,$B$2,CI$41,$B$3,$BW$40,0)</f>
        <v>1.3912357420204602E-2</v>
      </c>
      <c r="CJ45" s="1" cm="1">
        <f t="array" ref="CJ45">OptionGamma($BV45,$B$2,CJ$41,$B$3,$BW$40,0)</f>
        <v>1.5132702486471092E-2</v>
      </c>
      <c r="CS45" s="145"/>
      <c r="CT45" s="14">
        <v>75</v>
      </c>
      <c r="CU45" s="1" cm="1">
        <f t="array" ref="CU45">OptionVega($CT45,$B$2,CU$41,$B$3,$CU$40,0)</f>
        <v>1.5544383929947457E-19</v>
      </c>
      <c r="CV45" s="1" cm="1">
        <f t="array" ref="CV45">OptionVega($CT45,$B$2,CV$41,$B$3,$CU$40,0)</f>
        <v>2.1245091218449448E-10</v>
      </c>
      <c r="CW45" s="1" cm="1">
        <f t="array" ref="CW45">OptionVega($CT45,$B$2,CW$41,$B$3,$CU$40,0)</f>
        <v>2.5706041526295764E-7</v>
      </c>
      <c r="CX45" s="1" cm="1">
        <f t="array" ref="CX45">OptionVega($CT45,$B$2,CX$41,$B$3,$CU$40,0)</f>
        <v>9.3245046528342434E-6</v>
      </c>
      <c r="CY45" s="1" cm="1">
        <f t="array" ref="CY45">OptionVega($CT45,$B$2,CY$41,$B$3,$CU$40,0)</f>
        <v>8.2443811591708765E-5</v>
      </c>
      <c r="CZ45" s="1" cm="1">
        <f t="array" ref="CZ45">OptionVega($CT45,$B$2,CZ$41,$B$3,$CU$40,0)</f>
        <v>3.5834719979831788E-4</v>
      </c>
      <c r="DA45" s="1" cm="1">
        <f t="array" ref="DA45">OptionVega($CT45,$B$2,DA$41,$B$3,$CU$40,0)</f>
        <v>1.0355649356059843E-3</v>
      </c>
      <c r="DB45" s="1" cm="1">
        <f t="array" ref="DB45">OptionVega($CT45,$B$2,DB$41,$B$3,$CU$40,0)</f>
        <v>2.3152671506101981E-3</v>
      </c>
      <c r="DC45" s="1" cm="1">
        <f t="array" ref="DC45">OptionVega($CT45,$B$2,DC$41,$B$3,$CU$40,0)</f>
        <v>4.3580320477808058E-3</v>
      </c>
      <c r="DD45" s="1" cm="1">
        <f t="array" ref="DD45">OptionVega($CT45,$B$2,DD$41,$B$3,$CU$40,0)</f>
        <v>7.267112565693663E-3</v>
      </c>
      <c r="DE45" s="1" cm="1">
        <f t="array" ref="DE45">OptionVega($CT45,$B$2,DE$41,$B$3,$CU$40,0)</f>
        <v>8.0455722498671708E-2</v>
      </c>
      <c r="DF45" s="1" cm="1">
        <f t="array" ref="DF45">OptionVega($CT45,$B$2,DF$41,$B$3,$CU$40,0)</f>
        <v>0.19419529853530501</v>
      </c>
      <c r="DG45" s="1" cm="1">
        <f t="array" ref="DG45">OptionVega($CT45,$B$2,DG$41,$B$3,$CU$40,0)</f>
        <v>0.31302804195460354</v>
      </c>
      <c r="DH45" s="1" cm="1">
        <f t="array" ref="DH45">OptionVega($CT45,$B$2,DH$41,$B$3,$CU$40,0)</f>
        <v>0.42560725743199956</v>
      </c>
      <c r="DQ45" s="130"/>
      <c r="DR45" s="14">
        <v>75</v>
      </c>
      <c r="DS45" s="1" cm="1">
        <f t="array" ref="DS45">OptionRho("C",$DR45,$B$2,DS$41,$B$3,$DS$40,0)</f>
        <v>5.3493516241294045E-21</v>
      </c>
      <c r="DT45" s="1" cm="1">
        <f t="array" ref="DT45">OptionRho("C",$DR45,$B$2,DT$41,$B$3,$DS$40,0)</f>
        <v>1.4484262281308254E-11</v>
      </c>
      <c r="DU45" s="1" cm="1">
        <f t="array" ref="DU45">OptionRho("C",$DR45,$B$2,DU$41,$B$3,$DS$40,0)</f>
        <v>2.6052631871411217E-8</v>
      </c>
      <c r="DV45" s="1" cm="1">
        <f t="array" ref="DV45">OptionRho("C",$DR45,$B$2,DV$41,$B$3,$DS$40,0)</f>
        <v>1.2492523960331803E-6</v>
      </c>
      <c r="DW45" s="1" cm="1">
        <f t="array" ref="DW45">OptionRho("C",$DR45,$B$2,DW$41,$B$3,$DS$40,0)</f>
        <v>1.3693783854780401E-5</v>
      </c>
      <c r="DX45" s="1" cm="1">
        <f t="array" ref="DX45">OptionRho("C",$DR45,$B$2,DX$41,$B$3,$DS$40,0)</f>
        <v>7.0864177060534547E-5</v>
      </c>
      <c r="DY45" s="1" cm="1">
        <f t="array" ref="DY45">OptionRho("C",$DR45,$B$2,DY$41,$B$3,$DS$40,0)</f>
        <v>2.3711237792182926E-4</v>
      </c>
      <c r="DZ45" s="1" cm="1">
        <f t="array" ref="DZ45">OptionRho("C",$DR45,$B$2,DZ$41,$B$3,$DS$40,0)</f>
        <v>6.0144636736595401E-4</v>
      </c>
      <c r="EA45" s="1" cm="1">
        <f t="array" ref="EA45">OptionRho("C",$DR45,$B$2,EA$41,$B$3,$DS$40,0)</f>
        <v>1.2646643565367435E-3</v>
      </c>
      <c r="EB45" s="1" cm="1">
        <f t="array" ref="EB45">OptionRho("C",$DR45,$B$2,EB$41,$B$3,$DS$40,0)</f>
        <v>2.3272427909089093E-3</v>
      </c>
      <c r="EC45" s="1" cm="1">
        <f t="array" ref="EC45">OptionRho("C",$DR45,$B$2,EC$41,$B$3,$DS$40,0)</f>
        <v>4.8605196983075763E-2</v>
      </c>
      <c r="ED45" s="1" cm="1">
        <f t="array" ref="ED45">OptionRho("C",$DR45,$B$2,ED$41,$B$3,$DS$40,0)</f>
        <v>0.16800016425945097</v>
      </c>
      <c r="EE45" s="1" cm="1">
        <f t="array" ref="EE45">OptionRho("C",$DR45,$B$2,EE$41,$B$3,$DS$40,0)</f>
        <v>0.34734979174896125</v>
      </c>
      <c r="EF45" s="1" cm="1">
        <f t="array" ref="EF45">OptionRho("C",$DR45,$B$2,EF$41,$B$3,$DS$40,0)</f>
        <v>0.57096303141784466</v>
      </c>
      <c r="EP45" s="130"/>
      <c r="EQ45" s="14">
        <v>75</v>
      </c>
      <c r="ER45" s="1" cm="1">
        <f t="array" ref="ER45">OptionRho("C",$DR45,$B$2,ER$41,$D$3,$DS$40,0)</f>
        <v>2.3769892210799748E-15</v>
      </c>
      <c r="ES45" s="1" cm="1">
        <f t="array" ref="ES45">OptionRho("C",$DR45,$B$2,ES$41,$D$3,$DS$40,0)</f>
        <v>2.2197800719467327E-6</v>
      </c>
      <c r="ET45" s="1" cm="1">
        <f t="array" ref="ET45">OptionRho("C",$DR45,$B$2,ET$41,$D$3,$DS$40,0)</f>
        <v>1.4266572442410658E-3</v>
      </c>
      <c r="EU45" s="1" cm="1">
        <f t="array" ref="EU45">OptionRho("C",$DR45,$B$2,EU$41,$D$3,$DS$40,0)</f>
        <v>2.5575728704551128E-2</v>
      </c>
      <c r="EV45" s="1" cm="1">
        <f t="array" ref="EV45">OptionRho("C",$DR45,$B$2,EV$41,$D$3,$DS$40,0)</f>
        <v>0.11095150689024949</v>
      </c>
      <c r="EW45" s="1" cm="1">
        <f t="array" ref="EW45">OptionRho("C",$DR45,$B$2,EW$41,$D$3,$DS$40,0)</f>
        <v>0.2435253997136704</v>
      </c>
      <c r="EX45" s="1" cm="1">
        <f t="array" ref="EX45">OptionRho("C",$DR45,$B$2,EX$41,$D$3,$DS$40,0)</f>
        <v>0.37438836881459481</v>
      </c>
      <c r="EY45" s="1" cm="1">
        <f t="array" ref="EY45">OptionRho("C",$DR45,$B$2,EY$41,$D$3,$DS$40,0)</f>
        <v>0.47569036041836071</v>
      </c>
      <c r="EZ45" s="1" cm="1">
        <f t="array" ref="EZ45">OptionRho("C",$DR45,$B$2,EZ$41,$D$3,$DS$40,0)</f>
        <v>0.5462615568527055</v>
      </c>
      <c r="FA45" s="1" cm="1">
        <f t="array" ref="FA45">OptionRho("C",$DR45,$B$2,FA$41,$D$3,$DS$40,0)</f>
        <v>0.59495938958649819</v>
      </c>
      <c r="FB45" s="1" cm="1">
        <f t="array" ref="FB45">OptionRho("C",$DR45,$B$2,FB$41,$D$3,$DS$40,0)</f>
        <v>0.73575863108317341</v>
      </c>
      <c r="FC45" s="1" cm="1">
        <f t="array" ref="FC45">OptionRho("C",$DR45,$B$2,FC$41,$D$3,$DS$40,0)</f>
        <v>0.66939048044369809</v>
      </c>
      <c r="FD45" s="1" cm="1">
        <f t="array" ref="FD45">OptionRho("C",$DR45,$B$2,FD$41,$D$3,$DS$40,0)</f>
        <v>0.54134113294645081</v>
      </c>
      <c r="FE45" s="1" cm="1">
        <f t="array" ref="FE45">OptionRho("C",$DR45,$B$2,FE$41,$D$3,$DS$40,0)</f>
        <v>0.41042499311949399</v>
      </c>
    </row>
    <row r="46" spans="1:161" x14ac:dyDescent="0.2">
      <c r="A46" s="133"/>
      <c r="B46" s="14">
        <v>80</v>
      </c>
      <c r="C46" s="1" cm="1">
        <f t="array" ref="C46">OptionPrice("C",$B46,$B$2,C$41,$B$3,$C$40,0)</f>
        <v>4.1538204558593016E-13</v>
      </c>
      <c r="D46" s="1" cm="1">
        <f t="array" ref="D46">OptionPrice("C",$B46,$B$2,D$41,$B$3,$C$40,0)</f>
        <v>2.8655428366045044E-7</v>
      </c>
      <c r="E46" s="1" cm="1">
        <f t="array" ref="E46">OptionPrice("C",$B46,$B$2,E$41,$B$3,$C$40,0)</f>
        <v>3.2076573792578795E-5</v>
      </c>
      <c r="F46" s="1" cm="1">
        <f t="array" ref="F46">OptionPrice("C",$B46,$B$2,F$41,$B$3,$C$40,0)</f>
        <v>3.7915323047008759E-4</v>
      </c>
      <c r="G46" s="1" cm="1">
        <f t="array" ref="G46">OptionPrice("C",$B46,$B$2,G$41,$B$3,$C$40,0)</f>
        <v>1.7788632132481053E-3</v>
      </c>
      <c r="H46" s="1" cm="1">
        <f t="array" ref="H46">OptionPrice("C",$B46,$B$2,H$41,$B$3,$C$40,0)</f>
        <v>5.1956985882170847E-3</v>
      </c>
      <c r="I46" s="1" cm="1">
        <f t="array" ref="I46">OptionPrice("C",$B46,$B$2,I$41,$B$3,$C$40,0)</f>
        <v>1.149877860816656E-2</v>
      </c>
      <c r="J46" s="1" cm="1">
        <f t="array" ref="J46">OptionPrice("C",$B46,$B$2,J$41,$B$3,$C$40,0)</f>
        <v>2.1310381194429961E-2</v>
      </c>
      <c r="K46" s="1" cm="1">
        <f t="array" ref="K46">OptionPrice("C",$B46,$B$2,K$41,$B$3,$C$40,0)</f>
        <v>3.4994583245972377E-2</v>
      </c>
      <c r="L46" s="1" cm="1">
        <f t="array" ref="L46">OptionPrice("C",$B46,$B$2,L$41,$B$3,$C$40,0)</f>
        <v>5.2704445187429005E-2</v>
      </c>
      <c r="M46" s="1" cm="1">
        <f t="array" ref="M46">OptionPrice("C",$B46,$B$2,M$41,$B$3,$C$40,0)</f>
        <v>0.4228185934526838</v>
      </c>
      <c r="N46" s="1" cm="1">
        <f t="array" ref="N46">OptionPrice("C",$B46,$B$2,N$41,$B$3,$C$40,0)</f>
        <v>1.01380175035783</v>
      </c>
      <c r="O46" s="1" cm="1">
        <f t="array" ref="O46">OptionPrice("C",$B46,$B$2,O$41,$B$3,$C$40,0)</f>
        <v>1.7055733783817857</v>
      </c>
      <c r="P46" s="1" cm="1">
        <f t="array" ref="P46">OptionPrice("C",$B46,$B$2,P$41,$B$3,$C$40,0)</f>
        <v>2.4438481973260018</v>
      </c>
      <c r="Y46" s="136"/>
      <c r="Z46" s="14">
        <v>80</v>
      </c>
      <c r="AA46" s="1" cm="1">
        <f t="array" ref="AA46">OptionDelta("C",$Z46,$B$2,AA$41,$B$3,$AA$40,0)</f>
        <v>1.2002701474206063E-12</v>
      </c>
      <c r="AB46" s="1" cm="1">
        <f t="array" ref="AB46">OptionDelta("C",$Z46,$B$2,AB$41,$B$3,$AA$40,0)</f>
        <v>4.2709800292238633E-7</v>
      </c>
      <c r="AC46" s="1" cm="1">
        <f t="array" ref="AC46">OptionDelta("C",$Z46,$B$2,AC$41,$B$3,$AA$40,0)</f>
        <v>3.2777591453569817E-5</v>
      </c>
      <c r="AD46" s="1" cm="1">
        <f t="array" ref="AD46">OptionDelta("C",$Z46,$B$2,AD$41,$B$3,$AA$40,0)</f>
        <v>2.9809587513643615E-4</v>
      </c>
      <c r="AE46" s="1" cm="1">
        <f t="array" ref="AE46">OptionDelta("C",$Z46,$B$2,AE$41,$B$3,$AA$40,0)</f>
        <v>1.1455014907192074E-3</v>
      </c>
      <c r="AF46" s="1" cm="1">
        <f t="array" ref="AF46">OptionDelta("C",$Z46,$B$2,AF$41,$B$3,$AA$40,0)</f>
        <v>2.8497945838167173E-3</v>
      </c>
      <c r="AG46" s="1" cm="1">
        <f t="array" ref="AG46">OptionDelta("C",$Z46,$B$2,AG$41,$B$3,$AA$40,0)</f>
        <v>5.5176887334378597E-3</v>
      </c>
      <c r="AH46" s="1" cm="1">
        <f t="array" ref="AH46">OptionDelta("C",$Z46,$B$2,AH$41,$B$3,$AA$40,0)</f>
        <v>9.1213054737095019E-3</v>
      </c>
      <c r="AI46" s="1" cm="1">
        <f t="array" ref="AI46">OptionDelta("C",$Z46,$B$2,AI$41,$B$3,$AA$40,0)</f>
        <v>1.3558236229164227E-2</v>
      </c>
      <c r="AJ46" s="1" cm="1">
        <f t="array" ref="AJ46">OptionDelta("C",$Z46,$B$2,AJ$41,$B$3,$AA$40,0)</f>
        <v>1.8697030468110401E-2</v>
      </c>
      <c r="AK46" s="1" cm="1">
        <f t="array" ref="AK46">OptionDelta("C",$Z46,$B$2,AK$41,$B$3,$AA$40,0)</f>
        <v>8.6011681908250856E-2</v>
      </c>
      <c r="AL46" s="1" cm="1">
        <f t="array" ref="AL46">OptionDelta("C",$Z46,$B$2,AL$41,$B$3,$AA$40,0)</f>
        <v>0.15185446032881006</v>
      </c>
      <c r="AM46" s="1" cm="1">
        <f t="array" ref="AM46">OptionDelta("C",$Z46,$B$2,AM$41,$B$3,$AA$40,0)</f>
        <v>0.20733079045218472</v>
      </c>
      <c r="AN46" s="1" cm="1">
        <f t="array" ref="AN46">OptionDelta("C",$Z46,$B$2,AN$41,$B$3,$AA$40,0)</f>
        <v>0.25381961865942948</v>
      </c>
      <c r="AW46" s="139"/>
      <c r="AX46" s="14">
        <v>80</v>
      </c>
      <c r="AY46" s="1" cm="1">
        <f t="array" ref="AY46">OptionTheta("C",$AX46,$B$2,AY$41,$B$3,$AY$40,0)</f>
        <v>-2.9463717909451377E-13</v>
      </c>
      <c r="AZ46" s="1" cm="1">
        <f t="array" ref="AZ46">OptionTheta("C",$AX46,$B$2,AZ$41,$B$3,$AY$40,0)</f>
        <v>-5.2569916846475414E-8</v>
      </c>
      <c r="BA46" s="1" cm="1">
        <f t="array" ref="BA46">OptionTheta("C",$AX46,$B$2,BA$41,$B$3,$AY$40,0)</f>
        <v>-2.6951835053998341E-6</v>
      </c>
      <c r="BB46" s="1" cm="1">
        <f t="array" ref="BB46">OptionTheta("C",$AX46,$B$2,BB$41,$B$3,$AY$40,0)</f>
        <v>-1.8409542884615869E-5</v>
      </c>
      <c r="BC46" s="1" cm="1">
        <f t="array" ref="BC46">OptionTheta("C",$AX46,$B$2,BC$41,$B$3,$AY$40,0)</f>
        <v>-5.6643814792192585E-5</v>
      </c>
      <c r="BD46" s="1" cm="1">
        <f t="array" ref="BD46">OptionTheta("C",$AX46,$B$2,BD$41,$B$3,$AY$40,0)</f>
        <v>-1.174809284479336E-4</v>
      </c>
      <c r="BE46" s="1" cm="1">
        <f t="array" ref="BE46">OptionTheta("C",$AX46,$B$2,BE$41,$B$3,$AY$40,0)</f>
        <v>-1.9496949873399735E-4</v>
      </c>
      <c r="BF46" s="1" cm="1">
        <f t="array" ref="BF46">OptionTheta("C",$AX46,$B$2,BF$41,$B$3,$AY$40,0)</f>
        <v>-2.819173768465175E-4</v>
      </c>
      <c r="BG46" s="1" cm="1">
        <f t="array" ref="BG46">OptionTheta("C",$AX46,$B$2,BG$41,$B$3,$AY$40,0)</f>
        <v>-3.7224124756949132E-4</v>
      </c>
      <c r="BH46" s="1" cm="1">
        <f t="array" ref="BH46">OptionTheta("C",$AX46,$B$2,BH$41,$B$3,$AY$40,0)</f>
        <v>-4.6155236515579769E-4</v>
      </c>
      <c r="BI46" s="1" cm="1">
        <f t="array" ref="BI46">OptionTheta("C",$AX46,$B$2,BI$41,$B$3,$AY$40,0)</f>
        <v>-1.0396279607814151E-3</v>
      </c>
      <c r="BJ46" s="1" cm="1">
        <f t="array" ref="BJ46">OptionTheta("C",$AX46,$B$2,BJ$41,$B$3,$AY$40,0)</f>
        <v>-1.1822830591346784E-3</v>
      </c>
      <c r="BK46" s="1" cm="1">
        <f t="array" ref="BK46">OptionTheta("C",$AX46,$B$2,BK$41,$B$3,$AY$40,0)</f>
        <v>-1.1596270349251423E-3</v>
      </c>
      <c r="BL46" s="1" cm="1">
        <f t="array" ref="BL46">OptionTheta("C",$AX46,$B$2,BL$41,$B$3,$AY$40,0)</f>
        <v>-1.080565648235759E-3</v>
      </c>
      <c r="BU46" s="142"/>
      <c r="BV46" s="14">
        <v>80</v>
      </c>
      <c r="BW46" s="1" cm="1">
        <f t="array" ref="BW46">OptionGamma($BV46,$B$2,BW$41,$B$3,$BW$40,0)</f>
        <v>3.3905822708430664E-12</v>
      </c>
      <c r="BX46" s="1" cm="1">
        <f t="array" ref="BX46">OptionGamma($BV46,$B$2,BX$41,$B$3,$BW$40,0)</f>
        <v>6.1021351588952594E-7</v>
      </c>
      <c r="BY46" s="1" cm="1">
        <f t="array" ref="BY46">OptionGamma($BV46,$B$2,BY$41,$B$3,$BW$40,0)</f>
        <v>3.155135271549592E-5</v>
      </c>
      <c r="BZ46" s="1" cm="1">
        <f t="array" ref="BZ46">OptionGamma($BV46,$B$2,BZ$41,$B$3,$BW$40,0)</f>
        <v>2.1731776002153873E-4</v>
      </c>
      <c r="CA46" s="1" cm="1">
        <f t="array" ref="CA46">OptionGamma($BV46,$B$2,CA$41,$B$3,$BW$40,0)</f>
        <v>6.7417515498728662E-4</v>
      </c>
      <c r="CB46" s="1" cm="1">
        <f t="array" ref="CB46">OptionGamma($BV46,$B$2,CB$41,$B$3,$BW$40,0)</f>
        <v>1.4096380488958426E-3</v>
      </c>
      <c r="CC46" s="1" cm="1">
        <f t="array" ref="CC46">OptionGamma($BV46,$B$2,CC$41,$B$3,$BW$40,0)</f>
        <v>2.3582196949555514E-3</v>
      </c>
      <c r="CD46" s="1" cm="1">
        <f t="array" ref="CD46">OptionGamma($BV46,$B$2,CD$41,$B$3,$BW$40,0)</f>
        <v>3.4369932223750686E-3</v>
      </c>
      <c r="CE46" s="1" cm="1">
        <f t="array" ref="CE46">OptionGamma($BV46,$B$2,CE$41,$B$3,$BW$40,0)</f>
        <v>4.5738968285542487E-3</v>
      </c>
      <c r="CF46" s="1" cm="1">
        <f t="array" ref="CF46">OptionGamma($BV46,$B$2,CF$41,$B$3,$BW$40,0)</f>
        <v>5.7155372876400061E-3</v>
      </c>
      <c r="CG46" s="1" cm="1">
        <f t="array" ref="CG46">OptionGamma($BV46,$B$2,CG$41,$B$3,$BW$40,0)</f>
        <v>1.3876417664915321E-2</v>
      </c>
      <c r="CH46" s="1" cm="1">
        <f t="array" ref="CH46">OptionGamma($BV46,$B$2,CH$41,$B$3,$BW$40,0)</f>
        <v>1.6964964604488354E-2</v>
      </c>
      <c r="CI46" s="1" cm="1">
        <f t="array" ref="CI46">OptionGamma($BV46,$B$2,CI$41,$B$3,$BW$40,0)</f>
        <v>1.7877273947675215E-2</v>
      </c>
      <c r="CJ46" s="1" cm="1">
        <f t="array" ref="CJ46">OptionGamma($BV46,$B$2,CJ$41,$B$3,$BW$40,0)</f>
        <v>1.7906989830010489E-2</v>
      </c>
      <c r="CS46" s="145"/>
      <c r="CT46" s="14">
        <v>80</v>
      </c>
      <c r="CU46" s="1" cm="1">
        <f t="array" ref="CU46">OptionVega($CT46,$B$2,CU$41,$B$3,$CU$40,0)</f>
        <v>2.1699726533395634E-12</v>
      </c>
      <c r="CV46" s="1" cm="1">
        <f t="array" ref="CV46">OptionVega($CT46,$B$2,CV$41,$B$3,$CU$40,0)</f>
        <v>7.8107330033859321E-7</v>
      </c>
      <c r="CW46" s="1" cm="1">
        <f t="array" ref="CW46">OptionVega($CT46,$B$2,CW$41,$B$3,$CU$40,0)</f>
        <v>6.0578597213752167E-5</v>
      </c>
      <c r="CX46" s="1" cm="1">
        <f t="array" ref="CX46">OptionVega($CT46,$B$2,CX$41,$B$3,$CU$40,0)</f>
        <v>5.5633346565513934E-4</v>
      </c>
      <c r="CY46" s="1" cm="1">
        <f t="array" ref="CY46">OptionVega($CT46,$B$2,CY$41,$B$3,$CU$40,0)</f>
        <v>2.157360495959318E-3</v>
      </c>
      <c r="CZ46" s="1" cm="1">
        <f t="array" ref="CZ46">OptionVega($CT46,$B$2,CZ$41,$B$3,$CU$40,0)</f>
        <v>5.4130101077600381E-3</v>
      </c>
      <c r="DA46" s="1" cm="1">
        <f t="array" ref="DA46">OptionVega($CT46,$B$2,DA$41,$B$3,$CU$40,0)</f>
        <v>1.0564824233400874E-2</v>
      </c>
      <c r="DB46" s="1" cm="1">
        <f t="array" ref="DB46">OptionVega($CT46,$B$2,DB$41,$B$3,$CU$40,0)</f>
        <v>1.759740529856035E-2</v>
      </c>
      <c r="DC46" s="1" cm="1">
        <f t="array" ref="DC46">OptionVega($CT46,$B$2,DC$41,$B$3,$CU$40,0)</f>
        <v>2.6345645732472476E-2</v>
      </c>
      <c r="DD46" s="1" cm="1">
        <f t="array" ref="DD46">OptionVega($CT46,$B$2,DD$41,$B$3,$CU$40,0)</f>
        <v>3.6579438640896043E-2</v>
      </c>
      <c r="DE46" s="1" cm="1">
        <f t="array" ref="DE46">OptionVega($CT46,$B$2,DE$41,$B$3,$CU$40,0)</f>
        <v>0.1776181461109162</v>
      </c>
      <c r="DF46" s="1" cm="1">
        <f t="array" ref="DF46">OptionVega($CT46,$B$2,DF$41,$B$3,$CU$40,0)</f>
        <v>0.32572732040617636</v>
      </c>
      <c r="DG46" s="1" cm="1">
        <f t="array" ref="DG46">OptionVega($CT46,$B$2,DG$41,$B$3,$CU$40,0)</f>
        <v>0.45765821306048554</v>
      </c>
      <c r="DH46" s="1" cm="1">
        <f t="array" ref="DH46">OptionVega($CT46,$B$2,DH$41,$B$3,$CU$40,0)</f>
        <v>0.57302367456033576</v>
      </c>
      <c r="DQ46" s="130"/>
      <c r="DR46" s="14">
        <v>80</v>
      </c>
      <c r="DS46" s="1" cm="1">
        <f t="array" ref="DS46">OptionRho("C",$DR46,$B$2,DS$41,$B$3,$DS$40,0)</f>
        <v>9.5606229748062584E-14</v>
      </c>
      <c r="DT46" s="1" cm="1">
        <f t="array" ref="DT46">OptionRho("C",$DR46,$B$2,DT$41,$B$3,$DS$40,0)</f>
        <v>6.7762571900260923E-8</v>
      </c>
      <c r="DU46" s="1" cm="1">
        <f t="array" ref="DU46">OptionRho("C",$DR46,$B$2,DU$41,$B$3,$DS$40,0)</f>
        <v>7.77039222747902E-6</v>
      </c>
      <c r="DV46" s="1" cm="1">
        <f t="array" ref="DV46">OptionRho("C",$DR46,$B$2,DV$41,$B$3,$DS$40,0)</f>
        <v>9.387406712177922E-5</v>
      </c>
      <c r="DW46" s="1" cm="1">
        <f t="array" ref="DW46">OptionRho("C",$DR46,$B$2,DW$41,$B$3,$DS$40,0)</f>
        <v>4.4930628022144242E-4</v>
      </c>
      <c r="DX46" s="1" cm="1">
        <f t="array" ref="DX46">OptionRho("C",$DR46,$B$2,DX$41,$B$3,$DS$40,0)</f>
        <v>1.3367272087027218E-3</v>
      </c>
      <c r="DY46" s="1" cm="1">
        <f t="array" ref="DY46">OptionRho("C",$DR46,$B$2,DY$41,$B$3,$DS$40,0)</f>
        <v>3.0094142404680354E-3</v>
      </c>
      <c r="DZ46" s="1" cm="1">
        <f t="array" ref="DZ46">OptionRho("C",$DR46,$B$2,DZ$41,$B$3,$DS$40,0)</f>
        <v>5.6671524536186417E-3</v>
      </c>
      <c r="EA46" s="1" cm="1">
        <f t="array" ref="EA46">OptionRho("C",$DR46,$B$2,EA$41,$B$3,$DS$40,0)</f>
        <v>9.4469788357844919E-3</v>
      </c>
      <c r="EB46" s="1" cm="1">
        <f t="array" ref="EB46">OptionRho("C",$DR46,$B$2,EB$41,$B$3,$DS$40,0)</f>
        <v>1.4430579922614033E-2</v>
      </c>
      <c r="EC46" s="1" cm="1">
        <f t="array" ref="EC46">OptionRho("C",$DR46,$B$2,EC$41,$B$3,$DS$40,0)</f>
        <v>0.12916231918414769</v>
      </c>
      <c r="ED46" s="1" cm="1">
        <f t="array" ref="ED46">OptionRho("C",$DR46,$B$2,ED$41,$B$3,$DS$40,0)</f>
        <v>0.33403665227840929</v>
      </c>
      <c r="EE46" s="1" cm="1">
        <f t="array" ref="EE46">OptionRho("C",$DR46,$B$2,EE$41,$B$3,$DS$40,0)</f>
        <v>0.5952355943117198</v>
      </c>
      <c r="EF46" s="1" cm="1">
        <f t="array" ref="EF46">OptionRho("C",$DR46,$B$2,EF$41,$B$3,$DS$40,0)</f>
        <v>0.89308606477141772</v>
      </c>
      <c r="EP46" s="130"/>
      <c r="EQ46" s="14">
        <v>80</v>
      </c>
      <c r="ER46" s="1" cm="1">
        <f t="array" ref="ER46">OptionRho("C",$DR46,$B$2,ER$41,$D$3,$DS$40,0)</f>
        <v>1.8998807029480734E-9</v>
      </c>
      <c r="ES46" s="1" cm="1">
        <f t="array" ref="ES46">OptionRho("C",$DR46,$B$2,ES$41,$D$3,$DS$40,0)</f>
        <v>4.9805280487825163E-4</v>
      </c>
      <c r="ET46" s="1" cm="1">
        <f t="array" ref="ET46">OptionRho("C",$DR46,$B$2,ET$41,$D$3,$DS$40,0)</f>
        <v>2.2328400874447724E-2</v>
      </c>
      <c r="EU46" s="1" cm="1">
        <f t="array" ref="EU46">OptionRho("C",$DR46,$B$2,EU$41,$D$3,$DS$40,0)</f>
        <v>0.11314181754796258</v>
      </c>
      <c r="EV46" s="1" cm="1">
        <f t="array" ref="EV46">OptionRho("C",$DR46,$B$2,EV$41,$D$3,$DS$40,0)</f>
        <v>0.24717068410187287</v>
      </c>
      <c r="EW46" s="1" cm="1">
        <f t="array" ref="EW46">OptionRho("C",$DR46,$B$2,EW$41,$D$3,$DS$40,0)</f>
        <v>0.3688506699810869</v>
      </c>
      <c r="EX46" s="1" cm="1">
        <f t="array" ref="EX46">OptionRho("C",$DR46,$B$2,EX$41,$D$3,$DS$40,0)</f>
        <v>0.45865916162600684</v>
      </c>
      <c r="EY46" s="1" cm="1">
        <f t="array" ref="EY46">OptionRho("C",$DR46,$B$2,EY$41,$D$3,$DS$40,0)</f>
        <v>0.52196849997111405</v>
      </c>
      <c r="EZ46" s="1" cm="1">
        <f t="array" ref="EZ46">OptionRho("C",$DR46,$B$2,EZ$41,$D$3,$DS$40,0)</f>
        <v>0.5683888776947319</v>
      </c>
      <c r="FA46" s="1" cm="1">
        <f t="array" ref="FA46">OptionRho("C",$DR46,$B$2,FA$41,$D$3,$DS$40,0)</f>
        <v>0.60454227408268757</v>
      </c>
      <c r="FB46" s="1" cm="1">
        <f t="array" ref="FB46">OptionRho("C",$DR46,$B$2,FB$41,$D$3,$DS$40,0)</f>
        <v>0.73575886072143115</v>
      </c>
      <c r="FC46" s="1" cm="1">
        <f t="array" ref="FC46">OptionRho("C",$DR46,$B$2,FC$41,$D$3,$DS$40,0)</f>
        <v>0.66939048044518212</v>
      </c>
      <c r="FD46" s="1" cm="1">
        <f t="array" ref="FD46">OptionRho("C",$DR46,$B$2,FD$41,$D$3,$DS$40,0)</f>
        <v>0.54134113294645081</v>
      </c>
      <c r="FE46" s="1" cm="1">
        <f t="array" ref="FE46">OptionRho("C",$DR46,$B$2,FE$41,$D$3,$DS$40,0)</f>
        <v>0.41042499311949399</v>
      </c>
    </row>
    <row r="47" spans="1:161" x14ac:dyDescent="0.2">
      <c r="A47" s="133"/>
      <c r="B47" s="14">
        <v>85</v>
      </c>
      <c r="C47" s="1" cm="1">
        <f t="array" ref="C47">OptionPrice("C",$B47,$B$2,C$41,$B$3,$C$40,0)</f>
        <v>8.697171499367877E-8</v>
      </c>
      <c r="D47" s="1" cm="1">
        <f t="array" ref="D47">OptionPrice("C",$B47,$B$2,D$41,$B$3,$C$40,0)</f>
        <v>1.6821011338922012E-4</v>
      </c>
      <c r="E47" s="1" cm="1">
        <f t="array" ref="E47">OptionPrice("C",$B47,$B$2,E$41,$B$3,$C$40,0)</f>
        <v>2.6159633637791169E-3</v>
      </c>
      <c r="F47" s="1" cm="1">
        <f t="array" ref="F47">OptionPrice("C",$B47,$B$2,F$41,$B$3,$C$40,0)</f>
        <v>1.1428574340843878E-2</v>
      </c>
      <c r="G47" s="1" cm="1">
        <f t="array" ref="G47">OptionPrice("C",$B47,$B$2,G$41,$B$3,$C$40,0)</f>
        <v>2.9351157879948131E-2</v>
      </c>
      <c r="H47" s="1" cm="1">
        <f t="array" ref="H47">OptionPrice("C",$B47,$B$2,H$41,$B$3,$C$40,0)</f>
        <v>5.7156114003749092E-2</v>
      </c>
      <c r="I47" s="1" cm="1">
        <f t="array" ref="I47">OptionPrice("C",$B47,$B$2,I$41,$B$3,$C$40,0)</f>
        <v>9.4439538427999903E-2</v>
      </c>
      <c r="J47" s="1" cm="1">
        <f t="array" ref="J47">OptionPrice("C",$B47,$B$2,J$41,$B$3,$C$40,0)</f>
        <v>0.14029325104559698</v>
      </c>
      <c r="K47" s="1" cm="1">
        <f t="array" ref="K47">OptionPrice("C",$B47,$B$2,K$41,$B$3,$C$40,0)</f>
        <v>0.19367000074213525</v>
      </c>
      <c r="L47" s="1" cm="1">
        <f t="array" ref="L47">OptionPrice("C",$B47,$B$2,L$41,$B$3,$C$40,0)</f>
        <v>0.25355192754697864</v>
      </c>
      <c r="M47" s="1" cm="1">
        <f t="array" ref="M47">OptionPrice("C",$B47,$B$2,M$41,$B$3,$C$40,0)</f>
        <v>1.0580066178465906</v>
      </c>
      <c r="N47" s="1" cm="1">
        <f t="array" ref="N47">OptionPrice("C",$B47,$B$2,N$41,$B$3,$C$40,0)</f>
        <v>2.005717037049024</v>
      </c>
      <c r="O47" s="1" cm="1">
        <f t="array" ref="O47">OptionPrice("C",$B47,$B$2,O$41,$B$3,$C$40,0)</f>
        <v>2.9785527118349719</v>
      </c>
      <c r="P47" s="1" cm="1">
        <f t="array" ref="P47">OptionPrice("C",$B47,$B$2,P$41,$B$3,$C$40,0)</f>
        <v>3.9445763503152911</v>
      </c>
      <c r="Y47" s="136"/>
      <c r="Z47" s="14">
        <v>85</v>
      </c>
      <c r="AA47" s="1" cm="1">
        <f t="array" ref="AA47">OptionDelta("C",$Z47,$B$2,AA$41,$B$3,$AA$40,0)</f>
        <v>1.7727866846205845E-7</v>
      </c>
      <c r="AB47" s="1" cm="1">
        <f t="array" ref="AB47">OptionDelta("C",$Z47,$B$2,AB$41,$B$3,$AA$40,0)</f>
        <v>1.8057900763335621E-4</v>
      </c>
      <c r="AC47" s="1" cm="1">
        <f t="array" ref="AC47">OptionDelta("C",$Z47,$B$2,AC$41,$B$3,$AA$40,0)</f>
        <v>1.9569580318317646E-3</v>
      </c>
      <c r="AD47" s="1" cm="1">
        <f t="array" ref="AD47">OptionDelta("C",$Z47,$B$2,AD$41,$B$3,$AA$40,0)</f>
        <v>6.6658842436191712E-3</v>
      </c>
      <c r="AE47" s="1" cm="1">
        <f t="array" ref="AE47">OptionDelta("C",$Z47,$B$2,AE$41,$B$3,$AA$40,0)</f>
        <v>1.4178971876106417E-2</v>
      </c>
      <c r="AF47" s="1" cm="1">
        <f t="array" ref="AF47">OptionDelta("C",$Z47,$B$2,AF$41,$B$3,$AA$40,0)</f>
        <v>2.3744049559651273E-2</v>
      </c>
      <c r="AG47" s="1" cm="1">
        <f t="array" ref="AG47">OptionDelta("C",$Z47,$B$2,AG$41,$B$3,$AA$40,0)</f>
        <v>3.4610567414057034E-2</v>
      </c>
      <c r="AH47" s="1" cm="1">
        <f t="array" ref="AH47">OptionDelta("C",$Z47,$B$2,AH$41,$B$3,$AA$40,0)</f>
        <v>4.6201796215212594E-2</v>
      </c>
      <c r="AI47" s="1" cm="1">
        <f t="array" ref="AI47">OptionDelta("C",$Z47,$B$2,AI$41,$B$3,$AA$40,0)</f>
        <v>5.8114853573404297E-2</v>
      </c>
      <c r="AJ47" s="1" cm="1">
        <f t="array" ref="AJ47">OptionDelta("C",$Z47,$B$2,AJ$41,$B$3,$AA$40,0)</f>
        <v>7.0080829341433393E-2</v>
      </c>
      <c r="AK47" s="1" cm="1">
        <f t="array" ref="AK47">OptionDelta("C",$Z47,$B$2,AK$41,$B$3,$AA$40,0)</f>
        <v>0.17436633291241277</v>
      </c>
      <c r="AL47" s="1" cm="1">
        <f t="array" ref="AL47">OptionDelta("C",$Z47,$B$2,AL$41,$B$3,$AA$40,0)</f>
        <v>0.24872867527518139</v>
      </c>
      <c r="AM47" s="1" cm="1">
        <f t="array" ref="AM47">OptionDelta("C",$Z47,$B$2,AM$41,$B$3,$AA$40,0)</f>
        <v>0.30411744905751403</v>
      </c>
      <c r="AN47" s="1" cm="1">
        <f t="array" ref="AN47">OptionDelta("C",$Z47,$B$2,AN$41,$B$3,$AA$40,0)</f>
        <v>0.34775207052445578</v>
      </c>
      <c r="AW47" s="139"/>
      <c r="AX47" s="14">
        <v>85</v>
      </c>
      <c r="AY47" s="1" cm="1">
        <f t="array" ref="AY47">OptionTheta("C",$AX47,$B$2,AY$41,$B$3,$AY$40,0)</f>
        <v>-3.4025236347435231E-8</v>
      </c>
      <c r="AZ47" s="1" cm="1">
        <f t="array" ref="AZ47">OptionTheta("C",$AX47,$B$2,AZ$41,$B$3,$AY$40,0)</f>
        <v>-1.7518836015171496E-5</v>
      </c>
      <c r="BA47" s="1" cm="1">
        <f t="array" ref="BA47">OptionTheta("C",$AX47,$B$2,BA$41,$B$3,$AY$40,0)</f>
        <v>-1.2766156060127755E-4</v>
      </c>
      <c r="BB47" s="1" cm="1">
        <f t="array" ref="BB47">OptionTheta("C",$AX47,$B$2,BB$41,$B$3,$AY$40,0)</f>
        <v>-3.2838601198620815E-4</v>
      </c>
      <c r="BC47" s="1" cm="1">
        <f t="array" ref="BC47">OptionTheta("C",$AX47,$B$2,BC$41,$B$3,$AY$40,0)</f>
        <v>-5.6190406818520131E-4</v>
      </c>
      <c r="BD47" s="1" cm="1">
        <f t="array" ref="BD47">OptionTheta("C",$AX47,$B$2,BD$41,$B$3,$AY$40,0)</f>
        <v>-7.8761615625588517E-4</v>
      </c>
      <c r="BE47" s="1" cm="1">
        <f t="array" ref="BE47">OptionTheta("C",$AX47,$B$2,BE$41,$B$3,$AY$40,0)</f>
        <v>-9.87524613457769E-4</v>
      </c>
      <c r="BF47" s="1" cm="1">
        <f t="array" ref="BF47">OptionTheta("C",$AX47,$B$2,BF$41,$B$3,$AY$40,0)</f>
        <v>-1.1566305897684882E-3</v>
      </c>
      <c r="BG47" s="1" cm="1">
        <f t="array" ref="BG47">OptionTheta("C",$AX47,$B$2,BG$41,$B$3,$AY$40,0)</f>
        <v>-1.2958888070641089E-3</v>
      </c>
      <c r="BH47" s="1" cm="1">
        <f t="array" ref="BH47">OptionTheta("C",$AX47,$B$2,BH$41,$B$3,$AY$40,0)</f>
        <v>-1.4085269001649443E-3</v>
      </c>
      <c r="BI47" s="1" cm="1">
        <f t="array" ref="BI47">OptionTheta("C",$AX47,$B$2,BI$41,$B$3,$AY$40,0)</f>
        <v>-1.7404214840735762E-3</v>
      </c>
      <c r="BJ47" s="1" cm="1">
        <f t="array" ref="BJ47">OptionTheta("C",$AX47,$B$2,BJ$41,$B$3,$AY$40,0)</f>
        <v>-1.6062140751324759E-3</v>
      </c>
      <c r="BK47" s="1" cm="1">
        <f t="array" ref="BK47">OptionTheta("C",$AX47,$B$2,BK$41,$B$3,$AY$40,0)</f>
        <v>-1.4100522837507414E-3</v>
      </c>
      <c r="BL47" s="1" cm="1">
        <f t="array" ref="BL47">OptionTheta("C",$AX47,$B$2,BL$41,$B$3,$AY$40,0)</f>
        <v>-1.2224629570766424E-3</v>
      </c>
      <c r="BU47" s="142"/>
      <c r="BV47" s="14">
        <v>85</v>
      </c>
      <c r="BW47" s="1" cm="1">
        <f t="array" ref="BW47">OptionGamma($BV47,$B$2,BW$41,$B$3,$BW$40,0)</f>
        <v>3.4793158250122268E-7</v>
      </c>
      <c r="BX47" s="1" cm="1">
        <f t="array" ref="BX47">OptionGamma($BV47,$B$2,BX$41,$B$3,$BW$40,0)</f>
        <v>1.8120927891742718E-4</v>
      </c>
      <c r="BY47" s="1" cm="1">
        <f t="array" ref="BY47">OptionGamma($BV47,$B$2,BY$41,$B$3,$BW$40,0)</f>
        <v>1.3351896003566922E-3</v>
      </c>
      <c r="BZ47" s="1" cm="1">
        <f t="array" ref="BZ47">OptionGamma($BV47,$B$2,BZ$41,$B$3,$BW$40,0)</f>
        <v>3.4716293491663338E-3</v>
      </c>
      <c r="CA47" s="1" cm="1">
        <f t="array" ref="CA47">OptionGamma($BV47,$B$2,CA$41,$B$3,$BW$40,0)</f>
        <v>6.0028678035568004E-3</v>
      </c>
      <c r="CB47" s="1" cm="1">
        <f t="array" ref="CB47">OptionGamma($BV47,$B$2,CB$41,$B$3,$BW$40,0)</f>
        <v>8.5007827825346483E-3</v>
      </c>
      <c r="CC47" s="1" cm="1">
        <f t="array" ref="CC47">OptionGamma($BV47,$B$2,CC$41,$B$3,$BW$40,0)</f>
        <v>1.0765981199439559E-2</v>
      </c>
      <c r="CD47" s="1" cm="1">
        <f t="array" ref="CD47">OptionGamma($BV47,$B$2,CD$41,$B$3,$BW$40,0)</f>
        <v>1.2734636942227625E-2</v>
      </c>
      <c r="CE47" s="1" cm="1">
        <f t="array" ref="CE47">OptionGamma($BV47,$B$2,CE$41,$B$3,$BW$40,0)</f>
        <v>1.4407206646598534E-2</v>
      </c>
      <c r="CF47" s="1" cm="1">
        <f t="array" ref="CF47">OptionGamma($BV47,$B$2,CF$41,$B$3,$BW$40,0)</f>
        <v>1.5810256172317044E-2</v>
      </c>
      <c r="CG47" s="1" cm="1">
        <f t="array" ref="CG47">OptionGamma($BV47,$B$2,CG$41,$B$3,$BW$40,0)</f>
        <v>2.1394744871527756E-2</v>
      </c>
      <c r="CH47" s="1" cm="1">
        <f t="array" ref="CH47">OptionGamma($BV47,$B$2,CH$41,$B$3,$BW$40,0)</f>
        <v>2.152609940586208E-2</v>
      </c>
      <c r="CI47" s="1" cm="1">
        <f t="array" ref="CI47">OptionGamma($BV47,$B$2,CI$41,$B$3,$BW$40,0)</f>
        <v>2.0578086869191912E-2</v>
      </c>
      <c r="CJ47" s="1" cm="1">
        <f t="array" ref="CJ47">OptionGamma($BV47,$B$2,CJ$41,$B$3,$BW$40,0)</f>
        <v>1.9442006249843845E-2</v>
      </c>
      <c r="CS47" s="145"/>
      <c r="CT47" s="14">
        <v>85</v>
      </c>
      <c r="CU47" s="1" cm="1">
        <f t="array" ref="CU47">OptionVega($CT47,$B$2,CU$41,$B$3,$CU$40,0)</f>
        <v>2.513805683571334E-7</v>
      </c>
      <c r="CV47" s="1" cm="1">
        <f t="array" ref="CV47">OptionVega($CT47,$B$2,CV$41,$B$3,$CU$40,0)</f>
        <v>2.6184740803568228E-4</v>
      </c>
      <c r="CW47" s="1" cm="1">
        <f t="array" ref="CW47">OptionVega($CT47,$B$2,CW$41,$B$3,$CU$40,0)</f>
        <v>2.8940234587731301E-3</v>
      </c>
      <c r="CX47" s="1" cm="1">
        <f t="array" ref="CX47">OptionVega($CT47,$B$2,CX$41,$B$3,$CU$40,0)</f>
        <v>1.0033008819090706E-2</v>
      </c>
      <c r="CY47" s="1" cm="1">
        <f t="array" ref="CY47">OptionVega($CT47,$B$2,CY$41,$B$3,$CU$40,0)</f>
        <v>2.1685359940348946E-2</v>
      </c>
      <c r="CZ47" s="1" cm="1">
        <f t="array" ref="CZ47">OptionVega($CT47,$B$2,CZ$41,$B$3,$CU$40,0)</f>
        <v>3.6850893362287709E-2</v>
      </c>
      <c r="DA47" s="1" cm="1">
        <f t="array" ref="DA47">OptionVega($CT47,$B$2,DA$41,$B$3,$CU$40,0)</f>
        <v>5.4448949916165584E-2</v>
      </c>
      <c r="DB47" s="1" cm="1">
        <f t="array" ref="DB47">OptionVega($CT47,$B$2,DB$41,$B$3,$CU$40,0)</f>
        <v>7.3606201526075665E-2</v>
      </c>
      <c r="DC47" s="1" cm="1">
        <f t="array" ref="DC47">OptionVega($CT47,$B$2,DC$41,$B$3,$CU$40,0)</f>
        <v>9.368286121950696E-2</v>
      </c>
      <c r="DD47" s="1" cm="1">
        <f t="array" ref="DD47">OptionVega($CT47,$B$2,DD$41,$B$3,$CU$40,0)</f>
        <v>0.11422910084499065</v>
      </c>
      <c r="DE47" s="1" cm="1">
        <f t="array" ref="DE47">OptionVega($CT47,$B$2,DE$41,$B$3,$CU$40,0)</f>
        <v>0.30915406339357621</v>
      </c>
      <c r="DF47" s="1" cm="1">
        <f t="array" ref="DF47">OptionVega($CT47,$B$2,DF$41,$B$3,$CU$40,0)</f>
        <v>0.46657820462206062</v>
      </c>
      <c r="DG47" s="1" cm="1">
        <f t="array" ref="DG47">OptionVega($CT47,$B$2,DG$41,$B$3,$CU$40,0)</f>
        <v>0.5947067105196463</v>
      </c>
      <c r="DH47" s="1" cm="1">
        <f t="array" ref="DH47">OptionVega($CT47,$B$2,DH$41,$B$3,$CU$40,0)</f>
        <v>0.70234247577560904</v>
      </c>
      <c r="DQ47" s="130"/>
      <c r="DR47" s="14">
        <v>85</v>
      </c>
      <c r="DS47" s="1" cm="1">
        <f t="array" ref="DS47">OptionRho("C",$DR47,$B$2,DS$41,$B$3,$DS$40,0)</f>
        <v>1.498171510428129E-8</v>
      </c>
      <c r="DT47" s="1" cm="1">
        <f t="array" ref="DT47">OptionRho("C",$DR47,$B$2,DT$41,$B$3,$DS$40,0)</f>
        <v>3.0362011070892119E-5</v>
      </c>
      <c r="DU47" s="1" cm="1">
        <f t="array" ref="DU47">OptionRho("C",$DR47,$B$2,DU$41,$B$3,$DS$40,0)</f>
        <v>4.9117640802576266E-4</v>
      </c>
      <c r="DV47" s="1" cm="1">
        <f t="array" ref="DV47">OptionRho("C",$DR47,$B$2,DV$41,$B$3,$DS$40,0)</f>
        <v>2.2206863454671427E-3</v>
      </c>
      <c r="DW47" s="1" cm="1">
        <f t="array" ref="DW47">OptionRho("C",$DR47,$B$2,DW$41,$B$3,$DS$40,0)</f>
        <v>5.8793072579454864E-3</v>
      </c>
      <c r="DX47" s="1" cm="1">
        <f t="array" ref="DX47">OptionRho("C",$DR47,$B$2,DX$41,$B$3,$DS$40,0)</f>
        <v>1.1766528591399655E-2</v>
      </c>
      <c r="DY47" s="1" cm="1">
        <f t="array" ref="DY47">OptionRho("C",$DR47,$B$2,DY$41,$B$3,$DS$40,0)</f>
        <v>1.9932210842367931E-2</v>
      </c>
      <c r="DZ47" s="1" cm="1">
        <f t="array" ref="DZ47">OptionRho("C",$DR47,$B$2,DZ$41,$B$3,$DS$40,0)</f>
        <v>3.0294875417979789E-2</v>
      </c>
      <c r="EA47" s="1" cm="1">
        <f t="array" ref="EA47">OptionRho("C",$DR47,$B$2,EA$41,$B$3,$DS$40,0)</f>
        <v>4.2714832976975065E-2</v>
      </c>
      <c r="EB47" s="1" cm="1">
        <f t="array" ref="EB47">OptionRho("C",$DR47,$B$2,EB$41,$B$3,$DS$40,0)</f>
        <v>5.7033185664748597E-2</v>
      </c>
      <c r="EC47" s="1" cm="1">
        <f t="array" ref="EC47">OptionRho("C",$DR47,$B$2,EC$41,$B$3,$DS$40,0)</f>
        <v>0.27526263359416991</v>
      </c>
      <c r="ED47" s="1" cm="1">
        <f t="array" ref="ED47">OptionRho("C",$DR47,$B$2,ED$41,$B$3,$DS$40,0)</f>
        <v>0.57408661084024171</v>
      </c>
      <c r="EE47" s="1" cm="1">
        <f t="array" ref="EE47">OptionRho("C",$DR47,$B$2,EE$41,$B$3,$DS$40,0)</f>
        <v>0.91485721832214872</v>
      </c>
      <c r="EF47" s="1" cm="1">
        <f t="array" ref="EF47">OptionRho("C",$DR47,$B$2,EF$41,$B$3,$DS$40,0)</f>
        <v>1.2807174822131724</v>
      </c>
      <c r="EP47" s="130"/>
      <c r="EQ47" s="14">
        <v>85</v>
      </c>
      <c r="ER47" s="1" cm="1">
        <f t="array" ref="ER47">OptionRho("C",$DR47,$B$2,ER$41,$D$3,$DS$40,0)</f>
        <v>1.672290165282596E-5</v>
      </c>
      <c r="ES47" s="1" cm="1">
        <f t="array" ref="ES47">OptionRho("C",$DR47,$B$2,ES$41,$D$3,$DS$40,0)</f>
        <v>1.4071367966674856E-2</v>
      </c>
      <c r="ET47" s="1" cm="1">
        <f t="array" ref="ET47">OptionRho("C",$DR47,$B$2,ET$41,$D$3,$DS$40,0)</f>
        <v>0.10302543559710076</v>
      </c>
      <c r="EU47" s="1" cm="1">
        <f t="array" ref="EU47">OptionRho("C",$DR47,$B$2,EU$41,$D$3,$DS$40,0)</f>
        <v>0.23337197337639506</v>
      </c>
      <c r="EV47" s="1" cm="1">
        <f t="array" ref="EV47">OptionRho("C",$DR47,$B$2,EV$41,$D$3,$DS$40,0)</f>
        <v>0.34472922204731821</v>
      </c>
      <c r="EW47" s="1" cm="1">
        <f t="array" ref="EW47">OptionRho("C",$DR47,$B$2,EW$41,$D$3,$DS$40,0)</f>
        <v>0.42614711933109889</v>
      </c>
      <c r="EX47" s="1" cm="1">
        <f t="array" ref="EX47">OptionRho("C",$DR47,$B$2,EX$41,$D$3,$DS$40,0)</f>
        <v>0.48640573048982089</v>
      </c>
      <c r="EY47" s="1" cm="1">
        <f t="array" ref="EY47">OptionRho("C",$DR47,$B$2,EY$41,$D$3,$DS$40,0)</f>
        <v>0.53383116720926949</v>
      </c>
      <c r="EZ47" s="1" cm="1">
        <f t="array" ref="EZ47">OptionRho("C",$DR47,$B$2,EZ$41,$D$3,$DS$40,0)</f>
        <v>0.57304600683478912</v>
      </c>
      <c r="FA47" s="1" cm="1">
        <f t="array" ref="FA47">OptionRho("C",$DR47,$B$2,FA$41,$D$3,$DS$40,0)</f>
        <v>0.60626233483806125</v>
      </c>
      <c r="FB47" s="1" cm="1">
        <f t="array" ref="FB47">OptionRho("C",$DR47,$B$2,FB$41,$D$3,$DS$40,0)</f>
        <v>0.73575888054721728</v>
      </c>
      <c r="FC47" s="1" cm="1">
        <f t="array" ref="FC47">OptionRho("C",$DR47,$B$2,FC$41,$D$3,$DS$40,0)</f>
        <v>0.66939048044528193</v>
      </c>
      <c r="FD47" s="1" cm="1">
        <f t="array" ref="FD47">OptionRho("C",$DR47,$B$2,FD$41,$D$3,$DS$40,0)</f>
        <v>0.54134113294645081</v>
      </c>
      <c r="FE47" s="1" cm="1">
        <f t="array" ref="FE47">OptionRho("C",$DR47,$B$2,FE$41,$D$3,$DS$40,0)</f>
        <v>0.41042499311949399</v>
      </c>
    </row>
    <row r="48" spans="1:161" x14ac:dyDescent="0.2">
      <c r="A48" s="133"/>
      <c r="B48" s="14">
        <v>90</v>
      </c>
      <c r="C48" s="1" cm="1">
        <f t="array" ref="C48">OptionPrice("C",$B48,$B$2,C$41,$B$3,$C$40,0)</f>
        <v>3.8132963076041582E-4</v>
      </c>
      <c r="D48" s="1" cm="1">
        <f t="array" ref="D48">OptionPrice("C",$B48,$B$2,D$41,$B$3,$C$40,0)</f>
        <v>1.5014085317595405E-2</v>
      </c>
      <c r="E48" s="1" cm="1">
        <f t="array" ref="E48">OptionPrice("C",$B48,$B$2,E$41,$B$3,$C$40,0)</f>
        <v>6.2147366544919258E-2</v>
      </c>
      <c r="F48" s="1" cm="1">
        <f t="array" ref="F48">OptionPrice("C",$B48,$B$2,F$41,$B$3,$C$40,0)</f>
        <v>0.13825477573984113</v>
      </c>
      <c r="G48" s="1" cm="1">
        <f t="array" ref="G48">OptionPrice("C",$B48,$B$2,G$41,$B$3,$C$40,0)</f>
        <v>0.23500810794671967</v>
      </c>
      <c r="H48" s="1" cm="1">
        <f t="array" ref="H48">OptionPrice("C",$B48,$B$2,H$41,$B$3,$C$40,0)</f>
        <v>0.34581027615383775</v>
      </c>
      <c r="I48" s="1" cm="1">
        <f t="array" ref="I48">OptionPrice("C",$B48,$B$2,I$41,$B$3,$C$40,0)</f>
        <v>0.46610847446329373</v>
      </c>
      <c r="J48" s="1" cm="1">
        <f t="array" ref="J48">OptionPrice("C",$B48,$B$2,J$41,$B$3,$C$40,0)</f>
        <v>0.59282461853084456</v>
      </c>
      <c r="K48" s="1" cm="1">
        <f t="array" ref="K48">OptionPrice("C",$B48,$B$2,K$41,$B$3,$C$40,0)</f>
        <v>0.72386099450195296</v>
      </c>
      <c r="L48" s="1" cm="1">
        <f t="array" ref="L48">OptionPrice("C",$B48,$B$2,L$41,$B$3,$C$40,0)</f>
        <v>0.85776605099454883</v>
      </c>
      <c r="M48" s="1" cm="1">
        <f t="array" ref="M48">OptionPrice("C",$B48,$B$2,M$41,$B$3,$C$40,0)</f>
        <v>2.2244139005080186</v>
      </c>
      <c r="N48" s="1" cm="1">
        <f t="array" ref="N48">OptionPrice("C",$B48,$B$2,N$41,$B$3,$C$40,0)</f>
        <v>3.5315335311032712</v>
      </c>
      <c r="O48" s="1" cm="1">
        <f t="array" ref="O48">OptionPrice("C",$B48,$B$2,O$41,$B$3,$C$40,0)</f>
        <v>4.7624390922162831</v>
      </c>
      <c r="P48" s="1" cm="1">
        <f t="array" ref="P48">OptionPrice("C",$B48,$B$2,P$41,$B$3,$C$40,0)</f>
        <v>5.9285443826496333</v>
      </c>
      <c r="Y48" s="136"/>
      <c r="Z48" s="14">
        <v>90</v>
      </c>
      <c r="AA48" s="1" cm="1">
        <f t="array" ref="AA48">OptionDelta("C",$Z48,$B$2,AA$41,$B$3,$AA$40,0)</f>
        <v>5.1107517146906892E-4</v>
      </c>
      <c r="AB48" s="1" cm="1">
        <f t="array" ref="AB48">OptionDelta("C",$Z48,$B$2,AB$41,$B$3,$AA$40,0)</f>
        <v>1.1044013907594808E-2</v>
      </c>
      <c r="AC48" s="1" cm="1">
        <f t="array" ref="AC48">OptionDelta("C",$Z48,$B$2,AC$41,$B$3,$AA$40,0)</f>
        <v>3.2777626460408021E-2</v>
      </c>
      <c r="AD48" s="1" cm="1">
        <f t="array" ref="AD48">OptionDelta("C",$Z48,$B$2,AD$41,$B$3,$AA$40,0)</f>
        <v>5.8088107987320343E-2</v>
      </c>
      <c r="AE48" s="1" cm="1">
        <f t="array" ref="AE48">OptionDelta("C",$Z48,$B$2,AE$41,$B$3,$AA$40,0)</f>
        <v>8.3185859132694412E-2</v>
      </c>
      <c r="AF48" s="1" cm="1">
        <f t="array" ref="AF48">OptionDelta("C",$Z48,$B$2,AF$41,$B$3,$AA$40,0)</f>
        <v>0.10674814223186854</v>
      </c>
      <c r="AG48" s="1" cm="1">
        <f t="array" ref="AG48">OptionDelta("C",$Z48,$B$2,AG$41,$B$3,$AA$40,0)</f>
        <v>0.12843922086837081</v>
      </c>
      <c r="AH48" s="1" cm="1">
        <f t="array" ref="AH48">OptionDelta("C",$Z48,$B$2,AH$41,$B$3,$AA$40,0)</f>
        <v>0.14828843430084723</v>
      </c>
      <c r="AI48" s="1" cm="1">
        <f t="array" ref="AI48">OptionDelta("C",$Z48,$B$2,AI$41,$B$3,$AA$40,0)</f>
        <v>0.1664485667707323</v>
      </c>
      <c r="AJ48" s="1" cm="1">
        <f t="array" ref="AJ48">OptionDelta("C",$Z48,$B$2,AJ$41,$B$3,$AA$40,0)</f>
        <v>0.18310240300676622</v>
      </c>
      <c r="AK48" s="1" cm="1">
        <f t="array" ref="AK48">OptionDelta("C",$Z48,$B$2,AK$41,$B$3,$AA$40,0)</f>
        <v>0.29705856189617313</v>
      </c>
      <c r="AL48" s="1" cm="1">
        <f t="array" ref="AL48">OptionDelta("C",$Z48,$B$2,AL$41,$B$3,$AA$40,0)</f>
        <v>0.36373551072271876</v>
      </c>
      <c r="AM48" s="1" cm="1">
        <f t="array" ref="AM48">OptionDelta("C",$Z48,$B$2,AM$41,$B$3,$AA$40,0)</f>
        <v>0.4102886293803284</v>
      </c>
      <c r="AN48" s="1" cm="1">
        <f t="array" ref="AN48">OptionDelta("C",$Z48,$B$2,AN$41,$B$3,$AA$40,0)</f>
        <v>0.44599904247550076</v>
      </c>
      <c r="AW48" s="139"/>
      <c r="AX48" s="14">
        <v>90</v>
      </c>
      <c r="AY48" s="1" cm="1">
        <f t="array" ref="AY48">OptionTheta("C",$AX48,$B$2,AY$41,$B$3,$AY$40,0)</f>
        <v>-6.9457027299651156E-5</v>
      </c>
      <c r="AZ48" s="1" cm="1">
        <f t="array" ref="AZ48">OptionTheta("C",$AX48,$B$2,AZ$41,$B$3,$AY$40,0)</f>
        <v>-7.7433276416402511E-4</v>
      </c>
      <c r="BA48" s="1" cm="1">
        <f t="array" ref="BA48">OptionTheta("C",$AX48,$B$2,BA$41,$B$3,$AY$40,0)</f>
        <v>-1.5687934898210708E-3</v>
      </c>
      <c r="BB48" s="1" cm="1">
        <f t="array" ref="BB48">OptionTheta("C",$AX48,$B$2,BB$41,$B$3,$AY$40,0)</f>
        <v>-2.1244323016837239E-3</v>
      </c>
      <c r="BC48" s="1" cm="1">
        <f t="array" ref="BC48">OptionTheta("C",$AX48,$B$2,BC$41,$B$3,$AY$40,0)</f>
        <v>-2.4708524938138994E-3</v>
      </c>
      <c r="BD48" s="1" cm="1">
        <f t="array" ref="BD48">OptionTheta("C",$AX48,$B$2,BD$41,$B$3,$AY$40,0)</f>
        <v>-2.6751701817311585E-3</v>
      </c>
      <c r="BE48" s="1" cm="1">
        <f t="array" ref="BE48">OptionTheta("C",$AX48,$B$2,BE$41,$B$3,$AY$40,0)</f>
        <v>-2.7873437568231413E-3</v>
      </c>
      <c r="BF48" s="1" cm="1">
        <f t="array" ref="BF48">OptionTheta("C",$AX48,$B$2,BF$41,$B$3,$AY$40,0)</f>
        <v>-2.8399165646563525E-3</v>
      </c>
      <c r="BG48" s="1" cm="1">
        <f t="array" ref="BG48">OptionTheta("C",$AX48,$B$2,BG$41,$B$3,$AY$40,0)</f>
        <v>-2.8536457123536324E-3</v>
      </c>
      <c r="BH48" s="1" cm="1">
        <f t="array" ref="BH48">OptionTheta("C",$AX48,$B$2,BH$41,$B$3,$AY$40,0)</f>
        <v>-2.8418700888165524E-3</v>
      </c>
      <c r="BI48" s="1" cm="1">
        <f t="array" ref="BI48">OptionTheta("C",$AX48,$B$2,BI$41,$B$3,$AY$40,0)</f>
        <v>-2.3460129566491069E-3</v>
      </c>
      <c r="BJ48" s="1" cm="1">
        <f t="array" ref="BJ48">OptionTheta("C",$AX48,$B$2,BJ$41,$B$3,$AY$40,0)</f>
        <v>-1.872246879909557E-3</v>
      </c>
      <c r="BK48" s="1" cm="1">
        <f t="array" ref="BK48">OptionTheta("C",$AX48,$B$2,BK$41,$B$3,$AY$40,0)</f>
        <v>-1.5155961394824559E-3</v>
      </c>
      <c r="BL48" s="1" cm="1">
        <f t="array" ref="BL48">OptionTheta("C",$AX48,$B$2,BL$41,$B$3,$AY$40,0)</f>
        <v>-1.2421253395755543E-3</v>
      </c>
      <c r="BU48" s="142"/>
      <c r="BV48" s="14">
        <v>90</v>
      </c>
      <c r="BW48" s="1" cm="1">
        <f t="array" ref="BW48">OptionGamma($BV48,$B$2,BW$41,$B$3,$BW$40,0)</f>
        <v>6.3723381042931433E-4</v>
      </c>
      <c r="BX48" s="1" cm="1">
        <f t="array" ref="BX48">OptionGamma($BV48,$B$2,BX$41,$B$3,$BW$40,0)</f>
        <v>7.2202698909513228E-3</v>
      </c>
      <c r="BY48" s="1" cm="1">
        <f t="array" ref="BY48">OptionGamma($BV48,$B$2,BY$41,$B$3,$BW$40,0)</f>
        <v>1.4851555899595277E-2</v>
      </c>
      <c r="BZ48" s="1" cm="1">
        <f t="array" ref="BZ48">OptionGamma($BV48,$B$2,BZ$41,$B$3,$BW$40,0)</f>
        <v>2.0402828136932075E-2</v>
      </c>
      <c r="CA48" s="1" cm="1">
        <f t="array" ref="CA48">OptionGamma($BV48,$B$2,CA$41,$B$3,$BW$40,0)</f>
        <v>2.4058724750173604E-2</v>
      </c>
      <c r="CB48" s="1" cm="1">
        <f t="array" ref="CB48">OptionGamma($BV48,$B$2,CB$41,$B$3,$BW$40,0)</f>
        <v>2.6396354113062123E-2</v>
      </c>
      <c r="CC48" s="1" cm="1">
        <f t="array" ref="CC48">OptionGamma($BV48,$B$2,CC$41,$B$3,$BW$40,0)</f>
        <v>2.7859621858699932E-2</v>
      </c>
      <c r="CD48" s="1" cm="1">
        <f t="array" ref="CD48">OptionGamma($BV48,$B$2,CD$41,$B$3,$BW$40,0)</f>
        <v>2.8743231871235127E-2</v>
      </c>
      <c r="CE48" s="1" cm="1">
        <f t="array" ref="CE48">OptionGamma($BV48,$B$2,CE$41,$B$3,$BW$40,0)</f>
        <v>2.92381675347584E-2</v>
      </c>
      <c r="CF48" s="1" cm="1">
        <f t="array" ref="CF48">OptionGamma($BV48,$B$2,CF$41,$B$3,$BW$40,0)</f>
        <v>2.9469063817634214E-2</v>
      </c>
      <c r="CG48" s="1" cm="1">
        <f t="array" ref="CG48">OptionGamma($BV48,$B$2,CG$41,$B$3,$BW$40,0)</f>
        <v>2.7195143108108635E-2</v>
      </c>
      <c r="CH48" s="1" cm="1">
        <f t="array" ref="CH48">OptionGamma($BV48,$B$2,CH$41,$B$3,$BW$40,0)</f>
        <v>2.4084363839664259E-2</v>
      </c>
      <c r="CI48" s="1" cm="1">
        <f t="array" ref="CI48">OptionGamma($BV48,$B$2,CI$41,$B$3,$BW$40,0)</f>
        <v>2.1600690529166151E-2</v>
      </c>
      <c r="CJ48" s="1" cm="1">
        <f t="array" ref="CJ48">OptionGamma($BV48,$B$2,CJ$41,$B$3,$BW$40,0)</f>
        <v>1.9641714650531644E-2</v>
      </c>
      <c r="CS48" s="145"/>
      <c r="CT48" s="14">
        <v>90</v>
      </c>
      <c r="CU48" s="1" cm="1">
        <f t="array" ref="CU48">OptionVega($CT48,$B$2,CU$41,$B$3,$CU$40,0)</f>
        <v>5.1615938644774477E-4</v>
      </c>
      <c r="CV48" s="1" cm="1">
        <f t="array" ref="CV48">OptionVega($CT48,$B$2,CV$41,$B$3,$CU$40,0)</f>
        <v>1.1696837223341142E-2</v>
      </c>
      <c r="CW48" s="1" cm="1">
        <f t="array" ref="CW48">OptionVega($CT48,$B$2,CW$41,$B$3,$CU$40,0)</f>
        <v>3.6089280836016528E-2</v>
      </c>
      <c r="CX48" s="1" cm="1">
        <f t="array" ref="CX48">OptionVega($CT48,$B$2,CX$41,$B$3,$CU$40,0)</f>
        <v>6.6105163163659941E-2</v>
      </c>
      <c r="CY48" s="1" cm="1">
        <f t="array" ref="CY48">OptionVega($CT48,$B$2,CY$41,$B$3,$CU$40,0)</f>
        <v>9.7437835238203124E-2</v>
      </c>
      <c r="CZ48" s="1" cm="1">
        <f t="array" ref="CZ48">OptionVega($CT48,$B$2,CZ$41,$B$3,$CU$40,0)</f>
        <v>0.12828628098948194</v>
      </c>
      <c r="DA48" s="1" cm="1">
        <f t="array" ref="DA48">OptionVega($CT48,$B$2,DA$41,$B$3,$CU$40,0)</f>
        <v>0.15796405593882865</v>
      </c>
      <c r="DB48" s="1" cm="1">
        <f t="array" ref="DB48">OptionVega($CT48,$B$2,DB$41,$B$3,$CU$40,0)</f>
        <v>0.18625614252560363</v>
      </c>
      <c r="DC48" s="1" cm="1">
        <f t="array" ref="DC48">OptionVega($CT48,$B$2,DC$41,$B$3,$CU$40,0)</f>
        <v>0.21314624132838875</v>
      </c>
      <c r="DD48" s="1" cm="1">
        <f t="array" ref="DD48">OptionVega($CT48,$B$2,DD$41,$B$3,$CU$40,0)</f>
        <v>0.23869941692283714</v>
      </c>
      <c r="DE48" s="1" cm="1">
        <f t="array" ref="DE48">OptionVega($CT48,$B$2,DE$41,$B$3,$CU$40,0)</f>
        <v>0.44056131835135998</v>
      </c>
      <c r="DF48" s="1" cm="1">
        <f t="array" ref="DF48">OptionVega($CT48,$B$2,DF$41,$B$3,$CU$40,0)</f>
        <v>0.58525004130384151</v>
      </c>
      <c r="DG48" s="1" cm="1">
        <f t="array" ref="DG48">OptionVega($CT48,$B$2,DG$41,$B$3,$CU$40,0)</f>
        <v>0.69986237314498334</v>
      </c>
      <c r="DH48" s="1" cm="1">
        <f t="array" ref="DH48">OptionVega($CT48,$B$2,DH$41,$B$3,$CU$40,0)</f>
        <v>0.79548944334653171</v>
      </c>
      <c r="DQ48" s="130"/>
      <c r="DR48" s="14">
        <v>90</v>
      </c>
      <c r="DS48" s="1" cm="1">
        <f t="array" ref="DS48">OptionRho("C",$DR48,$B$2,DS$41,$B$3,$DS$40,0)</f>
        <v>4.5615435801455798E-5</v>
      </c>
      <c r="DT48" s="1" cm="1">
        <f t="array" ref="DT48">OptionRho("C",$DR48,$B$2,DT$41,$B$3,$DS$40,0)</f>
        <v>1.957894332731875E-3</v>
      </c>
      <c r="DU48" s="1" cm="1">
        <f t="array" ref="DU48">OptionRho("C",$DR48,$B$2,DU$41,$B$3,$DS$40,0)</f>
        <v>8.6635170446754065E-3</v>
      </c>
      <c r="DV48" s="1" cm="1">
        <f t="array" ref="DV48">OptionRho("C",$DR48,$B$2,DV$41,$B$3,$DS$40,0)</f>
        <v>2.0358699772475959E-2</v>
      </c>
      <c r="DW48" s="1" cm="1">
        <f t="array" ref="DW48">OptionRho("C",$DR48,$B$2,DW$41,$B$3,$DS$40,0)</f>
        <v>3.6258596069978881E-2</v>
      </c>
      <c r="DX48" s="1" cm="1">
        <f t="array" ref="DX48">OptionRho("C",$DR48,$B$2,DX$41,$B$3,$DS$40,0)</f>
        <v>5.5569135148285986E-2</v>
      </c>
      <c r="DY48" s="1" cm="1">
        <f t="array" ref="DY48">OptionRho("C",$DR48,$B$2,DY$41,$B$3,$DS$40,0)</f>
        <v>7.7653949825830557E-2</v>
      </c>
      <c r="DZ48" s="1" cm="1">
        <f t="array" ref="DZ48">OptionRho("C",$DR48,$B$2,DZ$41,$B$3,$DS$40,0)</f>
        <v>0.10202507574836325</v>
      </c>
      <c r="EA48" s="1" cm="1">
        <f t="array" ref="EA48">OptionRho("C",$DR48,$B$2,EA$41,$B$3,$DS$40,0)</f>
        <v>0.12830859013377557</v>
      </c>
      <c r="EB48" s="1" cm="1">
        <f t="array" ref="EB48">OptionRho("C",$DR48,$B$2,EB$41,$B$3,$DS$40,0)</f>
        <v>0.15621450219614411</v>
      </c>
      <c r="EC48" s="1" cm="1">
        <f t="array" ref="EC48">OptionRho("C",$DR48,$B$2,EC$41,$B$3,$DS$40,0)</f>
        <v>0.49021713340295131</v>
      </c>
      <c r="ED48" s="1" cm="1">
        <f t="array" ref="ED48">OptionRho("C",$DR48,$B$2,ED$41,$B$3,$DS$40,0)</f>
        <v>0.87613987301824248</v>
      </c>
      <c r="EE48" s="1" cm="1">
        <f t="array" ref="EE48">OptionRho("C",$DR48,$B$2,EE$41,$B$3,$DS$40,0)</f>
        <v>1.2865415020805311</v>
      </c>
      <c r="EF48" s="1" cm="1">
        <f t="array" ref="EF48">OptionRho("C",$DR48,$B$2,EF$41,$B$3,$DS$40,0)</f>
        <v>1.7105684720072716</v>
      </c>
      <c r="EP48" s="130"/>
      <c r="EQ48" s="14">
        <v>90</v>
      </c>
      <c r="ER48" s="1" cm="1">
        <f t="array" ref="ER48">OptionRho("C",$DR48,$B$2,ER$41,$D$3,$DS$40,0)</f>
        <v>3.6773547058339445E-3</v>
      </c>
      <c r="ES48" s="1" cm="1">
        <f t="array" ref="ES48">OptionRho("C",$DR48,$B$2,ES$41,$D$3,$DS$40,0)</f>
        <v>8.0250204959612062E-2</v>
      </c>
      <c r="ET48" s="1" cm="1">
        <f t="array" ref="ET48">OptionRho("C",$DR48,$B$2,ET$41,$D$3,$DS$40,0)</f>
        <v>0.20257774760554148</v>
      </c>
      <c r="EU48" s="1" cm="1">
        <f t="array" ref="EU48">OptionRho("C",$DR48,$B$2,EU$41,$D$3,$DS$40,0)</f>
        <v>0.30407877623176371</v>
      </c>
      <c r="EV48" s="1" cm="1">
        <f t="array" ref="EV48">OptionRho("C",$DR48,$B$2,EV$41,$D$3,$DS$40,0)</f>
        <v>0.38075284173861107</v>
      </c>
      <c r="EW48" s="1" cm="1">
        <f t="array" ref="EW48">OptionRho("C",$DR48,$B$2,EW$41,$D$3,$DS$40,0)</f>
        <v>0.44152197544899818</v>
      </c>
      <c r="EX48" s="1" cm="1">
        <f t="array" ref="EX48">OptionRho("C",$DR48,$B$2,EX$41,$D$3,$DS$40,0)</f>
        <v>0.49230755739454124</v>
      </c>
      <c r="EY48" s="1" cm="1">
        <f t="array" ref="EY48">OptionRho("C",$DR48,$B$2,EY$41,$D$3,$DS$40,0)</f>
        <v>0.53594600274125148</v>
      </c>
      <c r="EZ48" s="1" cm="1">
        <f t="array" ref="EZ48">OptionRho("C",$DR48,$B$2,EZ$41,$D$3,$DS$40,0)</f>
        <v>0.57376876028084955</v>
      </c>
      <c r="FA48" s="1" cm="1">
        <f t="array" ref="FA48">OptionRho("C",$DR48,$B$2,FA$41,$D$3,$DS$40,0)</f>
        <v>0.60650105035058399</v>
      </c>
      <c r="FB48" s="1" cm="1">
        <f t="array" ref="FB48">OptionRho("C",$DR48,$B$2,FB$41,$D$3,$DS$40,0)</f>
        <v>0.73575888219697039</v>
      </c>
      <c r="FC48" s="1" cm="1">
        <f t="array" ref="FC48">OptionRho("C",$DR48,$B$2,FC$41,$D$3,$DS$40,0)</f>
        <v>0.66939048044528893</v>
      </c>
      <c r="FD48" s="1" cm="1">
        <f t="array" ref="FD48">OptionRho("C",$DR48,$B$2,FD$41,$D$3,$DS$40,0)</f>
        <v>0.54134113294645081</v>
      </c>
      <c r="FE48" s="1" cm="1">
        <f t="array" ref="FE48">OptionRho("C",$DR48,$B$2,FE$41,$D$3,$DS$40,0)</f>
        <v>0.41042499311949399</v>
      </c>
    </row>
    <row r="49" spans="1:161" x14ac:dyDescent="0.2">
      <c r="A49" s="133"/>
      <c r="B49" s="14">
        <v>95</v>
      </c>
      <c r="C49" s="1" cm="1">
        <f t="array" ref="C49">OptionPrice("C",$B49,$B$2,C$41,$B$3,$C$40,0)</f>
        <v>7.3228148140033866E-2</v>
      </c>
      <c r="D49" s="1" cm="1">
        <f t="array" ref="D49">OptionPrice("C",$B49,$B$2,D$41,$B$3,$C$40,0)</f>
        <v>0.2974418463175077</v>
      </c>
      <c r="E49" s="1" cm="1">
        <f t="array" ref="E49">OptionPrice("C",$B49,$B$2,E$41,$B$3,$C$40,0)</f>
        <v>0.55340820537417201</v>
      </c>
      <c r="F49" s="1" cm="1">
        <f t="array" ref="F49">OptionPrice("C",$B49,$B$2,F$41,$B$3,$C$40,0)</f>
        <v>0.80982796904445919</v>
      </c>
      <c r="G49" s="1" cm="1">
        <f t="array" ref="G49">OptionPrice("C",$B49,$B$2,G$41,$B$3,$C$40,0)</f>
        <v>1.0595077592404536</v>
      </c>
      <c r="H49" s="1" cm="1">
        <f t="array" ref="H49">OptionPrice("C",$B49,$B$2,H$41,$B$3,$C$40,0)</f>
        <v>1.3009230973531203</v>
      </c>
      <c r="I49" s="1" cm="1">
        <f t="array" ref="I49">OptionPrice("C",$B49,$B$2,I$41,$B$3,$C$40,0)</f>
        <v>1.5341524273385936</v>
      </c>
      <c r="J49" s="1" cm="1">
        <f t="array" ref="J49">OptionPrice("C",$B49,$B$2,J$41,$B$3,$C$40,0)</f>
        <v>1.7597422942333374</v>
      </c>
      <c r="K49" s="1" cm="1">
        <f t="array" ref="K49">OptionPrice("C",$B49,$B$2,K$41,$B$3,$C$40,0)</f>
        <v>1.9783442885821323</v>
      </c>
      <c r="L49" s="1" cm="1">
        <f t="array" ref="L49">OptionPrice("C",$B49,$B$2,L$41,$B$3,$C$40,0)</f>
        <v>2.1905927790264172</v>
      </c>
      <c r="M49" s="1" cm="1">
        <f t="array" ref="M49">OptionPrice("C",$B49,$B$2,M$41,$B$3,$C$40,0)</f>
        <v>4.0629388380082148</v>
      </c>
      <c r="N49" s="1" cm="1">
        <f t="array" ref="N49">OptionPrice("C",$B49,$B$2,N$41,$B$3,$C$40,0)</f>
        <v>5.6543521529805929</v>
      </c>
      <c r="O49" s="1" cm="1">
        <f t="array" ref="O49">OptionPrice("C",$B49,$B$2,O$41,$B$3,$C$40,0)</f>
        <v>7.0828778832333228</v>
      </c>
      <c r="P49" s="1" cm="1">
        <f t="array" ref="P49">OptionPrice("C",$B49,$B$2,P$41,$B$3,$C$40,0)</f>
        <v>8.401109152836284</v>
      </c>
      <c r="Y49" s="136"/>
      <c r="Z49" s="14">
        <v>95</v>
      </c>
      <c r="AA49" s="1" cm="1">
        <f t="array" ref="AA49">OptionDelta("C",$Z49,$B$2,AA$41,$B$3,$AA$40,0)</f>
        <v>5.7674144516076838E-2</v>
      </c>
      <c r="AB49" s="1" cm="1">
        <f t="array" ref="AB49">OptionDelta("C",$Z49,$B$2,AB$41,$B$3,$AA$40,0)</f>
        <v>0.14009983864577802</v>
      </c>
      <c r="AC49" s="1" cm="1">
        <f t="array" ref="AC49">OptionDelta("C",$Z49,$B$2,AC$41,$B$3,$AA$40,0)</f>
        <v>0.19646253524083446</v>
      </c>
      <c r="AD49" s="1" cm="1">
        <f t="array" ref="AD49">OptionDelta("C",$Z49,$B$2,AD$41,$B$3,$AA$40,0)</f>
        <v>0.23694940812133697</v>
      </c>
      <c r="AE49" s="1" cm="1">
        <f t="array" ref="AE49">OptionDelta("C",$Z49,$B$2,AE$41,$B$3,$AA$40,0)</f>
        <v>0.26784925915213059</v>
      </c>
      <c r="AF49" s="1" cm="1">
        <f t="array" ref="AF49">OptionDelta("C",$Z49,$B$2,AF$41,$B$3,$AA$40,0)</f>
        <v>0.29253156538610559</v>
      </c>
      <c r="AG49" s="1" cm="1">
        <f t="array" ref="AG49">OptionDelta("C",$Z49,$B$2,AG$41,$B$3,$AA$40,0)</f>
        <v>0.31292611764332445</v>
      </c>
      <c r="AH49" s="1" cm="1">
        <f t="array" ref="AH49">OptionDelta("C",$Z49,$B$2,AH$41,$B$3,$AA$40,0)</f>
        <v>0.33021760012856716</v>
      </c>
      <c r="AI49" s="1" cm="1">
        <f t="array" ref="AI49">OptionDelta("C",$Z49,$B$2,AI$41,$B$3,$AA$40,0)</f>
        <v>0.34517641190667869</v>
      </c>
      <c r="AJ49" s="1" cm="1">
        <f t="array" ref="AJ49">OptionDelta("C",$Z49,$B$2,AJ$41,$B$3,$AA$40,0)</f>
        <v>0.35832748828828459</v>
      </c>
      <c r="AK49" s="1" cm="1">
        <f t="array" ref="AK49">OptionDelta("C",$Z49,$B$2,AK$41,$B$3,$AA$40,0)</f>
        <v>0.44015891222205472</v>
      </c>
      <c r="AL49" s="1" cm="1">
        <f t="array" ref="AL49">OptionDelta("C",$Z49,$B$2,AL$41,$B$3,$AA$40,0)</f>
        <v>0.48550787950516516</v>
      </c>
      <c r="AM49" s="1" cm="1">
        <f t="array" ref="AM49">OptionDelta("C",$Z49,$B$2,AM$41,$B$3,$AA$40,0)</f>
        <v>0.51736188083892132</v>
      </c>
      <c r="AN49" s="1" cm="1">
        <f t="array" ref="AN49">OptionDelta("C",$Z49,$B$2,AN$41,$B$3,$AA$40,0)</f>
        <v>0.54221660354441636</v>
      </c>
      <c r="AW49" s="139"/>
      <c r="AX49" s="14">
        <v>95</v>
      </c>
      <c r="AY49" s="1" cm="1">
        <f t="array" ref="AY49">OptionTheta("C",$AX49,$B$2,AY$41,$B$3,$AY$40,0)</f>
        <v>-4.604393935016958E-3</v>
      </c>
      <c r="AZ49" s="1" cm="1">
        <f t="array" ref="AZ49">OptionTheta("C",$AX49,$B$2,AZ$41,$B$3,$AY$40,0)</f>
        <v>-6.1235178933894477E-3</v>
      </c>
      <c r="BA49" s="1" cm="1">
        <f t="array" ref="BA49">OptionTheta("C",$AX49,$B$2,BA$41,$B$3,$AY$40,0)</f>
        <v>-6.0843492023878619E-3</v>
      </c>
      <c r="BB49" s="1" cm="1">
        <f t="array" ref="BB49">OptionTheta("C",$AX49,$B$2,BB$41,$B$3,$AY$40,0)</f>
        <v>-5.7574969830346164E-3</v>
      </c>
      <c r="BC49" s="1" cm="1">
        <f t="array" ref="BC49">OptionTheta("C",$AX49,$B$2,BC$41,$B$3,$AY$40,0)</f>
        <v>-5.3927495389022194E-3</v>
      </c>
      <c r="BD49" s="1" cm="1">
        <f t="array" ref="BD49">OptionTheta("C",$AX49,$B$2,BD$41,$B$3,$AY$40,0)</f>
        <v>-5.0485556385893027E-3</v>
      </c>
      <c r="BE49" s="1" cm="1">
        <f t="array" ref="BE49">OptionTheta("C",$AX49,$B$2,BE$41,$B$3,$AY$40,0)</f>
        <v>-4.7374180240533055E-3</v>
      </c>
      <c r="BF49" s="1" cm="1">
        <f t="array" ref="BF49">OptionTheta("C",$AX49,$B$2,BF$41,$B$3,$AY$40,0)</f>
        <v>-4.459309455380432E-3</v>
      </c>
      <c r="BG49" s="1" cm="1">
        <f t="array" ref="BG49">OptionTheta("C",$AX49,$B$2,BG$41,$B$3,$AY$40,0)</f>
        <v>-4.21087053924382E-3</v>
      </c>
      <c r="BH49" s="1" cm="1">
        <f t="array" ref="BH49">OptionTheta("C",$AX49,$B$2,BH$41,$B$3,$AY$40,0)</f>
        <v>-3.9881870179831911E-3</v>
      </c>
      <c r="BI49" s="1" cm="1">
        <f t="array" ref="BI49">OptionTheta("C",$AX49,$B$2,BI$41,$B$3,$AY$40,0)</f>
        <v>-2.5954135802699644E-3</v>
      </c>
      <c r="BJ49" s="1" cm="1">
        <f t="array" ref="BJ49">OptionTheta("C",$AX49,$B$2,BJ$41,$B$3,$AY$40,0)</f>
        <v>-1.886723005232873E-3</v>
      </c>
      <c r="BK49" s="1" cm="1">
        <f t="array" ref="BK49">OptionTheta("C",$AX49,$B$2,BK$41,$B$3,$AY$40,0)</f>
        <v>-1.4408918049755347E-3</v>
      </c>
      <c r="BL49" s="1" cm="1">
        <f t="array" ref="BL49">OptionTheta("C",$AX49,$B$2,BL$41,$B$3,$AY$40,0)</f>
        <v>-1.1277119060622385E-3</v>
      </c>
      <c r="BU49" s="142"/>
      <c r="BV49" s="14">
        <v>95</v>
      </c>
      <c r="BW49" s="1" cm="1">
        <f t="array" ref="BW49">OptionGamma($BV49,$B$2,BW$41,$B$3,$BW$40,0)</f>
        <v>3.8441261874572009E-2</v>
      </c>
      <c r="BX49" s="1" cm="1">
        <f t="array" ref="BX49">OptionGamma($BV49,$B$2,BX$41,$B$3,$BW$40,0)</f>
        <v>5.2414503254015789E-2</v>
      </c>
      <c r="BY49" s="1" cm="1">
        <f t="array" ref="BY49">OptionGamma($BV49,$B$2,BY$41,$B$3,$BW$40,0)</f>
        <v>5.3227540948401569E-2</v>
      </c>
      <c r="BZ49" s="1" cm="1">
        <f t="array" ref="BZ49">OptionGamma($BV49,$B$2,BZ$41,$B$3,$BW$40,0)</f>
        <v>5.1379281037838447E-2</v>
      </c>
      <c r="CA49" s="1" cm="1">
        <f t="array" ref="CA49">OptionGamma($BV49,$B$2,CA$41,$B$3,$BW$40,0)</f>
        <v>4.9024161779533067E-2</v>
      </c>
      <c r="CB49" s="1" cm="1">
        <f t="array" ref="CB49">OptionGamma($BV49,$B$2,CB$41,$B$3,$BW$40,0)</f>
        <v>4.6706228570157653E-2</v>
      </c>
      <c r="CC49" s="1" cm="1">
        <f t="array" ref="CC49">OptionGamma($BV49,$B$2,CC$41,$B$3,$BW$40,0)</f>
        <v>4.4567221413124178E-2</v>
      </c>
      <c r="CD49" s="1" cm="1">
        <f t="array" ref="CD49">OptionGamma($BV49,$B$2,CD$41,$B$3,$BW$40,0)</f>
        <v>4.2631739576590874E-2</v>
      </c>
      <c r="CE49" s="1" cm="1">
        <f t="array" ref="CE49">OptionGamma($BV49,$B$2,CE$41,$B$3,$BW$40,0)</f>
        <v>4.0888684659269078E-2</v>
      </c>
      <c r="CF49" s="1" cm="1">
        <f t="array" ref="CF49">OptionGamma($BV49,$B$2,CF$41,$B$3,$BW$40,0)</f>
        <v>3.9317306319057527E-2</v>
      </c>
      <c r="CG49" s="1" cm="1">
        <f t="array" ref="CG49">OptionGamma($BV49,$B$2,CG$41,$B$3,$BW$40,0)</f>
        <v>2.9359502161316497E-2</v>
      </c>
      <c r="CH49" s="1" cm="1">
        <f t="array" ref="CH49">OptionGamma($BV49,$B$2,CH$41,$B$3,$BW$40,0)</f>
        <v>2.4229204673908024E-2</v>
      </c>
      <c r="CI49" s="1" cm="1">
        <f t="array" ref="CI49">OptionGamma($BV49,$B$2,CI$41,$B$3,$BW$40,0)</f>
        <v>2.0977075164115507E-2</v>
      </c>
      <c r="CJ49" s="1" cm="1">
        <f t="array" ref="CJ49">OptionGamma($BV49,$B$2,CJ$41,$B$3,$BW$40,0)</f>
        <v>1.8675003380643759E-2</v>
      </c>
      <c r="CS49" s="145"/>
      <c r="CT49" s="14">
        <v>95</v>
      </c>
      <c r="CU49" s="1" cm="1">
        <f t="array" ref="CU49">OptionVega($CT49,$B$2,CU$41,$B$3,$CU$40,0)</f>
        <v>3.4693238841801248E-2</v>
      </c>
      <c r="CV49" s="1" cm="1">
        <f t="array" ref="CV49">OptionVega($CT49,$B$2,CV$41,$B$3,$CU$40,0)</f>
        <v>9.4608178373498497E-2</v>
      </c>
      <c r="CW49" s="1" cm="1">
        <f t="array" ref="CW49">OptionVega($CT49,$B$2,CW$41,$B$3,$CU$40,0)</f>
        <v>0.14411356711779724</v>
      </c>
      <c r="CX49" s="1" cm="1">
        <f t="array" ref="CX49">OptionVega($CT49,$B$2,CX$41,$B$3,$CU$40,0)</f>
        <v>0.18547920454659683</v>
      </c>
      <c r="CY49" s="1" cm="1">
        <f t="array" ref="CY49">OptionVega($CT49,$B$2,CY$41,$B$3,$CU$40,0)</f>
        <v>0.22122153003014303</v>
      </c>
      <c r="CZ49" s="1" cm="1">
        <f t="array" ref="CZ49">OptionVega($CT49,$B$2,CZ$41,$B$3,$CU$40,0)</f>
        <v>0.25291422770740374</v>
      </c>
      <c r="DA49" s="1" cm="1">
        <f t="array" ref="DA49">OptionVega($CT49,$B$2,DA$41,$B$3,$CU$40,0)</f>
        <v>0.28155342127741206</v>
      </c>
      <c r="DB49" s="1" cm="1">
        <f t="array" ref="DB49">OptionVega($CT49,$B$2,DB$41,$B$3,$CU$40,0)</f>
        <v>0.30780115974298611</v>
      </c>
      <c r="DC49" s="1" cm="1">
        <f t="array" ref="DC49">OptionVega($CT49,$B$2,DC$41,$B$3,$CU$40,0)</f>
        <v>0.33211834114491318</v>
      </c>
      <c r="DD49" s="1" cm="1">
        <f t="array" ref="DD49">OptionVega($CT49,$B$2,DD$41,$B$3,$CU$40,0)</f>
        <v>0.35483868952949421</v>
      </c>
      <c r="DE49" s="1" cm="1">
        <f t="array" ref="DE49">OptionVega($CT49,$B$2,DE$41,$B$3,$CU$40,0)</f>
        <v>0.52993901401176291</v>
      </c>
      <c r="DF49" s="1" cm="1">
        <f t="array" ref="DF49">OptionVega($CT49,$B$2,DF$41,$B$3,$CU$40,0)</f>
        <v>0.65600571654605966</v>
      </c>
      <c r="DG49" s="1" cm="1">
        <f t="array" ref="DG49">OptionVega($CT49,$B$2,DG$41,$B$3,$CU$40,0)</f>
        <v>0.75727241342456986</v>
      </c>
      <c r="DH49" s="1" cm="1">
        <f t="array" ref="DH49">OptionVega($CT49,$B$2,DH$41,$B$3,$CU$40,0)</f>
        <v>0.84270952755154982</v>
      </c>
      <c r="DQ49" s="130"/>
      <c r="DR49" s="14">
        <v>95</v>
      </c>
      <c r="DS49" s="1" cm="1">
        <f t="array" ref="DS49">OptionRho("C",$DR49,$B$2,DS$41,$B$3,$DS$40,0)</f>
        <v>5.4058155808872667E-3</v>
      </c>
      <c r="DT49" s="1" cm="1">
        <f t="array" ref="DT49">OptionRho("C",$DR49,$B$2,DT$41,$B$3,$DS$40,0)</f>
        <v>2.6024085650062811E-2</v>
      </c>
      <c r="DU49" s="1" cm="1">
        <f t="array" ref="DU49">OptionRho("C",$DR49,$B$2,DU$41,$B$3,$DS$40,0)</f>
        <v>5.4331597927515303E-2</v>
      </c>
      <c r="DV49" s="1" cm="1">
        <f t="array" ref="DV49">OptionRho("C",$DR49,$B$2,DV$41,$B$3,$DS$40,0)</f>
        <v>8.6801463209930207E-2</v>
      </c>
      <c r="DW49" s="1" cm="1">
        <f t="array" ref="DW49">OptionRho("C",$DR49,$B$2,DW$41,$B$3,$DS$40,0)</f>
        <v>0.12193085930105975</v>
      </c>
      <c r="DX49" s="1" cm="1">
        <f t="array" ref="DX49">OptionRho("C",$DR49,$B$2,DX$41,$B$3,$DS$40,0)</f>
        <v>0.15893745368596146</v>
      </c>
      <c r="DY49" s="1" cm="1">
        <f t="array" ref="DY49">OptionRho("C",$DR49,$B$2,DY$41,$B$3,$DS$40,0)</f>
        <v>0.19735680124144059</v>
      </c>
      <c r="DZ49" s="1" cm="1">
        <f t="array" ref="DZ49">OptionRho("C",$DR49,$B$2,DZ$41,$B$3,$DS$40,0)</f>
        <v>0.23688743774384435</v>
      </c>
      <c r="EA49" s="1" cm="1">
        <f t="array" ref="EA49">OptionRho("C",$DR49,$B$2,EA$41,$B$3,$DS$40,0)</f>
        <v>0.2773207335829711</v>
      </c>
      <c r="EB49" s="1" cm="1">
        <f t="array" ref="EB49">OptionRho("C",$DR49,$B$2,EB$41,$B$3,$DS$40,0)</f>
        <v>0.31850518608360617</v>
      </c>
      <c r="EC49" s="1" cm="1">
        <f t="array" ref="EC49">OptionRho("C",$DR49,$B$2,EC$41,$B$3,$DS$40,0)</f>
        <v>0.7550431564617397</v>
      </c>
      <c r="ED49" s="1" cm="1">
        <f t="array" ref="ED49">OptionRho("C",$DR49,$B$2,ED$41,$B$3,$DS$40,0)</f>
        <v>1.2140668920003028</v>
      </c>
      <c r="EE49" s="1" cm="1">
        <f t="array" ref="EE49">OptionRho("C",$DR49,$B$2,EE$41,$B$3,$DS$40,0)</f>
        <v>1.6826600318585683</v>
      </c>
      <c r="EF49" s="1" cm="1">
        <f t="array" ref="EF49">OptionRho("C",$DR49,$B$2,EF$41,$B$3,$DS$40,0)</f>
        <v>2.1554734091941636</v>
      </c>
      <c r="EP49" s="130"/>
      <c r="EQ49" s="14">
        <v>95</v>
      </c>
      <c r="ER49" s="1" cm="1">
        <f t="array" ref="ER49">OptionRho("C",$DR49,$B$2,ER$41,$D$3,$DS$40,0)</f>
        <v>4.5410601008006785E-2</v>
      </c>
      <c r="ES49" s="1" cm="1">
        <f t="array" ref="ES49">OptionRho("C",$DR49,$B$2,ES$41,$D$3,$DS$40,0)</f>
        <v>0.15508164414744013</v>
      </c>
      <c r="ET49" s="1" cm="1">
        <f t="array" ref="ET49">OptionRho("C",$DR49,$B$2,ET$41,$D$3,$DS$40,0)</f>
        <v>0.24840803648019705</v>
      </c>
      <c r="EU49" s="1" cm="1">
        <f t="array" ref="EU49">OptionRho("C",$DR49,$B$2,EU$41,$D$3,$DS$40,0)</f>
        <v>0.32415834128349724</v>
      </c>
      <c r="EV49" s="1" cm="1">
        <f t="array" ref="EV49">OptionRho("C",$DR49,$B$2,EV$41,$D$3,$DS$40,0)</f>
        <v>0.38832489202734832</v>
      </c>
      <c r="EW49" s="1" cm="1">
        <f t="array" ref="EW49">OptionRho("C",$DR49,$B$2,EW$41,$D$3,$DS$40,0)</f>
        <v>0.44415453774175812</v>
      </c>
      <c r="EX49" s="1" cm="1">
        <f t="array" ref="EX49">OptionRho("C",$DR49,$B$2,EX$41,$D$3,$DS$40,0)</f>
        <v>0.49317854528738686</v>
      </c>
      <c r="EY49" s="1" cm="1">
        <f t="array" ref="EY49">OptionRho("C",$DR49,$B$2,EY$41,$D$3,$DS$40,0)</f>
        <v>0.53622487151020271</v>
      </c>
      <c r="EZ49" s="1" cm="1">
        <f t="array" ref="EZ49">OptionRho("C",$DR49,$B$2,EZ$41,$D$3,$DS$40,0)</f>
        <v>0.57385601527992025</v>
      </c>
      <c r="FA49" s="1" cm="1">
        <f t="array" ref="FA49">OptionRho("C",$DR49,$B$2,FA$41,$D$3,$DS$40,0)</f>
        <v>0.60652789414838693</v>
      </c>
      <c r="FB49" s="1" cm="1">
        <f t="array" ref="FB49">OptionRho("C",$DR49,$B$2,FB$41,$D$3,$DS$40,0)</f>
        <v>0.73575888233116016</v>
      </c>
      <c r="FC49" s="1" cm="1">
        <f t="array" ref="FC49">OptionRho("C",$DR49,$B$2,FC$41,$D$3,$DS$40,0)</f>
        <v>0.66939048044528937</v>
      </c>
      <c r="FD49" s="1" cm="1">
        <f t="array" ref="FD49">OptionRho("C",$DR49,$B$2,FD$41,$D$3,$DS$40,0)</f>
        <v>0.54134113294645081</v>
      </c>
      <c r="FE49" s="1" cm="1">
        <f t="array" ref="FE49">OptionRho("C",$DR49,$B$2,FE$41,$D$3,$DS$40,0)</f>
        <v>0.41042499311949399</v>
      </c>
    </row>
    <row r="50" spans="1:161" x14ac:dyDescent="0.2">
      <c r="A50" s="133"/>
      <c r="B50" s="14">
        <v>100</v>
      </c>
      <c r="C50" s="1" cm="1">
        <f t="array" ref="C50">OptionPrice("C",$B50,$B$2,C$41,$B$3,$C$40,0)</f>
        <v>1.3114886009762472</v>
      </c>
      <c r="D50" s="1" cm="1">
        <f t="array" ref="D50">OptionPrice("C",$B50,$B$2,D$41,$B$3,$C$40,0)</f>
        <v>1.8838749228425655</v>
      </c>
      <c r="E50" s="1" cm="1">
        <f t="array" ref="E50">OptionPrice("C",$B50,$B$2,E$41,$B$3,$C$40,0)</f>
        <v>2.3345973433891416</v>
      </c>
      <c r="F50" s="1" cm="1">
        <f t="array" ref="F50">OptionPrice("C",$B50,$B$2,F$41,$B$3,$C$40,0)</f>
        <v>2.7223092386836854</v>
      </c>
      <c r="G50" s="1" cm="1">
        <f t="array" ref="G50">OptionPrice("C",$B50,$B$2,G$41,$B$3,$C$40,0)</f>
        <v>3.0697305092269715</v>
      </c>
      <c r="H50" s="1" cm="1">
        <f t="array" ref="H50">OptionPrice("C",$B50,$B$2,H$41,$B$3,$C$40,0)</f>
        <v>3.3885137974441619</v>
      </c>
      <c r="I50" s="1" cm="1">
        <f t="array" ref="I50">OptionPrice("C",$B50,$B$2,I$41,$B$3,$C$40,0)</f>
        <v>3.6855815963090848</v>
      </c>
      <c r="J50" s="1" cm="1">
        <f t="array" ref="J50">OptionPrice("C",$B50,$B$2,J$41,$B$3,$C$40,0)</f>
        <v>3.965444480188097</v>
      </c>
      <c r="K50" s="1" cm="1">
        <f t="array" ref="K50">OptionPrice("C",$B50,$B$2,K$41,$B$3,$C$40,0)</f>
        <v>4.2312356348696056</v>
      </c>
      <c r="L50" s="1" cm="1">
        <f t="array" ref="L50">OptionPrice("C",$B50,$B$2,L$41,$B$3,$C$40,0)</f>
        <v>4.485236409022086</v>
      </c>
      <c r="M50" s="1" cm="1">
        <f t="array" ref="M50">OptionPrice("C",$B50,$B$2,M$41,$B$3,$C$40,0)</f>
        <v>6.6270780136147422</v>
      </c>
      <c r="N50" s="1" cm="1">
        <f t="array" ref="N50">OptionPrice("C",$B50,$B$2,N$41,$B$3,$C$40,0)</f>
        <v>8.3784685121103877</v>
      </c>
      <c r="O50" s="1" cm="1">
        <f t="array" ref="O50">OptionPrice("C",$B50,$B$2,O$41,$B$3,$C$40,0)</f>
        <v>9.9250537172744444</v>
      </c>
      <c r="P50" s="1" cm="1">
        <f t="array" ref="P50">OptionPrice("C",$B50,$B$2,P$41,$B$3,$C$40,0)</f>
        <v>11.338789096455578</v>
      </c>
      <c r="Y50" s="136"/>
      <c r="Z50" s="14">
        <v>100</v>
      </c>
      <c r="AA50" s="1" cm="1">
        <f t="array" ref="AA50">OptionDelta("C",$Z50,$B$2,AA$41,$B$3,$AA$40,0)</f>
        <v>0.51891639999929629</v>
      </c>
      <c r="AB50" s="1" cm="1">
        <f t="array" ref="AB50">OptionDelta("C",$Z50,$B$2,AB$41,$B$3,$AA$40,0)</f>
        <v>0.5267418038869226</v>
      </c>
      <c r="AC50" s="1" cm="1">
        <f t="array" ref="AC50">OptionDelta("C",$Z50,$B$2,AC$41,$B$3,$AA$40,0)</f>
        <v>0.53273961671267711</v>
      </c>
      <c r="AD50" s="1" cm="1">
        <f t="array" ref="AD50">OptionDelta("C",$Z50,$B$2,AD$41,$B$3,$AA$40,0)</f>
        <v>0.53779029390666466</v>
      </c>
      <c r="AE50" s="1" cm="1">
        <f t="array" ref="AE50">OptionDelta("C",$Z50,$B$2,AE$41,$B$3,$AA$40,0)</f>
        <v>0.54223501331161406</v>
      </c>
      <c r="AF50" s="1" cm="1">
        <f t="array" ref="AF50">OptionDelta("C",$Z50,$B$2,AF$41,$B$3,$AA$40,0)</f>
        <v>0.54624882106468031</v>
      </c>
      <c r="AG50" s="1" cm="1">
        <f t="array" ref="AG50">OptionDelta("C",$Z50,$B$2,AG$41,$B$3,$AA$40,0)</f>
        <v>0.54993574324296035</v>
      </c>
      <c r="AH50" s="1" cm="1">
        <f t="array" ref="AH50">OptionDelta("C",$Z50,$B$2,AH$41,$B$3,$AA$40,0)</f>
        <v>0.55336358492889404</v>
      </c>
      <c r="AI50" s="1" cm="1">
        <f t="array" ref="AI50">OptionDelta("C",$Z50,$B$2,AI$41,$B$3,$AA$40,0)</f>
        <v>0.55657946195545982</v>
      </c>
      <c r="AJ50" s="1" cm="1">
        <f t="array" ref="AJ50">OptionDelta("C",$Z50,$B$2,AJ$41,$B$3,$AA$40,0)</f>
        <v>0.5596176923702425</v>
      </c>
      <c r="AK50" s="1" cm="1">
        <f t="array" ref="AK50">OptionDelta("C",$Z50,$B$2,AK$41,$B$3,$AA$40,0)</f>
        <v>0.58399798571368178</v>
      </c>
      <c r="AL50" s="1" cm="1">
        <f t="array" ref="AL50">OptionDelta("C",$Z50,$B$2,AL$41,$B$3,$AA$40,0)</f>
        <v>0.60249391401788088</v>
      </c>
      <c r="AM50" s="1" cm="1">
        <f t="array" ref="AM50">OptionDelta("C",$Z50,$B$2,AM$41,$B$3,$AA$40,0)</f>
        <v>0.61791142218895267</v>
      </c>
      <c r="AN50" s="1" cm="1">
        <f t="array" ref="AN50">OptionDelta("C",$Z50,$B$2,AN$41,$B$3,$AA$40,0)</f>
        <v>0.63134216139179089</v>
      </c>
      <c r="AW50" s="139"/>
      <c r="AX50" s="14">
        <v>100</v>
      </c>
      <c r="AY50" s="1" cm="1">
        <f t="array" ref="AY50">OptionTheta("C",$AX50,$B$2,AY$41,$B$3,$AY$40,0)</f>
        <v>-1.587654101649514E-2</v>
      </c>
      <c r="AZ50" s="1" cm="1">
        <f t="array" ref="AZ50">OptionTheta("C",$AX50,$B$2,AZ$41,$B$3,$AY$40,0)</f>
        <v>-1.080104881991133E-2</v>
      </c>
      <c r="BA50" s="1" cm="1">
        <f t="array" ref="BA50">OptionTheta("C",$AX50,$B$2,BA$41,$B$3,$AY$40,0)</f>
        <v>-8.5483945394121096E-3</v>
      </c>
      <c r="BB50" s="1" cm="1">
        <f t="array" ref="BB50">OptionTheta("C",$AX50,$B$2,BB$41,$B$3,$AY$40,0)</f>
        <v>-7.2032540167636609E-3</v>
      </c>
      <c r="BC50" s="1" cm="1">
        <f t="array" ref="BC50">OptionTheta("C",$AX50,$B$2,BC$41,$B$3,$AY$40,0)</f>
        <v>-6.2837997868473456E-3</v>
      </c>
      <c r="BD50" s="1" cm="1">
        <f t="array" ref="BD50">OptionTheta("C",$AX50,$B$2,BD$41,$B$3,$AY$40,0)</f>
        <v>-5.6040379678348531E-3</v>
      </c>
      <c r="BE50" s="1" cm="1">
        <f t="array" ref="BE50">OptionTheta("C",$AX50,$B$2,BE$41,$B$3,$AY$40,0)</f>
        <v>-5.0749448462215482E-3</v>
      </c>
      <c r="BF50" s="1" cm="1">
        <f t="array" ref="BF50">OptionTheta("C",$AX50,$B$2,BF$41,$B$3,$AY$40,0)</f>
        <v>-4.6478483826995496E-3</v>
      </c>
      <c r="BG50" s="1" cm="1">
        <f t="array" ref="BG50">OptionTheta("C",$AX50,$B$2,BG$41,$B$3,$AY$40,0)</f>
        <v>-4.2935940031354793E-3</v>
      </c>
      <c r="BH50" s="1" cm="1">
        <f t="array" ref="BH50">OptionTheta("C",$AX50,$B$2,BH$41,$B$3,$AY$40,0)</f>
        <v>-3.9935104829025292E-3</v>
      </c>
      <c r="BI50" s="1" cm="1">
        <f t="array" ref="BI50">OptionTheta("C",$AX50,$B$2,BI$41,$B$3,$AY$40,0)</f>
        <v>-2.3599053499616311E-3</v>
      </c>
      <c r="BJ50" s="1" cm="1">
        <f t="array" ref="BJ50">OptionTheta("C",$AX50,$B$2,BJ$41,$B$3,$AY$40,0)</f>
        <v>-1.6293655512835663E-3</v>
      </c>
      <c r="BK50" s="1" cm="1">
        <f t="array" ref="BK50">OptionTheta("C",$AX50,$B$2,BK$41,$B$3,$AY$40,0)</f>
        <v>-1.1912565853016497E-3</v>
      </c>
      <c r="BL50" s="1" cm="1">
        <f t="array" ref="BL50">OptionTheta("C",$AX50,$B$2,BL$41,$B$3,$AY$40,0)</f>
        <v>-8.912725303741679E-4</v>
      </c>
      <c r="BU50" s="142"/>
      <c r="BV50" s="14">
        <v>100</v>
      </c>
      <c r="BW50" s="1" cm="1">
        <f t="array" ref="BW50">OptionGamma($BV50,$B$2,BW$41,$B$3,$BW$40,0)</f>
        <v>0.12601477970020517</v>
      </c>
      <c r="BX50" s="1" cm="1">
        <f t="array" ref="BX50">OptionGamma($BV50,$B$2,BX$41,$B$3,$BW$40,0)</f>
        <v>8.900571747852265E-2</v>
      </c>
      <c r="BY50" s="1" cm="1">
        <f t="array" ref="BY50">OptionGamma($BV50,$B$2,BY$41,$B$3,$BW$40,0)</f>
        <v>7.2591153003284115E-2</v>
      </c>
      <c r="BZ50" s="1" cm="1">
        <f t="array" ref="BZ50">OptionGamma($BV50,$B$2,BZ$41,$B$3,$BW$40,0)</f>
        <v>6.2795098352771264E-2</v>
      </c>
      <c r="CA50" s="1" cm="1">
        <f t="array" ref="CA50">OptionGamma($BV50,$B$2,CA$41,$B$3,$BW$40,0)</f>
        <v>5.6102492608372502E-2</v>
      </c>
      <c r="CB50" s="1" cm="1">
        <f t="array" ref="CB50">OptionGamma($BV50,$B$2,CB$41,$B$3,$BW$40,0)</f>
        <v>5.1156750826999192E-2</v>
      </c>
      <c r="CC50" s="1" cm="1">
        <f t="array" ref="CC50">OptionGamma($BV50,$B$2,CC$41,$B$3,$BW$40,0)</f>
        <v>4.7308695923014683E-2</v>
      </c>
      <c r="CD50" s="1" cm="1">
        <f t="array" ref="CD50">OptionGamma($BV50,$B$2,CD$41,$B$3,$BW$40,0)</f>
        <v>4.4203475996246966E-2</v>
      </c>
      <c r="CE50" s="1" cm="1">
        <f t="array" ref="CE50">OptionGamma($BV50,$B$2,CE$41,$B$3,$BW$40,0)</f>
        <v>4.1628578335024279E-2</v>
      </c>
      <c r="CF50" s="1" cm="1">
        <f t="array" ref="CF50">OptionGamma($BV50,$B$2,CF$41,$B$3,$BW$40,0)</f>
        <v>3.9447933090788895E-2</v>
      </c>
      <c r="CG50" s="1" cm="1">
        <f t="array" ref="CG50">OptionGamma($BV50,$B$2,CG$41,$B$3,$BW$40,0)</f>
        <v>2.7581853166270594E-2</v>
      </c>
      <c r="CH50" s="1" cm="1">
        <f t="array" ref="CH50">OptionGamma($BV50,$B$2,CH$41,$B$3,$BW$40,0)</f>
        <v>2.226855310230557E-2</v>
      </c>
      <c r="CI50" s="1" cm="1">
        <f t="array" ref="CI50">OptionGamma($BV50,$B$2,CI$41,$B$3,$BW$40,0)</f>
        <v>1.9069390773026208E-2</v>
      </c>
      <c r="CJ50" s="1" cm="1">
        <f t="array" ref="CJ50">OptionGamma($BV50,$B$2,CJ$41,$B$3,$BW$40,0)</f>
        <v>1.6865374880276125E-2</v>
      </c>
      <c r="CS50" s="145"/>
      <c r="CT50" s="14">
        <v>100</v>
      </c>
      <c r="CU50" s="1" cm="1">
        <f t="array" ref="CU50">OptionVega($CT50,$B$2,CU$41,$B$3,$CU$40,0)</f>
        <v>0.12601477970020519</v>
      </c>
      <c r="CV50" s="1" cm="1">
        <f t="array" ref="CV50">OptionVega($CT50,$B$2,CV$41,$B$3,$CU$40,0)</f>
        <v>0.1780114349570453</v>
      </c>
      <c r="CW50" s="1" cm="1">
        <f t="array" ref="CW50">OptionVega($CT50,$B$2,CW$41,$B$3,$CU$40,0)</f>
        <v>0.21777345900985232</v>
      </c>
      <c r="CX50" s="1" cm="1">
        <f t="array" ref="CX50">OptionVega($CT50,$B$2,CX$41,$B$3,$CU$40,0)</f>
        <v>0.25118039341108511</v>
      </c>
      <c r="CY50" s="1" cm="1">
        <f t="array" ref="CY50">OptionVega($CT50,$B$2,CY$41,$B$3,$CU$40,0)</f>
        <v>0.28051246304186261</v>
      </c>
      <c r="CZ50" s="1" cm="1">
        <f t="array" ref="CZ50">OptionVega($CT50,$B$2,CZ$41,$B$3,$CU$40,0)</f>
        <v>0.30694050496199521</v>
      </c>
      <c r="DA50" s="1" cm="1">
        <f t="array" ref="DA50">OptionVega($CT50,$B$2,DA$41,$B$3,$CU$40,0)</f>
        <v>0.3311608714611029</v>
      </c>
      <c r="DB50" s="1" cm="1">
        <f t="array" ref="DB50">OptionVega($CT50,$B$2,DB$41,$B$3,$CU$40,0)</f>
        <v>0.35362780796997573</v>
      </c>
      <c r="DC50" s="1" cm="1">
        <f t="array" ref="DC50">OptionVega($CT50,$B$2,DC$41,$B$3,$CU$40,0)</f>
        <v>0.37465720501521849</v>
      </c>
      <c r="DD50" s="1" cm="1">
        <f t="array" ref="DD50">OptionVega($CT50,$B$2,DD$41,$B$3,$CU$40,0)</f>
        <v>0.39447933090788895</v>
      </c>
      <c r="DE50" s="1" cm="1">
        <f t="array" ref="DE50">OptionVega($CT50,$B$2,DE$41,$B$3,$CU$40,0)</f>
        <v>0.55163706332541196</v>
      </c>
      <c r="DF50" s="1" cm="1">
        <f t="array" ref="DF50">OptionVega($CT50,$B$2,DF$41,$B$3,$CU$40,0)</f>
        <v>0.66805659306916709</v>
      </c>
      <c r="DG50" s="1" cm="1">
        <f t="array" ref="DG50">OptionVega($CT50,$B$2,DG$41,$B$3,$CU$40,0)</f>
        <v>0.76277563092104828</v>
      </c>
      <c r="DH50" s="1" cm="1">
        <f t="array" ref="DH50">OptionVega($CT50,$B$2,DH$41,$B$3,$CU$40,0)</f>
        <v>0.84326874401380636</v>
      </c>
      <c r="DQ50" s="130"/>
      <c r="DR50" s="14">
        <v>100</v>
      </c>
      <c r="DS50" s="1" cm="1">
        <f t="array" ref="DS50">OptionRho("C",$DR50,$B$2,DS$41,$B$3,$DS$40,0)</f>
        <v>5.0580151398953388E-2</v>
      </c>
      <c r="DT50" s="1" cm="1">
        <f t="array" ref="DT50">OptionRho("C",$DR50,$B$2,DT$41,$B$3,$DS$40,0)</f>
        <v>0.10158061093169939</v>
      </c>
      <c r="DU50" s="1" cm="1">
        <f t="array" ref="DU50">OptionRho("C",$DR50,$B$2,DU$41,$B$3,$DS$40,0)</f>
        <v>0.15281809298363572</v>
      </c>
      <c r="DV50" s="1" cm="1">
        <f t="array" ref="DV50">OptionRho("C",$DR50,$B$2,DV$41,$B$3,$DS$40,0)</f>
        <v>0.20422688060793115</v>
      </c>
      <c r="DW50" s="1" cm="1">
        <f t="array" ref="DW50">OptionRho("C",$DR50,$B$2,DW$41,$B$3,$DS$40,0)</f>
        <v>0.25576885410967215</v>
      </c>
      <c r="DX50" s="1" cm="1">
        <f t="array" ref="DX50">OptionRho("C",$DR50,$B$2,DX$41,$B$3,$DS$40,0)</f>
        <v>0.30741820985414314</v>
      </c>
      <c r="DY50" s="1" cm="1">
        <f t="array" ref="DY50">OptionRho("C",$DR50,$B$2,DY$41,$B$3,$DS$40,0)</f>
        <v>0.35915594909590859</v>
      </c>
      <c r="DZ50" s="1" cm="1">
        <f t="array" ref="DZ50">OptionRho("C",$DR50,$B$2,DZ$41,$B$3,$DS$40,0)</f>
        <v>0.41096731210161047</v>
      </c>
      <c r="EA50" s="1" cm="1">
        <f t="array" ref="EA50">OptionRho("C",$DR50,$B$2,EA$41,$B$3,$DS$40,0)</f>
        <v>0.46284039504608737</v>
      </c>
      <c r="EB50" s="1" cm="1">
        <f t="array" ref="EB50">OptionRho("C",$DR50,$B$2,EB$41,$B$3,$DS$40,0)</f>
        <v>0.51476532828002164</v>
      </c>
      <c r="EC50" s="1" cm="1">
        <f t="array" ref="EC50">OptionRho("C",$DR50,$B$2,EC$41,$B$3,$DS$40,0)</f>
        <v>1.0354544111550688</v>
      </c>
      <c r="ED50" s="1" cm="1">
        <f t="array" ref="ED50">OptionRho("C",$DR50,$B$2,ED$41,$B$3,$DS$40,0)</f>
        <v>1.5561276866903309</v>
      </c>
      <c r="EE50" s="1" cm="1">
        <f t="array" ref="EE50">OptionRho("C",$DR50,$B$2,EE$41,$B$3,$DS$40,0)</f>
        <v>2.0746435400648329</v>
      </c>
      <c r="EF50" s="1" cm="1">
        <f t="array" ref="EF50">OptionRho("C",$DR50,$B$2,EF$41,$B$3,$DS$40,0)</f>
        <v>2.5897713521361756</v>
      </c>
      <c r="EP50" s="130"/>
      <c r="EQ50" s="14">
        <v>100</v>
      </c>
      <c r="ER50" s="1" cm="1">
        <f t="array" ref="ER50">OptionRho("C",$DR50,$B$2,ER$41,$D$3,$DS$40,0)</f>
        <v>8.9534176988680644E-2</v>
      </c>
      <c r="ES50" s="1" cm="1">
        <f t="array" ref="ES50">OptionRho("C",$DR50,$B$2,ES$41,$D$3,$DS$40,0)</f>
        <v>0.17853809280784105</v>
      </c>
      <c r="ET50" s="1" cm="1">
        <f t="array" ref="ET50">OptionRho("C",$DR50,$B$2,ET$41,$D$3,$DS$40,0)</f>
        <v>0.25734693231009054</v>
      </c>
      <c r="EU50" s="1" cm="1">
        <f t="array" ref="EU50">OptionRho("C",$DR50,$B$2,EU$41,$D$3,$DS$40,0)</f>
        <v>0.32720670010972502</v>
      </c>
      <c r="EV50" s="1" cm="1">
        <f t="array" ref="EV50">OptionRho("C",$DR50,$B$2,EV$41,$D$3,$DS$40,0)</f>
        <v>0.38930986634341225</v>
      </c>
      <c r="EW50" s="1" cm="1">
        <f t="array" ref="EW50">OptionRho("C",$DR50,$B$2,EW$41,$D$3,$DS$40,0)</f>
        <v>0.4444629414380894</v>
      </c>
      <c r="EX50" s="1" cm="1">
        <f t="array" ref="EX50">OptionRho("C",$DR50,$B$2,EX$41,$D$3,$DS$40,0)</f>
        <v>0.49327315144181638</v>
      </c>
      <c r="EY50" s="1" cm="1">
        <f t="array" ref="EY50">OptionRho("C",$DR50,$B$2,EY$41,$D$3,$DS$40,0)</f>
        <v>0.53625347970999349</v>
      </c>
      <c r="EZ50" s="1" cm="1">
        <f t="array" ref="EZ50">OptionRho("C",$DR50,$B$2,EZ$41,$D$3,$DS$40,0)</f>
        <v>0.57386457514549505</v>
      </c>
      <c r="FA50" s="1" cm="1">
        <f t="array" ref="FA50">OptionRho("C",$DR50,$B$2,FA$41,$D$3,$DS$40,0)</f>
        <v>0.60653043464887368</v>
      </c>
      <c r="FB50" s="1" cm="1">
        <f t="array" ref="FB50">OptionRho("C",$DR50,$B$2,FB$41,$D$3,$DS$40,0)</f>
        <v>0.73575888234194542</v>
      </c>
      <c r="FC50" s="1" cm="1">
        <f t="array" ref="FC50">OptionRho("C",$DR50,$B$2,FC$41,$D$3,$DS$40,0)</f>
        <v>0.66939048044528948</v>
      </c>
      <c r="FD50" s="1" cm="1">
        <f t="array" ref="FD50">OptionRho("C",$DR50,$B$2,FD$41,$D$3,$DS$40,0)</f>
        <v>0.54134113294645081</v>
      </c>
      <c r="FE50" s="1" cm="1">
        <f t="array" ref="FE50">OptionRho("C",$DR50,$B$2,FE$41,$D$3,$DS$40,0)</f>
        <v>0.41042499311949399</v>
      </c>
    </row>
    <row r="51" spans="1:161" x14ac:dyDescent="0.2">
      <c r="A51" s="133"/>
      <c r="B51" s="14">
        <v>105</v>
      </c>
      <c r="C51" s="1" cm="1">
        <f t="array" ref="C51">OptionPrice("C",$B51,$B$2,C$41,$B$3,$C$40,0)</f>
        <v>5.1798611866835529</v>
      </c>
      <c r="D51" s="1" cm="1">
        <f t="array" ref="D51">OptionPrice("C",$B51,$B$2,D$41,$B$3,$C$40,0)</f>
        <v>5.492344738713868</v>
      </c>
      <c r="E51" s="1" cm="1">
        <f t="array" ref="E51">OptionPrice("C",$B51,$B$2,E$41,$B$3,$C$40,0)</f>
        <v>5.8167900504067944</v>
      </c>
      <c r="F51" s="1" cm="1">
        <f t="array" ref="F51">OptionPrice("C",$B51,$B$2,F$41,$B$3,$C$40,0)</f>
        <v>6.1300467578078184</v>
      </c>
      <c r="G51" s="1" cm="1">
        <f t="array" ref="G51">OptionPrice("C",$B51,$B$2,G$41,$B$3,$C$40,0)</f>
        <v>6.4290215312509957</v>
      </c>
      <c r="H51" s="1" cm="1">
        <f t="array" ref="H51">OptionPrice("C",$B51,$B$2,H$41,$B$3,$C$40,0)</f>
        <v>6.7144174480986862</v>
      </c>
      <c r="I51" s="1" cm="1">
        <f t="array" ref="I51">OptionPrice("C",$B51,$B$2,I$41,$B$3,$C$40,0)</f>
        <v>6.9876511201993452</v>
      </c>
      <c r="J51" s="1" cm="1">
        <f t="array" ref="J51">OptionPrice("C",$B51,$B$2,J$41,$B$3,$C$40,0)</f>
        <v>7.2501377584647599</v>
      </c>
      <c r="K51" s="1" cm="1">
        <f t="array" ref="K51">OptionPrice("C",$B51,$B$2,K$41,$B$3,$C$40,0)</f>
        <v>7.503126953800205</v>
      </c>
      <c r="L51" s="1" cm="1">
        <f t="array" ref="L51">OptionPrice("C",$B51,$B$2,L$41,$B$3,$C$40,0)</f>
        <v>7.7476838756725925</v>
      </c>
      <c r="M51" s="1" cm="1">
        <f t="array" ref="M51">OptionPrice("C",$B51,$B$2,M$41,$B$3,$C$40,0)</f>
        <v>9.8748743873278499</v>
      </c>
      <c r="N51" s="1" cm="1">
        <f t="array" ref="N51">OptionPrice("C",$B51,$B$2,N$41,$B$3,$C$40,0)</f>
        <v>11.656451833925949</v>
      </c>
      <c r="O51" s="1" cm="1">
        <f t="array" ref="O51">OptionPrice("C",$B51,$B$2,O$41,$B$3,$C$40,0)</f>
        <v>13.242348435032611</v>
      </c>
      <c r="P51" s="1" cm="1">
        <f t="array" ref="P51">OptionPrice("C",$B51,$B$2,P$41,$B$3,$C$40,0)</f>
        <v>14.697111942182644</v>
      </c>
      <c r="Y51" s="136"/>
      <c r="Z51" s="14">
        <v>105</v>
      </c>
      <c r="AA51" s="1" cm="1">
        <f t="array" ref="AA51">OptionDelta("C",$Z51,$B$2,AA$41,$B$3,$AA$40,0)</f>
        <v>0.94411804837488877</v>
      </c>
      <c r="AB51" s="1" cm="1">
        <f t="array" ref="AB51">OptionDelta("C",$Z51,$B$2,AB$41,$B$3,$AA$40,0)</f>
        <v>0.87658089249568349</v>
      </c>
      <c r="AC51" s="1" cm="1">
        <f t="array" ref="AC51">OptionDelta("C",$Z51,$B$2,AC$41,$B$3,$AA$40,0)</f>
        <v>0.83470864554501079</v>
      </c>
      <c r="AD51" s="1" cm="1">
        <f t="array" ref="AD51">OptionDelta("C",$Z51,$B$2,AD$41,$B$3,$AA$40,0)</f>
        <v>0.80683951354982253</v>
      </c>
      <c r="AE51" s="1" cm="1">
        <f t="array" ref="AE51">OptionDelta("C",$Z51,$B$2,AE$41,$B$3,$AA$40,0)</f>
        <v>0.78700233026770061</v>
      </c>
      <c r="AF51" s="1" cm="1">
        <f t="array" ref="AF51">OptionDelta("C",$Z51,$B$2,AF$41,$B$3,$AA$40,0)</f>
        <v>0.77218677368637112</v>
      </c>
      <c r="AG51" s="1" cm="1">
        <f t="array" ref="AG51">OptionDelta("C",$Z51,$B$2,AG$41,$B$3,$AA$40,0)</f>
        <v>0.76073008250523411</v>
      </c>
      <c r="AH51" s="1" cm="1">
        <f t="array" ref="AH51">OptionDelta("C",$Z51,$B$2,AH$41,$B$3,$AA$40,0)</f>
        <v>0.75163843630541693</v>
      </c>
      <c r="AI51" s="1" cm="1">
        <f t="array" ref="AI51">OptionDelta("C",$Z51,$B$2,AI$41,$B$3,$AA$40,0)</f>
        <v>0.74427963343394432</v>
      </c>
      <c r="AJ51" s="1" cm="1">
        <f t="array" ref="AJ51">OptionDelta("C",$Z51,$B$2,AJ$41,$B$3,$AA$40,0)</f>
        <v>0.73823114549048119</v>
      </c>
      <c r="AK51" s="1" cm="1">
        <f t="array" ref="AK51">OptionDelta("C",$Z51,$B$2,AK$41,$B$3,$AA$40,0)</f>
        <v>0.71128089691736807</v>
      </c>
      <c r="AL51" s="1" cm="1">
        <f t="array" ref="AL51">OptionDelta("C",$Z51,$B$2,AL$41,$B$3,$AA$40,0)</f>
        <v>0.70591773123367962</v>
      </c>
      <c r="AM51" s="1" cm="1">
        <f t="array" ref="AM51">OptionDelta("C",$Z51,$B$2,AM$41,$B$3,$AA$40,0)</f>
        <v>0.70676234221741052</v>
      </c>
      <c r="AN51" s="1" cm="1">
        <f t="array" ref="AN51">OptionDelta("C",$Z51,$B$2,AN$41,$B$3,$AA$40,0)</f>
        <v>0.71007589254163683</v>
      </c>
      <c r="AW51" s="139"/>
      <c r="AX51" s="14">
        <v>105</v>
      </c>
      <c r="AY51" s="1" cm="1">
        <f t="array" ref="AY51">OptionTheta("C",$AX51,$B$2,AY$41,$B$3,$AY$40,0)</f>
        <v>-2.5497239430425801E-3</v>
      </c>
      <c r="AZ51" s="1" cm="1">
        <f t="array" ref="AZ51">OptionTheta("C",$AX51,$B$2,AZ$41,$B$3,$AY$40,0)</f>
        <v>-4.1909072557798927E-3</v>
      </c>
      <c r="BA51" s="1" cm="1">
        <f t="array" ref="BA51">OptionTheta("C",$AX51,$B$2,BA$41,$B$3,$AY$40,0)</f>
        <v>-4.2843611236363282E-3</v>
      </c>
      <c r="BB51" s="1" cm="1">
        <f t="array" ref="BB51">OptionTheta("C",$AX51,$B$2,BB$41,$B$3,$AY$40,0)</f>
        <v>-4.0810845440697298E-3</v>
      </c>
      <c r="BC51" s="1" cm="1">
        <f t="array" ref="BC51">OptionTheta("C",$AX51,$B$2,BC$41,$B$3,$AY$40,0)</f>
        <v>-3.8234406984483855E-3</v>
      </c>
      <c r="BD51" s="1" cm="1">
        <f t="array" ref="BD51">OptionTheta("C",$AX51,$B$2,BD$41,$B$3,$AY$40,0)</f>
        <v>-3.5709201318294931E-3</v>
      </c>
      <c r="BE51" s="1" cm="1">
        <f t="array" ref="BE51">OptionTheta("C",$AX51,$B$2,BE$41,$B$3,$AY$40,0)</f>
        <v>-3.3385825019047973E-3</v>
      </c>
      <c r="BF51" s="1" cm="1">
        <f t="array" ref="BF51">OptionTheta("C",$AX51,$B$2,BF$41,$B$3,$AY$40,0)</f>
        <v>-3.1288105870208253E-3</v>
      </c>
      <c r="BG51" s="1" cm="1">
        <f t="array" ref="BG51">OptionTheta("C",$AX51,$B$2,BG$41,$B$3,$AY$40,0)</f>
        <v>-2.9402106200932072E-3</v>
      </c>
      <c r="BH51" s="1" cm="1">
        <f t="array" ref="BH51">OptionTheta("C",$AX51,$B$2,BH$41,$B$3,$AY$40,0)</f>
        <v>-2.7704127291370024E-3</v>
      </c>
      <c r="BI51" s="1" cm="1">
        <f t="array" ref="BI51">OptionTheta("C",$AX51,$B$2,BI$41,$B$3,$AY$40,0)</f>
        <v>-1.6986370329751519E-3</v>
      </c>
      <c r="BJ51" s="1" cm="1">
        <f t="array" ref="BJ51">OptionTheta("C",$AX51,$B$2,BJ$41,$B$3,$AY$40,0)</f>
        <v>-1.1498048286844897E-3</v>
      </c>
      <c r="BK51" s="1" cm="1">
        <f t="array" ref="BK51">OptionTheta("C",$AX51,$B$2,BK$41,$B$3,$AY$40,0)</f>
        <v>-8.0420330910446975E-4</v>
      </c>
      <c r="BL51" s="1" cm="1">
        <f t="array" ref="BL51">OptionTheta("C",$AX51,$B$2,BL$41,$B$3,$AY$40,0)</f>
        <v>-5.6158554531547254E-4</v>
      </c>
      <c r="BU51" s="142"/>
      <c r="BV51" s="14">
        <v>105</v>
      </c>
      <c r="BW51" s="1" cm="1">
        <f t="array" ref="BW51">OptionGamma($BV51,$B$2,BW$41,$B$3,$BW$40,0)</f>
        <v>3.3926069444668278E-2</v>
      </c>
      <c r="BX51" s="1" cm="1">
        <f t="array" ref="BX51">OptionGamma($BV51,$B$2,BX$41,$B$3,$BW$40,0)</f>
        <v>4.3449753071981671E-2</v>
      </c>
      <c r="BY51" s="1" cm="1">
        <f t="array" ref="BY51">OptionGamma($BV51,$B$2,BY$41,$B$3,$BW$40,0)</f>
        <v>4.3212117686085315E-2</v>
      </c>
      <c r="BZ51" s="1" cm="1">
        <f t="array" ref="BZ51">OptionGamma($BV51,$B$2,BZ$41,$B$3,$BW$40,0)</f>
        <v>4.1278492158452362E-2</v>
      </c>
      <c r="CA51" s="1" cm="1">
        <f t="array" ref="CA51">OptionGamma($BV51,$B$2,CA$41,$B$3,$BW$40,0)</f>
        <v>3.9140464152421513E-2</v>
      </c>
      <c r="CB51" s="1" cm="1">
        <f t="array" ref="CB51">OptionGamma($BV51,$B$2,CB$41,$B$3,$BW$40,0)</f>
        <v>3.7134472308525492E-2</v>
      </c>
      <c r="CC51" s="1" cm="1">
        <f t="array" ref="CC51">OptionGamma($BV51,$B$2,CC$41,$B$3,$BW$40,0)</f>
        <v>3.5328302741473985E-2</v>
      </c>
      <c r="CD51" s="1" cm="1">
        <f t="array" ref="CD51">OptionGamma($BV51,$B$2,CD$41,$B$3,$BW$40,0)</f>
        <v>3.3718545937390321E-2</v>
      </c>
      <c r="CE51" s="1" cm="1">
        <f t="array" ref="CE51">OptionGamma($BV51,$B$2,CE$41,$B$3,$BW$40,0)</f>
        <v>3.2283704705699037E-2</v>
      </c>
      <c r="CF51" s="1" cm="1">
        <f t="array" ref="CF51">OptionGamma($BV51,$B$2,CF$41,$B$3,$BW$40,0)</f>
        <v>3.0999845988993836E-2</v>
      </c>
      <c r="CG51" s="1" cm="1">
        <f t="array" ref="CG51">OptionGamma($BV51,$B$2,CG$41,$B$3,$BW$40,0)</f>
        <v>2.3004058320651034E-2</v>
      </c>
      <c r="CH51" s="1" cm="1">
        <f t="array" ref="CH51">OptionGamma($BV51,$B$2,CH$41,$B$3,$BW$40,0)</f>
        <v>1.8944723118837964E-2</v>
      </c>
      <c r="CI51" s="1" cm="1">
        <f t="array" ref="CI51">OptionGamma($BV51,$B$2,CI$41,$B$3,$BW$40,0)</f>
        <v>1.6384783361470954E-2</v>
      </c>
      <c r="CJ51" s="1" cm="1">
        <f t="array" ref="CJ51">OptionGamma($BV51,$B$2,CJ$41,$B$3,$BW$40,0)</f>
        <v>1.4577547243302307E-2</v>
      </c>
      <c r="CS51" s="145"/>
      <c r="CT51" s="14">
        <v>105</v>
      </c>
      <c r="CU51" s="1" cm="1">
        <f t="array" ref="CU51">OptionVega($CT51,$B$2,CU$41,$B$3,$CU$40,0)</f>
        <v>3.7403491562746784E-2</v>
      </c>
      <c r="CV51" s="1" cm="1">
        <f t="array" ref="CV51">OptionVega($CT51,$B$2,CV$41,$B$3,$CU$40,0)</f>
        <v>9.5806705523719587E-2</v>
      </c>
      <c r="CW51" s="1" cm="1">
        <f t="array" ref="CW51">OptionVega($CT51,$B$2,CW$41,$B$3,$CU$40,0)</f>
        <v>0.14292407924672715</v>
      </c>
      <c r="CX51" s="1" cm="1">
        <f t="array" ref="CX51">OptionVega($CT51,$B$2,CX$41,$B$3,$CU$40,0)</f>
        <v>0.18203815041877494</v>
      </c>
      <c r="CY51" s="1" cm="1">
        <f t="array" ref="CY51">OptionVega($CT51,$B$2,CY$41,$B$3,$CU$40,0)</f>
        <v>0.21576180864022365</v>
      </c>
      <c r="CZ51" s="1" cm="1">
        <f t="array" ref="CZ51">OptionVega($CT51,$B$2,CZ$41,$B$3,$CU$40,0)</f>
        <v>0.2456445343208962</v>
      </c>
      <c r="DA51" s="1" cm="1">
        <f t="array" ref="DA51">OptionVega($CT51,$B$2,DA$41,$B$3,$CU$40,0)</f>
        <v>0.27264617640732552</v>
      </c>
      <c r="DB51" s="1" cm="1">
        <f t="array" ref="DB51">OptionVega($CT51,$B$2,DB$41,$B$3,$CU$40,0)</f>
        <v>0.29739757516778265</v>
      </c>
      <c r="DC51" s="1" cm="1">
        <f t="array" ref="DC51">OptionVega($CT51,$B$2,DC$41,$B$3,$CU$40,0)</f>
        <v>0.32033505994229872</v>
      </c>
      <c r="DD51" s="1" cm="1">
        <f t="array" ref="DD51">OptionVega($CT51,$B$2,DD$41,$B$3,$CU$40,0)</f>
        <v>0.34177330202865708</v>
      </c>
      <c r="DE51" s="1" cm="1">
        <f t="array" ref="DE51">OptionVega($CT51,$B$2,DE$41,$B$3,$CU$40,0)</f>
        <v>0.5072394859703554</v>
      </c>
      <c r="DF51" s="1" cm="1">
        <f t="array" ref="DF51">OptionVega($CT51,$B$2,DF$41,$B$3,$CU$40,0)</f>
        <v>0.62659671715556564</v>
      </c>
      <c r="DG51" s="1" cm="1">
        <f t="array" ref="DG51">OptionVega($CT51,$B$2,DG$41,$B$3,$CU$40,0)</f>
        <v>0.72256894624086909</v>
      </c>
      <c r="DH51" s="1" cm="1">
        <f t="array" ref="DH51">OptionVega($CT51,$B$2,DH$41,$B$3,$CU$40,0)</f>
        <v>0.80358729178703991</v>
      </c>
      <c r="DQ51" s="130"/>
      <c r="DR51" s="14">
        <v>105</v>
      </c>
      <c r="DS51" s="1" cm="1">
        <f t="array" ref="DS51">OptionRho("C",$DR51,$B$2,DS$41,$B$3,$DS$40,0)</f>
        <v>9.3952533892679782E-2</v>
      </c>
      <c r="DT51" s="1" cm="1">
        <f t="array" ref="DT51">OptionRho("C",$DR51,$B$2,DT$41,$B$3,$DS$40,0)</f>
        <v>0.17309729794666581</v>
      </c>
      <c r="DU51" s="1" cm="1">
        <f t="array" ref="DU51">OptionRho("C",$DR51,$B$2,DU$41,$B$3,$DS$40,0)</f>
        <v>0.24548285319545804</v>
      </c>
      <c r="DV51" s="1" cm="1">
        <f t="array" ref="DV51">OptionRho("C",$DR51,$B$2,DV$41,$B$3,$DS$40,0)</f>
        <v>0.31435240865969416</v>
      </c>
      <c r="DW51" s="1" cm="1">
        <f t="array" ref="DW51">OptionRho("C",$DR51,$B$2,DW$41,$B$3,$DS$40,0)</f>
        <v>0.38103111573428783</v>
      </c>
      <c r="DX51" s="1" cm="1">
        <f t="array" ref="DX51">OptionRho("C",$DR51,$B$2,DX$41,$B$3,$DS$40,0)</f>
        <v>0.4461911627338217</v>
      </c>
      <c r="DY51" s="1" cm="1">
        <f t="array" ref="DY51">OptionRho("C",$DR51,$B$2,DY$41,$B$3,$DS$40,0)</f>
        <v>0.51022305279995162</v>
      </c>
      <c r="DZ51" s="1" cm="1">
        <f t="array" ref="DZ51">OptionRho("C",$DR51,$B$2,DZ$41,$B$3,$DS$40,0)</f>
        <v>0.57337518442883217</v>
      </c>
      <c r="EA51" s="1" cm="1">
        <f t="array" ref="EA51">OptionRho("C",$DR51,$B$2,EA$41,$B$3,$DS$40,0)</f>
        <v>0.63581611101087554</v>
      </c>
      <c r="EB51" s="1" cm="1">
        <f t="array" ref="EB51">OptionRho("C",$DR51,$B$2,EB$41,$B$3,$DS$40,0)</f>
        <v>0.69766586400827935</v>
      </c>
      <c r="EC51" s="1" cm="1">
        <f t="array" ref="EC51">OptionRho("C",$DR51,$B$2,EC$41,$B$3,$DS$40,0)</f>
        <v>1.296192395779916</v>
      </c>
      <c r="ED51" s="1" cm="1">
        <f t="array" ref="ED51">OptionRho("C",$DR51,$B$2,ED$41,$B$3,$DS$40,0)</f>
        <v>1.8739472983683121</v>
      </c>
      <c r="EE51" s="1" cm="1">
        <f t="array" ref="EE51">OptionRho("C",$DR51,$B$2,EE$41,$B$3,$DS$40,0)</f>
        <v>2.4387078999118197</v>
      </c>
      <c r="EF51" s="1" cm="1">
        <f t="array" ref="EF51">OptionRho("C",$DR51,$B$2,EF$41,$B$3,$DS$40,0)</f>
        <v>2.9930428387344614</v>
      </c>
      <c r="EP51" s="130"/>
      <c r="EQ51" s="14">
        <v>105</v>
      </c>
      <c r="ER51" s="1" cm="1">
        <f t="array" ref="ER51">OptionRho("C",$DR51,$B$2,ER$41,$D$3,$DS$40,0)</f>
        <v>9.5033419582773365E-2</v>
      </c>
      <c r="ES51" s="1" cm="1">
        <f t="array" ref="ES51">OptionRho("C",$DR51,$B$2,ES$41,$D$3,$DS$40,0)</f>
        <v>0.18088144985487048</v>
      </c>
      <c r="ET51" s="1" cm="1">
        <f t="array" ref="ET51">OptionRho("C",$DR51,$B$2,ET$41,$D$3,$DS$40,0)</f>
        <v>0.25817162541293015</v>
      </c>
      <c r="EU51" s="1" cm="1">
        <f t="array" ref="EU51">OptionRho("C",$DR51,$B$2,EU$41,$D$3,$DS$40,0)</f>
        <v>0.32747668579760469</v>
      </c>
      <c r="EV51" s="1" cm="1">
        <f t="array" ref="EV51">OptionRho("C",$DR51,$B$2,EV$41,$D$3,$DS$40,0)</f>
        <v>0.38939496449063932</v>
      </c>
      <c r="EW51" s="1" cm="1">
        <f t="array" ref="EW51">OptionRho("C",$DR51,$B$2,EW$41,$D$3,$DS$40,0)</f>
        <v>0.44448914568751818</v>
      </c>
      <c r="EX51" s="1" cm="1">
        <f t="array" ref="EX51">OptionRho("C",$DR51,$B$2,EX$41,$D$3,$DS$40,0)</f>
        <v>0.49328109418557908</v>
      </c>
      <c r="EY51" s="1" cm="1">
        <f t="array" ref="EY51">OptionRho("C",$DR51,$B$2,EY$41,$D$3,$DS$40,0)</f>
        <v>0.5362558599795435</v>
      </c>
      <c r="EZ51" s="1" cm="1">
        <f t="array" ref="EZ51">OptionRho("C",$DR51,$B$2,EZ$41,$D$3,$DS$40,0)</f>
        <v>0.57386528235554235</v>
      </c>
      <c r="FA51" s="1" cm="1">
        <f t="array" ref="FA51">OptionRho("C",$DR51,$B$2,FA$41,$D$3,$DS$40,0)</f>
        <v>0.60653064336307783</v>
      </c>
      <c r="FB51" s="1" cm="1">
        <f t="array" ref="FB51">OptionRho("C",$DR51,$B$2,FB$41,$D$3,$DS$40,0)</f>
        <v>0.73575888234280917</v>
      </c>
      <c r="FC51" s="1" cm="1">
        <f t="array" ref="FC51">OptionRho("C",$DR51,$B$2,FC$41,$D$3,$DS$40,0)</f>
        <v>0.66939048044528948</v>
      </c>
      <c r="FD51" s="1" cm="1">
        <f t="array" ref="FD51">OptionRho("C",$DR51,$B$2,FD$41,$D$3,$DS$40,0)</f>
        <v>0.54134113294645081</v>
      </c>
      <c r="FE51" s="1" cm="1">
        <f t="array" ref="FE51">OptionRho("C",$DR51,$B$2,FE$41,$D$3,$DS$40,0)</f>
        <v>0.41042499311949399</v>
      </c>
    </row>
    <row r="52" spans="1:161" x14ac:dyDescent="0.2">
      <c r="A52" s="133"/>
      <c r="B52" s="14">
        <v>110</v>
      </c>
      <c r="C52" s="1" cm="1">
        <f t="array" ref="C52">OptionPrice("C",$B52,$B$2,C$41,$B$3,$C$40,0)</f>
        <v>10.101027291404066</v>
      </c>
      <c r="D52" s="1" cm="1">
        <f t="array" ref="D52">OptionPrice("C",$B52,$B$2,D$41,$B$3,$C$40,0)</f>
        <v>10.22431208382757</v>
      </c>
      <c r="E52" s="1" cm="1">
        <f t="array" ref="E52">OptionPrice("C",$B52,$B$2,E$41,$B$3,$C$40,0)</f>
        <v>10.382469845787085</v>
      </c>
      <c r="F52" s="1" cm="1">
        <f t="array" ref="F52">OptionPrice("C",$B52,$B$2,F$41,$B$3,$C$40,0)</f>
        <v>10.564131911922374</v>
      </c>
      <c r="G52" s="1" cm="1">
        <f t="array" ref="G52">OptionPrice("C",$B52,$B$2,G$41,$B$3,$C$40,0)</f>
        <v>10.758973678092516</v>
      </c>
      <c r="H52" s="1" cm="1">
        <f t="array" ref="H52">OptionPrice("C",$B52,$B$2,H$41,$B$3,$C$40,0)</f>
        <v>10.960620560432176</v>
      </c>
      <c r="I52" s="1" cm="1">
        <f t="array" ref="I52">OptionPrice("C",$B52,$B$2,I$41,$B$3,$C$40,0)</f>
        <v>11.165311796073382</v>
      </c>
      <c r="J52" s="1" cm="1">
        <f t="array" ref="J52">OptionPrice("C",$B52,$B$2,J$41,$B$3,$C$40,0)</f>
        <v>11.370814905674322</v>
      </c>
      <c r="K52" s="1" cm="1">
        <f t="array" ref="K52">OptionPrice("C",$B52,$B$2,K$41,$B$3,$C$40,0)</f>
        <v>11.575788565318959</v>
      </c>
      <c r="L52" s="1" cm="1">
        <f t="array" ref="L52">OptionPrice("C",$B52,$B$2,L$41,$B$3,$C$40,0)</f>
        <v>11.779422212446264</v>
      </c>
      <c r="M52" s="1" cm="1">
        <f t="array" ref="M52">OptionPrice("C",$B52,$B$2,M$41,$B$3,$C$40,0)</f>
        <v>13.695501303313634</v>
      </c>
      <c r="N52" s="1" cm="1">
        <f t="array" ref="N52">OptionPrice("C",$B52,$B$2,N$41,$B$3,$C$40,0)</f>
        <v>15.406949878796084</v>
      </c>
      <c r="O52" s="1" cm="1">
        <f t="array" ref="O52">OptionPrice("C",$B52,$B$2,O$41,$B$3,$C$40,0)</f>
        <v>16.968678030503895</v>
      </c>
      <c r="P52" s="1" cm="1">
        <f t="array" ref="P52">OptionPrice("C",$B52,$B$2,P$41,$B$3,$C$40,0)</f>
        <v>18.419561453856531</v>
      </c>
      <c r="Y52" s="136"/>
      <c r="Z52" s="14">
        <v>110</v>
      </c>
      <c r="AA52" s="1" cm="1">
        <f t="array" ref="AA52">OptionDelta("C",$Z52,$B$2,AA$41,$B$3,$AA$40,0)</f>
        <v>0.99889850177275419</v>
      </c>
      <c r="AB52" s="1" cm="1">
        <f t="array" ref="AB52">OptionDelta("C",$Z52,$B$2,AB$41,$B$3,$AA$40,0)</f>
        <v>0.98603550784275051</v>
      </c>
      <c r="AC52" s="1" cm="1">
        <f t="array" ref="AC52">OptionDelta("C",$Z52,$B$2,AC$41,$B$3,$AA$40,0)</f>
        <v>0.96579345861513155</v>
      </c>
      <c r="AD52" s="1" cm="1">
        <f t="array" ref="AD52">OptionDelta("C",$Z52,$B$2,AD$41,$B$3,$AA$40,0)</f>
        <v>0.94540611613468872</v>
      </c>
      <c r="AE52" s="1" cm="1">
        <f t="array" ref="AE52">OptionDelta("C",$Z52,$B$2,AE$41,$B$3,$AA$40,0)</f>
        <v>0.9270206788480384</v>
      </c>
      <c r="AF52" s="1" cm="1">
        <f t="array" ref="AF52">OptionDelta("C",$Z52,$B$2,AF$41,$B$3,$AA$40,0)</f>
        <v>0.910951676948353</v>
      </c>
      <c r="AG52" s="1" cm="1">
        <f t="array" ref="AG52">OptionDelta("C",$Z52,$B$2,AG$41,$B$3,$AA$40,0)</f>
        <v>0.8970058106562373</v>
      </c>
      <c r="AH52" s="1" cm="1">
        <f t="array" ref="AH52">OptionDelta("C",$Z52,$B$2,AH$41,$B$3,$AA$40,0)</f>
        <v>0.88488455046683934</v>
      </c>
      <c r="AI52" s="1" cm="1">
        <f t="array" ref="AI52">OptionDelta("C",$Z52,$B$2,AI$41,$B$3,$AA$40,0)</f>
        <v>0.87430092401455395</v>
      </c>
      <c r="AJ52" s="1" cm="1">
        <f t="array" ref="AJ52">OptionDelta("C",$Z52,$B$2,AJ$41,$B$3,$AA$40,0)</f>
        <v>0.86500851994546202</v>
      </c>
      <c r="AK52" s="1" cm="1">
        <f t="array" ref="AK52">OptionDelta("C",$Z52,$B$2,AK$41,$B$3,$AA$40,0)</f>
        <v>0.81221192244611107</v>
      </c>
      <c r="AL52" s="1" cm="1">
        <f t="array" ref="AL52">OptionDelta("C",$Z52,$B$2,AL$41,$B$3,$AA$40,0)</f>
        <v>0.79105324594553816</v>
      </c>
      <c r="AM52" s="1" cm="1">
        <f t="array" ref="AM52">OptionDelta("C",$Z52,$B$2,AM$41,$B$3,$AA$40,0)</f>
        <v>0.78128810999478626</v>
      </c>
      <c r="AN52" s="1" cm="1">
        <f t="array" ref="AN52">OptionDelta("C",$Z52,$B$2,AN$41,$B$3,$AA$40,0)</f>
        <v>0.77686562090211797</v>
      </c>
      <c r="AW52" s="139"/>
      <c r="AX52" s="14">
        <v>110</v>
      </c>
      <c r="AY52" s="1" cm="1">
        <f t="array" ref="AY52">OptionTheta("C",$AX52,$B$2,AY$41,$B$3,$AY$40,0)</f>
        <v>2.5583191026071522E-3</v>
      </c>
      <c r="AZ52" s="1" cm="1">
        <f t="array" ref="AZ52">OptionTheta("C",$AX52,$B$2,AZ$41,$B$3,$AY$40,0)</f>
        <v>1.4916852803152835E-3</v>
      </c>
      <c r="BA52" s="1" cm="1">
        <f t="array" ref="BA52">OptionTheta("C",$AX52,$B$2,BA$41,$B$3,$AY$40,0)</f>
        <v>5.400336179259464E-4</v>
      </c>
      <c r="BB52" s="1" cm="1">
        <f t="array" ref="BB52">OptionTheta("C",$AX52,$B$2,BB$41,$B$3,$AY$40,0)</f>
        <v>-7.5155342437636659E-5</v>
      </c>
      <c r="BC52" s="1" cm="1">
        <f t="array" ref="BC52">OptionTheta("C",$AX52,$B$2,BC$41,$B$3,$AY$40,0)</f>
        <v>-4.5526418507062271E-4</v>
      </c>
      <c r="BD52" s="1" cm="1">
        <f t="array" ref="BD52">OptionTheta("C",$AX52,$B$2,BD$41,$B$3,$AY$40,0)</f>
        <v>-6.8912122715647994E-4</v>
      </c>
      <c r="BE52" s="1" cm="1">
        <f t="array" ref="BE52">OptionTheta("C",$AX52,$B$2,BE$41,$B$3,$AY$40,0)</f>
        <v>-8.3202287651568617E-4</v>
      </c>
      <c r="BF52" s="1" cm="1">
        <f t="array" ref="BF52">OptionTheta("C",$AX52,$B$2,BF$41,$B$3,$AY$40,0)</f>
        <v>-9.1714868461760827E-4</v>
      </c>
      <c r="BG52" s="1" cm="1">
        <f t="array" ref="BG52">OptionTheta("C",$AX52,$B$2,BG$41,$B$3,$AY$40,0)</f>
        <v>-9.6471219031866269E-4</v>
      </c>
      <c r="BH52" s="1" cm="1">
        <f t="array" ref="BH52">OptionTheta("C",$AX52,$B$2,BH$41,$B$3,$AY$40,0)</f>
        <v>-9.8735577700534275E-4</v>
      </c>
      <c r="BI52" s="1" cm="1">
        <f t="array" ref="BI52">OptionTheta("C",$AX52,$B$2,BI$41,$B$3,$AY$40,0)</f>
        <v>-7.9807676994680726E-4</v>
      </c>
      <c r="BJ52" s="1" cm="1">
        <f t="array" ref="BJ52">OptionTheta("C",$AX52,$B$2,BJ$41,$B$3,$AY$40,0)</f>
        <v>-5.3799921543561168E-4</v>
      </c>
      <c r="BK52" s="1" cm="1">
        <f t="array" ref="BK52">OptionTheta("C",$AX52,$B$2,BK$41,$B$3,$AY$40,0)</f>
        <v>-3.3365523006058362E-4</v>
      </c>
      <c r="BL52" s="1" cm="1">
        <f t="array" ref="BL52">OptionTheta("C",$AX52,$B$2,BL$41,$B$3,$AY$40,0)</f>
        <v>-1.749312874260272E-4</v>
      </c>
      <c r="BU52" s="142"/>
      <c r="BV52" s="14">
        <v>110</v>
      </c>
      <c r="BW52" s="1" cm="1">
        <f t="array" ref="BW52">OptionGamma($BV52,$B$2,BW$41,$B$3,$BW$40,0)</f>
        <v>1.0577125055269182E-3</v>
      </c>
      <c r="BX52" s="1" cm="1">
        <f t="array" ref="BX52">OptionGamma($BV52,$B$2,BX$41,$B$3,$BW$40,0)</f>
        <v>7.2385257929532482E-3</v>
      </c>
      <c r="BY52" s="1" cm="1">
        <f t="array" ref="BY52">OptionGamma($BV52,$B$2,BY$41,$B$3,$BW$40,0)</f>
        <v>1.2585716288856257E-2</v>
      </c>
      <c r="BZ52" s="1" cm="1">
        <f t="array" ref="BZ52">OptionGamma($BV52,$B$2,BZ$41,$B$3,$BW$40,0)</f>
        <v>1.5896481134192911E-2</v>
      </c>
      <c r="CA52" s="1" cm="1">
        <f t="array" ref="CA52">OptionGamma($BV52,$B$2,CA$41,$B$3,$BW$40,0)</f>
        <v>1.7823213843019738E-2</v>
      </c>
      <c r="CB52" s="1" cm="1">
        <f t="array" ref="CB52">OptionGamma($BV52,$B$2,CB$41,$B$3,$BW$40,0)</f>
        <v>1.8908593172743498E-2</v>
      </c>
      <c r="CC52" s="1" cm="1">
        <f t="array" ref="CC52">OptionGamma($BV52,$B$2,CC$41,$B$3,$BW$40,0)</f>
        <v>1.9483332622964505E-2</v>
      </c>
      <c r="CD52" s="1" cm="1">
        <f t="array" ref="CD52">OptionGamma($BV52,$B$2,CD$41,$B$3,$BW$40,0)</f>
        <v>1.9742547542846399E-2</v>
      </c>
      <c r="CE52" s="1" cm="1">
        <f t="array" ref="CE52">OptionGamma($BV52,$B$2,CE$41,$B$3,$BW$40,0)</f>
        <v>1.9803191408745976E-2</v>
      </c>
      <c r="CF52" s="1" cm="1">
        <f t="array" ref="CF52">OptionGamma($BV52,$B$2,CF$41,$B$3,$BW$40,0)</f>
        <v>1.9737190221859435E-2</v>
      </c>
      <c r="CG52" s="1" cm="1">
        <f t="array" ref="CG52">OptionGamma($BV52,$B$2,CG$41,$B$3,$BW$40,0)</f>
        <v>1.7318613598151577E-2</v>
      </c>
      <c r="CH52" s="1" cm="1">
        <f t="array" ref="CH52">OptionGamma($BV52,$B$2,CH$41,$B$3,$BW$40,0)</f>
        <v>1.5081963394812057E-2</v>
      </c>
      <c r="CI52" s="1" cm="1">
        <f t="array" ref="CI52">OptionGamma($BV52,$B$2,CI$41,$B$3,$BW$40,0)</f>
        <v>1.3413459498534529E-2</v>
      </c>
      <c r="CJ52" s="1" cm="1">
        <f t="array" ref="CJ52">OptionGamma($BV52,$B$2,CJ$41,$B$3,$BW$40,0)</f>
        <v>1.2135644435772964E-2</v>
      </c>
      <c r="CS52" s="145"/>
      <c r="CT52" s="14">
        <v>110</v>
      </c>
      <c r="CU52" s="1" cm="1">
        <f t="array" ref="CU52">OptionVega($CT52,$B$2,CU$41,$B$3,$CU$40,0)</f>
        <v>1.2798321316875715E-3</v>
      </c>
      <c r="CV52" s="1" cm="1">
        <f t="array" ref="CV52">OptionVega($CT52,$B$2,CV$41,$B$3,$CU$40,0)</f>
        <v>1.751723241894686E-2</v>
      </c>
      <c r="CW52" s="1" cm="1">
        <f t="array" ref="CW52">OptionVega($CT52,$B$2,CW$41,$B$3,$CU$40,0)</f>
        <v>4.5686150128548215E-2</v>
      </c>
      <c r="CX52" s="1" cm="1">
        <f t="array" ref="CX52">OptionVega($CT52,$B$2,CX$41,$B$3,$CU$40,0)</f>
        <v>7.6938968689493709E-2</v>
      </c>
      <c r="CY52" s="1" cm="1">
        <f t="array" ref="CY52">OptionVega($CT52,$B$2,CY$41,$B$3,$CU$40,0)</f>
        <v>0.10783044375026946</v>
      </c>
      <c r="CZ52" s="1" cm="1">
        <f t="array" ref="CZ52">OptionVega($CT52,$B$2,CZ$41,$B$3,$CU$40,0)</f>
        <v>0.13727638643411783</v>
      </c>
      <c r="DA52" s="1" cm="1">
        <f t="array" ref="DA52">OptionVega($CT52,$B$2,DA$41,$B$3,$CU$40,0)</f>
        <v>0.16502382731650939</v>
      </c>
      <c r="DB52" s="1" cm="1">
        <f t="array" ref="DB52">OptionVega($CT52,$B$2,DB$41,$B$3,$CU$40,0)</f>
        <v>0.19110786021475312</v>
      </c>
      <c r="DC52" s="1" cm="1">
        <f t="array" ref="DC52">OptionVega($CT52,$B$2,DC$41,$B$3,$CU$40,0)</f>
        <v>0.21565675444124369</v>
      </c>
      <c r="DD52" s="1" cm="1">
        <f t="array" ref="DD52">OptionVega($CT52,$B$2,DD$41,$B$3,$CU$40,0)</f>
        <v>0.23882000168449918</v>
      </c>
      <c r="DE52" s="1" cm="1">
        <f t="array" ref="DE52">OptionVega($CT52,$B$2,DE$41,$B$3,$CU$40,0)</f>
        <v>0.41911044907526829</v>
      </c>
      <c r="DF52" s="1" cm="1">
        <f t="array" ref="DF52">OptionVega($CT52,$B$2,DF$41,$B$3,$CU$40,0)</f>
        <v>0.54747527123167761</v>
      </c>
      <c r="DG52" s="1" cm="1">
        <f t="array" ref="DG52">OptionVega($CT52,$B$2,DG$41,$B$3,$CU$40,0)</f>
        <v>0.64921143972907125</v>
      </c>
      <c r="DH52" s="1" cm="1">
        <f t="array" ref="DH52">OptionVega($CT52,$B$2,DH$41,$B$3,$CU$40,0)</f>
        <v>0.73420648836426439</v>
      </c>
      <c r="DQ52" s="130"/>
      <c r="DR52" s="14">
        <v>110</v>
      </c>
      <c r="DS52" s="1" cm="1">
        <f t="array" ref="DS52">OptionRho("C",$DR52,$B$2,DS$41,$B$3,$DS$40,0)</f>
        <v>9.9777807903598914E-2</v>
      </c>
      <c r="DT52" s="1" cm="1">
        <f t="array" ref="DT52">OptionRho("C",$DR52,$B$2,DT$41,$B$3,$DS$40,0)</f>
        <v>0.19647918755775001</v>
      </c>
      <c r="DU52" s="1" cm="1">
        <f t="array" ref="DU52">OptionRho("C",$DR52,$B$2,DU$41,$B$3,$DS$40,0)</f>
        <v>0.28756443180563218</v>
      </c>
      <c r="DV52" s="1" cm="1">
        <f t="array" ref="DV52">OptionRho("C",$DR52,$B$2,DV$41,$B$3,$DS$40,0)</f>
        <v>0.37372216345157355</v>
      </c>
      <c r="DW52" s="1" cm="1">
        <f t="array" ref="DW52">OptionRho("C",$DR52,$B$2,DW$41,$B$3,$DS$40,0)</f>
        <v>0.45606650497595846</v>
      </c>
      <c r="DX52" s="1" cm="1">
        <f t="array" ref="DX52">OptionRho("C",$DR52,$B$2,DX$41,$B$3,$DS$40,0)</f>
        <v>0.53546438342331992</v>
      </c>
      <c r="DY52" s="1" cm="1">
        <f t="array" ref="DY52">OptionRho("C",$DR52,$B$2,DY$41,$B$3,$DS$40,0)</f>
        <v>0.61253729163278892</v>
      </c>
      <c r="DZ52" s="1" cm="1">
        <f t="array" ref="DZ52">OptionRho("C",$DR52,$B$2,DZ$41,$B$3,$DS$40,0)</f>
        <v>0.68773188516542405</v>
      </c>
      <c r="EA52" s="1" cm="1">
        <f t="array" ref="EA52">OptionRho("C",$DR52,$B$2,EA$41,$B$3,$DS$40,0)</f>
        <v>0.76137581768653784</v>
      </c>
      <c r="EB52" s="1" cm="1">
        <f t="array" ref="EB52">OptionRho("C",$DR52,$B$2,EB$41,$B$3,$DS$40,0)</f>
        <v>0.83371514981554562</v>
      </c>
      <c r="EC52" s="1" cm="1">
        <f t="array" ref="EC52">OptionRho("C",$DR52,$B$2,EC$41,$B$3,$DS$40,0)</f>
        <v>1.5129562033151718</v>
      </c>
      <c r="ED52" s="1" cm="1">
        <f t="array" ref="ED52">OptionRho("C",$DR52,$B$2,ED$41,$B$3,$DS$40,0)</f>
        <v>2.1482672152563937</v>
      </c>
      <c r="EE52" s="1" cm="1">
        <f t="array" ref="EE52">OptionRho("C",$DR52,$B$2,EE$41,$B$3,$DS$40,0)</f>
        <v>2.7589205627569036</v>
      </c>
      <c r="EF52" s="1" cm="1">
        <f t="array" ref="EF52">OptionRho("C",$DR52,$B$2,EF$41,$B$3,$DS$40,0)</f>
        <v>3.3517828422688227</v>
      </c>
      <c r="EP52" s="130"/>
      <c r="EQ52" s="14">
        <v>110</v>
      </c>
      <c r="ER52" s="1" cm="1">
        <f t="array" ref="ER52">OptionRho("C",$DR52,$B$2,ER$41,$D$3,$DS$40,0)</f>
        <v>9.5122720559293439E-2</v>
      </c>
      <c r="ES52" s="1" cm="1">
        <f t="array" ref="ES52">OptionRho("C",$DR52,$B$2,ES$41,$D$3,$DS$40,0)</f>
        <v>0.18096622285892697</v>
      </c>
      <c r="ET52" s="1" cm="1">
        <f t="array" ref="ET52">OptionRho("C",$DR52,$B$2,ET$41,$D$3,$DS$40,0)</f>
        <v>0.25821129120867109</v>
      </c>
      <c r="EU52" s="1" cm="1">
        <f t="array" ref="EU52">OptionRho("C",$DR52,$B$2,EU$41,$D$3,$DS$40,0)</f>
        <v>0.3274917241767431</v>
      </c>
      <c r="EV52" s="1" cm="1">
        <f t="array" ref="EV52">OptionRho("C",$DR52,$B$2,EV$41,$D$3,$DS$40,0)</f>
        <v>0.38940014880367946</v>
      </c>
      <c r="EW52" s="1" cm="1">
        <f t="array" ref="EW52">OptionRho("C",$DR52,$B$2,EW$41,$D$3,$DS$40,0)</f>
        <v>0.44449084150211815</v>
      </c>
      <c r="EX52" s="1" cm="1">
        <f t="array" ref="EX52">OptionRho("C",$DR52,$B$2,EX$41,$D$3,$DS$40,0)</f>
        <v>0.4932816310524723</v>
      </c>
      <c r="EY52" s="1" cm="1">
        <f t="array" ref="EY52">OptionRho("C",$DR52,$B$2,EY$41,$D$3,$DS$40,0)</f>
        <v>0.53625602623397817</v>
      </c>
      <c r="EZ52" s="1" cm="1">
        <f t="array" ref="EZ52">OptionRho("C",$DR52,$B$2,EZ$41,$D$3,$DS$40,0)</f>
        <v>0.57386533303480847</v>
      </c>
      <c r="FA52" s="1" cm="1">
        <f t="array" ref="FA52">OptionRho("C",$DR52,$B$2,FA$41,$D$3,$DS$40,0)</f>
        <v>0.60653065863079503</v>
      </c>
      <c r="FB52" s="1" cm="1">
        <f t="array" ref="FB52">OptionRho("C",$DR52,$B$2,FB$41,$D$3,$DS$40,0)</f>
        <v>0.73575888234287856</v>
      </c>
      <c r="FC52" s="1" cm="1">
        <f t="array" ref="FC52">OptionRho("C",$DR52,$B$2,FC$41,$D$3,$DS$40,0)</f>
        <v>0.66939048044528948</v>
      </c>
      <c r="FD52" s="1" cm="1">
        <f t="array" ref="FD52">OptionRho("C",$DR52,$B$2,FD$41,$D$3,$DS$40,0)</f>
        <v>0.54134113294645081</v>
      </c>
      <c r="FE52" s="1" cm="1">
        <f t="array" ref="FE52">OptionRho("C",$DR52,$B$2,FE$41,$D$3,$DS$40,0)</f>
        <v>0.41042499311949399</v>
      </c>
    </row>
    <row r="53" spans="1:161" x14ac:dyDescent="0.2">
      <c r="A53" s="133"/>
      <c r="B53" s="14">
        <v>115</v>
      </c>
      <c r="C53" s="1" cm="1">
        <f t="array" ref="C53">OptionPrice("C",$B53,$B$2,C$41,$B$3,$C$40,0)</f>
        <v>15.099952999604795</v>
      </c>
      <c r="D53" s="1" cm="1">
        <f t="array" ref="D53">OptionPrice("C",$B53,$B$2,D$41,$B$3,$C$40,0)</f>
        <v>15.200791901346165</v>
      </c>
      <c r="E53" s="1" cm="1">
        <f t="array" ref="E53">OptionPrice("C",$B53,$B$2,E$41,$B$3,$C$40,0)</f>
        <v>15.307958195665506</v>
      </c>
      <c r="F53" s="1" cm="1">
        <f t="array" ref="F53">OptionPrice("C",$B53,$B$2,F$41,$B$3,$C$40,0)</f>
        <v>15.425999973197619</v>
      </c>
      <c r="G53" s="1" cm="1">
        <f t="array" ref="G53">OptionPrice("C",$B53,$B$2,G$41,$B$3,$C$40,0)</f>
        <v>15.555259336346708</v>
      </c>
      <c r="H53" s="1" cm="1">
        <f t="array" ref="H53">OptionPrice("C",$B53,$B$2,H$41,$B$3,$C$40,0)</f>
        <v>15.694121969120502</v>
      </c>
      <c r="I53" s="1" cm="1">
        <f t="array" ref="I53">OptionPrice("C",$B53,$B$2,I$41,$B$3,$C$40,0)</f>
        <v>15.840591547504005</v>
      </c>
      <c r="J53" s="1" cm="1">
        <f t="array" ref="J53">OptionPrice("C",$B53,$B$2,J$41,$B$3,$C$40,0)</f>
        <v>15.992858658984659</v>
      </c>
      <c r="K53" s="1" cm="1">
        <f t="array" ref="K53">OptionPrice("C",$B53,$B$2,K$41,$B$3,$C$40,0)</f>
        <v>16.149435987764079</v>
      </c>
      <c r="L53" s="1" cm="1">
        <f t="array" ref="L53">OptionPrice("C",$B53,$B$2,L$41,$B$3,$C$40,0)</f>
        <v>16.309146495814886</v>
      </c>
      <c r="M53" s="1" cm="1">
        <f t="array" ref="M53">OptionPrice("C",$B53,$B$2,M$41,$B$3,$C$40,0)</f>
        <v>17.949793682648533</v>
      </c>
      <c r="N53" s="1" cm="1">
        <f t="array" ref="N53">OptionPrice("C",$B53,$B$2,N$41,$B$3,$C$40,0)</f>
        <v>19.534774476222822</v>
      </c>
      <c r="O53" s="1" cm="1">
        <f t="array" ref="O53">OptionPrice("C",$B53,$B$2,O$41,$B$3,$C$40,0)</f>
        <v>21.030548785598597</v>
      </c>
      <c r="P53" s="1" cm="1">
        <f t="array" ref="P53">OptionPrice("C",$B53,$B$2,P$41,$B$3,$C$40,0)</f>
        <v>22.445595192476745</v>
      </c>
      <c r="Y53" s="136"/>
      <c r="Z53" s="14">
        <v>115</v>
      </c>
      <c r="AA53" s="1" cm="1">
        <f t="array" ref="AA53">OptionDelta("C",$Z53,$B$2,AA$41,$B$3,$AA$40,0)</f>
        <v>0.99999603555087258</v>
      </c>
      <c r="AB53" s="1" cm="1">
        <f t="array" ref="AB53">OptionDelta("C",$Z53,$B$2,AB$41,$B$3,$AA$40,0)</f>
        <v>0.99929416451516662</v>
      </c>
      <c r="AC53" s="1" cm="1">
        <f t="array" ref="AC53">OptionDelta("C",$Z53,$B$2,AC$41,$B$3,$AA$40,0)</f>
        <v>0.99577886954542294</v>
      </c>
      <c r="AD53" s="1" cm="1">
        <f t="array" ref="AD53">OptionDelta("C",$Z53,$B$2,AD$41,$B$3,$AA$40,0)</f>
        <v>0.98940827229066197</v>
      </c>
      <c r="AE53" s="1" cm="1">
        <f t="array" ref="AE53">OptionDelta("C",$Z53,$B$2,AE$41,$B$3,$AA$40,0)</f>
        <v>0.98135607564044858</v>
      </c>
      <c r="AF53" s="1" cm="1">
        <f t="array" ref="AF53">OptionDelta("C",$Z53,$B$2,AF$41,$B$3,$AA$40,0)</f>
        <v>0.97260314455363983</v>
      </c>
      <c r="AG53" s="1" cm="1">
        <f t="array" ref="AG53">OptionDelta("C",$Z53,$B$2,AG$41,$B$3,$AA$40,0)</f>
        <v>0.96375065198429899</v>
      </c>
      <c r="AH53" s="1" cm="1">
        <f t="array" ref="AH53">OptionDelta("C",$Z53,$B$2,AH$41,$B$3,$AA$40,0)</f>
        <v>0.95512804158206499</v>
      </c>
      <c r="AI53" s="1" cm="1">
        <f t="array" ref="AI53">OptionDelta("C",$Z53,$B$2,AI$41,$B$3,$AA$40,0)</f>
        <v>0.94690122807155452</v>
      </c>
      <c r="AJ53" s="1" cm="1">
        <f t="array" ref="AJ53">OptionDelta("C",$Z53,$B$2,AJ$41,$B$3,$AA$40,0)</f>
        <v>0.9391430239591263</v>
      </c>
      <c r="AK53" s="1" cm="1">
        <f t="array" ref="AK53">OptionDelta("C",$Z53,$B$2,AK$41,$B$3,$AA$40,0)</f>
        <v>0.88500763743571798</v>
      </c>
      <c r="AL53" s="1" cm="1">
        <f t="array" ref="AL53">OptionDelta("C",$Z53,$B$2,AL$41,$B$3,$AA$40,0)</f>
        <v>0.85695166013778001</v>
      </c>
      <c r="AM53" s="1" cm="1">
        <f t="array" ref="AM53">OptionDelta("C",$Z53,$B$2,AM$41,$B$3,$AA$40,0)</f>
        <v>0.84105655977843707</v>
      </c>
      <c r="AN53" s="1" cm="1">
        <f t="array" ref="AN53">OptionDelta("C",$Z53,$B$2,AN$41,$B$3,$AA$40,0)</f>
        <v>0.83158425080253329</v>
      </c>
      <c r="AW53" s="139"/>
      <c r="AX53" s="14">
        <v>115</v>
      </c>
      <c r="AY53" s="1" cm="1">
        <f t="array" ref="AY53">OptionTheta("C",$AX53,$B$2,AY$41,$B$3,$AY$40,0)</f>
        <v>2.7360522598924991E-3</v>
      </c>
      <c r="AZ53" s="1" cm="1">
        <f t="array" ref="AZ53">OptionTheta("C",$AX53,$B$2,AZ$41,$B$3,$AY$40,0)</f>
        <v>2.6459147010131617E-3</v>
      </c>
      <c r="BA53" s="1" cm="1">
        <f t="array" ref="BA53">OptionTheta("C",$AX53,$B$2,BA$41,$B$3,$AY$40,0)</f>
        <v>2.3604389904379242E-3</v>
      </c>
      <c r="BB53" s="1" cm="1">
        <f t="array" ref="BB53">OptionTheta("C",$AX53,$B$2,BB$41,$B$3,$AY$40,0)</f>
        <v>1.9966955978992732E-3</v>
      </c>
      <c r="BC53" s="1" cm="1">
        <f t="array" ref="BC53">OptionTheta("C",$AX53,$B$2,BC$41,$B$3,$AY$40,0)</f>
        <v>1.6495573833138029E-3</v>
      </c>
      <c r="BD53" s="1" cm="1">
        <f t="array" ref="BD53">OptionTheta("C",$AX53,$B$2,BD$41,$B$3,$AY$40,0)</f>
        <v>1.3511916556137554E-3</v>
      </c>
      <c r="BE53" s="1" cm="1">
        <f t="array" ref="BE53">OptionTheta("C",$AX53,$B$2,BE$41,$B$3,$AY$40,0)</f>
        <v>1.1051372984933281E-3</v>
      </c>
      <c r="BF53" s="1" cm="1">
        <f t="array" ref="BF53">OptionTheta("C",$AX53,$B$2,BF$41,$B$3,$AY$40,0)</f>
        <v>9.0550511555693926E-4</v>
      </c>
      <c r="BG53" s="1" cm="1">
        <f t="array" ref="BG53">OptionTheta("C",$AX53,$B$2,BG$41,$B$3,$AY$40,0)</f>
        <v>7.4443291706789423E-4</v>
      </c>
      <c r="BH53" s="1" cm="1">
        <f t="array" ref="BH53">OptionTheta("C",$AX53,$B$2,BH$41,$B$3,$AY$40,0)</f>
        <v>6.1458164504419666E-4</v>
      </c>
      <c r="BI53" s="1" cm="1">
        <f t="array" ref="BI53">OptionTheta("C",$AX53,$B$2,BI$41,$B$3,$AY$40,0)</f>
        <v>1.3453152612770866E-4</v>
      </c>
      <c r="BJ53" s="1" cm="1">
        <f t="array" ref="BJ53">OptionTheta("C",$AX53,$B$2,BJ$41,$B$3,$AY$40,0)</f>
        <v>1.1063255452831992E-4</v>
      </c>
      <c r="BK53" s="1" cm="1">
        <f t="array" ref="BK53">OptionTheta("C",$AX53,$B$2,BK$41,$B$3,$AY$40,0)</f>
        <v>1.6552241235183912E-4</v>
      </c>
      <c r="BL53" s="1" cm="1">
        <f t="array" ref="BL53">OptionTheta("C",$AX53,$B$2,BL$41,$B$3,$AY$40,0)</f>
        <v>2.3299782223387103E-4</v>
      </c>
      <c r="BU53" s="142"/>
      <c r="BV53" s="14">
        <v>115</v>
      </c>
      <c r="BW53" s="1" cm="1">
        <f t="array" ref="BW53">OptionGamma($BV53,$B$2,BW$41,$B$3,$BW$40,0)</f>
        <v>5.0939285700327113E-6</v>
      </c>
      <c r="BX53" s="1" cm="1">
        <f t="array" ref="BX53">OptionGamma($BV53,$B$2,BX$41,$B$3,$BW$40,0)</f>
        <v>4.751834300064429E-4</v>
      </c>
      <c r="BY53" s="1" cm="1">
        <f t="array" ref="BY53">OptionGamma($BV53,$B$2,BY$41,$B$3,$BW$40,0)</f>
        <v>1.9736239926009679E-3</v>
      </c>
      <c r="BZ53" s="1" cm="1">
        <f t="array" ref="BZ53">OptionGamma($BV53,$B$2,BZ$41,$B$3,$BW$40,0)</f>
        <v>3.8527882067153165E-3</v>
      </c>
      <c r="CA53" s="1" cm="1">
        <f t="array" ref="CA53">OptionGamma($BV53,$B$2,CA$41,$B$3,$BW$40,0)</f>
        <v>5.6093527215653792E-3</v>
      </c>
      <c r="CB53" s="1" cm="1">
        <f t="array" ref="CB53">OptionGamma($BV53,$B$2,CB$41,$B$3,$BW$40,0)</f>
        <v>7.0830615084530833E-3</v>
      </c>
      <c r="CC53" s="1" cm="1">
        <f t="array" ref="CC53">OptionGamma($BV53,$B$2,CC$41,$B$3,$BW$40,0)</f>
        <v>8.2651375479295131E-3</v>
      </c>
      <c r="CD53" s="1" cm="1">
        <f t="array" ref="CD53">OptionGamma($BV53,$B$2,CD$41,$B$3,$BW$40,0)</f>
        <v>9.19409140342148E-3</v>
      </c>
      <c r="CE53" s="1" cm="1">
        <f t="array" ref="CE53">OptionGamma($BV53,$B$2,CE$41,$B$3,$BW$40,0)</f>
        <v>9.9164315716425769E-3</v>
      </c>
      <c r="CF53" s="1" cm="1">
        <f t="array" ref="CF53">OptionGamma($BV53,$B$2,CF$41,$B$3,$BW$40,0)</f>
        <v>1.0474112849205517E-2</v>
      </c>
      <c r="CG53" s="1" cm="1">
        <f t="array" ref="CG53">OptionGamma($BV53,$B$2,CG$41,$B$3,$BW$40,0)</f>
        <v>1.193431892911874E-2</v>
      </c>
      <c r="CH53" s="1" cm="1">
        <f t="array" ref="CH53">OptionGamma($BV53,$B$2,CH$41,$B$3,$BW$40,0)</f>
        <v>1.1338612960202372E-2</v>
      </c>
      <c r="CI53" s="1" cm="1">
        <f t="array" ref="CI53">OptionGamma($BV53,$B$2,CI$41,$B$3,$BW$40,0)</f>
        <v>1.053298866360371E-2</v>
      </c>
      <c r="CJ53" s="1" cm="1">
        <f t="array" ref="CJ53">OptionGamma($BV53,$B$2,CJ$41,$B$3,$BW$40,0)</f>
        <v>9.7818031211006871E-3</v>
      </c>
      <c r="CS53" s="145"/>
      <c r="CT53" s="14">
        <v>115</v>
      </c>
      <c r="CU53" s="1" cm="1">
        <f t="array" ref="CU53">OptionVega($CT53,$B$2,CU$41,$B$3,$CU$40,0)</f>
        <v>6.7367205338682622E-6</v>
      </c>
      <c r="CV53" s="1" cm="1">
        <f t="array" ref="CV53">OptionVega($CT53,$B$2,CV$41,$B$3,$CU$40,0)</f>
        <v>1.2568601723670415E-3</v>
      </c>
      <c r="CW53" s="1" cm="1">
        <f t="array" ref="CW53">OptionVega($CT53,$B$2,CW$41,$B$3,$CU$40,0)</f>
        <v>7.8303531906443406E-3</v>
      </c>
      <c r="CX53" s="1" cm="1">
        <f t="array" ref="CX53">OptionVega($CT53,$B$2,CX$41,$B$3,$CU$40,0)</f>
        <v>2.0381249613524031E-2</v>
      </c>
      <c r="CY53" s="1" cm="1">
        <f t="array" ref="CY53">OptionVega($CT53,$B$2,CY$41,$B$3,$CU$40,0)</f>
        <v>3.709184487135108E-2</v>
      </c>
      <c r="CZ53" s="1" cm="1">
        <f t="array" ref="CZ53">OptionVega($CT53,$B$2,CZ$41,$B$3,$CU$40,0)</f>
        <v>5.6204093069575231E-2</v>
      </c>
      <c r="DA53" s="1" cm="1">
        <f t="array" ref="DA53">OptionVega($CT53,$B$2,DA$41,$B$3,$CU$40,0)</f>
        <v>7.6514510849957487E-2</v>
      </c>
      <c r="DB53" s="1" cm="1">
        <f t="array" ref="DB53">OptionVega($CT53,$B$2,DB$41,$B$3,$CU$40,0)</f>
        <v>9.727348704819927E-2</v>
      </c>
      <c r="DC53" s="1" cm="1">
        <f t="array" ref="DC53">OptionVega($CT53,$B$2,DC$41,$B$3,$CU$40,0)</f>
        <v>0.11803032678147582</v>
      </c>
      <c r="DD53" s="1" cm="1">
        <f t="array" ref="DD53">OptionVega($CT53,$B$2,DD$41,$B$3,$CU$40,0)</f>
        <v>0.13852014243074298</v>
      </c>
      <c r="DE53" s="1" cm="1">
        <f t="array" ref="DE53">OptionVega($CT53,$B$2,DE$41,$B$3,$CU$40,0)</f>
        <v>0.31566273567519076</v>
      </c>
      <c r="DF53" s="1" cm="1">
        <f t="array" ref="DF53">OptionVega($CT53,$B$2,DF$41,$B$3,$CU$40,0)</f>
        <v>0.4498594691960292</v>
      </c>
      <c r="DG53" s="1" cm="1">
        <f t="array" ref="DG53">OptionVega($CT53,$B$2,DG$41,$B$3,$CU$40,0)</f>
        <v>0.55719510030463637</v>
      </c>
      <c r="DH53" s="1" cm="1">
        <f t="array" ref="DH53">OptionVega($CT53,$B$2,DH$41,$B$3,$CU$40,0)</f>
        <v>0.6468217313827832</v>
      </c>
      <c r="DQ53" s="130"/>
      <c r="DR53" s="14">
        <v>115</v>
      </c>
      <c r="DS53" s="1" cm="1">
        <f t="array" ref="DS53">OptionRho("C",$DR53,$B$2,DS$41,$B$3,$DS$40,0)</f>
        <v>9.9899591088745576E-2</v>
      </c>
      <c r="DT53" s="1" cm="1">
        <f t="array" ref="DT53">OptionRho("C",$DR53,$B$2,DT$41,$B$3,$DS$40,0)</f>
        <v>0.19943607403579602</v>
      </c>
      <c r="DU53" s="1" cm="1">
        <f t="array" ref="DU53">OptionRho("C",$DR53,$B$2,DU$41,$B$3,$DS$40,0)</f>
        <v>0.29761983540617443</v>
      </c>
      <c r="DV53" s="1" cm="1">
        <f t="array" ref="DV53">OptionRho("C",$DR53,$B$2,DV$41,$B$3,$DS$40,0)</f>
        <v>0.39342380536091404</v>
      </c>
      <c r="DW53" s="1" cm="1">
        <f t="array" ref="DW53">OptionRho("C",$DR53,$B$2,DW$41,$B$3,$DS$40,0)</f>
        <v>0.48650344681152441</v>
      </c>
      <c r="DX53" s="1" cm="1">
        <f t="array" ref="DX53">OptionRho("C",$DR53,$B$2,DX$41,$B$3,$DS$40,0)</f>
        <v>0.5769314379272884</v>
      </c>
      <c r="DY53" s="1" cm="1">
        <f t="array" ref="DY53">OptionRho("C",$DR53,$B$2,DY$41,$B$3,$DS$40,0)</f>
        <v>0.66493513401483262</v>
      </c>
      <c r="DZ53" s="1" cm="1">
        <f t="array" ref="DZ53">OptionRho("C",$DR53,$B$2,DZ$41,$B$3,$DS$40,0)</f>
        <v>0.75077492898362264</v>
      </c>
      <c r="EA53" s="1" cm="1">
        <f t="array" ref="EA53">OptionRho("C",$DR53,$B$2,EA$41,$B$3,$DS$40,0)</f>
        <v>0.83469784716418216</v>
      </c>
      <c r="EB53" s="1" cm="1">
        <f t="array" ref="EB53">OptionRho("C",$DR53,$B$2,EB$41,$B$3,$DS$40,0)</f>
        <v>0.91692301259484654</v>
      </c>
      <c r="EC53" s="1" cm="1">
        <f t="array" ref="EC53">OptionRho("C",$DR53,$B$2,EC$41,$B$3,$DS$40,0)</f>
        <v>1.6765216924491808</v>
      </c>
      <c r="ED53" s="1" cm="1">
        <f t="array" ref="ED53">OptionRho("C",$DR53,$B$2,ED$41,$B$3,$DS$40,0)</f>
        <v>2.3704399931886559</v>
      </c>
      <c r="EE53" s="1" cm="1">
        <f t="array" ref="EE53">OptionRho("C",$DR53,$B$2,EE$41,$B$3,$DS$40,0)</f>
        <v>3.0276382235568668</v>
      </c>
      <c r="EF53" s="1" cm="1">
        <f t="array" ref="EF53">OptionRho("C",$DR53,$B$2,EF$41,$B$3,$DS$40,0)</f>
        <v>3.6593296824907293</v>
      </c>
      <c r="EP53" s="130"/>
      <c r="EQ53" s="14">
        <v>115</v>
      </c>
      <c r="ER53" s="1" cm="1">
        <f t="array" ref="ER53">OptionRho("C",$DR53,$B$2,ER$41,$D$3,$DS$40,0)</f>
        <v>9.5122942347145703E-2</v>
      </c>
      <c r="ES53" s="1" cm="1">
        <f t="array" ref="ES53">OptionRho("C",$DR53,$B$2,ES$41,$D$3,$DS$40,0)</f>
        <v>0.1809674751448937</v>
      </c>
      <c r="ET53" s="1" cm="1">
        <f t="array" ref="ET53">OptionRho("C",$DR53,$B$2,ET$41,$D$3,$DS$40,0)</f>
        <v>0.25821237462205338</v>
      </c>
      <c r="EU53" s="1" cm="1">
        <f t="array" ref="EU53">OptionRho("C",$DR53,$B$2,EU$41,$D$3,$DS$40,0)</f>
        <v>0.3274922860522303</v>
      </c>
      <c r="EV53" s="1" cm="1">
        <f t="array" ref="EV53">OptionRho("C",$DR53,$B$2,EV$41,$D$3,$DS$40,0)</f>
        <v>0.38940038309926034</v>
      </c>
      <c r="EW53" s="1" cm="1">
        <f t="array" ref="EW53">OptionRho("C",$DR53,$B$2,EW$41,$D$3,$DS$40,0)</f>
        <v>0.44449092859828332</v>
      </c>
      <c r="EX53" s="1" cm="1">
        <f t="array" ref="EX53">OptionRho("C",$DR53,$B$2,EX$41,$D$3,$DS$40,0)</f>
        <v>0.4932816612800357</v>
      </c>
      <c r="EY53" s="1" cm="1">
        <f t="array" ref="EY53">OptionRho("C",$DR53,$B$2,EY$41,$D$3,$DS$40,0)</f>
        <v>0.53625603626587104</v>
      </c>
      <c r="EZ53" s="1" cm="1">
        <f t="array" ref="EZ53">OptionRho("C",$DR53,$B$2,EZ$41,$D$3,$DS$40,0)</f>
        <v>0.57386533626265912</v>
      </c>
      <c r="FA53" s="1" cm="1">
        <f t="array" ref="FA53">OptionRho("C",$DR53,$B$2,FA$41,$D$3,$DS$40,0)</f>
        <v>0.60653065964631769</v>
      </c>
      <c r="FB53" s="1" cm="1">
        <f t="array" ref="FB53">OptionRho("C",$DR53,$B$2,FB$41,$D$3,$DS$40,0)</f>
        <v>0.73575888234288422</v>
      </c>
      <c r="FC53" s="1" cm="1">
        <f t="array" ref="FC53">OptionRho("C",$DR53,$B$2,FC$41,$D$3,$DS$40,0)</f>
        <v>0.66939048044528948</v>
      </c>
      <c r="FD53" s="1" cm="1">
        <f t="array" ref="FD53">OptionRho("C",$DR53,$B$2,FD$41,$D$3,$DS$40,0)</f>
        <v>0.54134113294645081</v>
      </c>
      <c r="FE53" s="1" cm="1">
        <f t="array" ref="FE53">OptionRho("C",$DR53,$B$2,FE$41,$D$3,$DS$40,0)</f>
        <v>0.41042499311949399</v>
      </c>
    </row>
    <row r="54" spans="1:161" x14ac:dyDescent="0.2">
      <c r="A54" s="133"/>
      <c r="B54" s="14">
        <v>120</v>
      </c>
      <c r="C54" s="1" cm="1">
        <f t="array" ref="C54">OptionPrice("C",$B54,$B$2,C$41,$B$3,$C$40,0)</f>
        <v>20.09995001857159</v>
      </c>
      <c r="D54" s="1" cm="1">
        <f t="array" ref="D54">OptionPrice("C",$B54,$B$2,D$41,$B$3,$C$40,0)</f>
        <v>20.199820393754393</v>
      </c>
      <c r="E54" s="1" cm="1">
        <f t="array" ref="E54">OptionPrice("C",$B54,$B$2,E$41,$B$3,$C$40,0)</f>
        <v>20.300103788954814</v>
      </c>
      <c r="F54" s="1" cm="1">
        <f t="array" ref="F54">OptionPrice("C",$B54,$B$2,F$41,$B$3,$C$40,0)</f>
        <v>20.402393212349992</v>
      </c>
      <c r="G54" s="1" cm="1">
        <f t="array" ref="G54">OptionPrice("C",$B54,$B$2,G$41,$B$3,$C$40,0)</f>
        <v>20.508409928183227</v>
      </c>
      <c r="H54" s="1" cm="1">
        <f t="array" ref="H54">OptionPrice("C",$B54,$B$2,H$41,$B$3,$C$40,0)</f>
        <v>20.619130101352113</v>
      </c>
      <c r="I54" s="1" cm="1">
        <f t="array" ref="I54">OptionPrice("C",$B54,$B$2,I$41,$B$3,$C$40,0)</f>
        <v>20.734795964519932</v>
      </c>
      <c r="J54" s="1" cm="1">
        <f t="array" ref="J54">OptionPrice("C",$B54,$B$2,J$41,$B$3,$C$40,0)</f>
        <v>20.855191505654048</v>
      </c>
      <c r="K54" s="1" cm="1">
        <f t="array" ref="K54">OptionPrice("C",$B54,$B$2,K$41,$B$3,$C$40,0)</f>
        <v>20.979874504161003</v>
      </c>
      <c r="L54" s="1" cm="1">
        <f t="array" ref="L54">OptionPrice("C",$B54,$B$2,L$41,$B$3,$C$40,0)</f>
        <v>21.10832012113795</v>
      </c>
      <c r="M54" s="1" cm="1">
        <f t="array" ref="M54">OptionPrice("C",$B54,$B$2,M$41,$B$3,$C$40,0)</f>
        <v>22.504728900541082</v>
      </c>
      <c r="N54" s="1" cm="1">
        <f t="array" ref="N54">OptionPrice("C",$B54,$B$2,N$41,$B$3,$C$40,0)</f>
        <v>23.947166779424151</v>
      </c>
      <c r="O54" s="1" cm="1">
        <f t="array" ref="O54">OptionPrice("C",$B54,$B$2,O$41,$B$3,$C$40,0)</f>
        <v>25.356437181309673</v>
      </c>
      <c r="P54" s="1" cm="1">
        <f t="array" ref="P54">OptionPrice("C",$B54,$B$2,P$41,$B$3,$C$40,0)</f>
        <v>26.71668219751507</v>
      </c>
      <c r="Y54" s="136"/>
      <c r="Z54" s="14">
        <v>120</v>
      </c>
      <c r="AA54" s="1" cm="1">
        <f t="array" ref="AA54">OptionDelta("C",$Z54,$B$2,AA$41,$B$3,$AA$40,0)</f>
        <v>0.99999999693089381</v>
      </c>
      <c r="AB54" s="1" cm="1">
        <f t="array" ref="AB54">OptionDelta("C",$Z54,$B$2,AB$41,$B$3,$AA$40,0)</f>
        <v>0.9999829287565416</v>
      </c>
      <c r="AC54" s="1" cm="1">
        <f t="array" ref="AC54">OptionDelta("C",$Z54,$B$2,AC$41,$B$3,$AA$40,0)</f>
        <v>0.99967623132709937</v>
      </c>
      <c r="AD54" s="1" cm="1">
        <f t="array" ref="AD54">OptionDelta("C",$Z54,$B$2,AD$41,$B$3,$AA$40,0)</f>
        <v>0.99854754541412227</v>
      </c>
      <c r="AE54" s="1" cm="1">
        <f t="array" ref="AE54">OptionDelta("C",$Z54,$B$2,AE$41,$B$3,$AA$40,0)</f>
        <v>0.99636788743791604</v>
      </c>
      <c r="AF54" s="1" cm="1">
        <f t="array" ref="AF54">OptionDelta("C",$Z54,$B$2,AF$41,$B$3,$AA$40,0)</f>
        <v>0.99324341588079323</v>
      </c>
      <c r="AG54" s="1" cm="1">
        <f t="array" ref="AG54">OptionDelta("C",$Z54,$B$2,AG$41,$B$3,$AA$40,0)</f>
        <v>0.98940714410148023</v>
      </c>
      <c r="AH54" s="1" cm="1">
        <f t="array" ref="AH54">OptionDelta("C",$Z54,$B$2,AH$41,$B$3,$AA$40,0)</f>
        <v>0.98509406838389901</v>
      </c>
      <c r="AI54" s="1" cm="1">
        <f t="array" ref="AI54">OptionDelta("C",$Z54,$B$2,AI$41,$B$3,$AA$40,0)</f>
        <v>0.98049779905589118</v>
      </c>
      <c r="AJ54" s="1" cm="1">
        <f t="array" ref="AJ54">OptionDelta("C",$Z54,$B$2,AJ$41,$B$3,$AA$40,0)</f>
        <v>0.9757644962341846</v>
      </c>
      <c r="AK54" s="1" cm="1">
        <f t="array" ref="AK54">OptionDelta("C",$Z54,$B$2,AK$41,$B$3,$AA$40,0)</f>
        <v>0.93336619424077227</v>
      </c>
      <c r="AL54" s="1" cm="1">
        <f t="array" ref="AL54">OptionDelta("C",$Z54,$B$2,AL$41,$B$3,$AA$40,0)</f>
        <v>0.90531441414396252</v>
      </c>
      <c r="AM54" s="1" cm="1">
        <f t="array" ref="AM54">OptionDelta("C",$Z54,$B$2,AM$41,$B$3,$AA$40,0)</f>
        <v>0.88716872324765816</v>
      </c>
      <c r="AN54" s="1" cm="1">
        <f t="array" ref="AN54">OptionDelta("C",$Z54,$B$2,AN$41,$B$3,$AA$40,0)</f>
        <v>0.87508800250645269</v>
      </c>
      <c r="AW54" s="139"/>
      <c r="AX54" s="14">
        <v>120</v>
      </c>
      <c r="AY54" s="1" cm="1">
        <f t="array" ref="AY54">OptionTheta("C",$AX54,$B$2,AY$41,$B$3,$AY$40,0)</f>
        <v>2.73698670721447E-3</v>
      </c>
      <c r="AZ54" s="1" cm="1">
        <f t="array" ref="AZ54">OptionTheta("C",$AX54,$B$2,AZ$41,$B$3,$AY$40,0)</f>
        <v>2.7314576301087638E-3</v>
      </c>
      <c r="BA54" s="1" cm="1">
        <f t="array" ref="BA54">OptionTheta("C",$AX54,$B$2,BA$41,$B$3,$AY$40,0)</f>
        <v>2.6948030203742938E-3</v>
      </c>
      <c r="BB54" s="1" cm="1">
        <f t="array" ref="BB54">OptionTheta("C",$AX54,$B$2,BB$41,$B$3,$AY$40,0)</f>
        <v>2.6007701695916754E-3</v>
      </c>
      <c r="BC54" s="1" cm="1">
        <f t="array" ref="BC54">OptionTheta("C",$AX54,$B$2,BC$41,$B$3,$AY$40,0)</f>
        <v>2.4612613083598617E-3</v>
      </c>
      <c r="BD54" s="1" cm="1">
        <f t="array" ref="BD54">OptionTheta("C",$AX54,$B$2,BD$41,$B$3,$AY$40,0)</f>
        <v>2.2997275948049112E-3</v>
      </c>
      <c r="BE54" s="1" cm="1">
        <f t="array" ref="BE54">OptionTheta("C",$AX54,$B$2,BE$41,$B$3,$AY$40,0)</f>
        <v>2.1341479781971742E-3</v>
      </c>
      <c r="BF54" s="1" cm="1">
        <f t="array" ref="BF54">OptionTheta("C",$AX54,$B$2,BF$41,$B$3,$AY$40,0)</f>
        <v>1.9750371781977975E-3</v>
      </c>
      <c r="BG54" s="1" cm="1">
        <f t="array" ref="BG54">OptionTheta("C",$AX54,$B$2,BG$41,$B$3,$AY$40,0)</f>
        <v>1.8275552626760667E-3</v>
      </c>
      <c r="BH54" s="1" cm="1">
        <f t="array" ref="BH54">OptionTheta("C",$AX54,$B$2,BH$41,$B$3,$AY$40,0)</f>
        <v>1.6936557432989537E-3</v>
      </c>
      <c r="BI54" s="1" cm="1">
        <f t="array" ref="BI54">OptionTheta("C",$AX54,$B$2,BI$41,$B$3,$AY$40,0)</f>
        <v>9.4958766588929986E-4</v>
      </c>
      <c r="BJ54" s="1" cm="1">
        <f t="array" ref="BJ54">OptionTheta("C",$AX54,$B$2,BJ$41,$B$3,$AY$40,0)</f>
        <v>7.2010124828512316E-4</v>
      </c>
      <c r="BK54" s="1" cm="1">
        <f t="array" ref="BK54">OptionTheta("C",$AX54,$B$2,BK$41,$B$3,$AY$40,0)</f>
        <v>6.4815624900885574E-4</v>
      </c>
      <c r="BL54" s="1" cm="1">
        <f t="array" ref="BL54">OptionTheta("C",$AX54,$B$2,BL$41,$B$3,$AY$40,0)</f>
        <v>6.3245886465487517E-4</v>
      </c>
      <c r="BU54" s="142"/>
      <c r="BV54" s="14">
        <v>120</v>
      </c>
      <c r="BW54" s="1" cm="1">
        <f t="array" ref="BW54">OptionGamma($BV54,$B$2,BW$41,$B$3,$BW$40,0)</f>
        <v>4.8333065983836828E-9</v>
      </c>
      <c r="BX54" s="1" cm="1">
        <f t="array" ref="BX54">OptionGamma($BV54,$B$2,BX$41,$B$3,$BW$40,0)</f>
        <v>1.3878827508435486E-5</v>
      </c>
      <c r="BY54" s="1" cm="1">
        <f t="array" ref="BY54">OptionGamma($BV54,$B$2,BY$41,$B$3,$BW$40,0)</f>
        <v>1.8065746203269184E-4</v>
      </c>
      <c r="BZ54" s="1" cm="1">
        <f t="array" ref="BZ54">OptionGamma($BV54,$B$2,BZ$41,$B$3,$BW$40,0)</f>
        <v>6.2433347878451597E-4</v>
      </c>
      <c r="CA54" s="1" cm="1">
        <f t="array" ref="CA54">OptionGamma($BV54,$B$2,CA$41,$B$3,$BW$40,0)</f>
        <v>1.2805137235044073E-3</v>
      </c>
      <c r="CB54" s="1" cm="1">
        <f t="array" ref="CB54">OptionGamma($BV54,$B$2,CB$41,$B$3,$BW$40,0)</f>
        <v>2.0319475824949751E-3</v>
      </c>
      <c r="CC54" s="1" cm="1">
        <f t="array" ref="CC54">OptionGamma($BV54,$B$2,CC$41,$B$3,$BW$40,0)</f>
        <v>2.7913416838140047E-3</v>
      </c>
      <c r="CD54" s="1" cm="1">
        <f t="array" ref="CD54">OptionGamma($BV54,$B$2,CD$41,$B$3,$BW$40,0)</f>
        <v>3.5093388466936421E-3</v>
      </c>
      <c r="CE54" s="1" cm="1">
        <f t="array" ref="CE54">OptionGamma($BV54,$B$2,CE$41,$B$3,$BW$40,0)</f>
        <v>4.1630686520652081E-3</v>
      </c>
      <c r="CF54" s="1" cm="1">
        <f t="array" ref="CF54">OptionGamma($BV54,$B$2,CF$41,$B$3,$BW$40,0)</f>
        <v>4.7451367772989453E-3</v>
      </c>
      <c r="CG54" s="1" cm="1">
        <f t="array" ref="CG54">OptionGamma($BV54,$B$2,CG$41,$B$3,$BW$40,0)</f>
        <v>7.6165645282489083E-3</v>
      </c>
      <c r="CH54" s="1" cm="1">
        <f t="array" ref="CH54">OptionGamma($BV54,$B$2,CH$41,$B$3,$BW$40,0)</f>
        <v>8.1120649104783824E-3</v>
      </c>
      <c r="CI54" s="1" cm="1">
        <f t="array" ref="CI54">OptionGamma($BV54,$B$2,CI$41,$B$3,$BW$40,0)</f>
        <v>7.978625905498065E-3</v>
      </c>
      <c r="CJ54" s="1" cm="1">
        <f t="array" ref="CJ54">OptionGamma($BV54,$B$2,CJ$41,$B$3,$BW$40,0)</f>
        <v>7.6679346587994893E-3</v>
      </c>
      <c r="CS54" s="145"/>
      <c r="CT54" s="14">
        <v>120</v>
      </c>
      <c r="CU54" s="1" cm="1">
        <f t="array" ref="CU54">OptionVega($CT54,$B$2,CU$41,$B$3,$CU$40,0)</f>
        <v>6.9599615016725039E-9</v>
      </c>
      <c r="CV54" s="1" cm="1">
        <f t="array" ref="CV54">OptionVega($CT54,$B$2,CV$41,$B$3,$CU$40,0)</f>
        <v>3.9971023224294193E-5</v>
      </c>
      <c r="CW54" s="1" cm="1">
        <f t="array" ref="CW54">OptionVega($CT54,$B$2,CW$41,$B$3,$CU$40,0)</f>
        <v>7.8044023598122878E-4</v>
      </c>
      <c r="CX54" s="1" cm="1">
        <f t="array" ref="CX54">OptionVega($CT54,$B$2,CX$41,$B$3,$CU$40,0)</f>
        <v>3.5961608377988127E-3</v>
      </c>
      <c r="CY54" s="1" cm="1">
        <f t="array" ref="CY54">OptionVega($CT54,$B$2,CY$41,$B$3,$CU$40,0)</f>
        <v>9.2196988092317338E-3</v>
      </c>
      <c r="CZ54" s="1" cm="1">
        <f t="array" ref="CZ54">OptionVega($CT54,$B$2,CZ$41,$B$3,$CU$40,0)</f>
        <v>1.7556027112756587E-2</v>
      </c>
      <c r="DA54" s="1" cm="1">
        <f t="array" ref="DA54">OptionVega($CT54,$B$2,DA$41,$B$3,$CU$40,0)</f>
        <v>2.8136724172845171E-2</v>
      </c>
      <c r="DB54" s="1" cm="1">
        <f t="array" ref="DB54">OptionVega($CT54,$B$2,DB$41,$B$3,$CU$40,0)</f>
        <v>4.042758351391075E-2</v>
      </c>
      <c r="DC54" s="1" cm="1">
        <f t="array" ref="DC54">OptionVega($CT54,$B$2,DC$41,$B$3,$CU$40,0)</f>
        <v>5.3953369730765095E-2</v>
      </c>
      <c r="DD54" s="1" cm="1">
        <f t="array" ref="DD54">OptionVega($CT54,$B$2,DD$41,$B$3,$CU$40,0)</f>
        <v>6.8329969593104806E-2</v>
      </c>
      <c r="DE54" s="1" cm="1">
        <f t="array" ref="DE54">OptionVega($CT54,$B$2,DE$41,$B$3,$CU$40,0)</f>
        <v>0.21935705841356859</v>
      </c>
      <c r="DF54" s="1" cm="1">
        <f t="array" ref="DF54">OptionVega($CT54,$B$2,DF$41,$B$3,$CU$40,0)</f>
        <v>0.35044120413266605</v>
      </c>
      <c r="DG54" s="1" cm="1">
        <f t="array" ref="DG54">OptionVega($CT54,$B$2,DG$41,$B$3,$CU$40,0)</f>
        <v>0.45956885215668852</v>
      </c>
      <c r="DH54" s="1" cm="1">
        <f t="array" ref="DH54">OptionVega($CT54,$B$2,DH$41,$B$3,$CU$40,0)</f>
        <v>0.55209129543356328</v>
      </c>
      <c r="DQ54" s="130"/>
      <c r="DR54" s="14">
        <v>120</v>
      </c>
      <c r="DS54" s="1" cm="1">
        <f t="array" ref="DS54">OptionRho("C",$DR54,$B$2,DS$41,$B$3,$DS$40,0)</f>
        <v>9.9900049613135686E-2</v>
      </c>
      <c r="DT54" s="1" cm="1">
        <f t="array" ref="DT54">OptionRho("C",$DR54,$B$2,DT$41,$B$3,$DS$40,0)</f>
        <v>0.19959626211406123</v>
      </c>
      <c r="DU54" s="1" cm="1">
        <f t="array" ref="DU54">OptionRho("C",$DR54,$B$2,DU$41,$B$3,$DS$40,0)</f>
        <v>0.29898313191089132</v>
      </c>
      <c r="DV54" s="1" cm="1">
        <f t="array" ref="DV54">OptionRho("C",$DR54,$B$2,DV$41,$B$3,$DS$40,0)</f>
        <v>0.39769324894937874</v>
      </c>
      <c r="DW54" s="1" cm="1">
        <f t="array" ref="DW54">OptionRho("C",$DR54,$B$2,DW$41,$B$3,$DS$40,0)</f>
        <v>0.49527868282183346</v>
      </c>
      <c r="DX54" s="1" cm="1">
        <f t="array" ref="DX54">OptionRho("C",$DR54,$B$2,DX$41,$B$3,$DS$40,0)</f>
        <v>0.59142047882605842</v>
      </c>
      <c r="DY54" s="1" cm="1">
        <f t="array" ref="DY54">OptionRho("C",$DR54,$B$2,DY$41,$B$3,$DS$40,0)</f>
        <v>0.68595842929360373</v>
      </c>
      <c r="DZ54" s="1" cm="1">
        <f t="array" ref="DZ54">OptionRho("C",$DR54,$B$2,DZ$41,$B$3,$DS$40,0)</f>
        <v>0.77884877360331073</v>
      </c>
      <c r="EA54" s="1" cm="1">
        <f t="array" ref="EA54">OptionRho("C",$DR54,$B$2,EA$41,$B$3,$DS$40,0)</f>
        <v>0.87011875244291348</v>
      </c>
      <c r="EB54" s="1" cm="1">
        <f t="array" ref="EB54">OptionRho("C",$DR54,$B$2,EB$41,$B$3,$DS$40,0)</f>
        <v>0.95983419426964212</v>
      </c>
      <c r="EC54" s="1" cm="1">
        <f t="array" ref="EC54">OptionRho("C",$DR54,$B$2,EC$41,$B$3,$DS$40,0)</f>
        <v>1.7899842881670318</v>
      </c>
      <c r="ED54" s="1" cm="1">
        <f t="array" ref="ED54">OptionRho("C",$DR54,$B$2,ED$41,$B$3,$DS$40,0)</f>
        <v>2.5407168875355404</v>
      </c>
      <c r="EE54" s="1" cm="1">
        <f t="array" ref="EE54">OptionRho("C",$DR54,$B$2,EE$41,$B$3,$DS$40,0)</f>
        <v>3.2441523843363722</v>
      </c>
      <c r="EF54" s="1" cm="1">
        <f t="array" ref="EF54">OptionRho("C",$DR54,$B$2,EF$41,$B$3,$DS$40,0)</f>
        <v>3.914693905162963</v>
      </c>
      <c r="EP54" s="130"/>
      <c r="EQ54" s="14">
        <v>120</v>
      </c>
      <c r="ER54" s="1" cm="1">
        <f t="array" ref="ER54">OptionRho("C",$DR54,$B$2,ER$41,$D$3,$DS$40,0)</f>
        <v>9.5122942450060533E-2</v>
      </c>
      <c r="ES54" s="1" cm="1">
        <f t="array" ref="ES54">OptionRho("C",$DR54,$B$2,ES$41,$D$3,$DS$40,0)</f>
        <v>0.1809674835785664</v>
      </c>
      <c r="ET54" s="1" cm="1">
        <f t="array" ref="ET54">OptionRho("C",$DR54,$B$2,ET$41,$D$3,$DS$40,0)</f>
        <v>0.25821239272848179</v>
      </c>
      <c r="EU54" s="1" cm="1">
        <f t="array" ref="EU54">OptionRho("C",$DR54,$B$2,EU$41,$D$3,$DS$40,0)</f>
        <v>0.32749230093373349</v>
      </c>
      <c r="EV54" s="1" cm="1">
        <f t="array" ref="EV54">OptionRho("C",$DR54,$B$2,EV$41,$D$3,$DS$40,0)</f>
        <v>0.38940039129964726</v>
      </c>
      <c r="EW54" s="1" cm="1">
        <f t="array" ref="EW54">OptionRho("C",$DR54,$B$2,EW$41,$D$3,$DS$40,0)</f>
        <v>0.44449093227362402</v>
      </c>
      <c r="EX54" s="1" cm="1">
        <f t="array" ref="EX54">OptionRho("C",$DR54,$B$2,EX$41,$D$3,$DS$40,0)</f>
        <v>0.49328166273884821</v>
      </c>
      <c r="EY54" s="1" cm="1">
        <f t="array" ref="EY54">OptionRho("C",$DR54,$B$2,EY$41,$D$3,$DS$40,0)</f>
        <v>0.53625603680149947</v>
      </c>
      <c r="EZ54" s="1" cm="1">
        <f t="array" ref="EZ54">OptionRho("C",$DR54,$B$2,EZ$41,$D$3,$DS$40,0)</f>
        <v>0.5738653364491364</v>
      </c>
      <c r="FA54" s="1" cm="1">
        <f t="array" ref="FA54">OptionRho("C",$DR54,$B$2,FA$41,$D$3,$DS$40,0)</f>
        <v>0.60653065970881381</v>
      </c>
      <c r="FB54" s="1" cm="1">
        <f t="array" ref="FB54">OptionRho("C",$DR54,$B$2,FB$41,$D$3,$DS$40,0)</f>
        <v>0.73575888234288456</v>
      </c>
      <c r="FC54" s="1" cm="1">
        <f t="array" ref="FC54">OptionRho("C",$DR54,$B$2,FC$41,$D$3,$DS$40,0)</f>
        <v>0.66939048044528948</v>
      </c>
      <c r="FD54" s="1" cm="1">
        <f t="array" ref="FD54">OptionRho("C",$DR54,$B$2,FD$41,$D$3,$DS$40,0)</f>
        <v>0.54134113294645081</v>
      </c>
      <c r="FE54" s="1" cm="1">
        <f t="array" ref="FE54">OptionRho("C",$DR54,$B$2,FE$41,$D$3,$DS$40,0)</f>
        <v>0.41042499311949399</v>
      </c>
    </row>
    <row r="55" spans="1:161" x14ac:dyDescent="0.2">
      <c r="A55" s="133"/>
      <c r="B55" s="14">
        <v>125</v>
      </c>
      <c r="C55" s="1" cm="1">
        <f t="array" ref="C55">OptionPrice("C",$B55,$B$2,C$41,$B$3,$C$40,0)</f>
        <v>25.099950016662831</v>
      </c>
      <c r="D55" s="1" cm="1">
        <f t="array" ref="D55">OptionPrice("C",$B55,$B$2,D$41,$B$3,$C$40,0)</f>
        <v>25.199800355197553</v>
      </c>
      <c r="E55" s="1" cm="1">
        <f t="array" ref="E55">OptionPrice("C",$B55,$B$2,E$41,$B$3,$C$40,0)</f>
        <v>25.299574939742342</v>
      </c>
      <c r="F55" s="1" cm="1">
        <f t="array" ref="F55">OptionPrice("C",$B55,$B$2,F$41,$B$3,$C$40,0)</f>
        <v>25.39948669570316</v>
      </c>
      <c r="G55" s="1" cm="1">
        <f t="array" ref="G55">OptionPrice("C",$B55,$B$2,G$41,$B$3,$C$40,0)</f>
        <v>25.500075335184547</v>
      </c>
      <c r="H55" s="1" cm="1">
        <f t="array" ref="H55">OptionPrice("C",$B55,$B$2,H$41,$B$3,$C$40,0)</f>
        <v>25.602022417730069</v>
      </c>
      <c r="I55" s="1" cm="1">
        <f t="array" ref="I55">OptionPrice("C",$B55,$B$2,I$41,$B$3,$C$40,0)</f>
        <v>25.705910899567968</v>
      </c>
      <c r="J55" s="1" cm="1">
        <f t="array" ref="J55">OptionPrice("C",$B55,$B$2,J$41,$B$3,$C$40,0)</f>
        <v>25.812123598888405</v>
      </c>
      <c r="K55" s="1" cm="1">
        <f t="array" ref="K55">OptionPrice("C",$B55,$B$2,K$41,$B$3,$C$40,0)</f>
        <v>25.920846821565334</v>
      </c>
      <c r="L55" s="1" cm="1">
        <f t="array" ref="L55">OptionPrice("C",$B55,$B$2,L$41,$B$3,$C$40,0)</f>
        <v>26.032113959994334</v>
      </c>
      <c r="M55" s="1" cm="1">
        <f t="array" ref="M55">OptionPrice("C",$B55,$B$2,M$41,$B$3,$C$40,0)</f>
        <v>27.25271432253345</v>
      </c>
      <c r="N55" s="1" cm="1">
        <f t="array" ref="N55">OptionPrice("C",$B55,$B$2,N$41,$B$3,$C$40,0)</f>
        <v>28.563781373607654</v>
      </c>
      <c r="O55" s="1" cm="1">
        <f t="array" ref="O55">OptionPrice("C",$B55,$B$2,O$41,$B$3,$C$40,0)</f>
        <v>29.882704581505081</v>
      </c>
      <c r="P55" s="1" cm="1">
        <f t="array" ref="P55">OptionPrice("C",$B55,$B$2,P$41,$B$3,$C$40,0)</f>
        <v>31.180127107344859</v>
      </c>
      <c r="Y55" s="136"/>
      <c r="Z55" s="14">
        <v>125</v>
      </c>
      <c r="AA55" s="1" cm="1">
        <f t="array" ref="AA55">OptionDelta("C",$Z55,$B$2,AA$41,$B$3,$AA$40,0)</f>
        <v>0.99999999999939337</v>
      </c>
      <c r="AB55" s="1" cm="1">
        <f t="array" ref="AB55">OptionDelta("C",$Z55,$B$2,AB$41,$B$3,$AA$40,0)</f>
        <v>0.99999978673956835</v>
      </c>
      <c r="AC55" s="1" cm="1">
        <f t="array" ref="AC55">OptionDelta("C",$Z55,$B$2,AC$41,$B$3,$AA$40,0)</f>
        <v>0.99998381961018046</v>
      </c>
      <c r="AD55" s="1" cm="1">
        <f t="array" ref="AD55">OptionDelta("C",$Z55,$B$2,AD$41,$B$3,$AA$40,0)</f>
        <v>0.99985444081884667</v>
      </c>
      <c r="AE55" s="1" cm="1">
        <f t="array" ref="AE55">OptionDelta("C",$Z55,$B$2,AE$41,$B$3,$AA$40,0)</f>
        <v>0.99944644902317548</v>
      </c>
      <c r="AF55" s="1" cm="1">
        <f t="array" ref="AF55">OptionDelta("C",$Z55,$B$2,AF$41,$B$3,$AA$40,0)</f>
        <v>0.99863656915944365</v>
      </c>
      <c r="AG55" s="1" cm="1">
        <f t="array" ref="AG55">OptionDelta("C",$Z55,$B$2,AG$41,$B$3,$AA$40,0)</f>
        <v>0.9973854793151351</v>
      </c>
      <c r="AH55" s="1" cm="1">
        <f t="array" ref="AH55">OptionDelta("C",$Z55,$B$2,AH$41,$B$3,$AA$40,0)</f>
        <v>0.99571799089194879</v>
      </c>
      <c r="AI55" s="1" cm="1">
        <f t="array" ref="AI55">OptionDelta("C",$Z55,$B$2,AI$41,$B$3,$AA$40,0)</f>
        <v>0.99369223383243865</v>
      </c>
      <c r="AJ55" s="1" cm="1">
        <f t="array" ref="AJ55">OptionDelta("C",$Z55,$B$2,AJ$41,$B$3,$AA$40,0)</f>
        <v>0.9913773450413681</v>
      </c>
      <c r="AK55" s="1" cm="1">
        <f t="array" ref="AK55">OptionDelta("C",$Z55,$B$2,AK$41,$B$3,$AA$40,0)</f>
        <v>0.96327265988008681</v>
      </c>
      <c r="AL55" s="1" cm="1">
        <f t="array" ref="AL55">OptionDelta("C",$Z55,$B$2,AL$41,$B$3,$AA$40,0)</f>
        <v>0.9392042006984751</v>
      </c>
      <c r="AM55" s="1" cm="1">
        <f t="array" ref="AM55">OptionDelta("C",$Z55,$B$2,AM$41,$B$3,$AA$40,0)</f>
        <v>0.9215709212989972</v>
      </c>
      <c r="AN55" s="1" cm="1">
        <f t="array" ref="AN55">OptionDelta("C",$Z55,$B$2,AN$41,$B$3,$AA$40,0)</f>
        <v>0.90878962693226017</v>
      </c>
      <c r="AW55" s="139"/>
      <c r="AX55" s="14">
        <v>125</v>
      </c>
      <c r="AY55" s="1" cm="1">
        <f t="array" ref="AY55">OptionTheta("C",$AX55,$B$2,AY$41,$B$3,$AY$40,0)</f>
        <v>2.7369876705364785E-3</v>
      </c>
      <c r="AZ55" s="1" cm="1">
        <f t="array" ref="AZ55">OptionTheta("C",$AX55,$B$2,AZ$41,$B$3,$AY$40,0)</f>
        <v>2.7342085161821315E-3</v>
      </c>
      <c r="BA55" s="1" cm="1">
        <f t="array" ref="BA55">OptionTheta("C",$AX55,$B$2,BA$41,$B$3,$AY$40,0)</f>
        <v>2.7292501657144811E-3</v>
      </c>
      <c r="BB55" s="1" cm="1">
        <f t="array" ref="BB55">OptionTheta("C",$AX55,$B$2,BB$41,$B$3,$AY$40,0)</f>
        <v>2.7130406833150013E-3</v>
      </c>
      <c r="BC55" s="1" cm="1">
        <f t="array" ref="BC55">OptionTheta("C",$AX55,$B$2,BC$41,$B$3,$AY$40,0)</f>
        <v>2.676844997149176E-3</v>
      </c>
      <c r="BD55" s="1" cm="1">
        <f t="array" ref="BD55">OptionTheta("C",$AX55,$B$2,BD$41,$B$3,$AY$40,0)</f>
        <v>2.6196952143021112E-3</v>
      </c>
      <c r="BE55" s="1" cm="1">
        <f t="array" ref="BE55">OptionTheta("C",$AX55,$B$2,BE$41,$B$3,$AY$40,0)</f>
        <v>2.5460337423489784E-3</v>
      </c>
      <c r="BF55" s="1" cm="1">
        <f t="array" ref="BF55">OptionTheta("C",$AX55,$B$2,BF$41,$B$3,$AY$40,0)</f>
        <v>2.4617513044746589E-3</v>
      </c>
      <c r="BG55" s="1" cm="1">
        <f t="array" ref="BG55">OptionTheta("C",$AX55,$B$2,BG$41,$B$3,$AY$40,0)</f>
        <v>2.372096069216182E-3</v>
      </c>
      <c r="BH55" s="1" cm="1">
        <f t="array" ref="BH55">OptionTheta("C",$AX55,$B$2,BH$41,$B$3,$AY$40,0)</f>
        <v>2.2810487318854328E-3</v>
      </c>
      <c r="BI55" s="1" cm="1">
        <f t="array" ref="BI55">OptionTheta("C",$AX55,$B$2,BI$41,$B$3,$AY$40,0)</f>
        <v>1.5789791490491566E-3</v>
      </c>
      <c r="BJ55" s="1" cm="1">
        <f t="array" ref="BJ55">OptionTheta("C",$AX55,$B$2,BJ$41,$B$3,$AY$40,0)</f>
        <v>1.2440118993482618E-3</v>
      </c>
      <c r="BK55" s="1" cm="1">
        <f t="array" ref="BK55">OptionTheta("C",$AX55,$B$2,BK$41,$B$3,$AY$40,0)</f>
        <v>1.0835024458855074E-3</v>
      </c>
      <c r="BL55" s="1" cm="1">
        <f t="array" ref="BL55">OptionTheta("C",$AX55,$B$2,BL$41,$B$3,$AY$40,0)</f>
        <v>1.0021008847770089E-3</v>
      </c>
      <c r="BU55" s="142"/>
      <c r="BV55" s="14">
        <v>125</v>
      </c>
      <c r="BW55" s="1" cm="1">
        <f t="array" ref="BW55">OptionGamma($BV55,$B$2,BW$41,$B$3,$BW$40,0)</f>
        <v>1.1110259985098475E-12</v>
      </c>
      <c r="BX55" s="1" cm="1">
        <f t="array" ref="BX55">OptionGamma($BV55,$B$2,BX$41,$B$3,$BW$40,0)</f>
        <v>1.9995476488667826E-7</v>
      </c>
      <c r="BY55" s="1" cm="1">
        <f t="array" ref="BY55">OptionGamma($BV55,$B$2,BY$41,$B$3,$BW$40,0)</f>
        <v>1.0338747257813658E-5</v>
      </c>
      <c r="BZ55" s="1" cm="1">
        <f t="array" ref="BZ55">OptionGamma($BV55,$B$2,BZ$41,$B$3,$BW$40,0)</f>
        <v>7.1210683603857566E-5</v>
      </c>
      <c r="CA55" s="1" cm="1">
        <f t="array" ref="CA55">OptionGamma($BV55,$B$2,CA$41,$B$3,$BW$40,0)</f>
        <v>2.2091371478623331E-4</v>
      </c>
      <c r="CB55" s="1" cm="1">
        <f t="array" ref="CB55">OptionGamma($BV55,$B$2,CB$41,$B$3,$BW$40,0)</f>
        <v>4.6191019586218834E-4</v>
      </c>
      <c r="CC55" s="1" cm="1">
        <f t="array" ref="CC55">OptionGamma($BV55,$B$2,CC$41,$B$3,$BW$40,0)</f>
        <v>7.7274142964303314E-4</v>
      </c>
      <c r="CD55" s="1" cm="1">
        <f t="array" ref="CD55">OptionGamma($BV55,$B$2,CD$41,$B$3,$BW$40,0)</f>
        <v>1.1262339391078598E-3</v>
      </c>
      <c r="CE55" s="1" cm="1">
        <f t="array" ref="CE55">OptionGamma($BV55,$B$2,CE$41,$B$3,$BW$40,0)</f>
        <v>1.4987745127806541E-3</v>
      </c>
      <c r="CF55" s="1" cm="1">
        <f t="array" ref="CF55">OptionGamma($BV55,$B$2,CF$41,$B$3,$BW$40,0)</f>
        <v>1.8728672584138741E-3</v>
      </c>
      <c r="CG55" s="1" cm="1">
        <f t="array" ref="CG55">OptionGamma($BV55,$B$2,CG$41,$B$3,$BW$40,0)</f>
        <v>4.5470245404394486E-3</v>
      </c>
      <c r="CH55" s="1" cm="1">
        <f t="array" ref="CH55">OptionGamma($BV55,$B$2,CH$41,$B$3,$BW$40,0)</f>
        <v>5.5590796015987437E-3</v>
      </c>
      <c r="CI55" s="1" cm="1">
        <f t="array" ref="CI55">OptionGamma($BV55,$B$2,CI$41,$B$3,$BW$40,0)</f>
        <v>5.8580251271742132E-3</v>
      </c>
      <c r="CJ55" s="1" cm="1">
        <f t="array" ref="CJ55">OptionGamma($BV55,$B$2,CJ$41,$B$3,$BW$40,0)</f>
        <v>5.8677624274978343E-3</v>
      </c>
      <c r="CS55" s="145"/>
      <c r="CT55" s="14">
        <v>125</v>
      </c>
      <c r="CU55" s="1" cm="1">
        <f t="array" ref="CU55">OptionVega($CT55,$B$2,CU$41,$B$3,$CU$40,0)</f>
        <v>1.735978122671637E-12</v>
      </c>
      <c r="CV55" s="1" cm="1">
        <f t="array" ref="CV55">OptionVega($CT55,$B$2,CV$41,$B$3,$CU$40,0)</f>
        <v>6.2485864027086964E-7</v>
      </c>
      <c r="CW55" s="1" cm="1">
        <f t="array" ref="CW55">OptionVega($CT55,$B$2,CW$41,$B$3,$CU$40,0)</f>
        <v>4.8462877771001518E-5</v>
      </c>
      <c r="CX55" s="1" cm="1">
        <f t="array" ref="CX55">OptionVega($CT55,$B$2,CX$41,$B$3,$CU$40,0)</f>
        <v>4.4506677252410988E-4</v>
      </c>
      <c r="CY55" s="1" cm="1">
        <f t="array" ref="CY55">OptionVega($CT55,$B$2,CY$41,$B$3,$CU$40,0)</f>
        <v>1.7258883967674482E-3</v>
      </c>
      <c r="CZ55" s="1" cm="1">
        <f t="array" ref="CZ55">OptionVega($CT55,$B$2,CZ$41,$B$3,$CU$40,0)</f>
        <v>4.3304080862080164E-3</v>
      </c>
      <c r="DA55" s="1" cm="1">
        <f t="array" ref="DA55">OptionVega($CT55,$B$2,DA$41,$B$3,$CU$40,0)</f>
        <v>8.4518593867206771E-3</v>
      </c>
      <c r="DB55" s="1" cm="1">
        <f t="array" ref="DB55">OptionVega($CT55,$B$2,DB$41,$B$3,$CU$40,0)</f>
        <v>1.4077924238848249E-2</v>
      </c>
      <c r="DC55" s="1" cm="1">
        <f t="array" ref="DC55">OptionVega($CT55,$B$2,DC$41,$B$3,$CU$40,0)</f>
        <v>2.107651658597795E-2</v>
      </c>
      <c r="DD55" s="1" cm="1">
        <f t="array" ref="DD55">OptionVega($CT55,$B$2,DD$41,$B$3,$CU$40,0)</f>
        <v>2.9263550912716783E-2</v>
      </c>
      <c r="DE55" s="1" cm="1">
        <f t="array" ref="DE55">OptionVega($CT55,$B$2,DE$41,$B$3,$CU$40,0)</f>
        <v>0.14209451688873281</v>
      </c>
      <c r="DF55" s="1" cm="1">
        <f t="array" ref="DF55">OptionVega($CT55,$B$2,DF$41,$B$3,$CU$40,0)</f>
        <v>0.26058185632494107</v>
      </c>
      <c r="DG55" s="1" cm="1">
        <f t="array" ref="DG55">OptionVega($CT55,$B$2,DG$41,$B$3,$CU$40,0)</f>
        <v>0.36612657044838837</v>
      </c>
      <c r="DH55" s="1" cm="1">
        <f t="array" ref="DH55">OptionVega($CT55,$B$2,DH$41,$B$3,$CU$40,0)</f>
        <v>0.45841893964826841</v>
      </c>
      <c r="DQ55" s="130"/>
      <c r="DR55" s="14">
        <v>125</v>
      </c>
      <c r="DS55" s="1" cm="1">
        <f t="array" ref="DS55">OptionRho("C",$DR55,$B$2,DS$41,$B$3,$DS$40,0)</f>
        <v>9.9900049983261366E-2</v>
      </c>
      <c r="DT55" s="1" cm="1">
        <f t="array" ref="DT55">OptionRho("C",$DR55,$B$2,DT$41,$B$3,$DS$40,0)</f>
        <v>0.19960034597449697</v>
      </c>
      <c r="DU55" s="1" cm="1">
        <f t="array" ref="DU55">OptionRho("C",$DR55,$B$2,DU$41,$B$3,$DS$40,0)</f>
        <v>0.29909520753459068</v>
      </c>
      <c r="DV55" s="1" cm="1">
        <f t="array" ref="DV55">OptionRho("C",$DR55,$B$2,DV$41,$B$3,$DS$40,0)</f>
        <v>0.39832927362661075</v>
      </c>
      <c r="DW55" s="1" cm="1">
        <f t="array" ref="DW55">OptionRho("C",$DR55,$B$2,DW$41,$B$3,$DS$40,0)</f>
        <v>0.49715365396356187</v>
      </c>
      <c r="DX55" s="1" cm="1">
        <f t="array" ref="DX55">OptionRho("C",$DR55,$B$2,DX$41,$B$3,$DS$40,0)</f>
        <v>0.59536529236320235</v>
      </c>
      <c r="DY55" s="1" cm="1">
        <f t="array" ref="DY55">OptionRho("C",$DR55,$B$2,DY$41,$B$3,$DS$40,0)</f>
        <v>0.69277091810376734</v>
      </c>
      <c r="DZ55" s="1" cm="1">
        <f t="array" ref="DZ55">OptionRho("C",$DR55,$B$2,DZ$41,$B$3,$DS$40,0)</f>
        <v>0.78922100210084167</v>
      </c>
      <c r="EA55" s="1" cm="1">
        <f t="array" ref="EA55">OptionRho("C",$DR55,$B$2,EA$41,$B$3,$DS$40,0)</f>
        <v>0.88461614166740554</v>
      </c>
      <c r="EB55" s="1" cm="1">
        <f t="array" ref="EB55">OptionRho("C",$DR55,$B$2,EB$41,$B$3,$DS$40,0)</f>
        <v>0.97890054170176688</v>
      </c>
      <c r="EC55" s="1" cm="1">
        <f t="array" ref="EC55">OptionRho("C",$DR55,$B$2,EC$41,$B$3,$DS$40,0)</f>
        <v>1.8631273632495482</v>
      </c>
      <c r="ED55" s="1" cm="1">
        <f t="array" ref="ED55">OptionRho("C",$DR55,$B$2,ED$41,$B$3,$DS$40,0)</f>
        <v>2.6651023114110521</v>
      </c>
      <c r="EE55" s="1" cm="1">
        <f t="array" ref="EE55">OptionRho("C",$DR55,$B$2,EE$41,$B$3,$DS$40,0)</f>
        <v>3.4125464232347826</v>
      </c>
      <c r="EF55" s="1" cm="1">
        <f t="array" ref="EF55">OptionRho("C",$DR55,$B$2,EF$41,$B$3,$DS$40,0)</f>
        <v>4.1209288129593835</v>
      </c>
      <c r="EP55" s="130"/>
      <c r="EQ55" s="14">
        <v>125</v>
      </c>
      <c r="ER55" s="1" cm="1">
        <f t="array" ref="ER55">OptionRho("C",$DR55,$B$2,ER$41,$D$3,$DS$40,0)</f>
        <v>9.5122942450071413E-2</v>
      </c>
      <c r="ES55" s="1" cm="1">
        <f t="array" ref="ES55">OptionRho("C",$DR55,$B$2,ES$41,$D$3,$DS$40,0)</f>
        <v>0.18096748360713877</v>
      </c>
      <c r="ET55" s="1" cm="1">
        <f t="array" ref="ET55">OptionRho("C",$DR55,$B$2,ET$41,$D$3,$DS$40,0)</f>
        <v>0.25821239292602122</v>
      </c>
      <c r="EU55" s="1" cm="1">
        <f t="array" ref="EU55">OptionRho("C",$DR55,$B$2,EU$41,$D$3,$DS$40,0)</f>
        <v>0.32749230122667417</v>
      </c>
      <c r="EV55" s="1" cm="1">
        <f t="array" ref="EV55">OptionRho("C",$DR55,$B$2,EV$41,$D$3,$DS$40,0)</f>
        <v>0.38940039153022044</v>
      </c>
      <c r="EW55" s="1" cm="1">
        <f t="array" ref="EW55">OptionRho("C",$DR55,$B$2,EW$41,$D$3,$DS$40,0)</f>
        <v>0.44449093240485171</v>
      </c>
      <c r="EX55" s="1" cm="1">
        <f t="array" ref="EX55">OptionRho("C",$DR55,$B$2,EX$41,$D$3,$DS$40,0)</f>
        <v>0.49328166280066771</v>
      </c>
      <c r="EY55" s="1" cm="1">
        <f t="array" ref="EY55">OptionRho("C",$DR55,$B$2,EY$41,$D$3,$DS$40,0)</f>
        <v>0.53625603682731948</v>
      </c>
      <c r="EZ55" s="1" cm="1">
        <f t="array" ref="EZ55">OptionRho("C",$DR55,$B$2,EZ$41,$D$3,$DS$40,0)</f>
        <v>0.57386533645907567</v>
      </c>
      <c r="FA55" s="1" cm="1">
        <f t="array" ref="FA55">OptionRho("C",$DR55,$B$2,FA$41,$D$3,$DS$40,0)</f>
        <v>0.60653065971242426</v>
      </c>
      <c r="FB55" s="1" cm="1">
        <f t="array" ref="FB55">OptionRho("C",$DR55,$B$2,FB$41,$D$3,$DS$40,0)</f>
        <v>0.73575888234288467</v>
      </c>
      <c r="FC55" s="1" cm="1">
        <f t="array" ref="FC55">OptionRho("C",$DR55,$B$2,FC$41,$D$3,$DS$40,0)</f>
        <v>0.66939048044528948</v>
      </c>
      <c r="FD55" s="1" cm="1">
        <f t="array" ref="FD55">OptionRho("C",$DR55,$B$2,FD$41,$D$3,$DS$40,0)</f>
        <v>0.54134113294645081</v>
      </c>
      <c r="FE55" s="1" cm="1">
        <f t="array" ref="FE55">OptionRho("C",$DR55,$B$2,FE$41,$D$3,$DS$40,0)</f>
        <v>0.41042499311949399</v>
      </c>
    </row>
    <row r="56" spans="1:161" x14ac:dyDescent="0.2">
      <c r="A56" s="133"/>
      <c r="B56" s="14">
        <v>130</v>
      </c>
      <c r="C56" s="1" cm="1">
        <f t="array" ref="C56">OptionPrice("C",$B56,$B$2,C$41,$B$3,$C$40,0)</f>
        <v>30.099950016662504</v>
      </c>
      <c r="D56" s="1" cm="1">
        <f t="array" ref="D56">OptionPrice("C",$B56,$B$2,D$41,$B$3,$C$40,0)</f>
        <v>30.199800134654495</v>
      </c>
      <c r="E56" s="1" cm="1">
        <f t="array" ref="E56">OptionPrice("C",$B56,$B$2,E$41,$B$3,$C$40,0)</f>
        <v>30.299551206685734</v>
      </c>
      <c r="F56" s="1" cm="1">
        <f t="array" ref="F56">OptionPrice("C",$B56,$B$2,F$41,$B$3,$C$40,0)</f>
        <v>30.399220776623736</v>
      </c>
      <c r="G56" s="1" cm="1">
        <f t="array" ref="G56">OptionPrice("C",$B56,$B$2,G$41,$B$3,$C$40,0)</f>
        <v>30.498900334289658</v>
      </c>
      <c r="H56" s="1" cm="1">
        <f t="array" ref="H56">OptionPrice("C",$B56,$B$2,H$41,$B$3,$C$40,0)</f>
        <v>30.598795748973828</v>
      </c>
      <c r="I56" s="1" cm="1">
        <f t="array" ref="I56">OptionPrice("C",$B56,$B$2,I$41,$B$3,$C$40,0)</f>
        <v>30.699192149733065</v>
      </c>
      <c r="J56" s="1" cm="1">
        <f t="array" ref="J56">OptionPrice("C",$B56,$B$2,J$41,$B$3,$C$40,0)</f>
        <v>30.800386351936922</v>
      </c>
      <c r="K56" s="1" cm="1">
        <f t="array" ref="K56">OptionPrice("C",$B56,$B$2,K$41,$B$3,$C$40,0)</f>
        <v>30.902635624579318</v>
      </c>
      <c r="L56" s="1" cm="1">
        <f t="array" ref="L56">OptionPrice("C",$B56,$B$2,L$41,$B$3,$C$40,0)</f>
        <v>31.006134034601857</v>
      </c>
      <c r="M56" s="1" cm="1">
        <f t="array" ref="M56">OptionPrice("C",$B56,$B$2,M$41,$B$3,$C$40,0)</f>
        <v>32.116644051863929</v>
      </c>
      <c r="N56" s="1" cm="1">
        <f t="array" ref="N56">OptionPrice("C",$B56,$B$2,N$41,$B$3,$C$40,0)</f>
        <v>33.320763683248501</v>
      </c>
      <c r="O56" s="1" cm="1">
        <f t="array" ref="O56">OptionPrice("C",$B56,$B$2,O$41,$B$3,$C$40,0)</f>
        <v>34.556362778679798</v>
      </c>
      <c r="P56" s="1" cm="1">
        <f t="array" ref="P56">OptionPrice("C",$B56,$B$2,P$41,$B$3,$C$40,0)</f>
        <v>35.790956840999684</v>
      </c>
      <c r="Y56" s="136"/>
      <c r="Z56" s="14">
        <v>130</v>
      </c>
      <c r="AA56" s="1" cm="1">
        <f t="array" ref="AA56">OptionDelta("C",$Z56,$B$2,AA$41,$B$3,$AA$40,0)</f>
        <v>1</v>
      </c>
      <c r="AB56" s="1" cm="1">
        <f t="array" ref="AB56">OptionDelta("C",$Z56,$B$2,AB$41,$B$3,$AA$40,0)</f>
        <v>0.99999999851931465</v>
      </c>
      <c r="AC56" s="1" cm="1">
        <f t="array" ref="AC56">OptionDelta("C",$Z56,$B$2,AC$41,$B$3,$AA$40,0)</f>
        <v>0.99999944833507226</v>
      </c>
      <c r="AD56" s="1" cm="1">
        <f t="array" ref="AD56">OptionDelta("C",$Z56,$B$2,AD$41,$B$3,$AA$40,0)</f>
        <v>0.99998898282504689</v>
      </c>
      <c r="AE56" s="1" cm="1">
        <f t="array" ref="AE56">OptionDelta("C",$Z56,$B$2,AE$41,$B$3,$AA$40,0)</f>
        <v>0.99993230917992704</v>
      </c>
      <c r="AF56" s="1" cm="1">
        <f t="array" ref="AF56">OptionDelta("C",$Z56,$B$2,AF$41,$B$3,$AA$40,0)</f>
        <v>0.99977023212247085</v>
      </c>
      <c r="AG56" s="1" cm="1">
        <f t="array" ref="AG56">OptionDelta("C",$Z56,$B$2,AG$41,$B$3,$AA$40,0)</f>
        <v>0.99944558802202021</v>
      </c>
      <c r="AH56" s="1" cm="1">
        <f t="array" ref="AH56">OptionDelta("C",$Z56,$B$2,AH$41,$B$3,$AA$40,0)</f>
        <v>0.99892066116278744</v>
      </c>
      <c r="AI56" s="1" cm="1">
        <f t="array" ref="AI56">OptionDelta("C",$Z56,$B$2,AI$41,$B$3,$AA$40,0)</f>
        <v>0.99818047109526631</v>
      </c>
      <c r="AJ56" s="1" cm="1">
        <f t="array" ref="AJ56">OptionDelta("C",$Z56,$B$2,AJ$41,$B$3,$AA$40,0)</f>
        <v>0.99722837337629622</v>
      </c>
      <c r="AK56" s="1" cm="1">
        <f t="array" ref="AK56">OptionDelta("C",$Z56,$B$2,AK$41,$B$3,$AA$40,0)</f>
        <v>0.9806483495408157</v>
      </c>
      <c r="AL56" s="1" cm="1">
        <f t="array" ref="AL56">OptionDelta("C",$Z56,$B$2,AL$41,$B$3,$AA$40,0)</f>
        <v>0.96201541129490264</v>
      </c>
      <c r="AM56" s="1" cm="1">
        <f t="array" ref="AM56">OptionDelta("C",$Z56,$B$2,AM$41,$B$3,$AA$40,0)</f>
        <v>0.94649958655795841</v>
      </c>
      <c r="AN56" s="1" cm="1">
        <f t="array" ref="AN56">OptionDelta("C",$Z56,$B$2,AN$41,$B$3,$AA$40,0)</f>
        <v>0.93431723431540992</v>
      </c>
      <c r="AW56" s="139"/>
      <c r="AX56" s="14">
        <v>130</v>
      </c>
      <c r="AY56" s="1" cm="1">
        <f t="array" ref="AY56">OptionTheta("C",$AX56,$B$2,AY$41,$B$3,$AY$40,0)</f>
        <v>2.7369876707763531E-3</v>
      </c>
      <c r="AZ56" s="1" cm="1">
        <f t="array" ref="AZ56">OptionTheta("C",$AX56,$B$2,AZ$41,$B$3,$AY$40,0)</f>
        <v>2.7342516865315192E-3</v>
      </c>
      <c r="BA56" s="1" cm="1">
        <f t="array" ref="BA56">OptionTheta("C",$AX56,$B$2,BA$41,$B$3,$AY$40,0)</f>
        <v>2.7314263677809853E-3</v>
      </c>
      <c r="BB56" s="1" cm="1">
        <f t="array" ref="BB56">OptionTheta("C",$AX56,$B$2,BB$41,$B$3,$AY$40,0)</f>
        <v>2.727366308882203E-3</v>
      </c>
      <c r="BC56" s="1" cm="1">
        <f t="array" ref="BC56">OptionTheta("C",$AX56,$B$2,BC$41,$B$3,$AY$40,0)</f>
        <v>2.7189105193305414E-3</v>
      </c>
      <c r="BD56" s="1" cm="1">
        <f t="array" ref="BD56">OptionTheta("C",$AX56,$B$2,BD$41,$B$3,$AY$40,0)</f>
        <v>2.7026694034965274E-3</v>
      </c>
      <c r="BE56" s="1" cm="1">
        <f t="array" ref="BE56">OptionTheta("C",$AX56,$B$2,BE$41,$B$3,$AY$40,0)</f>
        <v>2.6769743834106612E-3</v>
      </c>
      <c r="BF56" s="1" cm="1">
        <f t="array" ref="BF56">OptionTheta("C",$AX56,$B$2,BF$41,$B$3,$AY$40,0)</f>
        <v>2.6420506808531806E-3</v>
      </c>
      <c r="BG56" s="1" cm="1">
        <f t="array" ref="BG56">OptionTheta("C",$AX56,$B$2,BG$41,$B$3,$AY$40,0)</f>
        <v>2.5993007460876163E-3</v>
      </c>
      <c r="BH56" s="1" cm="1">
        <f t="array" ref="BH56">OptionTheta("C",$AX56,$B$2,BH$41,$B$3,$AY$40,0)</f>
        <v>2.5505853413793364E-3</v>
      </c>
      <c r="BI56" s="1" cm="1">
        <f t="array" ref="BI56">OptionTheta("C",$AX56,$B$2,BI$41,$B$3,$AY$40,0)</f>
        <v>2.0199382221646398E-3</v>
      </c>
      <c r="BJ56" s="1" cm="1">
        <f t="array" ref="BJ56">OptionTheta("C",$AX56,$B$2,BJ$41,$B$3,$AY$40,0)</f>
        <v>1.6639788040755373E-3</v>
      </c>
      <c r="BK56" s="1" cm="1">
        <f t="array" ref="BK56">OptionTheta("C",$AX56,$B$2,BK$41,$B$3,$AY$40,0)</f>
        <v>1.4552661945767295E-3</v>
      </c>
      <c r="BL56" s="1" cm="1">
        <f t="array" ref="BL56">OptionTheta("C",$AX56,$B$2,BL$41,$B$3,$AY$40,0)</f>
        <v>1.3291145405376417E-3</v>
      </c>
      <c r="BU56" s="142"/>
      <c r="BV56" s="14">
        <v>130</v>
      </c>
      <c r="BW56" s="1" cm="1">
        <f t="array" ref="BW56">OptionGamma($BV56,$B$2,BW$41,$B$3,$BW$40,0)</f>
        <v>7.382971539826821E-17</v>
      </c>
      <c r="BX56" s="1" cm="1">
        <f t="array" ref="BX56">OptionGamma($BV56,$B$2,BX$41,$B$3,$BW$40,0)</f>
        <v>1.5520066218442012E-9</v>
      </c>
      <c r="BY56" s="1" cm="1">
        <f t="array" ref="BY56">OptionGamma($BV56,$B$2,BY$41,$B$3,$BW$40,0)</f>
        <v>3.9226661156427296E-7</v>
      </c>
      <c r="BZ56" s="1" cm="1">
        <f t="array" ref="BZ56">OptionGamma($BV56,$B$2,BZ$41,$B$3,$BW$40,0)</f>
        <v>5.9735759091088035E-6</v>
      </c>
      <c r="CA56" s="1" cm="1">
        <f t="array" ref="CA56">OptionGamma($BV56,$B$2,CA$41,$B$3,$BW$40,0)</f>
        <v>2.9830284442140869E-5</v>
      </c>
      <c r="CB56" s="1" cm="1">
        <f t="array" ref="CB56">OptionGamma($BV56,$B$2,CB$41,$B$3,$BW$40,0)</f>
        <v>8.5668780985105099E-5</v>
      </c>
      <c r="CC56" s="1" cm="1">
        <f t="array" ref="CC56">OptionGamma($BV56,$B$2,CC$41,$B$3,$BW$40,0)</f>
        <v>1.7978334895153025E-4</v>
      </c>
      <c r="CD56" s="1" cm="1">
        <f t="array" ref="CD56">OptionGamma($BV56,$B$2,CD$41,$B$3,$BW$40,0)</f>
        <v>3.1058576900406615E-4</v>
      </c>
      <c r="CE56" s="1" cm="1">
        <f t="array" ref="CE56">OptionGamma($BV56,$B$2,CE$41,$B$3,$BW$40,0)</f>
        <v>4.7175720539731353E-4</v>
      </c>
      <c r="CF56" s="1" cm="1">
        <f t="array" ref="CF56">OptionGamma($BV56,$B$2,CF$41,$B$3,$BW$40,0)</f>
        <v>6.5528870342850616E-4</v>
      </c>
      <c r="CG56" s="1" cm="1">
        <f t="array" ref="CG56">OptionGamma($BV56,$B$2,CG$41,$B$3,$BW$40,0)</f>
        <v>2.5609344709387875E-3</v>
      </c>
      <c r="CH56" s="1" cm="1">
        <f t="array" ref="CH56">OptionGamma($BV56,$B$2,CH$41,$B$3,$BW$40,0)</f>
        <v>3.669350702524464E-3</v>
      </c>
      <c r="CI56" s="1" cm="1">
        <f t="array" ref="CI56">OptionGamma($BV56,$B$2,CI$41,$B$3,$BW$40,0)</f>
        <v>4.1859606357164706E-3</v>
      </c>
      <c r="CJ56" s="1" cm="1">
        <f t="array" ref="CJ56">OptionGamma($BV56,$B$2,CJ$41,$B$3,$BW$40,0)</f>
        <v>4.3973494544828021E-3</v>
      </c>
      <c r="CS56" s="145"/>
      <c r="CT56" s="14">
        <v>130</v>
      </c>
      <c r="CU56" s="1" cm="1">
        <f t="array" ref="CU56">OptionVega($CT56,$B$2,CU$41,$B$3,$CU$40,0)</f>
        <v>1.247722190230733E-16</v>
      </c>
      <c r="CV56" s="1" cm="1">
        <f t="array" ref="CV56">OptionVega($CT56,$B$2,CV$41,$B$3,$CU$40,0)</f>
        <v>5.2457823818334011E-9</v>
      </c>
      <c r="CW56" s="1" cm="1">
        <f t="array" ref="CW56">OptionVega($CT56,$B$2,CW$41,$B$3,$CU$40,0)</f>
        <v>1.9887917206308642E-6</v>
      </c>
      <c r="CX56" s="1" cm="1">
        <f t="array" ref="CX56">OptionVega($CT56,$B$2,CX$41,$B$3,$CU$40,0)</f>
        <v>4.038137314557552E-5</v>
      </c>
      <c r="CY56" s="1" cm="1">
        <f t="array" ref="CY56">OptionVega($CT56,$B$2,CY$41,$B$3,$CU$40,0)</f>
        <v>2.5206590353609039E-4</v>
      </c>
      <c r="CZ56" s="1" cm="1">
        <f t="array" ref="CZ56">OptionVega($CT56,$B$2,CZ$41,$B$3,$CU$40,0)</f>
        <v>8.6868143918896585E-4</v>
      </c>
      <c r="DA56" s="1" cm="1">
        <f t="array" ref="DA56">OptionVega($CT56,$B$2,DA$41,$B$3,$CU$40,0)</f>
        <v>2.1268370180966031E-3</v>
      </c>
      <c r="DB56" s="1" cm="1">
        <f t="array" ref="DB56">OptionVega($CT56,$B$2,DB$41,$B$3,$CU$40,0)</f>
        <v>4.1991195969349748E-3</v>
      </c>
      <c r="DC56" s="1" cm="1">
        <f t="array" ref="DC56">OptionVega($CT56,$B$2,DC$41,$B$3,$CU$40,0)</f>
        <v>7.1754270940931394E-3</v>
      </c>
      <c r="DD56" s="1" cm="1">
        <f t="array" ref="DD56">OptionVega($CT56,$B$2,DD$41,$B$3,$CU$40,0)</f>
        <v>1.1074379087941755E-2</v>
      </c>
      <c r="DE56" s="1" cm="1">
        <f t="array" ref="DE56">OptionVega($CT56,$B$2,DE$41,$B$3,$CU$40,0)</f>
        <v>8.6559585117731042E-2</v>
      </c>
      <c r="DF56" s="1" cm="1">
        <f t="array" ref="DF56">OptionVega($CT56,$B$2,DF$41,$B$3,$CU$40,0)</f>
        <v>0.18603608061799032</v>
      </c>
      <c r="DG56" s="1" cm="1">
        <f t="array" ref="DG56">OptionVega($CT56,$B$2,DG$41,$B$3,$CU$40,0)</f>
        <v>0.28297093897443343</v>
      </c>
      <c r="DH56" s="1" cm="1">
        <f t="array" ref="DH56">OptionVega($CT56,$B$2,DH$41,$B$3,$CU$40,0)</f>
        <v>0.37157602890379682</v>
      </c>
      <c r="DQ56" s="130"/>
      <c r="DR56" s="14">
        <v>130</v>
      </c>
      <c r="DS56" s="1" cm="1">
        <f t="array" ref="DS56">OptionRho("C",$DR56,$B$2,DS$41,$B$3,$DS$40,0)</f>
        <v>9.9900049983337513E-2</v>
      </c>
      <c r="DT56" s="1" cm="1">
        <f t="array" ref="DT56">OptionRho("C",$DR56,$B$2,DT$41,$B$3,$DS$40,0)</f>
        <v>0.19960039934571283</v>
      </c>
      <c r="DU56" s="1" cm="1">
        <f t="array" ref="DU56">OptionRho("C",$DR56,$B$2,DU$41,$B$3,$DS$40,0)</f>
        <v>0.29910113123062104</v>
      </c>
      <c r="DV56" s="1" cm="1">
        <f t="array" ref="DV56">OptionRho("C",$DR56,$B$2,DV$41,$B$3,$DS$40,0)</f>
        <v>0.39839738796252955</v>
      </c>
      <c r="DW56" s="1" cm="1">
        <f t="array" ref="DW56">OptionRho("C",$DR56,$B$2,DW$41,$B$3,$DS$40,0)</f>
        <v>0.49746149929550426</v>
      </c>
      <c r="DX56" s="1" cm="1">
        <f t="array" ref="DX56">OptionRho("C",$DR56,$B$2,DX$41,$B$3,$DS$40,0)</f>
        <v>0.59622800656168429</v>
      </c>
      <c r="DY56" s="1" cm="1">
        <f t="array" ref="DY56">OptionRho("C",$DR56,$B$2,DY$41,$B$3,$DS$40,0)</f>
        <v>0.69460114005190687</v>
      </c>
      <c r="DZ56" s="1" cm="1">
        <f t="array" ref="DZ56">OptionRho("C",$DR56,$B$2,DZ$41,$B$3,$DS$40,0)</f>
        <v>0.7924743967938036</v>
      </c>
      <c r="EA56" s="1" cm="1">
        <f t="array" ref="EA56">OptionRho("C",$DR56,$B$2,EA$41,$B$3,$DS$40,0)</f>
        <v>0.88974743056024763</v>
      </c>
      <c r="EB56" s="1" cm="1">
        <f t="array" ref="EB56">OptionRho("C",$DR56,$B$2,EB$41,$B$3,$DS$40,0)</f>
        <v>0.98633554504316656</v>
      </c>
      <c r="EC56" s="1" cm="1">
        <f t="array" ref="EC56">OptionRho("C",$DR56,$B$2,EC$41,$B$3,$DS$40,0)</f>
        <v>1.9073528277688421</v>
      </c>
      <c r="ED56" s="1" cm="1">
        <f t="array" ref="ED56">OptionRho("C",$DR56,$B$2,ED$41,$B$3,$DS$40,0)</f>
        <v>2.7522371935526651</v>
      </c>
      <c r="EE56" s="1" cm="1">
        <f t="array" ref="EE56">OptionRho("C",$DR56,$B$2,EE$41,$B$3,$DS$40,0)</f>
        <v>3.5395433389541919</v>
      </c>
      <c r="EF56" s="1" cm="1">
        <f t="array" ref="EF56">OptionRho("C",$DR56,$B$2,EF$41,$B$3,$DS$40,0)</f>
        <v>4.2835141810001804</v>
      </c>
      <c r="EP56" s="130"/>
      <c r="EQ56" s="14">
        <v>130</v>
      </c>
      <c r="ER56" s="1" cm="1">
        <f t="array" ref="ER56">OptionRho("C",$DR56,$B$2,ER$41,$D$3,$DS$40,0)</f>
        <v>9.5122942450071413E-2</v>
      </c>
      <c r="ES56" s="1" cm="1">
        <f t="array" ref="ES56">OptionRho("C",$DR56,$B$2,ES$41,$D$3,$DS$40,0)</f>
        <v>0.18096748360719186</v>
      </c>
      <c r="ET56" s="1" cm="1">
        <f t="array" ref="ET56">OptionRho("C",$DR56,$B$2,ET$41,$D$3,$DS$40,0)</f>
        <v>0.25821239292750919</v>
      </c>
      <c r="EU56" s="1" cm="1">
        <f t="array" ref="EU56">OptionRho("C",$DR56,$B$2,EU$41,$D$3,$DS$40,0)</f>
        <v>0.32749230123113771</v>
      </c>
      <c r="EV56" s="1" cm="1">
        <f t="array" ref="EV56">OptionRho("C",$DR56,$B$2,EV$41,$D$3,$DS$40,0)</f>
        <v>0.38940039153559397</v>
      </c>
      <c r="EW56" s="1" cm="1">
        <f t="array" ref="EW56">OptionRho("C",$DR56,$B$2,EW$41,$D$3,$DS$40,0)</f>
        <v>0.44449093240891629</v>
      </c>
      <c r="EX56" s="1" cm="1">
        <f t="array" ref="EX56">OptionRho("C",$DR56,$B$2,EX$41,$D$3,$DS$40,0)</f>
        <v>0.49328166280301539</v>
      </c>
      <c r="EY56" s="1" cm="1">
        <f t="array" ref="EY56">OptionRho("C",$DR56,$B$2,EY$41,$D$3,$DS$40,0)</f>
        <v>0.53625603682846246</v>
      </c>
      <c r="EZ56" s="1" cm="1">
        <f t="array" ref="EZ56">OptionRho("C",$DR56,$B$2,EZ$41,$D$3,$DS$40,0)</f>
        <v>0.5738653364595715</v>
      </c>
      <c r="FA56" s="1" cm="1">
        <f t="array" ref="FA56">OptionRho("C",$DR56,$B$2,FA$41,$D$3,$DS$40,0)</f>
        <v>0.60653065971262243</v>
      </c>
      <c r="FB56" s="1" cm="1">
        <f t="array" ref="FB56">OptionRho("C",$DR56,$B$2,FB$41,$D$3,$DS$40,0)</f>
        <v>0.73575888234288467</v>
      </c>
      <c r="FC56" s="1" cm="1">
        <f t="array" ref="FC56">OptionRho("C",$DR56,$B$2,FC$41,$D$3,$DS$40,0)</f>
        <v>0.66939048044528948</v>
      </c>
      <c r="FD56" s="1" cm="1">
        <f t="array" ref="FD56">OptionRho("C",$DR56,$B$2,FD$41,$D$3,$DS$40,0)</f>
        <v>0.54134113294645081</v>
      </c>
      <c r="FE56" s="1" cm="1">
        <f t="array" ref="FE56">OptionRho("C",$DR56,$B$2,FE$41,$D$3,$DS$40,0)</f>
        <v>0.41042499311949399</v>
      </c>
    </row>
    <row r="57" spans="1:161" x14ac:dyDescent="0.2">
      <c r="A57" s="134"/>
      <c r="B57" s="15">
        <v>135</v>
      </c>
      <c r="C57" s="1" cm="1">
        <f t="array" ref="C57">OptionPrice("C",$B57,$B$2,C$41,$B$3,$C$40,0)</f>
        <v>35.099950016662504</v>
      </c>
      <c r="D57" s="1" cm="1">
        <f t="array" ref="D57">OptionPrice("C",$B57,$B$2,D$41,$B$3,$C$40,0)</f>
        <v>35.199800133271964</v>
      </c>
      <c r="E57" s="1" cm="1">
        <f t="array" ref="E57">OptionPrice("C",$B57,$B$2,E$41,$B$3,$C$40,0)</f>
        <v>35.299550466618854</v>
      </c>
      <c r="F57" s="1" cm="1">
        <f t="array" ref="F57">OptionPrice("C",$B57,$B$2,F$41,$B$3,$C$40,0)</f>
        <v>35.399202142153342</v>
      </c>
      <c r="G57" s="1" cm="1">
        <f t="array" ref="G57">OptionPrice("C",$B57,$B$2,G$41,$B$3,$C$40,0)</f>
        <v>35.498765931888798</v>
      </c>
      <c r="H57" s="1" cm="1">
        <f t="array" ref="H57">OptionPrice("C",$B57,$B$2,H$41,$B$3,$C$40,0)</f>
        <v>35.598282844240472</v>
      </c>
      <c r="I57" s="1" cm="1">
        <f t="array" ref="I57">OptionPrice("C",$B57,$B$2,I$41,$B$3,$C$40,0)</f>
        <v>35.697839130743787</v>
      </c>
      <c r="J57" s="1" cm="1">
        <f t="array" ref="J57">OptionPrice("C",$B57,$B$2,J$41,$B$3,$C$40,0)</f>
        <v>35.797561032003529</v>
      </c>
      <c r="K57" s="1" cm="1">
        <f t="array" ref="K57">OptionPrice("C",$B57,$B$2,K$41,$B$3,$C$40,0)</f>
        <v>35.89759579393791</v>
      </c>
      <c r="L57" s="1" cm="1">
        <f t="array" ref="L57">OptionPrice("C",$B57,$B$2,L$41,$B$3,$C$40,0)</f>
        <v>35.99809126174425</v>
      </c>
      <c r="M57" s="1" cm="1">
        <f t="array" ref="M57">OptionPrice("C",$B57,$B$2,M$41,$B$3,$C$40,0)</f>
        <v>37.046252755627904</v>
      </c>
      <c r="N57" s="1" cm="1">
        <f t="array" ref="N57">OptionPrice("C",$B57,$B$2,N$41,$B$3,$C$40,0)</f>
        <v>38.170658295654164</v>
      </c>
      <c r="O57" s="1" cm="1">
        <f t="array" ref="O57">OptionPrice("C",$B57,$B$2,O$41,$B$3,$C$40,0)</f>
        <v>39.335521369709937</v>
      </c>
      <c r="P57" s="1" cm="1">
        <f t="array" ref="P57">OptionPrice("C",$B57,$B$2,P$41,$B$3,$C$40,0)</f>
        <v>40.512366374054338</v>
      </c>
      <c r="Y57" s="137"/>
      <c r="Z57" s="15">
        <v>135</v>
      </c>
      <c r="AA57" s="1" cm="1">
        <f t="array" ref="AA57">OptionDelta("C",$Z57,$B$2,AA$41,$B$3,$AA$40,0)</f>
        <v>1</v>
      </c>
      <c r="AB57" s="1" cm="1">
        <f t="array" ref="AB57">OptionDelta("C",$Z57,$B$2,AB$41,$B$3,$AA$40,0)</f>
        <v>0.99999999999389166</v>
      </c>
      <c r="AC57" s="1" cm="1">
        <f t="array" ref="AC57">OptionDelta("C",$Z57,$B$2,AC$41,$B$3,$AA$40,0)</f>
        <v>0.9999999866108833</v>
      </c>
      <c r="AD57" s="1" cm="1">
        <f t="array" ref="AD57">OptionDelta("C",$Z57,$B$2,AD$41,$B$3,$AA$40,0)</f>
        <v>0.99999935060366185</v>
      </c>
      <c r="AE57" s="1" cm="1">
        <f t="array" ref="AE57">OptionDelta("C",$Z57,$B$2,AE$41,$B$3,$AA$40,0)</f>
        <v>0.99999319889057736</v>
      </c>
      <c r="AF57" s="1" cm="1">
        <f t="array" ref="AF57">OptionDelta("C",$Z57,$B$2,AF$41,$B$3,$AA$40,0)</f>
        <v>0.99996703614043125</v>
      </c>
      <c r="AG57" s="1" cm="1">
        <f t="array" ref="AG57">OptionDelta("C",$Z57,$B$2,AG$41,$B$3,$AA$40,0)</f>
        <v>0.99989736258573836</v>
      </c>
      <c r="AH57" s="1" cm="1">
        <f t="array" ref="AH57">OptionDelta("C",$Z57,$B$2,AH$41,$B$3,$AA$40,0)</f>
        <v>0.99975797900363672</v>
      </c>
      <c r="AI57" s="1" cm="1">
        <f t="array" ref="AI57">OptionDelta("C",$Z57,$B$2,AI$41,$B$3,$AA$40,0)</f>
        <v>0.99952627336039468</v>
      </c>
      <c r="AJ57" s="1" cm="1">
        <f t="array" ref="AJ57">OptionDelta("C",$Z57,$B$2,AJ$41,$B$3,$AA$40,0)</f>
        <v>0.99918656546080542</v>
      </c>
      <c r="AK57" s="1" cm="1">
        <f t="array" ref="AK57">OptionDelta("C",$Z57,$B$2,AK$41,$B$3,$AA$40,0)</f>
        <v>0.99020716359662175</v>
      </c>
      <c r="AL57" s="1" cm="1">
        <f t="array" ref="AL57">OptionDelta("C",$Z57,$B$2,AL$41,$B$3,$AA$40,0)</f>
        <v>0.97683982081086107</v>
      </c>
      <c r="AM57" s="1" cm="1">
        <f t="array" ref="AM57">OptionDelta("C",$Z57,$B$2,AM$41,$B$3,$AA$40,0)</f>
        <v>0.9641109494110095</v>
      </c>
      <c r="AN57" s="1" cm="1">
        <f t="array" ref="AN57">OptionDelta("C",$Z57,$B$2,AN$41,$B$3,$AA$40,0)</f>
        <v>0.9532794554679479</v>
      </c>
      <c r="AW57" s="140"/>
      <c r="AX57" s="15">
        <v>135</v>
      </c>
      <c r="AY57" s="1" cm="1">
        <f t="array" ref="AY57">OptionTheta("C",$AX57,$B$2,AY$41,$B$3,$AY$40,0)</f>
        <v>2.73698767077637E-3</v>
      </c>
      <c r="AZ57" s="1" cm="1">
        <f t="array" ref="AZ57">OptionTheta("C",$AX57,$B$2,AZ$41,$B$3,$AY$40,0)</f>
        <v>2.7342520493728586E-3</v>
      </c>
      <c r="BA57" s="1" cm="1">
        <f t="array" ref="BA57">OptionTheta("C",$AX57,$B$2,BA$41,$B$3,$AY$40,0)</f>
        <v>2.7315165249788167E-3</v>
      </c>
      <c r="BB57" s="1" cm="1">
        <f t="array" ref="BB57">OptionTheta("C",$AX57,$B$2,BB$41,$B$3,$AY$40,0)</f>
        <v>2.7286910338300929E-3</v>
      </c>
      <c r="BC57" s="1" cm="1">
        <f t="array" ref="BC57">OptionTheta("C",$AX57,$B$2,BC$41,$B$3,$AY$40,0)</f>
        <v>2.7252248745543847E-3</v>
      </c>
      <c r="BD57" s="1" cm="1">
        <f t="array" ref="BD57">OptionTheta("C",$AX57,$B$2,BD$41,$B$3,$AY$40,0)</f>
        <v>2.719894362864737E-3</v>
      </c>
      <c r="BE57" s="1" cm="1">
        <f t="array" ref="BE57">OptionTheta("C",$AX57,$B$2,BE$41,$B$3,$AY$40,0)</f>
        <v>2.711261274899718E-3</v>
      </c>
      <c r="BF57" s="1" cm="1">
        <f t="array" ref="BF57">OptionTheta("C",$AX57,$B$2,BF$41,$B$3,$AY$40,0)</f>
        <v>2.6982577094780144E-3</v>
      </c>
      <c r="BG57" s="1" cm="1">
        <f t="array" ref="BG57">OptionTheta("C",$AX57,$B$2,BG$41,$B$3,$AY$40,0)</f>
        <v>2.6804276991071198E-3</v>
      </c>
      <c r="BH57" s="1" cm="1">
        <f t="array" ref="BH57">OptionTheta("C",$AX57,$B$2,BH$41,$B$3,$AY$40,0)</f>
        <v>2.6578678244114249E-3</v>
      </c>
      <c r="BI57" s="1" cm="1">
        <f t="array" ref="BI57">OptionTheta("C",$AX57,$B$2,BI$41,$B$3,$AY$40,0)</f>
        <v>2.3052366397097001E-3</v>
      </c>
      <c r="BJ57" s="1" cm="1">
        <f t="array" ref="BJ57">OptionTheta("C",$AX57,$B$2,BJ$41,$B$3,$AY$40,0)</f>
        <v>1.9819951844858145E-3</v>
      </c>
      <c r="BK57" s="1" cm="1">
        <f t="array" ref="BK57">OptionTheta("C",$AX57,$B$2,BK$41,$B$3,$AY$40,0)</f>
        <v>1.7588726751749616E-3</v>
      </c>
      <c r="BL57" s="1" cm="1">
        <f t="array" ref="BL57">OptionTheta("C",$AX57,$B$2,BL$41,$B$3,$AY$40,0)</f>
        <v>1.6079797734797462E-3</v>
      </c>
      <c r="BU57" s="143"/>
      <c r="BV57" s="15">
        <v>135</v>
      </c>
      <c r="BW57" s="1" cm="1">
        <f t="array" ref="BW57">OptionGamma($BV57,$B$2,BW$41,$B$3,$BW$40,0)</f>
        <v>1.6508431991277696E-21</v>
      </c>
      <c r="BX57" s="1" cm="1">
        <f t="array" ref="BX57">OptionGamma($BV57,$B$2,BX$41,$B$3,$BW$40,0)</f>
        <v>7.0007225305255789E-12</v>
      </c>
      <c r="BY57" s="1" cm="1">
        <f t="array" ref="BY57">OptionGamma($BV57,$B$2,BY$41,$B$3,$BW$40,0)</f>
        <v>1.037740725194923E-8</v>
      </c>
      <c r="BZ57" s="1" cm="1">
        <f t="array" ref="BZ57">OptionGamma($BV57,$B$2,BZ$41,$B$3,$BW$40,0)</f>
        <v>3.8271106091862608E-7</v>
      </c>
      <c r="CA57" s="1" cm="1">
        <f t="array" ref="CA57">OptionGamma($BV57,$B$2,CA$41,$B$3,$BW$40,0)</f>
        <v>3.2491629195180632E-6</v>
      </c>
      <c r="CB57" s="1" cm="1">
        <f t="array" ref="CB57">OptionGamma($BV57,$B$2,CB$41,$B$3,$BW$40,0)</f>
        <v>1.3291938562945936E-5</v>
      </c>
      <c r="CC57" s="1" cm="1">
        <f t="array" ref="CC57">OptionGamma($BV57,$B$2,CC$41,$B$3,$BW$40,0)</f>
        <v>3.591421503332701E-5</v>
      </c>
      <c r="CD57" s="1" cm="1">
        <f t="array" ref="CD57">OptionGamma($BV57,$B$2,CD$41,$B$3,$BW$40,0)</f>
        <v>7.4991466396696723E-5</v>
      </c>
      <c r="CE57" s="1" cm="1">
        <f t="array" ref="CE57">OptionGamma($BV57,$B$2,CE$41,$B$3,$BW$40,0)</f>
        <v>1.3199891273585568E-4</v>
      </c>
      <c r="CF57" s="1" cm="1">
        <f t="array" ref="CF57">OptionGamma($BV57,$B$2,CF$41,$B$3,$BW$40,0)</f>
        <v>2.0630117799149032E-4</v>
      </c>
      <c r="CG57" s="1" cm="1">
        <f t="array" ref="CG57">OptionGamma($BV57,$B$2,CG$41,$B$3,$BW$40,0)</f>
        <v>1.3707080362701774E-3</v>
      </c>
      <c r="CH57" s="1" cm="1">
        <f t="array" ref="CH57">OptionGamma($BV57,$B$2,CH$41,$B$3,$BW$40,0)</f>
        <v>2.3440212104340022E-3</v>
      </c>
      <c r="CI57" s="1" cm="1">
        <f t="array" ref="CI57">OptionGamma($BV57,$B$2,CI$41,$B$3,$BW$40,0)</f>
        <v>2.9213283025393976E-3</v>
      </c>
      <c r="CJ57" s="1" cm="1">
        <f t="array" ref="CJ57">OptionGamma($BV57,$B$2,CJ$41,$B$3,$BW$40,0)</f>
        <v>3.2361150487909911E-3</v>
      </c>
      <c r="CS57" s="146"/>
      <c r="CT57" s="15">
        <v>135</v>
      </c>
      <c r="CU57" s="1" cm="1">
        <f t="array" ref="CU57">OptionVega($CT57,$B$2,CU$41,$B$3,$CU$40,0)</f>
        <v>3.0086617304103606E-21</v>
      </c>
      <c r="CV57" s="1" cm="1">
        <f t="array" ref="CV57">OptionVega($CT57,$B$2,CV$41,$B$3,$CU$40,0)</f>
        <v>2.5517633623765736E-11</v>
      </c>
      <c r="CW57" s="1" cm="1">
        <f t="array" ref="CW57">OptionVega($CT57,$B$2,CW$41,$B$3,$CU$40,0)</f>
        <v>5.6738474150032419E-8</v>
      </c>
      <c r="CX57" s="1" cm="1">
        <f t="array" ref="CX57">OptionVega($CT57,$B$2,CX$41,$B$3,$CU$40,0)</f>
        <v>2.7899636340967845E-6</v>
      </c>
      <c r="CY57" s="1" cm="1">
        <f t="array" ref="CY57">OptionVega($CT57,$B$2,CY$41,$B$3,$CU$40,0)</f>
        <v>2.9607997104108362E-5</v>
      </c>
      <c r="CZ57" s="1" cm="1">
        <f t="array" ref="CZ57">OptionVega($CT57,$B$2,CZ$41,$B$3,$CU$40,0)</f>
        <v>1.4534734818581388E-4</v>
      </c>
      <c r="DA57" s="1" cm="1">
        <f t="array" ref="DA57">OptionVega($CT57,$B$2,DA$41,$B$3,$CU$40,0)</f>
        <v>4.5817559828766953E-4</v>
      </c>
      <c r="DB57" s="1" cm="1">
        <f t="array" ref="DB57">OptionVega($CT57,$B$2,DB$41,$B$3,$CU$40,0)</f>
        <v>1.0933755800638383E-3</v>
      </c>
      <c r="DC57" s="1" cm="1">
        <f t="array" ref="DC57">OptionVega($CT57,$B$2,DC$41,$B$3,$CU$40,0)</f>
        <v>2.1651121661498732E-3</v>
      </c>
      <c r="DD57" s="1" cm="1">
        <f t="array" ref="DD57">OptionVega($CT57,$B$2,DD$41,$B$3,$CU$40,0)</f>
        <v>3.7598389688949115E-3</v>
      </c>
      <c r="DE57" s="1" cm="1">
        <f t="array" ref="DE57">OptionVega($CT57,$B$2,DE$41,$B$3,$CU$40,0)</f>
        <v>4.9962307922047984E-2</v>
      </c>
      <c r="DF57" s="1" cm="1">
        <f t="array" ref="DF57">OptionVega($CT57,$B$2,DF$41,$B$3,$CU$40,0)</f>
        <v>0.12815935968047906</v>
      </c>
      <c r="DG57" s="1" cm="1">
        <f t="array" ref="DG57">OptionVega($CT57,$B$2,DG$41,$B$3,$CU$40,0)</f>
        <v>0.21296483325512211</v>
      </c>
      <c r="DH57" s="1" cm="1">
        <f t="array" ref="DH57">OptionVega($CT57,$B$2,DH$41,$B$3,$CU$40,0)</f>
        <v>0.29489098382107914</v>
      </c>
      <c r="DQ57" s="131"/>
      <c r="DR57" s="15">
        <v>135</v>
      </c>
      <c r="DS57" s="1" cm="1">
        <f t="array" ref="DS57">OptionRho("C",$DR57,$B$2,DS$41,$B$3,$DS$40,0)</f>
        <v>9.9900049983337513E-2</v>
      </c>
      <c r="DT57" s="1" cm="1">
        <f t="array" ref="DT57">OptionRho("C",$DR57,$B$2,DT$41,$B$3,$DS$40,0)</f>
        <v>0.19960039973180685</v>
      </c>
      <c r="DU57" s="1" cm="1">
        <f t="array" ref="DU57">OptionRho("C",$DR57,$B$2,DU$41,$B$3,$DS$40,0)</f>
        <v>0.29910134317755116</v>
      </c>
      <c r="DV57" s="1" cm="1">
        <f t="array" ref="DV57">OptionRho("C",$DR57,$B$2,DV$41,$B$3,$DS$40,0)</f>
        <v>0.3984028407573641</v>
      </c>
      <c r="DW57" s="1" cm="1">
        <f t="array" ref="DW57">OptionRho("C",$DR57,$B$2,DW$41,$B$3,$DS$40,0)</f>
        <v>0.49750157959169578</v>
      </c>
      <c r="DX57" s="1" cm="1">
        <f t="array" ref="DX57">OptionRho("C",$DR57,$B$2,DX$41,$B$3,$DS$40,0)</f>
        <v>0.59638360220830644</v>
      </c>
      <c r="DY57" s="1" cm="1">
        <f t="array" ref="DY57">OptionRho("C",$DR57,$B$2,DY$41,$B$3,$DS$40,0)</f>
        <v>0.69501813372831622</v>
      </c>
      <c r="DZ57" s="1" cm="1">
        <f t="array" ref="DZ57">OptionRho("C",$DR57,$B$2,DZ$41,$B$3,$DS$40,0)</f>
        <v>0.79335812906789949</v>
      </c>
      <c r="EA57" s="1" cm="1">
        <f t="array" ref="EA57">OptionRho("C",$DR57,$B$2,EA$41,$B$3,$DS$40,0)</f>
        <v>0.89134605998743832</v>
      </c>
      <c r="EB57" s="1" cm="1">
        <f t="array" ref="EB57">OptionRho("C",$DR57,$B$2,EB$41,$B$3,$DS$40,0)</f>
        <v>0.9889209507546447</v>
      </c>
      <c r="EC57" s="1" cm="1">
        <f t="array" ref="EC57">OptionRho("C",$DR57,$B$2,EC$41,$B$3,$DS$40,0)</f>
        <v>1.9326342865983208</v>
      </c>
      <c r="ED57" s="1" cm="1">
        <f t="array" ref="ED57">OptionRho("C",$DR57,$B$2,ED$41,$B$3,$DS$40,0)</f>
        <v>2.8110815254143624</v>
      </c>
      <c r="EE57" s="1" cm="1">
        <f t="array" ref="EE57">OptionRho("C",$DR57,$B$2,EE$41,$B$3,$DS$40,0)</f>
        <v>3.6327782720310542</v>
      </c>
      <c r="EF57" s="1" cm="1">
        <f t="array" ref="EF57">OptionRho("C",$DR57,$B$2,EF$41,$B$3,$DS$40,0)</f>
        <v>4.4090180057059323</v>
      </c>
      <c r="EP57" s="131"/>
      <c r="EQ57" s="15">
        <v>135</v>
      </c>
      <c r="ER57" s="1" cm="1">
        <f t="array" ref="ER57">OptionRho("C",$DR57,$B$2,ER$41,$D$3,$DS$40,0)</f>
        <v>9.5122942450071413E-2</v>
      </c>
      <c r="ES57" s="1" cm="1">
        <f t="array" ref="ES57">OptionRho("C",$DR57,$B$2,ES$41,$D$3,$DS$40,0)</f>
        <v>0.18096748360719192</v>
      </c>
      <c r="ET57" s="1" cm="1">
        <f t="array" ref="ET57">OptionRho("C",$DR57,$B$2,ET$41,$D$3,$DS$40,0)</f>
        <v>0.2582123929275173</v>
      </c>
      <c r="EU57" s="1" cm="1">
        <f t="array" ref="EU57">OptionRho("C",$DR57,$B$2,EU$41,$D$3,$DS$40,0)</f>
        <v>0.32749230123119222</v>
      </c>
      <c r="EV57" s="1" cm="1">
        <f t="array" ref="EV57">OptionRho("C",$DR57,$B$2,EV$41,$D$3,$DS$40,0)</f>
        <v>0.38940039153570061</v>
      </c>
      <c r="EW57" s="1" cm="1">
        <f t="array" ref="EW57">OptionRho("C",$DR57,$B$2,EW$41,$D$3,$DS$40,0)</f>
        <v>0.44449093240902787</v>
      </c>
      <c r="EX57" s="1" cm="1">
        <f t="array" ref="EX57">OptionRho("C",$DR57,$B$2,EX$41,$D$3,$DS$40,0)</f>
        <v>0.49328166280309671</v>
      </c>
      <c r="EY57" s="1" cm="1">
        <f t="array" ref="EY57">OptionRho("C",$DR57,$B$2,EY$41,$D$3,$DS$40,0)</f>
        <v>0.53625603682850964</v>
      </c>
      <c r="EZ57" s="1" cm="1">
        <f t="array" ref="EZ57">OptionRho("C",$DR57,$B$2,EZ$41,$D$3,$DS$40,0)</f>
        <v>0.57386533645959492</v>
      </c>
      <c r="FA57" s="1" cm="1">
        <f t="array" ref="FA57">OptionRho("C",$DR57,$B$2,FA$41,$D$3,$DS$40,0)</f>
        <v>0.60653065971263287</v>
      </c>
      <c r="FB57" s="1" cm="1">
        <f t="array" ref="FB57">OptionRho("C",$DR57,$B$2,FB$41,$D$3,$DS$40,0)</f>
        <v>0.73575888234288467</v>
      </c>
      <c r="FC57" s="1" cm="1">
        <f t="array" ref="FC57">OptionRho("C",$DR57,$B$2,FC$41,$D$3,$DS$40,0)</f>
        <v>0.66939048044528948</v>
      </c>
      <c r="FD57" s="1" cm="1">
        <f t="array" ref="FD57">OptionRho("C",$DR57,$B$2,FD$41,$D$3,$DS$40,0)</f>
        <v>0.54134113294645081</v>
      </c>
      <c r="FE57" s="1" cm="1">
        <f t="array" ref="FE57">OptionRho("C",$DR57,$B$2,FE$41,$D$3,$DS$40,0)</f>
        <v>0.41042499311949399</v>
      </c>
    </row>
    <row r="60" spans="1:161" ht="27" x14ac:dyDescent="0.35">
      <c r="A60" s="17" t="s">
        <v>6</v>
      </c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</row>
    <row r="61" spans="1:161" x14ac:dyDescent="0.2">
      <c r="A61" t="s">
        <v>0</v>
      </c>
      <c r="B61">
        <v>100</v>
      </c>
    </row>
    <row r="62" spans="1:161" x14ac:dyDescent="0.2">
      <c r="A62" t="s">
        <v>1</v>
      </c>
      <c r="B62">
        <v>0.01</v>
      </c>
    </row>
    <row r="63" spans="1:161" ht="15" customHeight="1" x14ac:dyDescent="0.2">
      <c r="A63" s="132" t="s">
        <v>5</v>
      </c>
      <c r="B63" s="6" t="s">
        <v>2</v>
      </c>
      <c r="C63" s="7">
        <v>0.2</v>
      </c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8"/>
      <c r="Y63" s="135" t="s">
        <v>7</v>
      </c>
      <c r="Z63" s="18" t="s">
        <v>2</v>
      </c>
      <c r="AA63" s="19">
        <v>0.2</v>
      </c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20"/>
      <c r="AW63" s="138" t="s">
        <v>8</v>
      </c>
      <c r="AX63" s="22" t="s">
        <v>2</v>
      </c>
      <c r="AY63" s="23">
        <v>0.2</v>
      </c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4"/>
      <c r="BU63" s="141" t="s">
        <v>9</v>
      </c>
      <c r="BV63" s="26" t="s">
        <v>2</v>
      </c>
      <c r="BW63" s="27">
        <v>0.2</v>
      </c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8"/>
      <c r="CS63" s="144" t="s">
        <v>10</v>
      </c>
      <c r="CT63" s="30" t="s">
        <v>2</v>
      </c>
      <c r="CU63" s="31">
        <v>0.2</v>
      </c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2"/>
      <c r="DQ63" s="129" t="s">
        <v>11</v>
      </c>
      <c r="DR63" s="34" t="s">
        <v>2</v>
      </c>
      <c r="DS63" s="35">
        <v>0.2</v>
      </c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6"/>
    </row>
    <row r="64" spans="1:161" x14ac:dyDescent="0.2">
      <c r="A64" s="133"/>
      <c r="C64" s="10">
        <v>0.1</v>
      </c>
      <c r="D64" s="11">
        <v>0.2</v>
      </c>
      <c r="E64" s="11">
        <v>0.3</v>
      </c>
      <c r="F64" s="11">
        <v>0.4</v>
      </c>
      <c r="G64" s="11">
        <v>0.5</v>
      </c>
      <c r="H64" s="11">
        <v>0.6</v>
      </c>
      <c r="I64" s="11">
        <v>0.7</v>
      </c>
      <c r="J64" s="11">
        <v>0.8</v>
      </c>
      <c r="K64" s="11">
        <v>0.9</v>
      </c>
      <c r="L64" s="11">
        <v>1</v>
      </c>
      <c r="M64" s="11">
        <v>2</v>
      </c>
      <c r="N64" s="11">
        <v>3</v>
      </c>
      <c r="O64" s="11">
        <v>4</v>
      </c>
      <c r="P64" s="12">
        <v>5</v>
      </c>
      <c r="Y64" s="136"/>
      <c r="AA64" s="10">
        <v>0.1</v>
      </c>
      <c r="AB64" s="11">
        <v>0.2</v>
      </c>
      <c r="AC64" s="11">
        <v>0.3</v>
      </c>
      <c r="AD64" s="11">
        <v>0.4</v>
      </c>
      <c r="AE64" s="11">
        <v>0.5</v>
      </c>
      <c r="AF64" s="11">
        <v>0.6</v>
      </c>
      <c r="AG64" s="11">
        <v>0.7</v>
      </c>
      <c r="AH64" s="11">
        <v>0.8</v>
      </c>
      <c r="AI64" s="11">
        <v>0.9</v>
      </c>
      <c r="AJ64" s="11">
        <v>1</v>
      </c>
      <c r="AK64" s="11">
        <v>2</v>
      </c>
      <c r="AL64" s="11">
        <v>3</v>
      </c>
      <c r="AM64" s="11">
        <v>4</v>
      </c>
      <c r="AN64" s="12">
        <v>5</v>
      </c>
      <c r="AW64" s="139"/>
      <c r="AY64" s="10">
        <v>0.1</v>
      </c>
      <c r="AZ64" s="11">
        <v>0.2</v>
      </c>
      <c r="BA64" s="11">
        <v>0.3</v>
      </c>
      <c r="BB64" s="11">
        <v>0.4</v>
      </c>
      <c r="BC64" s="11">
        <v>0.5</v>
      </c>
      <c r="BD64" s="11">
        <v>0.6</v>
      </c>
      <c r="BE64" s="11">
        <v>0.7</v>
      </c>
      <c r="BF64" s="11">
        <v>0.8</v>
      </c>
      <c r="BG64" s="11">
        <v>0.9</v>
      </c>
      <c r="BH64" s="11">
        <v>1</v>
      </c>
      <c r="BI64" s="11">
        <v>2</v>
      </c>
      <c r="BJ64" s="11">
        <v>3</v>
      </c>
      <c r="BK64" s="11">
        <v>4</v>
      </c>
      <c r="BL64" s="12">
        <v>5</v>
      </c>
      <c r="BU64" s="142"/>
      <c r="BW64" s="10">
        <v>0.1</v>
      </c>
      <c r="BX64" s="11">
        <v>0.2</v>
      </c>
      <c r="BY64" s="11">
        <v>0.3</v>
      </c>
      <c r="BZ64" s="11">
        <v>0.4</v>
      </c>
      <c r="CA64" s="11">
        <v>0.5</v>
      </c>
      <c r="CB64" s="11">
        <v>0.6</v>
      </c>
      <c r="CC64" s="11">
        <v>0.7</v>
      </c>
      <c r="CD64" s="11">
        <v>0.8</v>
      </c>
      <c r="CE64" s="11">
        <v>0.9</v>
      </c>
      <c r="CF64" s="11">
        <v>1</v>
      </c>
      <c r="CG64" s="11">
        <v>2</v>
      </c>
      <c r="CH64" s="11">
        <v>3</v>
      </c>
      <c r="CI64" s="11">
        <v>4</v>
      </c>
      <c r="CJ64" s="12">
        <v>5</v>
      </c>
      <c r="CS64" s="145"/>
      <c r="CU64" s="10">
        <v>0.1</v>
      </c>
      <c r="CV64" s="11">
        <v>0.2</v>
      </c>
      <c r="CW64" s="11">
        <v>0.3</v>
      </c>
      <c r="CX64" s="11">
        <v>0.4</v>
      </c>
      <c r="CY64" s="11">
        <v>0.5</v>
      </c>
      <c r="CZ64" s="11">
        <v>0.6</v>
      </c>
      <c r="DA64" s="11">
        <v>0.7</v>
      </c>
      <c r="DB64" s="11">
        <v>0.8</v>
      </c>
      <c r="DC64" s="11">
        <v>0.9</v>
      </c>
      <c r="DD64" s="11">
        <v>1</v>
      </c>
      <c r="DE64" s="11">
        <v>2</v>
      </c>
      <c r="DF64" s="11">
        <v>3</v>
      </c>
      <c r="DG64" s="11">
        <v>4</v>
      </c>
      <c r="DH64" s="12">
        <v>5</v>
      </c>
      <c r="DQ64" s="130"/>
      <c r="DS64" s="10">
        <v>0.1</v>
      </c>
      <c r="DT64" s="11">
        <v>0.2</v>
      </c>
      <c r="DU64" s="11">
        <v>0.3</v>
      </c>
      <c r="DV64" s="11">
        <v>0.4</v>
      </c>
      <c r="DW64" s="11">
        <v>0.5</v>
      </c>
      <c r="DX64" s="11">
        <v>0.6</v>
      </c>
      <c r="DY64" s="11">
        <v>0.7</v>
      </c>
      <c r="DZ64" s="11">
        <v>0.8</v>
      </c>
      <c r="EA64" s="11">
        <v>0.9</v>
      </c>
      <c r="EB64" s="11">
        <v>1</v>
      </c>
      <c r="EC64" s="11">
        <v>2</v>
      </c>
      <c r="ED64" s="11">
        <v>3</v>
      </c>
      <c r="EE64" s="11">
        <v>4</v>
      </c>
      <c r="EF64" s="12">
        <v>5</v>
      </c>
    </row>
    <row r="65" spans="1:136" x14ac:dyDescent="0.2">
      <c r="A65" s="133"/>
      <c r="B65" s="13">
        <v>60</v>
      </c>
      <c r="C65" s="1" cm="1">
        <f t="array" ref="C65">OptionPrice("P",$B65,$B$2,C$64,$B$3,$C$63,0)</f>
        <v>39.900049983337496</v>
      </c>
      <c r="D65" s="1" cm="1">
        <f t="array" ref="D65">OptionPrice("P",$B65,$B$2,D$64,$B$3,$C$63,0)</f>
        <v>39.800199874087106</v>
      </c>
      <c r="E65" s="1" cm="1">
        <f t="array" ref="E65">OptionPrice("P",$B65,$B$2,E$64,$B$3,$C$63,0)</f>
        <v>39.700452546325081</v>
      </c>
      <c r="F65" s="1" cm="1">
        <f t="array" ref="F65">OptionPrice("P",$B65,$B$2,F$64,$B$3,$C$63,0)</f>
        <v>39.600866601725336</v>
      </c>
      <c r="G65" s="1" cm="1">
        <f t="array" ref="G65">OptionPrice("P",$B65,$B$2,G$64,$B$3,$C$63,0)</f>
        <v>39.501716564493329</v>
      </c>
      <c r="H65" s="1" cm="1">
        <f t="array" ref="H65">OptionPrice("P",$B65,$B$2,H$64,$B$3,$C$63,0)</f>
        <v>39.403572070119289</v>
      </c>
      <c r="I65" s="1" cm="1">
        <f t="array" ref="I65">OptionPrice("P",$B65,$B$2,I$64,$B$3,$C$63,0)</f>
        <v>39.307178641315836</v>
      </c>
      <c r="J65" s="1" cm="1">
        <f t="array" ref="J65">OptionPrice("P",$B65,$B$2,J$64,$B$3,$C$63,0)</f>
        <v>39.213283483154157</v>
      </c>
      <c r="K65" s="1" cm="1">
        <f t="array" ref="K65">OptionPrice("P",$B65,$B$2,K$64,$B$3,$C$63,0)</f>
        <v>39.122519054302209</v>
      </c>
      <c r="L65" s="1" cm="1">
        <f t="array" ref="L65">OptionPrice("P",$B65,$B$2,L$64,$B$3,$C$63,0)</f>
        <v>39.035356970479278</v>
      </c>
      <c r="M65" s="1" cm="1">
        <f t="array" ref="M65">OptionPrice("P",$B65,$B$2,M$64,$B$3,$C$63,0)</f>
        <v>38.380903936638902</v>
      </c>
      <c r="N65" s="1" cm="1">
        <f t="array" ref="N65">OptionPrice("P",$B65,$B$2,N$64,$B$3,$C$63,0)</f>
        <v>38.029188218206997</v>
      </c>
      <c r="O65" s="1" cm="1">
        <f t="array" ref="O65">OptionPrice("P",$B65,$B$2,O$64,$B$3,$C$63,0)</f>
        <v>37.840779093821233</v>
      </c>
      <c r="P65" s="1" cm="1">
        <f t="array" ref="P65">OptionPrice("P",$B65,$B$2,P$64,$B$3,$C$63,0)</f>
        <v>37.736234552876972</v>
      </c>
      <c r="Y65" s="136"/>
      <c r="Z65" s="13">
        <v>60</v>
      </c>
      <c r="AA65" s="1" cm="1">
        <f t="array" ref="AA65">OptionDelta("P",$Z65,$B$2,AA$64,$B$3,$AA$63,0)</f>
        <v>-0.99999999999999956</v>
      </c>
      <c r="AB65" s="1" cm="1">
        <f t="array" ref="AB65">OptionDelta("P",$Z65,$B$2,AB$64,$B$3,$AA$63,0)</f>
        <v>-0.99999999169868692</v>
      </c>
      <c r="AC65" s="1" cm="1">
        <f t="array" ref="AC65">OptionDelta("P",$Z65,$B$2,AC$64,$B$3,$AA$63,0)</f>
        <v>-0.99999768643466735</v>
      </c>
      <c r="AD65" s="1" cm="1">
        <f t="array" ref="AD65">OptionDelta("P",$Z65,$B$2,AD$64,$B$3,$AA$63,0)</f>
        <v>-0.99995986002457549</v>
      </c>
      <c r="AE65" s="1" cm="1">
        <f t="array" ref="AE65">OptionDelta("P",$Z65,$B$2,AE$64,$B$3,$AA$63,0)</f>
        <v>-0.99977256658213121</v>
      </c>
      <c r="AF65" s="1" cm="1">
        <f t="array" ref="AF65">OptionDelta("P",$Z65,$B$2,AF$64,$B$3,$AA$63,0)</f>
        <v>-0.99926660684650404</v>
      </c>
      <c r="AG65" s="1" cm="1">
        <f t="array" ref="AG65">OptionDelta("P",$Z65,$B$2,AG$64,$B$3,$AA$63,0)</f>
        <v>-0.99829022958946334</v>
      </c>
      <c r="AH65" s="1" cm="1">
        <f t="array" ref="AH65">OptionDelta("P",$Z65,$B$2,AH$64,$B$3,$AA$63,0)</f>
        <v>-0.99675007087750611</v>
      </c>
      <c r="AI65" s="1" cm="1">
        <f t="array" ref="AI65">OptionDelta("P",$Z65,$B$2,AI$64,$B$3,$AA$63,0)</f>
        <v>-0.99461362130869291</v>
      </c>
      <c r="AJ65" s="1" cm="1">
        <f t="array" ref="AJ65">OptionDelta("P",$Z65,$B$2,AJ$64,$B$3,$AA$63,0)</f>
        <v>-0.9918944546456071</v>
      </c>
      <c r="AK65" s="1" cm="1">
        <f t="array" ref="AK65">OptionDelta("P",$Z65,$B$2,AK$64,$B$3,$AA$63,0)</f>
        <v>-0.94452182202059942</v>
      </c>
      <c r="AL65" s="1" cm="1">
        <f t="array" ref="AL65">OptionDelta("P",$Z65,$B$2,AL$64,$B$3,$AA$63,0)</f>
        <v>-0.88778242147662834</v>
      </c>
      <c r="AM65" s="1" cm="1">
        <f t="array" ref="AM65">OptionDelta("P",$Z65,$B$2,AM$64,$B$3,$AA$63,0)</f>
        <v>-0.83573128027159116</v>
      </c>
      <c r="AN65" s="1" cm="1">
        <f t="array" ref="AN65">OptionDelta("P",$Z65,$B$2,AN$64,$B$3,$AA$63,0)</f>
        <v>-0.79011796313899829</v>
      </c>
      <c r="AW65" s="139"/>
      <c r="AX65" s="13">
        <v>60</v>
      </c>
      <c r="AY65" s="1" cm="1">
        <f t="array" ref="AY65">OptionTheta("P",$AX65,$B$2,AY$64,$B$3,$AY$63,0)</f>
        <v>-2.7369876707765764E-3</v>
      </c>
      <c r="AZ65" s="1" cm="1">
        <f t="array" ref="AZ65">OptionTheta("P",$AX65,$B$2,AZ$64,$B$3,$AY$63,0)</f>
        <v>-2.7342538110152748E-3</v>
      </c>
      <c r="BA65" s="1" cm="1">
        <f t="array" ref="BA65">OptionTheta("P",$AX65,$B$2,BA$64,$B$3,$AY$63,0)</f>
        <v>-2.731847500390593E-3</v>
      </c>
      <c r="BB65" s="1" cm="1">
        <f t="array" ref="BB65">OptionTheta("P",$AX65,$B$2,BB$64,$B$3,$AY$63,0)</f>
        <v>-2.7330773181774288E-3</v>
      </c>
      <c r="BC65" s="1" cm="1">
        <f t="array" ref="BC65">OptionTheta("P",$AX65,$B$2,BC$64,$B$3,$AY$63,0)</f>
        <v>-2.7455650092813441E-3</v>
      </c>
      <c r="BD65" s="1" cm="1">
        <f t="array" ref="BD65">OptionTheta("P",$AX65,$B$2,BD$64,$B$3,$AY$63,0)</f>
        <v>-2.7759065175794548E-3</v>
      </c>
      <c r="BE65" s="1" cm="1">
        <f t="array" ref="BE65">OptionTheta("P",$AX65,$B$2,BE$64,$B$3,$AY$63,0)</f>
        <v>-2.8259547148392593E-3</v>
      </c>
      <c r="BF65" s="1" cm="1">
        <f t="array" ref="BF65">OptionTheta("P",$AX65,$B$2,BF$64,$B$3,$AY$63,0)</f>
        <v>-2.8935398132426695E-3</v>
      </c>
      <c r="BG65" s="1" cm="1">
        <f t="array" ref="BG65">OptionTheta("P",$AX65,$B$2,BG$64,$B$3,$AY$63,0)</f>
        <v>-2.9745407326810342E-3</v>
      </c>
      <c r="BH65" s="1" cm="1">
        <f t="array" ref="BH65">OptionTheta("P",$AX65,$B$2,BH$64,$B$3,$AY$63,0)</f>
        <v>-3.0644701991481109E-3</v>
      </c>
      <c r="BI65" s="1" cm="1">
        <f t="array" ref="BI65">OptionTheta("P",$AX65,$B$2,BI$64,$B$3,$AY$63,0)</f>
        <v>-3.9060795234005549E-3</v>
      </c>
      <c r="BJ65" s="1" cm="1">
        <f t="array" ref="BJ65">OptionTheta("P",$AX65,$B$2,BJ$64,$B$3,$AY$63,0)</f>
        <v>-4.3115415135850984E-3</v>
      </c>
      <c r="BK65" s="1" cm="1">
        <f t="array" ref="BK65">OptionTheta("P",$AX65,$B$2,BK$64,$B$3,$AY$63,0)</f>
        <v>-4.4449459591958595E-3</v>
      </c>
      <c r="BL65" s="1" cm="1">
        <f t="array" ref="BL65">OptionTheta("P",$AX65,$B$2,BL$64,$B$3,$AY$63,0)</f>
        <v>-4.4506931310945913E-3</v>
      </c>
      <c r="BU65" s="142"/>
      <c r="BV65" s="13">
        <v>60</v>
      </c>
      <c r="BW65" s="1" cm="1">
        <f t="array" ref="BW65">OptionGamma($BV65,$B$2,BW$64,$B$3,$BW$63,0)</f>
        <v>1.0516556577990479E-15</v>
      </c>
      <c r="BX65" s="1" cm="1">
        <f t="array" ref="BX65">OptionGamma($BV65,$B$2,BX$64,$B$3,$BW$63,0)</f>
        <v>8.9897290546272933E-9</v>
      </c>
      <c r="BY65" s="1" cm="1">
        <f t="array" ref="BY65">OptionGamma($BV65,$B$2,BY$64,$B$3,$BW$63,0)</f>
        <v>1.6833377571562758E-6</v>
      </c>
      <c r="BZ65" s="1" cm="1">
        <f t="array" ref="BZ65">OptionGamma($BV65,$B$2,BZ$64,$B$3,$BW$63,0)</f>
        <v>2.2064431982817092E-5</v>
      </c>
      <c r="CA65" s="1" cm="1">
        <f t="array" ref="CA65">OptionGamma($BV65,$B$2,CA$64,$B$3,$BW$63,0)</f>
        <v>1.0070170546498096E-4</v>
      </c>
      <c r="CB65" s="1" cm="1">
        <f t="array" ref="CB65">OptionGamma($BV65,$B$2,CB$64,$B$3,$BW$63,0)</f>
        <v>2.7236380704730449E-4</v>
      </c>
      <c r="CC65" s="1" cm="1">
        <f t="array" ref="CC65">OptionGamma($BV65,$B$2,CC$64,$B$3,$BW$63,0)</f>
        <v>5.476048159651799E-4</v>
      </c>
      <c r="CD65" s="1" cm="1">
        <f t="array" ref="CD65">OptionGamma($BV65,$B$2,CD$64,$B$3,$BW$63,0)</f>
        <v>9.1609936771568209E-4</v>
      </c>
      <c r="CE65" s="1" cm="1">
        <f t="array" ref="CE65">OptionGamma($BV65,$B$2,CE$64,$B$3,$BW$63,0)</f>
        <v>1.3571389458380512E-3</v>
      </c>
      <c r="CF65" s="1" cm="1">
        <f t="array" ref="CF65">OptionGamma($BV65,$B$2,CF$64,$B$3,$BW$63,0)</f>
        <v>1.8477969471792112E-3</v>
      </c>
      <c r="CG65" s="1" cm="1">
        <f t="array" ref="CG65">OptionGamma($BV65,$B$2,CG$64,$B$3,$BW$63,0)</f>
        <v>6.5999568536451924E-3</v>
      </c>
      <c r="CH65" s="1" cm="1">
        <f t="array" ref="CH65">OptionGamma($BV65,$B$2,CH$64,$B$3,$BW$63,0)</f>
        <v>9.1771016304238069E-3</v>
      </c>
      <c r="CI65" s="1" cm="1">
        <f t="array" ref="CI65">OptionGamma($BV65,$B$2,CI$64,$B$3,$BW$63,0)</f>
        <v>1.0313315500073911E-2</v>
      </c>
      <c r="CJ65" s="1" cm="1">
        <f t="array" ref="CJ65">OptionGamma($BV65,$B$2,CJ$64,$B$3,$BW$63,0)</f>
        <v>1.073708151996329E-2</v>
      </c>
      <c r="CS65" s="145"/>
      <c r="CT65" s="13">
        <v>60</v>
      </c>
      <c r="CU65" s="1" cm="1">
        <f t="array" ref="CU65">OptionVega($CT65,$B$2,CU$64,$B$3,$CU$63,0)</f>
        <v>7.5719207361531463E-16</v>
      </c>
      <c r="CV65" s="1" cm="1">
        <f t="array" ref="CV65">OptionVega($CT65,$B$2,CV$64,$B$3,$CU$63,0)</f>
        <v>1.29452098386633E-8</v>
      </c>
      <c r="CW65" s="1" cm="1">
        <f t="array" ref="CW65">OptionVega($CT65,$B$2,CW$64,$B$3,$CU$63,0)</f>
        <v>3.6360095554575554E-6</v>
      </c>
      <c r="CX65" s="1" cm="1">
        <f t="array" ref="CX65">OptionVega($CT65,$B$2,CX$64,$B$3,$CU$63,0)</f>
        <v>6.3545564110513241E-5</v>
      </c>
      <c r="CY65" s="1" cm="1">
        <f t="array" ref="CY65">OptionVega($CT65,$B$2,CY$64,$B$3,$CU$63,0)</f>
        <v>3.625261396739315E-4</v>
      </c>
      <c r="CZ65" s="1" cm="1">
        <f t="array" ref="CZ65">OptionVega($CT65,$B$2,CZ$64,$B$3,$CU$63,0)</f>
        <v>1.1766116464443557E-3</v>
      </c>
      <c r="DA65" s="1" cm="1">
        <f t="array" ref="DA65">OptionVega($CT65,$B$2,DA$64,$B$3,$CU$63,0)</f>
        <v>2.7599282724645072E-3</v>
      </c>
      <c r="DB65" s="1" cm="1">
        <f t="array" ref="DB65">OptionVega($CT65,$B$2,DB$64,$B$3,$CU$63,0)</f>
        <v>5.2767323580423285E-3</v>
      </c>
      <c r="DC65" s="1" cm="1">
        <f t="array" ref="DC65">OptionVega($CT65,$B$2,DC$64,$B$3,$CU$63,0)</f>
        <v>8.7942603690305717E-3</v>
      </c>
      <c r="DD65" s="1" cm="1">
        <f t="array" ref="DD65">OptionVega($CT65,$B$2,DD$64,$B$3,$CU$63,0)</f>
        <v>1.3304138019690321E-2</v>
      </c>
      <c r="DE65" s="1" cm="1">
        <f t="array" ref="DE65">OptionVega($CT65,$B$2,DE$64,$B$3,$CU$63,0)</f>
        <v>9.5039378692490781E-2</v>
      </c>
      <c r="DF65" s="1" cm="1">
        <f t="array" ref="DF65">OptionVega($CT65,$B$2,DF$64,$B$3,$CU$63,0)</f>
        <v>0.19822539521715424</v>
      </c>
      <c r="DG65" s="1" cm="1">
        <f t="array" ref="DG65">OptionVega($CT65,$B$2,DG$64,$B$3,$CU$63,0)</f>
        <v>0.29702348640212861</v>
      </c>
      <c r="DH65" s="1" cm="1">
        <f t="array" ref="DH65">OptionVega($CT65,$B$2,DH$64,$B$3,$CU$63,0)</f>
        <v>0.3865349347186785</v>
      </c>
      <c r="DQ65" s="130"/>
      <c r="DR65" s="13">
        <v>60</v>
      </c>
      <c r="DS65" s="1" cm="1">
        <f t="array" ref="DS65">OptionRho("P",$DR65,$B$2,DS$64,$B$3,$DS$63,0)</f>
        <v>-9.9900049983337486E-2</v>
      </c>
      <c r="DT65" s="1" cm="1">
        <f t="array" ref="DT65">OptionRho("P",$DR65,$B$2,DT$64,$B$3,$DS$63,0)</f>
        <v>-0.19960039875201666</v>
      </c>
      <c r="DU65" s="1" cm="1">
        <f t="array" ref="DU65">OptionRho("P",$DR65,$B$2,DU$64,$B$3,$DS$63,0)</f>
        <v>-0.29910094119721536</v>
      </c>
      <c r="DV65" s="1" cm="1">
        <f t="array" ref="DV65">OptionRho("P",$DR65,$B$2,DV$64,$B$3,$DS$63,0)</f>
        <v>-0.39839383281279955</v>
      </c>
      <c r="DW65" s="1" cm="1">
        <f t="array" ref="DW65">OptionRho("P",$DR65,$B$2,DW$64,$B$3,$DS$63,0)</f>
        <v>-0.49744035279710597</v>
      </c>
      <c r="DX65" s="1" cm="1">
        <f t="array" ref="DX65">OptionRho("P",$DR65,$B$2,DX$64,$B$3,$DS$63,0)</f>
        <v>-0.59615741088545715</v>
      </c>
      <c r="DY65" s="1" cm="1">
        <f t="array" ref="DY65">OptionRho("P",$DR65,$B$2,DY$64,$B$3,$DS$63,0)</f>
        <v>-0.69443214691678545</v>
      </c>
      <c r="DZ65" s="1" cm="1">
        <f t="array" ref="DZ65">OptionRho("P",$DR65,$B$2,DZ$64,$B$3,$DS$63,0)</f>
        <v>-0.79214630188643631</v>
      </c>
      <c r="EA65" s="1" cm="1">
        <f t="array" ref="EA65">OptionRho("P",$DR65,$B$2,EA$64,$B$3,$DS$63,0)</f>
        <v>-0.88919402699541406</v>
      </c>
      <c r="EB65" s="1" cm="1">
        <f t="array" ref="EB65">OptionRho("P",$DR65,$B$2,EB$64,$B$3,$DS$63,0)</f>
        <v>-0.98549024249215722</v>
      </c>
      <c r="EC65" s="1" cm="1">
        <f t="array" ref="EC65">OptionRho("P",$DR65,$B$2,EC$64,$B$3,$DS$63,0)</f>
        <v>-1.9010442651574975</v>
      </c>
      <c r="ED65" s="1" cm="1">
        <f t="array" ref="ED65">OptionRho("P",$DR65,$B$2,ED$64,$B$3,$DS$63,0)</f>
        <v>-2.7388840052041403</v>
      </c>
      <c r="EE65" s="1" cm="1">
        <f t="array" ref="EE65">OptionRho("P",$DR65,$B$2,EE$64,$B$3,$DS$63,0)</f>
        <v>-3.5193862364046682</v>
      </c>
      <c r="EF65" s="1" cm="1">
        <f t="array" ref="EF65">OptionRho("P",$DR65,$B$2,EF$64,$B$3,$DS$63,0)</f>
        <v>-4.2571656170608438</v>
      </c>
    </row>
    <row r="66" spans="1:136" x14ac:dyDescent="0.2">
      <c r="A66" s="133"/>
      <c r="B66" s="14">
        <v>65</v>
      </c>
      <c r="C66" s="1" cm="1">
        <f t="array" ref="C66">OptionPrice("P",$B66,$B$2,C$64,$B$3,$C$63,0)</f>
        <v>34.900049983341376</v>
      </c>
      <c r="D66" s="1" cm="1">
        <f t="array" ref="D66">OptionPrice("P",$B66,$B$2,D$64,$B$3,$C$63,0)</f>
        <v>34.800201005371179</v>
      </c>
      <c r="E66" s="1" cm="1">
        <f t="array" ref="E66">OptionPrice("P",$B66,$B$2,E$64,$B$3,$C$63,0)</f>
        <v>34.70054498438698</v>
      </c>
      <c r="F66" s="1" cm="1">
        <f t="array" ref="F66">OptionPrice("P",$B66,$B$2,F$64,$B$3,$C$63,0)</f>
        <v>34.601772669003083</v>
      </c>
      <c r="G66" s="1" cm="1">
        <f t="array" ref="G66">OptionPrice("P",$B66,$B$2,G$64,$B$3,$C$63,0)</f>
        <v>34.505423206341916</v>
      </c>
      <c r="H66" s="1" cm="1">
        <f t="array" ref="H66">OptionPrice("P",$B66,$B$2,H$64,$B$3,$C$63,0)</f>
        <v>34.41326661007183</v>
      </c>
      <c r="I66" s="1" cm="1">
        <f t="array" ref="I66">OptionPrice("P",$B66,$B$2,I$64,$B$3,$C$63,0)</f>
        <v>34.326717496647035</v>
      </c>
      <c r="J66" s="1" cm="1">
        <f t="array" ref="J66">OptionPrice("P",$B66,$B$2,J$64,$B$3,$C$63,0)</f>
        <v>34.246654730161083</v>
      </c>
      <c r="K66" s="1" cm="1">
        <f t="array" ref="K66">OptionPrice("P",$B66,$B$2,K$64,$B$3,$C$63,0)</f>
        <v>34.173478551161324</v>
      </c>
      <c r="L66" s="1" cm="1">
        <f t="array" ref="L66">OptionPrice("P",$B66,$B$2,L$64,$B$3,$C$63,0)</f>
        <v>34.107236726810733</v>
      </c>
      <c r="M66" s="1" cm="1">
        <f t="array" ref="M66">OptionPrice("P",$B66,$B$2,M$64,$B$3,$C$63,0)</f>
        <v>33.751550165841223</v>
      </c>
      <c r="N66" s="1" cm="1">
        <f t="array" ref="N66">OptionPrice("P",$B66,$B$2,N$64,$B$3,$C$63,0)</f>
        <v>33.712638855643704</v>
      </c>
      <c r="O66" s="1" cm="1">
        <f t="array" ref="O66">OptionPrice("P",$B66,$B$2,O$64,$B$3,$C$63,0)</f>
        <v>33.795778142950994</v>
      </c>
      <c r="P66" s="1" cm="1">
        <f t="array" ref="P66">OptionPrice("P",$B66,$B$2,P$64,$B$3,$C$63,0)</f>
        <v>33.922460843328587</v>
      </c>
      <c r="Y66" s="136"/>
      <c r="Z66" s="14">
        <v>65</v>
      </c>
      <c r="AA66" s="1" cm="1">
        <f t="array" ref="AA66">OptionDelta("P",$Z66,$B$2,AA$64,$B$3,$AA$63,0)</f>
        <v>-0.99999999999328104</v>
      </c>
      <c r="AB66" s="1" cm="1">
        <f t="array" ref="AB66">OptionDelta("P",$Z66,$B$2,AB$64,$B$3,$AA$63,0)</f>
        <v>-0.99999897897324108</v>
      </c>
      <c r="AC66" s="1" cm="1">
        <f t="array" ref="AC66">OptionDelta("P",$Z66,$B$2,AC$64,$B$3,$AA$63,0)</f>
        <v>-0.99994102148184927</v>
      </c>
      <c r="AD66" s="1" cm="1">
        <f t="array" ref="AD66">OptionDelta("P",$Z66,$B$2,AD$64,$B$3,$AA$63,0)</f>
        <v>-0.99953480118587623</v>
      </c>
      <c r="AE66" s="1" cm="1">
        <f t="array" ref="AE66">OptionDelta("P",$Z66,$B$2,AE$64,$B$3,$AA$63,0)</f>
        <v>-0.99835909338440354</v>
      </c>
      <c r="AF66" s="1" cm="1">
        <f t="array" ref="AF66">OptionDelta("P",$Z66,$B$2,AF$64,$B$3,$AA$63,0)</f>
        <v>-0.99614488265403034</v>
      </c>
      <c r="AG66" s="1" cm="1">
        <f t="array" ref="AG66">OptionDelta("P",$Z66,$B$2,AG$64,$B$3,$AA$63,0)</f>
        <v>-0.99283576290387021</v>
      </c>
      <c r="AH66" s="1" cm="1">
        <f t="array" ref="AH66">OptionDelta("P",$Z66,$B$2,AH$64,$B$3,$AA$63,0)</f>
        <v>-0.98851657476804122</v>
      </c>
      <c r="AI66" s="1" cm="1">
        <f t="array" ref="AI66">OptionDelta("P",$Z66,$B$2,AI$64,$B$3,$AA$63,0)</f>
        <v>-0.9833365493457592</v>
      </c>
      <c r="AJ66" s="1" cm="1">
        <f t="array" ref="AJ66">OptionDelta("P",$Z66,$B$2,AJ$64,$B$3,$AA$63,0)</f>
        <v>-0.97746039429844445</v>
      </c>
      <c r="AK66" s="1" cm="1">
        <f t="array" ref="AK66">OptionDelta("P",$Z66,$B$2,AK$64,$B$3,$AA$63,0)</f>
        <v>-0.90505685531529534</v>
      </c>
      <c r="AL66" s="1" cm="1">
        <f t="array" ref="AL66">OptionDelta("P",$Z66,$B$2,AL$64,$B$3,$AA$63,0)</f>
        <v>-0.83738213822355212</v>
      </c>
      <c r="AM66" s="1" cm="1">
        <f t="array" ref="AM66">OptionDelta("P",$Z66,$B$2,AM$64,$B$3,$AA$63,0)</f>
        <v>-0.78140801553503314</v>
      </c>
      <c r="AN66" s="1" cm="1">
        <f t="array" ref="AN66">OptionDelta("P",$Z66,$B$2,AN$64,$B$3,$AA$63,0)</f>
        <v>-0.73494879354496201</v>
      </c>
      <c r="AW66" s="139"/>
      <c r="AX66" s="14">
        <v>65</v>
      </c>
      <c r="AY66" s="1" cm="1">
        <f t="array" ref="AY66">OptionTheta("P",$AX66,$B$2,AY$64,$B$3,$AY$63,0)</f>
        <v>-2.7369876733775189E-3</v>
      </c>
      <c r="AZ66" s="1" cm="1">
        <f t="array" ref="AZ66">OptionTheta("P",$AX66,$B$2,AZ$64,$B$3,$AY$63,0)</f>
        <v>-2.7344512868492017E-3</v>
      </c>
      <c r="BA66" s="1" cm="1">
        <f t="array" ref="BA66">OptionTheta("P",$AX66,$B$2,BA$64,$B$3,$AY$63,0)</f>
        <v>-2.7392464857215909E-3</v>
      </c>
      <c r="BB66" s="1" cm="1">
        <f t="array" ref="BB66">OptionTheta("P",$AX66,$B$2,BB$64,$B$3,$AY$63,0)</f>
        <v>-2.7747938606919528E-3</v>
      </c>
      <c r="BC66" s="1" cm="1">
        <f t="array" ref="BC66">OptionTheta("P",$AX66,$B$2,BC$64,$B$3,$AY$63,0)</f>
        <v>-2.8566288019025591E-3</v>
      </c>
      <c r="BD66" s="1" cm="1">
        <f t="array" ref="BD66">OptionTheta("P",$AX66,$B$2,BD$64,$B$3,$AY$63,0)</f>
        <v>-2.9802990718880199E-3</v>
      </c>
      <c r="BE66" s="1" cm="1">
        <f t="array" ref="BE66">OptionTheta("P",$AX66,$B$2,BE$64,$B$3,$AY$63,0)</f>
        <v>-3.1318747629846041E-3</v>
      </c>
      <c r="BF66" s="1" cm="1">
        <f t="array" ref="BF66">OptionTheta("P",$AX66,$B$2,BF$64,$B$3,$AY$63,0)</f>
        <v>-3.2972063885507272E-3</v>
      </c>
      <c r="BG66" s="1" cm="1">
        <f t="array" ref="BG66">OptionTheta("P",$AX66,$B$2,BG$64,$B$3,$AY$63,0)</f>
        <v>-3.4653892294819488E-3</v>
      </c>
      <c r="BH66" s="1" cm="1">
        <f t="array" ref="BH66">OptionTheta("P",$AX66,$B$2,BH$64,$B$3,$AY$63,0)</f>
        <v>-3.6291051775172055E-3</v>
      </c>
      <c r="BI66" s="1" cm="1">
        <f t="array" ref="BI66">OptionTheta("P",$AX66,$B$2,BI$64,$B$3,$AY$63,0)</f>
        <v>-4.6638399497052219E-3</v>
      </c>
      <c r="BJ66" s="1" cm="1">
        <f t="array" ref="BJ66">OptionTheta("P",$AX66,$B$2,BJ$64,$B$3,$AY$63,0)</f>
        <v>-4.9431138680195675E-3</v>
      </c>
      <c r="BK66" s="1" cm="1">
        <f t="array" ref="BK66">OptionTheta("P",$AX66,$B$2,BK$64,$B$3,$AY$63,0)</f>
        <v>-4.9441990412020876E-3</v>
      </c>
      <c r="BL66" s="1" cm="1">
        <f t="array" ref="BL66">OptionTheta("P",$AX66,$B$2,BL$64,$B$3,$AY$63,0)</f>
        <v>-4.8470336344956415E-3</v>
      </c>
      <c r="BU66" s="142"/>
      <c r="BV66" s="14">
        <v>65</v>
      </c>
      <c r="BW66" s="1" cm="1">
        <f t="array" ref="BW66">OptionGamma($BV66,$B$2,BW$64,$B$3,$BW$63,0)</f>
        <v>1.1286957540817279E-11</v>
      </c>
      <c r="BX66" s="1" cm="1">
        <f t="array" ref="BX66">OptionGamma($BV66,$B$2,BX$64,$B$3,$BW$63,0)</f>
        <v>8.6832323834608022E-7</v>
      </c>
      <c r="BY66" s="1" cm="1">
        <f t="array" ref="BY66">OptionGamma($BV66,$B$2,BY$64,$B$3,$BW$63,0)</f>
        <v>3.3820751258091636E-5</v>
      </c>
      <c r="BZ66" s="1" cm="1">
        <f t="array" ref="BZ66">OptionGamma($BV66,$B$2,BZ$64,$B$3,$BW$63,0)</f>
        <v>2.0218238688417126E-4</v>
      </c>
      <c r="CA66" s="1" cm="1">
        <f t="array" ref="CA66">OptionGamma($BV66,$B$2,CA$64,$B$3,$BW$63,0)</f>
        <v>5.7611680391896742E-4</v>
      </c>
      <c r="CB66" s="1" cm="1">
        <f t="array" ref="CB66">OptionGamma($BV66,$B$2,CB$64,$B$3,$BW$63,0)</f>
        <v>1.1382523244176247E-3</v>
      </c>
      <c r="CC66" s="1" cm="1">
        <f t="array" ref="CC66">OptionGamma($BV66,$B$2,CC$64,$B$3,$BW$63,0)</f>
        <v>1.8286848240875091E-3</v>
      </c>
      <c r="CD66" s="1" cm="1">
        <f t="array" ref="CD66">OptionGamma($BV66,$B$2,CD$64,$B$3,$BW$63,0)</f>
        <v>2.585538590771336E-3</v>
      </c>
      <c r="CE66" s="1" cm="1">
        <f t="array" ref="CE66">OptionGamma($BV66,$B$2,CE$64,$B$3,$BW$63,0)</f>
        <v>3.3605151026574521E-3</v>
      </c>
      <c r="CF66" s="1" cm="1">
        <f t="array" ref="CF66">OptionGamma($BV66,$B$2,CF$64,$B$3,$BW$63,0)</f>
        <v>4.1207309613217006E-3</v>
      </c>
      <c r="CG66" s="1" cm="1">
        <f t="array" ref="CG66">OptionGamma($BV66,$B$2,CG$64,$B$3,$BW$63,0)</f>
        <v>9.1893387459059377E-3</v>
      </c>
      <c r="CH66" s="1" cm="1">
        <f t="array" ref="CH66">OptionGamma($BV66,$B$2,CH$64,$B$3,$BW$63,0)</f>
        <v>1.0920849507992854E-2</v>
      </c>
      <c r="CI66" s="1" cm="1">
        <f t="array" ref="CI66">OptionGamma($BV66,$B$2,CI$64,$B$3,$BW$63,0)</f>
        <v>1.1346268148064857E-2</v>
      </c>
      <c r="CJ66" s="1" cm="1">
        <f t="array" ref="CJ66">OptionGamma($BV66,$B$2,CJ$64,$B$3,$BW$63,0)</f>
        <v>1.1268946181697022E-2</v>
      </c>
      <c r="CS66" s="145"/>
      <c r="CT66" s="14">
        <v>65</v>
      </c>
      <c r="CU66" s="1" cm="1">
        <f t="array" ref="CU66">OptionVega($CT66,$B$2,CU$64,$B$3,$CU$63,0)</f>
        <v>9.5374791219906036E-12</v>
      </c>
      <c r="CV66" s="1" cm="1">
        <f t="array" ref="CV66">OptionVega($CT66,$B$2,CV$64,$B$3,$CU$63,0)</f>
        <v>1.4674662728048759E-6</v>
      </c>
      <c r="CW66" s="1" cm="1">
        <f t="array" ref="CW66">OptionVega($CT66,$B$2,CW$64,$B$3,$CU$63,0)</f>
        <v>8.5735604439262291E-5</v>
      </c>
      <c r="CX66" s="1" cm="1">
        <f t="array" ref="CX66">OptionVega($CT66,$B$2,CX$64,$B$3,$CU$63,0)</f>
        <v>6.8337646766849906E-4</v>
      </c>
      <c r="CY66" s="1" cm="1">
        <f t="array" ref="CY66">OptionVega($CT66,$B$2,CY$64,$B$3,$CU$63,0)</f>
        <v>2.4340934965576379E-3</v>
      </c>
      <c r="CZ66" s="1" cm="1">
        <f t="array" ref="CZ66">OptionVega($CT66,$B$2,CZ$64,$B$3,$CU$63,0)</f>
        <v>5.7709392847973585E-3</v>
      </c>
      <c r="DA66" s="1" cm="1">
        <f t="array" ref="DA66">OptionVega($CT66,$B$2,DA$64,$B$3,$CU$63,0)</f>
        <v>1.0816670734477618E-2</v>
      </c>
      <c r="DB66" s="1" cm="1">
        <f t="array" ref="DB66">OptionVega($CT66,$B$2,DB$64,$B$3,$CU$63,0)</f>
        <v>1.7478240873614232E-2</v>
      </c>
      <c r="DC66" s="1" cm="1">
        <f t="array" ref="DC66">OptionVega($CT66,$B$2,DC$64,$B$3,$CU$63,0)</f>
        <v>2.5556717355709923E-2</v>
      </c>
      <c r="DD66" s="1" cm="1">
        <f t="array" ref="DD66">OptionVega($CT66,$B$2,DD$64,$B$3,$CU$63,0)</f>
        <v>3.4820176623168372E-2</v>
      </c>
      <c r="DE66" s="1" cm="1">
        <f t="array" ref="DE66">OptionVega($CT66,$B$2,DE$64,$B$3,$CU$63,0)</f>
        <v>0.15529982480581039</v>
      </c>
      <c r="DF66" s="1" cm="1">
        <f t="array" ref="DF66">OptionVega($CT66,$B$2,DF$64,$B$3,$CU$63,0)</f>
        <v>0.27684353502761883</v>
      </c>
      <c r="DG66" s="1" cm="1">
        <f t="array" ref="DG66">OptionVega($CT66,$B$2,DG$64,$B$3,$CU$63,0)</f>
        <v>0.38350386340459214</v>
      </c>
      <c r="DH66" s="1" cm="1">
        <f t="array" ref="DH66">OptionVega($CT66,$B$2,DH$64,$B$3,$CU$63,0)</f>
        <v>0.47611297617669923</v>
      </c>
      <c r="DQ66" s="130"/>
      <c r="DR66" s="14">
        <v>65</v>
      </c>
      <c r="DS66" s="1" cm="1">
        <f t="array" ref="DS66">OptionRho("P",$DR66,$B$2,DS$64,$B$3,$DS$63,0)</f>
        <v>-9.9900049982904665E-2</v>
      </c>
      <c r="DT66" s="1" cm="1">
        <f t="array" ref="DT66">OptionRho("P",$DR66,$B$2,DT$64,$B$3,$DS$63,0)</f>
        <v>-0.19960026927726371</v>
      </c>
      <c r="DU66" s="1" cm="1">
        <f t="array" ref="DU66">OptionRho("P",$DR66,$B$2,DU$64,$B$3,$DS$63,0)</f>
        <v>-0.2990901341421216</v>
      </c>
      <c r="DV66" s="1" cm="1">
        <f t="array" ref="DV66">OptionRho("P",$DR66,$B$2,DV$64,$B$3,$DS$63,0)</f>
        <v>-0.39828613898434018</v>
      </c>
      <c r="DW66" s="1" cm="1">
        <f t="array" ref="DW66">OptionRho("P",$DR66,$B$2,DW$64,$B$3,$DS$63,0)</f>
        <v>-0.49699382138164072</v>
      </c>
      <c r="DX66" s="1" cm="1">
        <f t="array" ref="DX66">OptionRho("P",$DR66,$B$2,DX$64,$B$3,$DS$63,0)</f>
        <v>-0.59497610389550271</v>
      </c>
      <c r="DY66" s="1" cm="1">
        <f t="array" ref="DY66">OptionRho("P",$DR66,$B$2,DY$64,$B$3,$DS$63,0)</f>
        <v>-0.69202729459779011</v>
      </c>
      <c r="DZ66" s="1" cm="1">
        <f t="array" ref="DZ66">OptionRho("P",$DR66,$B$2,DZ$64,$B$3,$DS$63,0)</f>
        <v>-0.78800185672067002</v>
      </c>
      <c r="EA66" s="1" cm="1">
        <f t="array" ref="EA66">OptionRho("P",$DR66,$B$2,EA$64,$B$3,$DS$63,0)</f>
        <v>-0.88281318832772104</v>
      </c>
      <c r="EB66" s="1" cm="1">
        <f t="array" ref="EB66">OptionRho("P",$DR66,$B$2,EB$64,$B$3,$DS$63,0)</f>
        <v>-0.97642162356209627</v>
      </c>
      <c r="EC66" s="1" cm="1">
        <f t="array" ref="EC66">OptionRho("P",$DR66,$B$2,EC$64,$B$3,$DS$63,0)</f>
        <v>-1.8516049152267084</v>
      </c>
      <c r="ED66" s="1" cm="1">
        <f t="array" ref="ED66">OptionRho("P",$DR66,$B$2,ED$64,$B$3,$DS$63,0)</f>
        <v>-2.6442743352052376</v>
      </c>
      <c r="EE66" s="1" cm="1">
        <f t="array" ref="EE66">OptionRho("P",$DR66,$B$2,EE$64,$B$3,$DS$63,0)</f>
        <v>-3.3834919661091263</v>
      </c>
      <c r="EF66" s="1" cm="1">
        <f t="array" ref="EF66">OptionRho("P",$DR66,$B$2,EF$64,$B$3,$DS$63,0)</f>
        <v>-4.0847066211875553</v>
      </c>
    </row>
    <row r="67" spans="1:136" x14ac:dyDescent="0.2">
      <c r="A67" s="133"/>
      <c r="B67" s="14">
        <v>70</v>
      </c>
      <c r="C67" s="1" cm="1">
        <f t="array" ref="C67">OptionPrice("P",$B67,$B$2,C$64,$B$3,$C$63,0)</f>
        <v>29.900049991637999</v>
      </c>
      <c r="D67" s="1" cm="1">
        <f t="array" ref="D67">OptionPrice("P",$B67,$B$2,D$64,$B$3,$C$63,0)</f>
        <v>29.800262050315979</v>
      </c>
      <c r="E67" s="1" cm="1">
        <f t="array" ref="E67">OptionPrice("P",$B67,$B$2,E$64,$B$3,$C$63,0)</f>
        <v>29.701971650100504</v>
      </c>
      <c r="F67" s="1" cm="1">
        <f t="array" ref="F67">OptionPrice("P",$B67,$B$2,F$64,$B$3,$C$63,0)</f>
        <v>29.609149177743816</v>
      </c>
      <c r="G67" s="1" cm="1">
        <f t="array" ref="G67">OptionPrice("P",$B67,$B$2,G$64,$B$3,$C$63,0)</f>
        <v>29.525842775206613</v>
      </c>
      <c r="H67" s="1" cm="1">
        <f t="array" ref="H67">OptionPrice("P",$B67,$B$2,H$64,$B$3,$C$63,0)</f>
        <v>29.454280073591619</v>
      </c>
      <c r="I67" s="1" cm="1">
        <f t="array" ref="I67">OptionPrice("P",$B67,$B$2,I$64,$B$3,$C$63,0)</f>
        <v>29.395024061194022</v>
      </c>
      <c r="J67" s="1" cm="1">
        <f t="array" ref="J67">OptionPrice("P",$B67,$B$2,J$64,$B$3,$C$63,0)</f>
        <v>29.34763022506317</v>
      </c>
      <c r="K67" s="1" cm="1">
        <f t="array" ref="K67">OptionPrice("P",$B67,$B$2,K$64,$B$3,$C$63,0)</f>
        <v>29.311162749089064</v>
      </c>
      <c r="L67" s="1" cm="1">
        <f t="array" ref="L67">OptionPrice("P",$B67,$B$2,L$64,$B$3,$C$63,0)</f>
        <v>29.284504641826857</v>
      </c>
      <c r="M67" s="1" cm="1">
        <f t="array" ref="M67">OptionPrice("P",$B67,$B$2,M$64,$B$3,$C$63,0)</f>
        <v>29.35160243162791</v>
      </c>
      <c r="N67" s="1" cm="1">
        <f t="array" ref="N67">OptionPrice("P",$B67,$B$2,N$64,$B$3,$C$63,0)</f>
        <v>29.668202788876179</v>
      </c>
      <c r="O67" s="1" cm="1">
        <f t="array" ref="O67">OptionPrice("P",$B67,$B$2,O$64,$B$3,$C$63,0)</f>
        <v>30.033555452121533</v>
      </c>
      <c r="P67" s="1" cm="1">
        <f t="array" ref="P67">OptionPrice("P",$B67,$B$2,P$64,$B$3,$C$63,0)</f>
        <v>30.389684145086839</v>
      </c>
      <c r="Y67" s="136"/>
      <c r="Z67" s="14">
        <v>70</v>
      </c>
      <c r="AA67" s="1" cm="1">
        <f t="array" ref="AA67">OptionDelta("P",$Z67,$B$2,AA$64,$B$3,$AA$63,0)</f>
        <v>-0.99999998878249752</v>
      </c>
      <c r="AB67" s="1" cm="1">
        <f t="array" ref="AB67">OptionDelta("P",$Z67,$B$2,AB$64,$B$3,$AA$63,0)</f>
        <v>-0.99995584753698585</v>
      </c>
      <c r="AC67" s="1" cm="1">
        <f t="array" ref="AC67">OptionDelta("P",$Z67,$B$2,AC$64,$B$3,$AA$63,0)</f>
        <v>-0.99924777425081568</v>
      </c>
      <c r="AD67" s="1" cm="1">
        <f t="array" ref="AD67">OptionDelta("P",$Z67,$B$2,AD$64,$B$3,$AA$63,0)</f>
        <v>-0.99678390000441497</v>
      </c>
      <c r="AE67" s="1" cm="1">
        <f t="array" ref="AE67">OptionDelta("P",$Z67,$B$2,AE$64,$B$3,$AA$63,0)</f>
        <v>-0.99215411365915518</v>
      </c>
      <c r="AF67" s="1" cm="1">
        <f t="array" ref="AF67">OptionDelta("P",$Z67,$B$2,AF$64,$B$3,$AA$63,0)</f>
        <v>-0.98559722139706984</v>
      </c>
      <c r="AG67" s="1" cm="1">
        <f t="array" ref="AG67">OptionDelta("P",$Z67,$B$2,AG$64,$B$3,$AA$63,0)</f>
        <v>-0.97757408881603791</v>
      </c>
      <c r="AH67" s="1" cm="1">
        <f t="array" ref="AH67">OptionDelta("P",$Z67,$B$2,AH$64,$B$3,$AA$63,0)</f>
        <v>-0.96853667944616317</v>
      </c>
      <c r="AI67" s="1" cm="1">
        <f t="array" ref="AI67">OptionDelta("P",$Z67,$B$2,AI$64,$B$3,$AA$63,0)</f>
        <v>-0.95885400744147464</v>
      </c>
      <c r="AJ67" s="1" cm="1">
        <f t="array" ref="AJ67">OptionDelta("P",$Z67,$B$2,AJ$64,$B$3,$AA$63,0)</f>
        <v>-0.94880489471011198</v>
      </c>
      <c r="AK67" s="1" cm="1">
        <f t="array" ref="AK67">OptionDelta("P",$Z67,$B$2,AK$64,$B$3,$AA$63,0)</f>
        <v>-0.85288892223498691</v>
      </c>
      <c r="AL67" s="1" cm="1">
        <f t="array" ref="AL67">OptionDelta("P",$Z67,$B$2,AL$64,$B$3,$AA$63,0)</f>
        <v>-0.77929792459466751</v>
      </c>
      <c r="AM67" s="1" cm="1">
        <f t="array" ref="AM67">OptionDelta("P",$Z67,$B$2,AM$64,$B$3,$AA$63,0)</f>
        <v>-0.72297001881272516</v>
      </c>
      <c r="AN67" s="1" cm="1">
        <f t="array" ref="AN67">OptionDelta("P",$Z67,$B$2,AN$64,$B$3,$AA$63,0)</f>
        <v>-0.67800925822604985</v>
      </c>
      <c r="AW67" s="139"/>
      <c r="AX67" s="14">
        <v>70</v>
      </c>
      <c r="AY67" s="1" cm="1">
        <f t="array" ref="AY67">OptionTheta("P",$AX67,$B$2,AY$64,$B$3,$AY$63,0)</f>
        <v>-2.7369915686882079E-3</v>
      </c>
      <c r="AZ67" s="1" cm="1">
        <f t="array" ref="AZ67">OptionTheta("P",$AX67,$B$2,AZ$64,$B$3,$AY$63,0)</f>
        <v>-2.7420267989981492E-3</v>
      </c>
      <c r="BA67" s="1" cm="1">
        <f t="array" ref="BA67">OptionTheta("P",$AX67,$B$2,BA$64,$B$3,$AY$63,0)</f>
        <v>-2.8208578042533137E-3</v>
      </c>
      <c r="BB67" s="1" cm="1">
        <f t="array" ref="BB67">OptionTheta("P",$AX67,$B$2,BB$64,$B$3,$AY$63,0)</f>
        <v>-3.01821278894934E-3</v>
      </c>
      <c r="BC67" s="1" cm="1">
        <f t="array" ref="BC67">OptionTheta("P",$AX67,$B$2,BC$64,$B$3,$AY$63,0)</f>
        <v>-3.2961051967293517E-3</v>
      </c>
      <c r="BD67" s="1" cm="1">
        <f t="array" ref="BD67">OptionTheta("P",$AX67,$B$2,BD$64,$B$3,$AY$63,0)</f>
        <v>-3.6025734125800816E-3</v>
      </c>
      <c r="BE67" s="1" cm="1">
        <f t="array" ref="BE67">OptionTheta("P",$AX67,$B$2,BE$64,$B$3,$AY$63,0)</f>
        <v>-3.9028479694838856E-3</v>
      </c>
      <c r="BF67" s="1" cm="1">
        <f t="array" ref="BF67">OptionTheta("P",$AX67,$B$2,BF$64,$B$3,$AY$63,0)</f>
        <v>-4.1791297448183088E-3</v>
      </c>
      <c r="BG67" s="1" cm="1">
        <f t="array" ref="BG67">OptionTheta("P",$AX67,$B$2,BG$64,$B$3,$AY$63,0)</f>
        <v>-4.4243922069118237E-3</v>
      </c>
      <c r="BH67" s="1" cm="1">
        <f t="array" ref="BH67">OptionTheta("P",$AX67,$B$2,BH$64,$B$3,$AY$63,0)</f>
        <v>-4.6374526107155391E-3</v>
      </c>
      <c r="BI67" s="1" cm="1">
        <f t="array" ref="BI67">OptionTheta("P",$AX67,$B$2,BI$64,$B$3,$AY$63,0)</f>
        <v>-5.5608382042685372E-3</v>
      </c>
      <c r="BJ67" s="1" cm="1">
        <f t="array" ref="BJ67">OptionTheta("P",$AX67,$B$2,BJ$64,$B$3,$AY$63,0)</f>
        <v>-5.5918526285178528E-3</v>
      </c>
      <c r="BK67" s="1" cm="1">
        <f t="array" ref="BK67">OptionTheta("P",$AX67,$B$2,BK$64,$B$3,$AY$63,0)</f>
        <v>-5.4205251022373738E-3</v>
      </c>
      <c r="BL67" s="1" cm="1">
        <f t="array" ref="BL67">OptionTheta("P",$AX67,$B$2,BL$64,$B$3,$AY$63,0)</f>
        <v>-5.2079453242293719E-3</v>
      </c>
      <c r="BU67" s="142"/>
      <c r="BV67" s="14">
        <v>70</v>
      </c>
      <c r="BW67" s="1" cm="1">
        <f t="array" ref="BW67">OptionGamma($BV67,$B$2,BW$64,$B$3,$BW$63,0)</f>
        <v>1.4597010892531745E-8</v>
      </c>
      <c r="BX67" s="1" cm="1">
        <f t="array" ref="BX67">OptionGamma($BV67,$B$2,BX$64,$B$3,$BW$63,0)</f>
        <v>2.9265998523210969E-5</v>
      </c>
      <c r="BY67" s="1" cm="1">
        <f t="array" ref="BY67">OptionGamma($BV67,$B$2,BY$64,$B$3,$BW$63,0)</f>
        <v>3.3795857220289077E-4</v>
      </c>
      <c r="BZ67" s="1" cm="1">
        <f t="array" ref="BZ67">OptionGamma($BV67,$B$2,BZ$64,$B$3,$BW$63,0)</f>
        <v>1.1000759814895978E-3</v>
      </c>
      <c r="CA67" s="1" cm="1">
        <f t="array" ref="CA67">OptionGamma($BV67,$B$2,CA$64,$B$3,$BW$63,0)</f>
        <v>2.1766539744157011E-3</v>
      </c>
      <c r="CB67" s="1" cm="1">
        <f t="array" ref="CB67">OptionGamma($BV67,$B$2,CB$64,$B$3,$BW$63,0)</f>
        <v>3.3722289783455592E-3</v>
      </c>
      <c r="CC67" s="1" cm="1">
        <f t="array" ref="CC67">OptionGamma($BV67,$B$2,CC$64,$B$3,$BW$63,0)</f>
        <v>4.5539531232495038E-3</v>
      </c>
      <c r="CD67" s="1" cm="1">
        <f t="array" ref="CD67">OptionGamma($BV67,$B$2,CD$64,$B$3,$BW$63,0)</f>
        <v>5.6523508060789462E-3</v>
      </c>
      <c r="CE67" s="1" cm="1">
        <f t="array" ref="CE67">OptionGamma($BV67,$B$2,CE$64,$B$3,$BW$63,0)</f>
        <v>6.6387114573764538E-3</v>
      </c>
      <c r="CF67" s="1" cm="1">
        <f t="array" ref="CF67">OptionGamma($BV67,$B$2,CF$64,$B$3,$BW$63,0)</f>
        <v>7.5067523489369872E-3</v>
      </c>
      <c r="CG67" s="1" cm="1">
        <f t="array" ref="CG67">OptionGamma($BV67,$B$2,CG$64,$B$3,$BW$63,0)</f>
        <v>1.1624159945686186E-2</v>
      </c>
      <c r="CH67" s="1" cm="1">
        <f t="array" ref="CH67">OptionGamma($BV67,$B$2,CH$64,$B$3,$BW$63,0)</f>
        <v>1.2233016676571298E-2</v>
      </c>
      <c r="CI67" s="1" cm="1">
        <f t="array" ref="CI67">OptionGamma($BV67,$B$2,CI$64,$B$3,$BW$63,0)</f>
        <v>1.1959970353331821E-2</v>
      </c>
      <c r="CJ67" s="1" cm="1">
        <f t="array" ref="CJ67">OptionGamma($BV67,$B$2,CJ$64,$B$3,$BW$63,0)</f>
        <v>1.1453027766679769E-2</v>
      </c>
      <c r="CS67" s="145"/>
      <c r="CT67" s="14">
        <v>70</v>
      </c>
      <c r="CU67" s="1" cm="1">
        <f t="array" ref="CU67">OptionVega($CT67,$B$2,CU$64,$B$3,$CU$63,0)</f>
        <v>1.4305070674681116E-8</v>
      </c>
      <c r="CV67" s="1" cm="1">
        <f t="array" ref="CV67">OptionVega($CT67,$B$2,CV$64,$B$3,$CU$63,0)</f>
        <v>5.73613571054935E-5</v>
      </c>
      <c r="CW67" s="1" cm="1">
        <f t="array" ref="CW67">OptionVega($CT67,$B$2,CW$64,$B$3,$CU$63,0)</f>
        <v>9.9359820227649877E-4</v>
      </c>
      <c r="CX67" s="1" cm="1">
        <f t="array" ref="CX67">OptionVega($CT67,$B$2,CX$64,$B$3,$CU$63,0)</f>
        <v>4.3122978474392244E-3</v>
      </c>
      <c r="CY67" s="1" cm="1">
        <f t="array" ref="CY67">OptionVega($CT67,$B$2,CY$64,$B$3,$CU$63,0)</f>
        <v>1.066560447463694E-2</v>
      </c>
      <c r="CZ67" s="1" cm="1">
        <f t="array" ref="CZ67">OptionVega($CT67,$B$2,CZ$64,$B$3,$CU$63,0)</f>
        <v>1.9828706392671893E-2</v>
      </c>
      <c r="DA67" s="1" cm="1">
        <f t="array" ref="DA67">OptionVega($CT67,$B$2,DA$64,$B$3,$CU$63,0)</f>
        <v>3.1240118425491601E-2</v>
      </c>
      <c r="DB67" s="1" cm="1">
        <f t="array" ref="DB67">OptionVega($CT67,$B$2,DB$64,$B$3,$CU$63,0)</f>
        <v>4.431443031965894E-2</v>
      </c>
      <c r="DC67" s="1" cm="1">
        <f t="array" ref="DC67">OptionVega($CT67,$B$2,DC$64,$B$3,$CU$63,0)</f>
        <v>5.8553435054060327E-2</v>
      </c>
      <c r="DD67" s="1" cm="1">
        <f t="array" ref="DD67">OptionVega($CT67,$B$2,DD$64,$B$3,$CU$63,0)</f>
        <v>7.3566173019582473E-2</v>
      </c>
      <c r="DE67" s="1" cm="1">
        <f t="array" ref="DE67">OptionVega($CT67,$B$2,DE$64,$B$3,$CU$63,0)</f>
        <v>0.22783353493544931</v>
      </c>
      <c r="DF67" s="1" cm="1">
        <f t="array" ref="DF67">OptionVega($CT67,$B$2,DF$64,$B$3,$CU$63,0)</f>
        <v>0.35965069029119617</v>
      </c>
      <c r="DG67" s="1" cm="1">
        <f t="array" ref="DG67">OptionVega($CT67,$B$2,DG$64,$B$3,$CU$63,0)</f>
        <v>0.46883083785060742</v>
      </c>
      <c r="DH67" s="1" cm="1">
        <f t="array" ref="DH67">OptionVega($CT67,$B$2,DH$64,$B$3,$CU$63,0)</f>
        <v>0.56119836056730876</v>
      </c>
      <c r="DQ67" s="130"/>
      <c r="DR67" s="14">
        <v>70</v>
      </c>
      <c r="DS67" s="1" cm="1">
        <f t="array" ref="DS67">OptionRho("P",$DR67,$B$2,DS$64,$B$3,$DS$63,0)</f>
        <v>-9.990004920641285E-2</v>
      </c>
      <c r="DT67" s="1" cm="1">
        <f t="array" ref="DT67">OptionRho("P",$DR67,$B$2,DT$64,$B$3,$DS$63,0)</f>
        <v>-0.19959434275580998</v>
      </c>
      <c r="DU67" s="1" cm="1">
        <f t="array" ref="DU67">OptionRho("P",$DR67,$B$2,DU$64,$B$3,$DS$63,0)</f>
        <v>-0.29894794754297283</v>
      </c>
      <c r="DV67" s="1" cm="1">
        <f t="array" ref="DV67">OptionRho("P",$DR67,$B$2,DV$64,$B$3,$DS$63,0)</f>
        <v>-0.39753608871221147</v>
      </c>
      <c r="DW67" s="1" cm="1">
        <f t="array" ref="DW67">OptionRho("P",$DR67,$B$2,DW$64,$B$3,$DS$63,0)</f>
        <v>-0.49488315365673735</v>
      </c>
      <c r="DX67" s="1" cm="1">
        <f t="array" ref="DX67">OptionRho("P",$DR67,$B$2,DX$64,$B$3,$DS$63,0)</f>
        <v>-0.59067651342831895</v>
      </c>
      <c r="DY67" s="1" cm="1">
        <f t="array" ref="DY67">OptionRho("P",$DR67,$B$2,DY$64,$B$3,$DS$63,0)</f>
        <v>-0.68477647194821667</v>
      </c>
      <c r="DZ67" s="1" cm="1">
        <f t="array" ref="DZ67">OptionRho("P",$DR67,$B$2,DZ$64,$B$3,$DS$63,0)</f>
        <v>-0.7771615822903567</v>
      </c>
      <c r="EA67" s="1" cm="1">
        <f t="array" ref="EA67">OptionRho("P",$DR67,$B$2,EA$64,$B$3,$DS$63,0)</f>
        <v>-0.86787848942993062</v>
      </c>
      <c r="EB67" s="1" cm="1">
        <f t="array" ref="EB67">OptionRho("P",$DR67,$B$2,EB$64,$B$3,$DS$63,0)</f>
        <v>-0.95700847271534706</v>
      </c>
      <c r="EC67" s="1" cm="1">
        <f t="array" ref="EC67">OptionRho("P",$DR67,$B$2,EC$64,$B$3,$DS$63,0)</f>
        <v>-1.7810765397615398</v>
      </c>
      <c r="ED67" s="1" cm="1">
        <f t="array" ref="ED67">OptionRho("P",$DR67,$B$2,ED$64,$B$3,$DS$63,0)</f>
        <v>-2.5265717253150868</v>
      </c>
      <c r="EE67" s="1" cm="1">
        <f t="array" ref="EE67">OptionRho("P",$DR67,$B$2,EE$64,$B$3,$DS$63,0)</f>
        <v>-3.2256582707604915</v>
      </c>
      <c r="EF67" s="1" cm="1">
        <f t="array" ref="EF67">OptionRho("P",$DR67,$B$2,EF$64,$B$3,$DS$63,0)</f>
        <v>-3.8925166110455169</v>
      </c>
    </row>
    <row r="68" spans="1:136" x14ac:dyDescent="0.2">
      <c r="A68" s="133"/>
      <c r="B68" s="14">
        <v>75</v>
      </c>
      <c r="C68" s="1" cm="1">
        <f t="array" ref="C68">OptionPrice("P",$B68,$B$2,C$64,$B$3,$C$63,0)</f>
        <v>24.900053216369727</v>
      </c>
      <c r="D68" s="1" cm="1">
        <f t="array" ref="D68">OptionPrice("P",$B68,$B$2,D$64,$B$3,$C$63,0)</f>
        <v>24.801664178869387</v>
      </c>
      <c r="E68" s="1" cm="1">
        <f t="array" ref="E68">OptionPrice("P",$B68,$B$2,E$64,$B$3,$C$63,0)</f>
        <v>24.714352773531985</v>
      </c>
      <c r="F68" s="1" cm="1">
        <f t="array" ref="F68">OptionPrice("P",$B68,$B$2,F$64,$B$3,$C$63,0)</f>
        <v>24.648001688154423</v>
      </c>
      <c r="G68" s="1" cm="1">
        <f t="array" ref="G68">OptionPrice("P",$B68,$B$2,G$64,$B$3,$C$63,0)</f>
        <v>24.605089564656694</v>
      </c>
      <c r="H68" s="1" cm="1">
        <f t="array" ref="H68">OptionPrice("P",$B68,$B$2,H$64,$B$3,$C$63,0)</f>
        <v>24.583734168174743</v>
      </c>
      <c r="I68" s="1" cm="1">
        <f t="array" ref="I68">OptionPrice("P",$B68,$B$2,I$64,$B$3,$C$63,0)</f>
        <v>24.580702580586092</v>
      </c>
      <c r="J68" s="1" cm="1">
        <f t="array" ref="J68">OptionPrice("P",$B68,$B$2,J$64,$B$3,$C$63,0)</f>
        <v>24.592726813735311</v>
      </c>
      <c r="K68" s="1" cm="1">
        <f t="array" ref="K68">OptionPrice("P",$B68,$B$2,K$64,$B$3,$C$63,0)</f>
        <v>24.616937489643519</v>
      </c>
      <c r="L68" s="1" cm="1">
        <f t="array" ref="L68">OptionPrice("P",$B68,$B$2,L$64,$B$3,$C$63,0)</f>
        <v>24.650947238751527</v>
      </c>
      <c r="M68" s="1" cm="1">
        <f t="array" ref="M68">OptionPrice("P",$B68,$B$2,M$64,$B$3,$C$63,0)</f>
        <v>25.241294084128981</v>
      </c>
      <c r="N68" s="1" cm="1">
        <f t="array" ref="N68">OptionPrice("P",$B68,$B$2,N$64,$B$3,$C$63,0)</f>
        <v>25.928548883358026</v>
      </c>
      <c r="O68" s="1" cm="1">
        <f t="array" ref="O68">OptionPrice("P",$B68,$B$2,O$64,$B$3,$C$63,0)</f>
        <v>26.569507769169562</v>
      </c>
      <c r="P68" s="1" cm="1">
        <f t="array" ref="P68">OptionPrice("P",$B68,$B$2,P$64,$B$3,$C$63,0)</f>
        <v>27.14262100550782</v>
      </c>
      <c r="Y68" s="136"/>
      <c r="Z68" s="14">
        <v>75</v>
      </c>
      <c r="AA68" s="1" cm="1">
        <f t="array" ref="AA68">OptionDelta("P",$Z68,$B$2,AA$64,$B$3,$AA$63,0)</f>
        <v>-0.99999662175436721</v>
      </c>
      <c r="AB68" s="1" cm="1">
        <f t="array" ref="AB68">OptionDelta("P",$Z68,$B$2,AB$64,$B$3,$AA$63,0)</f>
        <v>-0.99918169321756944</v>
      </c>
      <c r="AC68" s="1" cm="1">
        <f t="array" ref="AC68">OptionDelta("P",$Z68,$B$2,AC$64,$B$3,$AA$63,0)</f>
        <v>-0.99452056537245881</v>
      </c>
      <c r="AD68" s="1" cm="1">
        <f t="array" ref="AD68">OptionDelta("P",$Z68,$B$2,AD$64,$B$3,$AA$63,0)</f>
        <v>-0.98535117473071088</v>
      </c>
      <c r="AE68" s="1" cm="1">
        <f t="array" ref="AE68">OptionDelta("P",$Z68,$B$2,AE$64,$B$3,$AA$63,0)</f>
        <v>-0.9730819773171373</v>
      </c>
      <c r="AF68" s="1" cm="1">
        <f t="array" ref="AF68">OptionDelta("P",$Z68,$B$2,AF$64,$B$3,$AA$63,0)</f>
        <v>-0.95913982788824037</v>
      </c>
      <c r="AG68" s="1" cm="1">
        <f t="array" ref="AG68">OptionDelta("P",$Z68,$B$2,AG$64,$B$3,$AA$63,0)</f>
        <v>-0.94450176292646359</v>
      </c>
      <c r="AH68" s="1" cm="1">
        <f t="array" ref="AH68">OptionDelta("P",$Z68,$B$2,AH$64,$B$3,$AA$63,0)</f>
        <v>-0.92976291941623557</v>
      </c>
      <c r="AI68" s="1" cm="1">
        <f t="array" ref="AI68">OptionDelta("P",$Z68,$B$2,AI$64,$B$3,$AA$63,0)</f>
        <v>-0.91526598820601524</v>
      </c>
      <c r="AJ68" s="1" cm="1">
        <f t="array" ref="AJ68">OptionDelta("P",$Z68,$B$2,AJ$64,$B$3,$AA$63,0)</f>
        <v>-0.9011984232382525</v>
      </c>
      <c r="AK68" s="1" cm="1">
        <f t="array" ref="AK68">OptionDelta("P",$Z68,$B$2,AK$64,$B$3,$AA$63,0)</f>
        <v>-0.78958372202412042</v>
      </c>
      <c r="AL68" s="1" cm="1">
        <f t="array" ref="AL68">OptionDelta("P",$Z68,$B$2,AL$64,$B$3,$AA$63,0)</f>
        <v>-0.7158845880678294</v>
      </c>
      <c r="AM68" s="1" cm="1">
        <f t="array" ref="AM68">OptionDelta("P",$Z68,$B$2,AM$64,$B$3,$AA$63,0)</f>
        <v>-0.66246690705453493</v>
      </c>
      <c r="AN68" s="1" cm="1">
        <f t="array" ref="AN68">OptionDelta("P",$Z68,$B$2,AN$64,$B$3,$AA$63,0)</f>
        <v>-0.62090803102434033</v>
      </c>
      <c r="AW68" s="139"/>
      <c r="AX68" s="14">
        <v>75</v>
      </c>
      <c r="AY68" s="1" cm="1">
        <f t="array" ref="AY68">OptionTheta("P",$AX68,$B$2,AY$64,$B$3,$AY$63,0)</f>
        <v>-2.7380137327924106E-3</v>
      </c>
      <c r="AZ68" s="1" cm="1">
        <f t="array" ref="AZ68">OptionTheta("P",$AX68,$B$2,AZ$64,$B$3,$AY$63,0)</f>
        <v>-2.8612802395550571E-3</v>
      </c>
      <c r="BA68" s="1" cm="1">
        <f t="array" ref="BA68">OptionTheta("P",$AX68,$B$2,BA$64,$B$3,$AY$63,0)</f>
        <v>-3.3091408290299115E-3</v>
      </c>
      <c r="BB68" s="1" cm="1">
        <f t="array" ref="BB68">OptionTheta("P",$AX68,$B$2,BB$64,$B$3,$AY$63,0)</f>
        <v>-3.905547555274746E-3</v>
      </c>
      <c r="BC68" s="1" cm="1">
        <f t="array" ref="BC68">OptionTheta("P",$AX68,$B$2,BC$64,$B$3,$AY$63,0)</f>
        <v>-4.4803067780945175E-3</v>
      </c>
      <c r="BD68" s="1" cm="1">
        <f t="array" ref="BD68">OptionTheta("P",$AX68,$B$2,BD$64,$B$3,$AY$63,0)</f>
        <v>-4.9701523134566541E-3</v>
      </c>
      <c r="BE68" s="1" cm="1">
        <f t="array" ref="BE68">OptionTheta("P",$AX68,$B$2,BE$64,$B$3,$AY$63,0)</f>
        <v>-5.3657715890430982E-3</v>
      </c>
      <c r="BF68" s="1" cm="1">
        <f t="array" ref="BF68">OptionTheta("P",$AX68,$B$2,BF$64,$B$3,$AY$63,0)</f>
        <v>-5.6768554506357767E-3</v>
      </c>
      <c r="BG68" s="1" cm="1">
        <f t="array" ref="BG68">OptionTheta("P",$AX68,$B$2,BG$64,$B$3,$AY$63,0)</f>
        <v>-5.9176084004724629E-3</v>
      </c>
      <c r="BH68" s="1" cm="1">
        <f t="array" ref="BH68">OptionTheta("P",$AX68,$B$2,BH$64,$B$3,$AY$63,0)</f>
        <v>-6.1016334019955449E-3</v>
      </c>
      <c r="BI68" s="1" cm="1">
        <f t="array" ref="BI68">OptionTheta("P",$AX68,$B$2,BI$64,$B$3,$AY$63,0)</f>
        <v>-6.5062946270189768E-3</v>
      </c>
      <c r="BJ68" s="1" cm="1">
        <f t="array" ref="BJ68">OptionTheta("P",$AX68,$B$2,BJ$64,$B$3,$AY$63,0)</f>
        <v>-6.203009537466892E-3</v>
      </c>
      <c r="BK68" s="1" cm="1">
        <f t="array" ref="BK68">OptionTheta("P",$AX68,$B$2,BK$64,$B$3,$AY$63,0)</f>
        <v>-5.8431155456613298E-3</v>
      </c>
      <c r="BL68" s="1" cm="1">
        <f t="array" ref="BL68">OptionTheta("P",$AX68,$B$2,BL$64,$B$3,$AY$63,0)</f>
        <v>-5.5157974209524754E-3</v>
      </c>
      <c r="BU68" s="142"/>
      <c r="BV68" s="14">
        <v>75</v>
      </c>
      <c r="BW68" s="1" cm="1">
        <f t="array" ref="BW68">OptionGamma($BV68,$B$2,BW$64,$B$3,$BW$63,0)</f>
        <v>3.3512354645083037E-6</v>
      </c>
      <c r="BX68" s="1" cm="1">
        <f t="array" ref="BX68">OptionGamma($BV68,$B$2,BX$64,$B$3,$BW$63,0)</f>
        <v>4.1746111765088789E-4</v>
      </c>
      <c r="BY68" s="1" cm="1">
        <f t="array" ref="BY68">OptionGamma($BV68,$B$2,BY$64,$B$3,$BW$63,0)</f>
        <v>1.9093551185000314E-3</v>
      </c>
      <c r="BZ68" s="1" cm="1">
        <f t="array" ref="BZ68">OptionGamma($BV68,$B$2,BZ$64,$B$3,$BW$63,0)</f>
        <v>3.9113907532951544E-3</v>
      </c>
      <c r="CA68" s="1" cm="1">
        <f t="array" ref="CA68">OptionGamma($BV68,$B$2,CA$64,$B$3,$BW$63,0)</f>
        <v>5.8617741810673696E-3</v>
      </c>
      <c r="CB68" s="1" cm="1">
        <f t="array" ref="CB68">OptionGamma($BV68,$B$2,CB$64,$B$3,$BW$63,0)</f>
        <v>7.5458967272333394E-3</v>
      </c>
      <c r="CC68" s="1" cm="1">
        <f t="array" ref="CC68">OptionGamma($BV68,$B$2,CC$64,$B$3,$BW$63,0)</f>
        <v>8.92731806222242E-3</v>
      </c>
      <c r="CD68" s="1" cm="1">
        <f t="array" ref="CD68">OptionGamma($BV68,$B$2,CD$64,$B$3,$BW$63,0)</f>
        <v>1.0033802504733588E-2</v>
      </c>
      <c r="CE68" s="1" cm="1">
        <f t="array" ref="CE68">OptionGamma($BV68,$B$2,CE$64,$B$3,$BW$63,0)</f>
        <v>1.090940622330224E-2</v>
      </c>
      <c r="CF68" s="1" cm="1">
        <f t="array" ref="CF68">OptionGamma($BV68,$B$2,CF$64,$B$3,$BW$63,0)</f>
        <v>1.1597225794774839E-2</v>
      </c>
      <c r="CG68" s="1" cm="1">
        <f t="array" ref="CG68">OptionGamma($BV68,$B$2,CG$64,$B$3,$BW$63,0)</f>
        <v>1.3601749391133745E-2</v>
      </c>
      <c r="CH68" s="1" cm="1">
        <f t="array" ref="CH68">OptionGamma($BV68,$B$2,CH$64,$B$3,$BW$63,0)</f>
        <v>1.3047996011475228E-2</v>
      </c>
      <c r="CI68" s="1" cm="1">
        <f t="array" ref="CI68">OptionGamma($BV68,$B$2,CI$64,$B$3,$BW$63,0)</f>
        <v>1.2179483699411454E-2</v>
      </c>
      <c r="CJ68" s="1" cm="1">
        <f t="array" ref="CJ68">OptionGamma($BV68,$B$2,CJ$64,$B$3,$BW$63,0)</f>
        <v>1.1343634002882847E-2</v>
      </c>
      <c r="CS68" s="145"/>
      <c r="CT68" s="14">
        <v>75</v>
      </c>
      <c r="CU68" s="1" cm="1">
        <f t="array" ref="CU68">OptionVega($CT68,$B$2,CU$64,$B$3,$CU$63,0)</f>
        <v>3.7701398975718424E-6</v>
      </c>
      <c r="CV68" s="1" cm="1">
        <f t="array" ref="CV68">OptionVega($CT68,$B$2,CV$64,$B$3,$CU$63,0)</f>
        <v>9.3928751471449782E-4</v>
      </c>
      <c r="CW68" s="1" cm="1">
        <f t="array" ref="CW68">OptionVega($CT68,$B$2,CW$64,$B$3,$CU$63,0)</f>
        <v>6.4440735249376045E-3</v>
      </c>
      <c r="CX68" s="1" cm="1">
        <f t="array" ref="CX68">OptionVega($CT68,$B$2,CX$64,$B$3,$CU$63,0)</f>
        <v>1.7601258389828199E-2</v>
      </c>
      <c r="CY68" s="1" cm="1">
        <f t="array" ref="CY68">OptionVega($CT68,$B$2,CY$64,$B$3,$CU$63,0)</f>
        <v>3.2972479768503968E-2</v>
      </c>
      <c r="CZ68" s="1" cm="1">
        <f t="array" ref="CZ68">OptionVega($CT68,$B$2,CZ$64,$B$3,$CU$63,0)</f>
        <v>5.0934802908825044E-2</v>
      </c>
      <c r="DA68" s="1" cm="1">
        <f t="array" ref="DA68">OptionVega($CT68,$B$2,DA$64,$B$3,$CU$63,0)</f>
        <v>7.0302629740001565E-2</v>
      </c>
      <c r="DB68" s="1" cm="1">
        <f t="array" ref="DB68">OptionVega($CT68,$B$2,DB$64,$B$3,$CU$63,0)</f>
        <v>9.0304222542602286E-2</v>
      </c>
      <c r="DC68" s="1" cm="1">
        <f t="array" ref="DC68">OptionVega($CT68,$B$2,DC$64,$B$3,$CU$63,0)</f>
        <v>0.11045773801093518</v>
      </c>
      <c r="DD68" s="1" cm="1">
        <f t="array" ref="DD68">OptionVega($CT68,$B$2,DD$64,$B$3,$CU$63,0)</f>
        <v>0.13046879019121693</v>
      </c>
      <c r="DE68" s="1" cm="1">
        <f t="array" ref="DE68">OptionVega($CT68,$B$2,DE$64,$B$3,$CU$63,0)</f>
        <v>0.30603936130050935</v>
      </c>
      <c r="DF68" s="1" cm="1">
        <f t="array" ref="DF68">OptionVega($CT68,$B$2,DF$64,$B$3,$CU$63,0)</f>
        <v>0.44036986538728901</v>
      </c>
      <c r="DG68" s="1" cm="1">
        <f t="array" ref="DG68">OptionVega($CT68,$B$2,DG$64,$B$3,$CU$63,0)</f>
        <v>0.54807676647351533</v>
      </c>
      <c r="DH68" s="1" cm="1">
        <f t="array" ref="DH68">OptionVega($CT68,$B$2,DH$64,$B$3,$CU$63,0)</f>
        <v>0.63807941266216028</v>
      </c>
      <c r="DQ68" s="130"/>
      <c r="DR68" s="14">
        <v>75</v>
      </c>
      <c r="DS68" s="1" cm="1">
        <f t="array" ref="DS68">OptionRho("P",$DR68,$B$2,DS$64,$B$3,$DS$63,0)</f>
        <v>-9.9899799847947279E-2</v>
      </c>
      <c r="DT68" s="1" cm="1">
        <f t="array" ref="DT68">OptionRho("P",$DR68,$B$2,DT$64,$B$3,$DS$63,0)</f>
        <v>-0.19948058234037422</v>
      </c>
      <c r="DU68" s="1" cm="1">
        <f t="array" ref="DU68">OptionRho("P",$DR68,$B$2,DU$64,$B$3,$DS$63,0)</f>
        <v>-0.29791018552939919</v>
      </c>
      <c r="DV68" s="1" cm="1">
        <f t="array" ref="DV68">OptionRho("P",$DR68,$B$2,DV$64,$B$3,$DS$63,0)</f>
        <v>-0.39419735917183096</v>
      </c>
      <c r="DW68" s="1" cm="1">
        <f t="array" ref="DW68">OptionRho("P",$DR68,$B$2,DW$64,$B$3,$DS$63,0)</f>
        <v>-0.48793118931720991</v>
      </c>
      <c r="DX68" s="1" cm="1">
        <f t="array" ref="DX68">OptionRho("P",$DR68,$B$2,DX$64,$B$3,$DS$63,0)</f>
        <v>-0.57911532755875661</v>
      </c>
      <c r="DY68" s="1" cm="1">
        <f t="array" ref="DY68">OptionRho("P",$DR68,$B$2,DY$64,$B$3,$DS$63,0)</f>
        <v>-0.66792834360049602</v>
      </c>
      <c r="DZ68" s="1" cm="1">
        <f t="array" ref="DZ68">OptionRho("P",$DR68,$B$2,DZ$64,$B$3,$DS$63,0)</f>
        <v>-0.75459956615962387</v>
      </c>
      <c r="EA68" s="1" cm="1">
        <f t="array" ref="EA68">OptionRho("P",$DR68,$B$2,EA$64,$B$3,$DS$63,0)</f>
        <v>-0.83935697944585197</v>
      </c>
      <c r="EB68" s="1" cm="1">
        <f t="array" ref="EB68">OptionRho("P",$DR68,$B$2,EB$64,$B$3,$DS$63,0)</f>
        <v>-0.92240828981620471</v>
      </c>
      <c r="EC68" s="1" cm="1">
        <f t="array" ref="EC68">OptionRho("P",$DR68,$B$2,EC$64,$B$3,$DS$63,0)</f>
        <v>-1.6892014647187603</v>
      </c>
      <c r="ED68" s="1" cm="1">
        <f t="array" ref="ED68">OptionRho("P",$DR68,$B$2,ED$64,$B$3,$DS$63,0)</f>
        <v>-2.3885967896533566</v>
      </c>
      <c r="EE68" s="1" cm="1">
        <f t="array" ref="EE68">OptionRho("P",$DR68,$B$2,EE$64,$B$3,$DS$63,0)</f>
        <v>-3.0501810319303875</v>
      </c>
      <c r="EF68" s="1" cm="1">
        <f t="array" ref="EF68">OptionRho("P",$DR68,$B$2,EF$64,$B$3,$DS$63,0)</f>
        <v>-3.6855361666166675</v>
      </c>
    </row>
    <row r="69" spans="1:136" x14ac:dyDescent="0.2">
      <c r="A69" s="133"/>
      <c r="B69" s="14">
        <v>80</v>
      </c>
      <c r="C69" s="1" cm="1">
        <f t="array" ref="C69">OptionPrice("P",$B69,$B$2,C$64,$B$3,$C$63,0)</f>
        <v>19.900364562639112</v>
      </c>
      <c r="D69" s="1" cm="1">
        <f t="array" ref="D69">OptionPrice("P",$B69,$B$2,D$64,$B$3,$C$63,0)</f>
        <v>19.817623577797619</v>
      </c>
      <c r="E69" s="1" cm="1">
        <f t="array" ref="E69">OptionPrice("P",$B69,$B$2,E$64,$B$3,$C$63,0)</f>
        <v>19.781302618876381</v>
      </c>
      <c r="F69" s="1" cm="1">
        <f t="array" ref="F69">OptionPrice("P",$B69,$B$2,F$64,$B$3,$C$63,0)</f>
        <v>19.791205837246352</v>
      </c>
      <c r="G69" s="1" cm="1">
        <f t="array" ref="G69">OptionPrice("P",$B69,$B$2,G$64,$B$3,$C$63,0)</f>
        <v>19.8360299335029</v>
      </c>
      <c r="H69" s="1" cm="1">
        <f t="array" ref="H69">OptionPrice("P",$B69,$B$2,H$64,$B$3,$C$63,0)</f>
        <v>19.905448030670854</v>
      </c>
      <c r="I69" s="1" cm="1">
        <f t="array" ref="I69">OptionPrice("P",$B69,$B$2,I$64,$B$3,$C$63,0)</f>
        <v>19.991861279635387</v>
      </c>
      <c r="J69" s="1" cm="1">
        <f t="array" ref="J69">OptionPrice("P",$B69,$B$2,J$64,$B$3,$C$63,0)</f>
        <v>20.089933019918107</v>
      </c>
      <c r="K69" s="1" cm="1">
        <f t="array" ref="K69">OptionPrice("P",$B69,$B$2,K$64,$B$3,$C$63,0)</f>
        <v>20.195932151192082</v>
      </c>
      <c r="L69" s="1" cm="1">
        <f t="array" ref="L69">OptionPrice("P",$B69,$B$2,L$64,$B$3,$C$63,0)</f>
        <v>20.307228713626444</v>
      </c>
      <c r="M69" s="1" cm="1">
        <f t="array" ref="M69">OptionPrice("P",$B69,$B$2,M$64,$B$3,$C$63,0)</f>
        <v>21.469661011271299</v>
      </c>
      <c r="N69" s="1" cm="1">
        <f t="array" ref="N69">OptionPrice("P",$B69,$B$2,N$64,$B$3,$C$63,0)</f>
        <v>22.514063945977171</v>
      </c>
      <c r="O69" s="1" cm="1">
        <f t="array" ref="O69">OptionPrice("P",$B69,$B$2,O$64,$B$3,$C$63,0)</f>
        <v>23.409238092282294</v>
      </c>
      <c r="P69" s="1" cm="1">
        <f t="array" ref="P69">OptionPrice("P",$B69,$B$2,P$64,$B$3,$C$63,0)</f>
        <v>24.178666355495551</v>
      </c>
      <c r="Y69" s="136"/>
      <c r="Z69" s="14">
        <v>80</v>
      </c>
      <c r="AA69" s="1" cm="1">
        <f t="array" ref="AA69">OptionDelta("P",$Z69,$B$2,AA$64,$B$3,$AA$63,0)</f>
        <v>-0.99975001751527426</v>
      </c>
      <c r="AB69" s="1" cm="1">
        <f t="array" ref="AB69">OptionDelta("P",$Z69,$B$2,AB$64,$B$3,$AA$63,0)</f>
        <v>-0.99240335756181086</v>
      </c>
      <c r="AC69" s="1" cm="1">
        <f t="array" ref="AC69">OptionDelta("P",$Z69,$B$2,AC$64,$B$3,$AA$63,0)</f>
        <v>-0.97469986071626091</v>
      </c>
      <c r="AD69" s="1" cm="1">
        <f t="array" ref="AD69">OptionDelta("P",$Z69,$B$2,AD$64,$B$3,$AA$63,0)</f>
        <v>-0.95246472444071939</v>
      </c>
      <c r="AE69" s="1" cm="1">
        <f t="array" ref="AE69">OptionDelta("P",$Z69,$B$2,AE$64,$B$3,$AA$63,0)</f>
        <v>-0.9294621704192243</v>
      </c>
      <c r="AF69" s="1" cm="1">
        <f t="array" ref="AF69">OptionDelta("P",$Z69,$B$2,AF$64,$B$3,$AA$63,0)</f>
        <v>-0.90728100884537732</v>
      </c>
      <c r="AG69" s="1" cm="1">
        <f t="array" ref="AG69">OptionDelta("P",$Z69,$B$2,AG$64,$B$3,$AA$63,0)</f>
        <v>-0.88648382673497528</v>
      </c>
      <c r="AH69" s="1" cm="1">
        <f t="array" ref="AH69">OptionDelta("P",$Z69,$B$2,AH$64,$B$3,$AA$63,0)</f>
        <v>-0.86719866762994358</v>
      </c>
      <c r="AI69" s="1" cm="1">
        <f t="array" ref="AI69">OptionDelta("P",$Z69,$B$2,AI$64,$B$3,$AA$63,0)</f>
        <v>-0.8493775152454146</v>
      </c>
      <c r="AJ69" s="1" cm="1">
        <f t="array" ref="AJ69">OptionDelta("P",$Z69,$B$2,AJ$64,$B$3,$AA$63,0)</f>
        <v>-0.83290728409305781</v>
      </c>
      <c r="AK69" s="1" cm="1">
        <f t="array" ref="AK69">OptionDelta("P",$Z69,$B$2,AK$64,$B$3,$AA$63,0)</f>
        <v>-0.7179625656379226</v>
      </c>
      <c r="AL69" s="1" cm="1">
        <f t="array" ref="AL69">OptionDelta("P",$Z69,$B$2,AL$64,$B$3,$AA$63,0)</f>
        <v>-0.64964133490352116</v>
      </c>
      <c r="AM69" s="1" cm="1">
        <f t="array" ref="AM69">OptionDelta("P",$Z69,$B$2,AM$64,$B$3,$AA$63,0)</f>
        <v>-0.60174208889703951</v>
      </c>
      <c r="AN69" s="1" cm="1">
        <f t="array" ref="AN69">OptionDelta("P",$Z69,$B$2,AN$64,$B$3,$AA$63,0)</f>
        <v>-0.5649588516263524</v>
      </c>
      <c r="AW69" s="139"/>
      <c r="AX69" s="14">
        <v>80</v>
      </c>
      <c r="AY69" s="1" cm="1">
        <f t="array" ref="AY69">OptionTheta("P",$AX69,$B$2,AY$64,$B$3,$AY$63,0)</f>
        <v>-2.801132187580894E-3</v>
      </c>
      <c r="AZ69" s="1" cm="1">
        <f t="array" ref="AZ69">OptionTheta("P",$AX69,$B$2,AZ$64,$B$3,$AY$63,0)</f>
        <v>-3.7445456875674229E-3</v>
      </c>
      <c r="BA69" s="1" cm="1">
        <f t="array" ref="BA69">OptionTheta("P",$AX69,$B$2,BA$64,$B$3,$AY$63,0)</f>
        <v>-5.0405443781196355E-3</v>
      </c>
      <c r="BB69" s="1" cm="1">
        <f t="array" ref="BB69">OptionTheta("P",$AX69,$B$2,BB$64,$B$3,$AY$63,0)</f>
        <v>-6.0624644955973748E-3</v>
      </c>
      <c r="BC69" s="1" cm="1">
        <f t="array" ref="BC69">OptionTheta("P",$AX69,$B$2,BC$64,$B$3,$AY$63,0)</f>
        <v>-6.7670298128777598E-3</v>
      </c>
      <c r="BD69" s="1" cm="1">
        <f t="array" ref="BD69">OptionTheta("P",$AX69,$B$2,BD$64,$B$3,$AY$63,0)</f>
        <v>-7.2313964238831527E-3</v>
      </c>
      <c r="BE69" s="1" cm="1">
        <f t="array" ref="BE69">OptionTheta("P",$AX69,$B$2,BE$64,$B$3,$AY$63,0)</f>
        <v>-7.5287527849961971E-3</v>
      </c>
      <c r="BF69" s="1" cm="1">
        <f t="array" ref="BF69">OptionTheta("P",$AX69,$B$2,BF$64,$B$3,$AY$63,0)</f>
        <v>-7.7118709032317498E-3</v>
      </c>
      <c r="BG69" s="1" cm="1">
        <f t="array" ref="BG69">OptionTheta("P",$AX69,$B$2,BG$64,$B$3,$AY$63,0)</f>
        <v>-7.8166089407926669E-3</v>
      </c>
      <c r="BH69" s="1" cm="1">
        <f t="array" ref="BH69">OptionTheta("P",$AX69,$B$2,BH$64,$B$3,$AY$63,0)</f>
        <v>-7.8671235306443047E-3</v>
      </c>
      <c r="BI69" s="1" cm="1">
        <f t="array" ref="BI69">OptionTheta("P",$AX69,$B$2,BI$64,$B$3,$AY$63,0)</f>
        <v>-7.3972014939008698E-3</v>
      </c>
      <c r="BJ69" s="1" cm="1">
        <f t="array" ref="BJ69">OptionTheta("P",$AX69,$B$2,BJ$64,$B$3,$AY$63,0)</f>
        <v>-6.7295642402378794E-3</v>
      </c>
      <c r="BK69" s="1" cm="1">
        <f t="array" ref="BK69">OptionTheta("P",$AX69,$B$2,BK$64,$B$3,$AY$63,0)</f>
        <v>-6.1892467301935278E-3</v>
      </c>
      <c r="BL69" s="1" cm="1">
        <f t="array" ref="BL69">OptionTheta("P",$AX69,$B$2,BL$64,$B$3,$AY$63,0)</f>
        <v>-5.7591509076171275E-3</v>
      </c>
      <c r="BU69" s="142"/>
      <c r="BV69" s="14">
        <v>80</v>
      </c>
      <c r="BW69" s="1" cm="1">
        <f t="array" ref="BW69">OptionGamma($BV69,$B$2,BW$64,$B$3,$BW$63,0)</f>
        <v>1.8444991272199745E-4</v>
      </c>
      <c r="BX69" s="1" cm="1">
        <f t="array" ref="BX69">OptionGamma($BV69,$B$2,BX$64,$B$3,$BW$63,0)</f>
        <v>2.9270332354272232E-3</v>
      </c>
      <c r="BY69" s="1" cm="1">
        <f t="array" ref="BY69">OptionGamma($BV69,$B$2,BY$64,$B$3,$BW$63,0)</f>
        <v>6.7361389316554247E-3</v>
      </c>
      <c r="BZ69" s="1" cm="1">
        <f t="array" ref="BZ69">OptionGamma($BV69,$B$2,BZ$64,$B$3,$BW$63,0)</f>
        <v>9.7884039294375211E-3</v>
      </c>
      <c r="CA69" s="1" cm="1">
        <f t="array" ref="CA69">OptionGamma($BV69,$B$2,CA$64,$B$3,$BW$63,0)</f>
        <v>1.1937780047109168E-2</v>
      </c>
      <c r="CB69" s="1" cm="1">
        <f t="array" ref="CB69">OptionGamma($BV69,$B$2,CB$64,$B$3,$BW$63,0)</f>
        <v>1.3395159432299533E-2</v>
      </c>
      <c r="CC69" s="1" cm="1">
        <f t="array" ref="CC69">OptionGamma($BV69,$B$2,CC$64,$B$3,$BW$63,0)</f>
        <v>1.4366321033900604E-2</v>
      </c>
      <c r="CD69" s="1" cm="1">
        <f t="array" ref="CD69">OptionGamma($BV69,$B$2,CD$64,$B$3,$BW$63,0)</f>
        <v>1.5001364182628535E-2</v>
      </c>
      <c r="CE69" s="1" cm="1">
        <f t="array" ref="CE69">OptionGamma($BV69,$B$2,CE$64,$B$3,$BW$63,0)</f>
        <v>1.5403132263133367E-2</v>
      </c>
      <c r="CF69" s="1" cm="1">
        <f t="array" ref="CF69">OptionGamma($BV69,$B$2,CF$64,$B$3,$BW$63,0)</f>
        <v>1.5641421674019225E-2</v>
      </c>
      <c r="CG69" s="1" cm="1">
        <f t="array" ref="CG69">OptionGamma($BV69,$B$2,CG$64,$B$3,$BW$63,0)</f>
        <v>1.4928999083209108E-2</v>
      </c>
      <c r="CH69" s="1" cm="1">
        <f t="array" ref="CH69">OptionGamma($BV69,$B$2,CH$64,$B$3,$BW$63,0)</f>
        <v>1.3370603439876852E-2</v>
      </c>
      <c r="CI69" s="1" cm="1">
        <f t="array" ref="CI69">OptionGamma($BV69,$B$2,CI$64,$B$3,$BW$63,0)</f>
        <v>1.205928909750143E-2</v>
      </c>
      <c r="CJ69" s="1" cm="1">
        <f t="array" ref="CJ69">OptionGamma($BV69,$B$2,CJ$64,$B$3,$BW$63,0)</f>
        <v>1.1002627628314172E-2</v>
      </c>
      <c r="CS69" s="145"/>
      <c r="CT69" s="14">
        <v>80</v>
      </c>
      <c r="CU69" s="1" cm="1">
        <f t="array" ref="CU69">OptionVega($CT69,$B$2,CU$64,$B$3,$CU$63,0)</f>
        <v>2.3609588828415681E-4</v>
      </c>
      <c r="CV69" s="1" cm="1">
        <f t="array" ref="CV69">OptionVega($CT69,$B$2,CV$64,$B$3,$CU$63,0)</f>
        <v>7.4932050826936906E-3</v>
      </c>
      <c r="CW69" s="1" cm="1">
        <f t="array" ref="CW69">OptionVega($CT69,$B$2,CW$64,$B$3,$CU$63,0)</f>
        <v>2.5866773497556832E-2</v>
      </c>
      <c r="CX69" s="1" cm="1">
        <f t="array" ref="CX69">OptionVega($CT69,$B$2,CX$64,$B$3,$CU$63,0)</f>
        <v>5.0116628118720127E-2</v>
      </c>
      <c r="CY69" s="1" cm="1">
        <f t="array" ref="CY69">OptionVega($CT69,$B$2,CY$64,$B$3,$CU$63,0)</f>
        <v>7.6401792301498697E-2</v>
      </c>
      <c r="CZ69" s="1" cm="1">
        <f t="array" ref="CZ69">OptionVega($CT69,$B$2,CZ$64,$B$3,$CU$63,0)</f>
        <v>0.10287482444006046</v>
      </c>
      <c r="DA69" s="1" cm="1">
        <f t="array" ref="DA69">OptionVega($CT69,$B$2,DA$64,$B$3,$CU$63,0)</f>
        <v>0.12872223646374945</v>
      </c>
      <c r="DB69" s="1" cm="1">
        <f t="array" ref="DB69">OptionVega($CT69,$B$2,DB$64,$B$3,$CU$63,0)</f>
        <v>0.15361396923011619</v>
      </c>
      <c r="DC69" s="1" cm="1">
        <f t="array" ref="DC69">OptionVega($CT69,$B$2,DC$64,$B$3,$CU$63,0)</f>
        <v>0.17744408367129644</v>
      </c>
      <c r="DD69" s="1" cm="1">
        <f t="array" ref="DD69">OptionVega($CT69,$B$2,DD$64,$B$3,$CU$63,0)</f>
        <v>0.20021019742744608</v>
      </c>
      <c r="DE69" s="1" cm="1">
        <f t="array" ref="DE69">OptionVega($CT69,$B$2,DE$64,$B$3,$CU$63,0)</f>
        <v>0.38218237653015336</v>
      </c>
      <c r="DF69" s="1" cm="1">
        <f t="array" ref="DF69">OptionVega($CT69,$B$2,DF$64,$B$3,$CU$63,0)</f>
        <v>0.51343117209127109</v>
      </c>
      <c r="DG69" s="1" cm="1">
        <f t="array" ref="DG69">OptionVega($CT69,$B$2,DG$64,$B$3,$CU$63,0)</f>
        <v>0.61743560179207324</v>
      </c>
      <c r="DH69" s="1" cm="1">
        <f t="array" ref="DH69">OptionVega($CT69,$B$2,DH$64,$B$3,$CU$63,0)</f>
        <v>0.70416816821210715</v>
      </c>
      <c r="DQ69" s="130"/>
      <c r="DR69" s="14">
        <v>80</v>
      </c>
      <c r="DS69" s="1" cm="1">
        <f t="array" ref="DS69">OptionRho("P",$DR69,$B$2,DS$64,$B$3,$DS$63,0)</f>
        <v>-9.9880365963861073E-2</v>
      </c>
      <c r="DT69" s="1" cm="1">
        <f t="array" ref="DT69">OptionRho("P",$DR69,$B$2,DT$64,$B$3,$DS$63,0)</f>
        <v>-0.19841978436548499</v>
      </c>
      <c r="DU69" s="1" cm="1">
        <f t="array" ref="DU69">OptionRho("P",$DR69,$B$2,DU$64,$B$3,$DS$63,0)</f>
        <v>-0.29327187442853181</v>
      </c>
      <c r="DV69" s="1" cm="1">
        <f t="array" ref="DV69">OptionRho("P",$DR69,$B$2,DV$64,$B$3,$DS$63,0)</f>
        <v>-0.38395353517001568</v>
      </c>
      <c r="DW69" s="1" cm="1">
        <f t="array" ref="DW69">OptionRho("P",$DR69,$B$2,DW$64,$B$3,$DS$63,0)</f>
        <v>-0.47096501783520417</v>
      </c>
      <c r="DX69" s="1" cm="1">
        <f t="array" ref="DX69">OptionRho("P",$DR69,$B$2,DX$64,$B$3,$DS$63,0)</f>
        <v>-0.55492757242980617</v>
      </c>
      <c r="DY69" s="1" cm="1">
        <f t="array" ref="DY69">OptionRho("P",$DR69,$B$2,DY$64,$B$3,$DS$63,0)</f>
        <v>-0.63637397192903389</v>
      </c>
      <c r="DZ69" s="1" cm="1">
        <f t="array" ref="DZ69">OptionRho("P",$DR69,$B$2,DZ$64,$B$3,$DS$63,0)</f>
        <v>-0.71572661144250882</v>
      </c>
      <c r="EA69" s="1" cm="1">
        <f t="array" ref="EA69">OptionRho("P",$DR69,$B$2,EA$64,$B$3,$DS$63,0)</f>
        <v>-0.7933152003374272</v>
      </c>
      <c r="EB69" s="1" cm="1">
        <f t="array" ref="EB69">OptionRho("P",$DR69,$B$2,EB$64,$B$3,$DS$63,0)</f>
        <v>-0.86939811441071069</v>
      </c>
      <c r="EC69" s="1" cm="1">
        <f t="array" ref="EC69">OptionRho("P",$DR69,$B$2,EC$64,$B$3,$DS$63,0)</f>
        <v>-1.5781333252461023</v>
      </c>
      <c r="ED69" s="1" cm="1">
        <f t="array" ref="ED69">OptionRho("P",$DR69,$B$2,ED$64,$B$3,$DS$63,0)</f>
        <v>-2.2345611221477659</v>
      </c>
      <c r="EE69" s="1" cm="1">
        <f t="array" ref="EE69">OptionRho("P",$DR69,$B$2,EE$64,$B$3,$DS$63,0)</f>
        <v>-2.8619442081618183</v>
      </c>
      <c r="EF69" s="1" cm="1">
        <f t="array" ref="EF69">OptionRho("P",$DR69,$B$2,EF$64,$B$3,$DS$63,0)</f>
        <v>-3.4687687242801872</v>
      </c>
    </row>
    <row r="70" spans="1:136" x14ac:dyDescent="0.2">
      <c r="A70" s="133"/>
      <c r="B70" s="14">
        <v>85</v>
      </c>
      <c r="C70" s="1" cm="1">
        <f t="array" ref="C70">OptionPrice("P",$B70,$B$2,C$64,$B$3,$C$63,0)</f>
        <v>14.909919213482766</v>
      </c>
      <c r="D70" s="1" cm="1">
        <f t="array" ref="D70">OptionPrice("P",$B70,$B$2,D$64,$B$3,$C$63,0)</f>
        <v>14.919301845261913</v>
      </c>
      <c r="E70" s="1" cm="1">
        <f t="array" ref="E70">OptionPrice("P",$B70,$B$2,E$64,$B$3,$C$63,0)</f>
        <v>15.026427016826361</v>
      </c>
      <c r="F70" s="1" cm="1">
        <f t="array" ref="F70">OptionPrice("P",$B70,$B$2,F$64,$B$3,$C$63,0)</f>
        <v>15.184834271698179</v>
      </c>
      <c r="G70" s="1" cm="1">
        <f t="array" ref="G70">OptionPrice("P",$B70,$B$2,G$64,$B$3,$C$63,0)</f>
        <v>15.368149026881994</v>
      </c>
      <c r="H70" s="1" cm="1">
        <f t="array" ref="H70">OptionPrice("P",$B70,$B$2,H$64,$B$3,$C$63,0)</f>
        <v>15.562849829751812</v>
      </c>
      <c r="I70" s="1" cm="1">
        <f t="array" ref="I70">OptionPrice("P",$B70,$B$2,I$64,$B$3,$C$63,0)</f>
        <v>15.761791402398742</v>
      </c>
      <c r="J70" s="1" cm="1">
        <f t="array" ref="J70">OptionPrice("P",$B70,$B$2,J$64,$B$3,$C$63,0)</f>
        <v>15.961060096223463</v>
      </c>
      <c r="K70" s="1" cm="1">
        <f t="array" ref="K70">OptionPrice("P",$B70,$B$2,K$64,$B$3,$C$63,0)</f>
        <v>16.158461963668117</v>
      </c>
      <c r="L70" s="1" cm="1">
        <f t="array" ref="L70">OptionPrice("P",$B70,$B$2,L$64,$B$3,$C$63,0)</f>
        <v>16.352760639273136</v>
      </c>
      <c r="M70" s="1" cm="1">
        <f t="array" ref="M70">OptionPrice("P",$B70,$B$2,M$64,$B$3,$C$63,0)</f>
        <v>18.069746859815012</v>
      </c>
      <c r="N70" s="1" cm="1">
        <f t="array" ref="N70">OptionPrice("P",$B70,$B$2,N$64,$B$3,$C$63,0)</f>
        <v>19.432928605115691</v>
      </c>
      <c r="O70" s="1" cm="1">
        <f t="array" ref="O70">OptionPrice("P",$B70,$B$2,O$64,$B$3,$C$63,0)</f>
        <v>20.549884643725164</v>
      </c>
      <c r="P70" s="1" cm="1">
        <f t="array" ref="P70">OptionPrice("P",$B70,$B$2,P$64,$B$3,$C$63,0)</f>
        <v>21.489422060453705</v>
      </c>
      <c r="Y70" s="136"/>
      <c r="Z70" s="14">
        <v>85</v>
      </c>
      <c r="AA70" s="1" cm="1">
        <f t="array" ref="AA70">OptionDelta("P",$Z70,$B$2,AA$64,$B$3,$AA$63,0)</f>
        <v>-0.99416909186209745</v>
      </c>
      <c r="AB70" s="1" cm="1">
        <f t="array" ref="AB70">OptionDelta("P",$Z70,$B$2,AB$64,$B$3,$AA$63,0)</f>
        <v>-0.95993522017554</v>
      </c>
      <c r="AC70" s="1" cm="1">
        <f t="array" ref="AC70">OptionDelta("P",$Z70,$B$2,AC$64,$B$3,$AA$63,0)</f>
        <v>-0.91945718869685844</v>
      </c>
      <c r="AD70" s="1" cm="1">
        <f t="array" ref="AD70">OptionDelta("P",$Z70,$B$2,AD$64,$B$3,$AA$63,0)</f>
        <v>-0.88296827878765527</v>
      </c>
      <c r="AE70" s="1" cm="1">
        <f t="array" ref="AE70">OptionDelta("P",$Z70,$B$2,AE$64,$B$3,$AA$63,0)</f>
        <v>-0.8515527963544558</v>
      </c>
      <c r="AF70" s="1" cm="1">
        <f t="array" ref="AF70">OptionDelta("P",$Z70,$B$2,AF$64,$B$3,$AA$63,0)</f>
        <v>-0.82455533749048882</v>
      </c>
      <c r="AG70" s="1" cm="1">
        <f t="array" ref="AG70">OptionDelta("P",$Z70,$B$2,AG$64,$B$3,$AA$63,0)</f>
        <v>-0.80115036351573243</v>
      </c>
      <c r="AH70" s="1" cm="1">
        <f t="array" ref="AH70">OptionDelta("P",$Z70,$B$2,AH$64,$B$3,$AA$63,0)</f>
        <v>-0.78063641017552954</v>
      </c>
      <c r="AI70" s="1" cm="1">
        <f t="array" ref="AI70">OptionDelta("P",$Z70,$B$2,AI$64,$B$3,$AA$63,0)</f>
        <v>-0.76246291657331267</v>
      </c>
      <c r="AJ70" s="1" cm="1">
        <f t="array" ref="AJ70">OptionDelta("P",$Z70,$B$2,AJ$64,$B$3,$AA$63,0)</f>
        <v>-0.7462049004262935</v>
      </c>
      <c r="AK70" s="1" cm="1">
        <f t="array" ref="AK70">OptionDelta("P",$Z70,$B$2,AK$64,$B$3,$AA$63,0)</f>
        <v>-0.64149552812518496</v>
      </c>
      <c r="AL70" s="1" cm="1">
        <f t="array" ref="AL70">OptionDelta("P",$Z70,$B$2,AL$64,$B$3,$AA$63,0)</f>
        <v>-0.58291019299022284</v>
      </c>
      <c r="AM70" s="1" cm="1">
        <f t="array" ref="AM70">OptionDelta("P",$Z70,$B$2,AM$64,$B$3,$AA$63,0)</f>
        <v>-0.54232677254784156</v>
      </c>
      <c r="AN70" s="1" cm="1">
        <f t="array" ref="AN70">OptionDelta("P",$Z70,$B$2,AN$64,$B$3,$AA$63,0)</f>
        <v>-0.51116620365399934</v>
      </c>
      <c r="AW70" s="139"/>
      <c r="AX70" s="14">
        <v>85</v>
      </c>
      <c r="AY70" s="1" cm="1">
        <f t="array" ref="AY70">OptionTheta("P",$AX70,$B$2,AY$64,$B$3,$AY$63,0)</f>
        <v>-3.94446166888232E-3</v>
      </c>
      <c r="AZ70" s="1" cm="1">
        <f t="array" ref="AZ70">OptionTheta("P",$AX70,$B$2,AZ$64,$B$3,$AY$63,0)</f>
        <v>-7.1374289142296012E-3</v>
      </c>
      <c r="BA70" s="1" cm="1">
        <f t="array" ref="BA70">OptionTheta("P",$AX70,$B$2,BA$64,$B$3,$AY$63,0)</f>
        <v>-8.9061529870115164E-3</v>
      </c>
      <c r="BB70" s="1" cm="1">
        <f t="array" ref="BB70">OptionTheta("P",$AX70,$B$2,BB$64,$B$3,$AY$63,0)</f>
        <v>-9.7087132918323889E-3</v>
      </c>
      <c r="BC70" s="1" cm="1">
        <f t="array" ref="BC70">OptionTheta("P",$AX70,$B$2,BC$64,$B$3,$AY$63,0)</f>
        <v>-1.0029730675687553E-2</v>
      </c>
      <c r="BD70" s="1" cm="1">
        <f t="array" ref="BD70">OptionTheta("P",$AX70,$B$2,BD$64,$B$3,$AY$63,0)</f>
        <v>-1.0108880677340807E-2</v>
      </c>
      <c r="BE70" s="1" cm="1">
        <f t="array" ref="BE70">OptionTheta("P",$AX70,$B$2,BE$64,$B$3,$AY$63,0)</f>
        <v>-1.0062994069021428E-2</v>
      </c>
      <c r="BF70" s="1" cm="1">
        <f t="array" ref="BF70">OptionTheta("P",$AX70,$B$2,BF$64,$B$3,$AY$63,0)</f>
        <v>-9.9516101344284506E-3</v>
      </c>
      <c r="BG70" s="1" cm="1">
        <f t="array" ref="BG70">OptionTheta("P",$AX70,$B$2,BG$64,$B$3,$AY$63,0)</f>
        <v>-9.8064709579600198E-3</v>
      </c>
      <c r="BH70" s="1" cm="1">
        <f t="array" ref="BH70">OptionTheta("P",$AX70,$B$2,BH$64,$B$3,$AY$63,0)</f>
        <v>-9.6451190441120757E-3</v>
      </c>
      <c r="BI70" s="1" cm="1">
        <f t="array" ref="BI70">OptionTheta("P",$AX70,$B$2,BI$64,$B$3,$AY$63,0)</f>
        <v>-8.1406256076529543E-3</v>
      </c>
      <c r="BJ70" s="1" cm="1">
        <f t="array" ref="BJ70">OptionTheta("P",$AX70,$B$2,BJ$64,$B$3,$AY$63,0)</f>
        <v>-7.1374506431451127E-3</v>
      </c>
      <c r="BK70" s="1" cm="1">
        <f t="array" ref="BK70">OptionTheta("P",$AX70,$B$2,BK$64,$B$3,$AY$63,0)</f>
        <v>-6.4450121800711767E-3</v>
      </c>
      <c r="BL70" s="1" cm="1">
        <f t="array" ref="BL70">OptionTheta("P",$AX70,$B$2,BL$64,$B$3,$AY$63,0)</f>
        <v>-5.9323203516186383E-3</v>
      </c>
      <c r="BU70" s="142"/>
      <c r="BV70" s="14">
        <v>85</v>
      </c>
      <c r="BW70" s="1" cm="1">
        <f t="array" ref="BW70">OptionGamma($BV70,$B$2,BW$64,$B$3,$BW$63,0)</f>
        <v>3.0836372935947143E-3</v>
      </c>
      <c r="BX70" s="1" cm="1">
        <f t="array" ref="BX70">OptionGamma($BV70,$B$2,BX$64,$B$3,$BW$63,0)</f>
        <v>1.134964427745312E-2</v>
      </c>
      <c r="BY70" s="1" cm="1">
        <f t="array" ref="BY70">OptionGamma($BV70,$B$2,BY$64,$B$3,$BW$63,0)</f>
        <v>1.6048048164004219E-2</v>
      </c>
      <c r="BZ70" s="1" cm="1">
        <f t="array" ref="BZ70">OptionGamma($BV70,$B$2,BZ$64,$B$3,$BW$63,0)</f>
        <v>1.827895482236909E-2</v>
      </c>
      <c r="CA70" s="1" cm="1">
        <f t="array" ref="CA70">OptionGamma($BV70,$B$2,CA$64,$B$3,$BW$63,0)</f>
        <v>1.926193999623425E-2</v>
      </c>
      <c r="CB70" s="1" cm="1">
        <f t="array" ref="CB70">OptionGamma($BV70,$B$2,CB$64,$B$3,$BW$63,0)</f>
        <v>1.9607203543702149E-2</v>
      </c>
      <c r="CC70" s="1" cm="1">
        <f t="array" ref="CC70">OptionGamma($BV70,$B$2,CC$64,$B$3,$BW$63,0)</f>
        <v>1.9615204928584505E-2</v>
      </c>
      <c r="CD70" s="1" cm="1">
        <f t="array" ref="CD70">OptionGamma($BV70,$B$2,CD$64,$B$3,$BW$63,0)</f>
        <v>1.944073459830415E-2</v>
      </c>
      <c r="CE70" s="1" cm="1">
        <f t="array" ref="CE70">OptionGamma($BV70,$B$2,CE$64,$B$3,$BW$63,0)</f>
        <v>1.9167361944162006E-2</v>
      </c>
      <c r="CF70" s="1" cm="1">
        <f t="array" ref="CF70">OptionGamma($BV70,$B$2,CF$64,$B$3,$BW$63,0)</f>
        <v>1.8841983940109528E-2</v>
      </c>
      <c r="CG70" s="1" cm="1">
        <f t="array" ref="CG70">OptionGamma($BV70,$B$2,CG$64,$B$3,$BW$63,0)</f>
        <v>1.5538821309956893E-2</v>
      </c>
      <c r="CH70" s="1" cm="1">
        <f t="array" ref="CH70">OptionGamma($BV70,$B$2,CH$64,$B$3,$BW$63,0)</f>
        <v>1.3255131727717093E-2</v>
      </c>
      <c r="CI70" s="1" cm="1">
        <f t="array" ref="CI70">OptionGamma($BV70,$B$2,CI$64,$B$3,$BW$63,0)</f>
        <v>1.1667493720574828E-2</v>
      </c>
      <c r="CJ70" s="1" cm="1">
        <f t="array" ref="CJ70">OptionGamma($BV70,$B$2,CJ$64,$B$3,$BW$63,0)</f>
        <v>1.0490736571836447E-2</v>
      </c>
      <c r="CS70" s="145"/>
      <c r="CT70" s="14">
        <v>85</v>
      </c>
      <c r="CU70" s="1" cm="1">
        <f t="array" ref="CU70">OptionVega($CT70,$B$2,CU$64,$B$3,$CU$63,0)</f>
        <v>4.4558558892443629E-3</v>
      </c>
      <c r="CV70" s="1" cm="1">
        <f t="array" ref="CV70">OptionVega($CT70,$B$2,CV$64,$B$3,$CU$63,0)</f>
        <v>3.2800471961839522E-2</v>
      </c>
      <c r="CW70" s="1" cm="1">
        <f t="array" ref="CW70">OptionVega($CT70,$B$2,CW$64,$B$3,$CU$63,0)</f>
        <v>6.9568288790958291E-2</v>
      </c>
      <c r="CX70" s="1" cm="1">
        <f t="array" ref="CX70">OptionVega($CT70,$B$2,CX$64,$B$3,$CU$63,0)</f>
        <v>0.10565235887329334</v>
      </c>
      <c r="CY70" s="1" cm="1">
        <f t="array" ref="CY70">OptionVega($CT70,$B$2,CY$64,$B$3,$CU$63,0)</f>
        <v>0.13916751647279249</v>
      </c>
      <c r="CZ70" s="1" cm="1">
        <f t="array" ref="CZ70">OptionVega($CT70,$B$2,CZ$64,$B$3,$CU$63,0)</f>
        <v>0.16999445472389768</v>
      </c>
      <c r="DA70" s="1" cm="1">
        <f t="array" ref="DA70">OptionVega($CT70,$B$2,DA$64,$B$3,$CU$63,0)</f>
        <v>0.19840779785263229</v>
      </c>
      <c r="DB70" s="1" cm="1">
        <f t="array" ref="DB70">OptionVega($CT70,$B$2,DB$64,$B$3,$CU$63,0)</f>
        <v>0.22473489195639601</v>
      </c>
      <c r="DC70" s="1" cm="1">
        <f t="array" ref="DC70">OptionVega($CT70,$B$2,DC$64,$B$3,$CU$63,0)</f>
        <v>0.2492715420838269</v>
      </c>
      <c r="DD70" s="1" cm="1">
        <f t="array" ref="DD70">OptionVega($CT70,$B$2,DD$64,$B$3,$CU$63,0)</f>
        <v>0.27226666793458271</v>
      </c>
      <c r="DE70" s="1" cm="1">
        <f t="array" ref="DE70">OptionVega($CT70,$B$2,DE$64,$B$3,$CU$63,0)</f>
        <v>0.44907193585775435</v>
      </c>
      <c r="DF70" s="1" cm="1">
        <f t="array" ref="DF70">OptionVega($CT70,$B$2,DF$64,$B$3,$CU$63,0)</f>
        <v>0.574609960396536</v>
      </c>
      <c r="DG70" s="1" cm="1">
        <f t="array" ref="DG70">OptionVega($CT70,$B$2,DG$64,$B$3,$CU$63,0)</f>
        <v>0.67438113704922509</v>
      </c>
      <c r="DH70" s="1" cm="1">
        <f t="array" ref="DH70">OptionVega($CT70,$B$2,DH$64,$B$3,$CU$63,0)</f>
        <v>0.75795571731518341</v>
      </c>
      <c r="DQ70" s="130"/>
      <c r="DR70" s="14">
        <v>85</v>
      </c>
      <c r="DS70" s="1" cm="1">
        <f t="array" ref="DS70">OptionRho("P",$DR70,$B$2,DS$64,$B$3,$DS$63,0)</f>
        <v>-9.9414292021761066E-2</v>
      </c>
      <c r="DT70" s="1" cm="1">
        <f t="array" ref="DT70">OptionRho("P",$DR70,$B$2,DT$64,$B$3,$DS$63,0)</f>
        <v>-0.19302759112036566</v>
      </c>
      <c r="DU70" s="1" cm="1">
        <f t="array" ref="DU70">OptionRho("P",$DR70,$B$2,DU$64,$B$3,$DS$63,0)</f>
        <v>-0.27954086416817797</v>
      </c>
      <c r="DV70" s="1" cm="1">
        <f t="array" ref="DV70">OptionRho("P",$DR70,$B$2,DV$64,$B$3,$DS$63,0)</f>
        <v>-0.36094855187459557</v>
      </c>
      <c r="DW70" s="1" cm="1">
        <f t="array" ref="DW70">OptionRho("P",$DR70,$B$2,DW$64,$B$3,$DS$63,0)</f>
        <v>-0.43875068358505365</v>
      </c>
      <c r="DX70" s="1" cm="1">
        <f t="array" ref="DX70">OptionRho("P",$DR70,$B$2,DX$64,$B$3,$DS$63,0)</f>
        <v>-0.51390032109866013</v>
      </c>
      <c r="DY70" s="1" cm="1">
        <f t="array" ref="DY70">OptionRho("P",$DR70,$B$2,DY$64,$B$3,$DS$63,0)</f>
        <v>-0.58701700610865204</v>
      </c>
      <c r="DZ70" s="1" cm="1">
        <f t="array" ref="DZ70">OptionRho("P",$DR70,$B$2,DZ$64,$B$3,$DS$63,0)</f>
        <v>-0.65852123968914789</v>
      </c>
      <c r="EA70" s="1" cm="1">
        <f t="array" ref="EA70">OptionRho("P",$DR70,$B$2,EA$64,$B$3,$DS$63,0)</f>
        <v>-0.72871028885159728</v>
      </c>
      <c r="EB70" s="1" cm="1">
        <f t="array" ref="EB70">OptionRho("P",$DR70,$B$2,EB$64,$B$3,$DS$63,0)</f>
        <v>-0.79780177175508082</v>
      </c>
      <c r="EC70" s="1" cm="1">
        <f t="array" ref="EC70">OptionRho("P",$DR70,$B$2,EC$64,$B$3,$DS$63,0)</f>
        <v>-1.4519373350091147</v>
      </c>
      <c r="ED70" s="1" cm="1">
        <f t="array" ref="ED70">OptionRho("P",$DR70,$B$2,ED$64,$B$3,$DS$63,0)</f>
        <v>-2.0694088502785388</v>
      </c>
      <c r="EE70" s="1" cm="1">
        <f t="array" ref="EE70">OptionRho("P",$DR70,$B$2,EE$64,$B$3,$DS$63,0)</f>
        <v>-2.665906412411668</v>
      </c>
      <c r="EF70" s="1" cm="1">
        <f t="array" ref="EF70">OptionRho("P",$DR70,$B$2,EF$64,$B$3,$DS$63,0)</f>
        <v>-3.2469274685521823</v>
      </c>
    </row>
    <row r="71" spans="1:136" x14ac:dyDescent="0.2">
      <c r="A71" s="133"/>
      <c r="B71" s="14">
        <v>90</v>
      </c>
      <c r="C71" s="1" cm="1">
        <f t="array" ref="C71">OptionPrice("P",$B71,$B$2,C$64,$B$3,$C$63,0)</f>
        <v>10.023738953955885</v>
      </c>
      <c r="D71" s="1" cm="1">
        <f t="array" ref="D71">OptionPrice("P",$B71,$B$2,D$64,$B$3,$C$63,0)</f>
        <v>10.320377042080651</v>
      </c>
      <c r="E71" s="1" cm="1">
        <f t="array" ref="E71">OptionPrice("P",$B71,$B$2,E$64,$B$3,$C$63,0)</f>
        <v>10.677565539881982</v>
      </c>
      <c r="F71" s="1" cm="1">
        <f t="array" ref="F71">OptionPrice("P",$B71,$B$2,F$64,$B$3,$C$63,0)</f>
        <v>11.035349876134674</v>
      </c>
      <c r="G71" s="1" cm="1">
        <f t="array" ref="G71">OptionPrice("P",$B71,$B$2,G$64,$B$3,$C$63,0)</f>
        <v>11.37964900372117</v>
      </c>
      <c r="H71" s="1" cm="1">
        <f t="array" ref="H71">OptionPrice("P",$B71,$B$2,H$64,$B$3,$C$63,0)</f>
        <v>11.707434273968929</v>
      </c>
      <c r="I71" s="1" cm="1">
        <f t="array" ref="I71">OptionPrice("P",$B71,$B$2,I$64,$B$3,$C$63,0)</f>
        <v>12.018843451128767</v>
      </c>
      <c r="J71" s="1" cm="1">
        <f t="array" ref="J71">OptionPrice("P",$B71,$B$2,J$64,$B$3,$C$63,0)</f>
        <v>12.314950479891948</v>
      </c>
      <c r="K71" s="1" cm="1">
        <f t="array" ref="K71">OptionPrice("P",$B71,$B$2,K$64,$B$3,$C$63,0)</f>
        <v>12.597045039482147</v>
      </c>
      <c r="L71" s="1" cm="1">
        <f t="array" ref="L71">OptionPrice("P",$B71,$B$2,L$64,$B$3,$C$63,0)</f>
        <v>12.866387517147949</v>
      </c>
      <c r="M71" s="1" cm="1">
        <f t="array" ref="M71">OptionPrice("P",$B71,$B$2,M$64,$B$3,$C$63,0)</f>
        <v>15.056885397812771</v>
      </c>
      <c r="N71" s="1" cm="1">
        <f t="array" ref="N71">OptionPrice("P",$B71,$B$2,N$64,$B$3,$C$63,0)</f>
        <v>16.682428651116403</v>
      </c>
      <c r="O71" s="1" cm="1">
        <f t="array" ref="O71">OptionPrice("P",$B71,$B$2,O$64,$B$3,$C$63,0)</f>
        <v>17.981799567107039</v>
      </c>
      <c r="P71" s="1" cm="1">
        <f t="array" ref="P71">OptionPrice("P",$B71,$B$2,P$64,$B$3,$C$63,0)</f>
        <v>19.062204792961239</v>
      </c>
      <c r="Y71" s="136"/>
      <c r="Z71" s="14">
        <v>90</v>
      </c>
      <c r="AA71" s="1" cm="1">
        <f t="array" ref="AA71">OptionDelta("P",$Z71,$B$2,AA$64,$B$3,$AA$63,0)</f>
        <v>-0.94721845000306515</v>
      </c>
      <c r="AB71" s="1" cm="1">
        <f t="array" ref="AB71">OptionDelta("P",$Z71,$B$2,AB$64,$B$3,$AA$63,0)</f>
        <v>-0.86669093075219805</v>
      </c>
      <c r="AC71" s="1" cm="1">
        <f t="array" ref="AC71">OptionDelta("P",$Z71,$B$2,AC$64,$B$3,$AA$63,0)</f>
        <v>-0.81047475187222251</v>
      </c>
      <c r="AD71" s="1" cm="1">
        <f t="array" ref="AD71">OptionDelta("P",$Z71,$B$2,AD$64,$B$3,$AA$63,0)</f>
        <v>-0.76976698530142718</v>
      </c>
      <c r="AE71" s="1" cm="1">
        <f t="array" ref="AE71">OptionDelta("P",$Z71,$B$2,AE$64,$B$3,$AA$63,0)</f>
        <v>-0.73857075243609782</v>
      </c>
      <c r="AF71" s="1" cm="1">
        <f t="array" ref="AF71">OptionDelta("P",$Z71,$B$2,AF$64,$B$3,$AA$63,0)</f>
        <v>-0.71359220714545868</v>
      </c>
      <c r="AG71" s="1" cm="1">
        <f t="array" ref="AG71">OptionDelta("P",$Z71,$B$2,AG$64,$B$3,$AA$63,0)</f>
        <v>-0.69292219222946605</v>
      </c>
      <c r="AH71" s="1" cm="1">
        <f t="array" ref="AH71">OptionDelta("P",$Z71,$B$2,AH$64,$B$3,$AA$63,0)</f>
        <v>-0.67538030929215342</v>
      </c>
      <c r="AI71" s="1" cm="1">
        <f t="array" ref="AI71">OptionDelta("P",$Z71,$B$2,AI$64,$B$3,$AA$63,0)</f>
        <v>-0.66019529381624764</v>
      </c>
      <c r="AJ71" s="1" cm="1">
        <f t="array" ref="AJ71">OptionDelta("P",$Z71,$B$2,AJ$64,$B$3,$AA$63,0)</f>
        <v>-0.64683983773027076</v>
      </c>
      <c r="AK71" s="1" cm="1">
        <f t="array" ref="AK71">OptionDelta("P",$Z71,$B$2,AK$64,$B$3,$AA$63,0)</f>
        <v>-0.56370662389654669</v>
      </c>
      <c r="AL71" s="1" cm="1">
        <f t="array" ref="AL71">OptionDelta("P",$Z71,$B$2,AL$64,$B$3,$AA$63,0)</f>
        <v>-0.51768409900435353</v>
      </c>
      <c r="AM71" s="1" cm="1">
        <f t="array" ref="AM71">OptionDelta("P",$Z71,$B$2,AM$64,$B$3,$AA$63,0)</f>
        <v>-0.48540248571576572</v>
      </c>
      <c r="AN71" s="1" cm="1">
        <f t="array" ref="AN71">OptionDelta("P",$Z71,$B$2,AN$64,$B$3,$AA$63,0)</f>
        <v>-0.46024483687683237</v>
      </c>
      <c r="AW71" s="139"/>
      <c r="AX71" s="14">
        <v>90</v>
      </c>
      <c r="AY71" s="1" cm="1">
        <f t="array" ref="AY71">OptionTheta("P",$AX71,$B$2,AY$64,$B$3,$AY$63,0)</f>
        <v>-1.1005992672681739E-2</v>
      </c>
      <c r="AZ71" s="1" cm="1">
        <f t="array" ref="AZ71">OptionTheta("P",$AX71,$B$2,AZ$64,$B$3,$AY$63,0)</f>
        <v>-1.4287620764973958E-2</v>
      </c>
      <c r="BA71" s="1" cm="1">
        <f t="array" ref="BA71">OptionTheta("P",$AX71,$B$2,BA$64,$B$3,$AY$63,0)</f>
        <v>-1.4488586695821395E-2</v>
      </c>
      <c r="BB71" s="1" cm="1">
        <f t="array" ref="BB71">OptionTheta("P",$AX71,$B$2,BB$64,$B$3,$AY$63,0)</f>
        <v>-1.4045425784045685E-2</v>
      </c>
      <c r="BC71" s="1" cm="1">
        <f t="array" ref="BC71">OptionTheta("P",$AX71,$B$2,BC$64,$B$3,$AY$63,0)</f>
        <v>-1.3475804483069776E-2</v>
      </c>
      <c r="BD71" s="1" cm="1">
        <f t="array" ref="BD71">OptionTheta("P",$AX71,$B$2,BD$64,$B$3,$AY$63,0)</f>
        <v>-1.2912889701560515E-2</v>
      </c>
      <c r="BE71" s="1" cm="1">
        <f t="array" ref="BE71">OptionTheta("P",$AX71,$B$2,BE$64,$B$3,$AY$63,0)</f>
        <v>-1.2392113933065892E-2</v>
      </c>
      <c r="BF71" s="1" cm="1">
        <f t="array" ref="BF71">OptionTheta("P",$AX71,$B$2,BF$64,$B$3,$AY$63,0)</f>
        <v>-1.1920065087977326E-2</v>
      </c>
      <c r="BG71" s="1" cm="1">
        <f t="array" ref="BG71">OptionTheta("P",$AX71,$B$2,BG$64,$B$3,$AY$63,0)</f>
        <v>-1.1494397692837135E-2</v>
      </c>
      <c r="BH71" s="1" cm="1">
        <f t="array" ref="BH71">OptionTheta("P",$AX71,$B$2,BH$64,$B$3,$AY$63,0)</f>
        <v>-1.1110270272332369E-2</v>
      </c>
      <c r="BI71" s="1" cm="1">
        <f t="array" ref="BI71">OptionTheta("P",$AX71,$B$2,BI$64,$B$3,$AY$63,0)</f>
        <v>-8.6693635629029077E-3</v>
      </c>
      <c r="BJ71" s="1" cm="1">
        <f t="array" ref="BJ71">OptionTheta("P",$AX71,$B$2,BJ$64,$B$3,$AY$63,0)</f>
        <v>-7.4073093962565483E-3</v>
      </c>
      <c r="BK71" s="1" cm="1">
        <f t="array" ref="BK71">OptionTheta("P",$AX71,$B$2,BK$64,$B$3,$AY$63,0)</f>
        <v>-6.6047083995409124E-3</v>
      </c>
      <c r="BL71" s="1" cm="1">
        <f t="array" ref="BL71">OptionTheta("P",$AX71,$B$2,BL$64,$B$3,$AY$63,0)</f>
        <v>-6.034451531851978E-3</v>
      </c>
      <c r="BU71" s="142"/>
      <c r="BV71" s="14">
        <v>90</v>
      </c>
      <c r="BW71" s="1" cm="1">
        <f t="array" ref="BW71">OptionGamma($BV71,$B$2,BW$64,$B$3,$BW$63,0)</f>
        <v>1.8916378586336522E-2</v>
      </c>
      <c r="BX71" s="1" cm="1">
        <f t="array" ref="BX71">OptionGamma($BV71,$B$2,BX$64,$B$3,$BW$63,0)</f>
        <v>2.6739234389615497E-2</v>
      </c>
      <c r="BY71" s="1" cm="1">
        <f t="array" ref="BY71">OptionGamma($BV71,$B$2,BY$64,$B$3,$BW$63,0)</f>
        <v>2.7482291431425852E-2</v>
      </c>
      <c r="BZ71" s="1" cm="1">
        <f t="array" ref="BZ71">OptionGamma($BV71,$B$2,BZ$64,$B$3,$BW$63,0)</f>
        <v>2.6687880405210137E-2</v>
      </c>
      <c r="CA71" s="1" cm="1">
        <f t="array" ref="CA71">OptionGamma($BV71,$B$2,CA$64,$B$3,$BW$63,0)</f>
        <v>2.5556533759819561E-2</v>
      </c>
      <c r="CB71" s="1" cm="1">
        <f t="array" ref="CB71">OptionGamma($BV71,$B$2,CB$64,$B$3,$BW$63,0)</f>
        <v>2.4406774147524603E-2</v>
      </c>
      <c r="CC71" s="1" cm="1">
        <f t="array" ref="CC71">OptionGamma($BV71,$B$2,CC$64,$B$3,$BW$63,0)</f>
        <v>2.3329031963279279E-2</v>
      </c>
      <c r="CD71" s="1" cm="1">
        <f t="array" ref="CD71">OptionGamma($BV71,$B$2,CD$64,$B$3,$BW$63,0)</f>
        <v>2.2344641814505347E-2</v>
      </c>
      <c r="CE71" s="1" cm="1">
        <f t="array" ref="CE71">OptionGamma($BV71,$B$2,CE$64,$B$3,$BW$63,0)</f>
        <v>2.1452524339852525E-2</v>
      </c>
      <c r="CF71" s="1" cm="1">
        <f t="array" ref="CF71">OptionGamma($BV71,$B$2,CF$64,$B$3,$BW$63,0)</f>
        <v>2.0644622964645629E-2</v>
      </c>
      <c r="CG71" s="1" cm="1">
        <f t="array" ref="CG71">OptionGamma($BV71,$B$2,CG$64,$B$3,$BW$63,0)</f>
        <v>1.5471684475151492E-2</v>
      </c>
      <c r="CH71" s="1" cm="1">
        <f t="array" ref="CH71">OptionGamma($BV71,$B$2,CH$64,$B$3,$BW$63,0)</f>
        <v>1.2783505889003443E-2</v>
      </c>
      <c r="CI71" s="1" cm="1">
        <f t="array" ref="CI71">OptionGamma($BV71,$B$2,CI$64,$B$3,$BW$63,0)</f>
        <v>1.1074310697636874E-2</v>
      </c>
      <c r="CJ71" s="1" cm="1">
        <f t="array" ref="CJ71">OptionGamma($BV71,$B$2,CJ$64,$B$3,$BW$63,0)</f>
        <v>9.8625457284395694E-3</v>
      </c>
      <c r="CS71" s="145"/>
      <c r="CT71" s="14">
        <v>90</v>
      </c>
      <c r="CU71" s="1" cm="1">
        <f t="array" ref="CU71">OptionVega($CT71,$B$2,CU$64,$B$3,$CU$63,0)</f>
        <v>3.0644533309865177E-2</v>
      </c>
      <c r="CV71" s="1" cm="1">
        <f t="array" ref="CV71">OptionVega($CT71,$B$2,CV$64,$B$3,$CU$63,0)</f>
        <v>8.6635119422354204E-2</v>
      </c>
      <c r="CW71" s="1" cm="1">
        <f t="array" ref="CW71">OptionVega($CT71,$B$2,CW$64,$B$3,$CU$63,0)</f>
        <v>0.13356393635672964</v>
      </c>
      <c r="CX71" s="1" cm="1">
        <f t="array" ref="CX71">OptionVega($CT71,$B$2,CX$64,$B$3,$CU$63,0)</f>
        <v>0.17293746502576174</v>
      </c>
      <c r="CY71" s="1" cm="1">
        <f t="array" ref="CY71">OptionVega($CT71,$B$2,CY$64,$B$3,$CU$63,0)</f>
        <v>0.2070079234545385</v>
      </c>
      <c r="CZ71" s="1" cm="1">
        <f t="array" ref="CZ71">OptionVega($CT71,$B$2,CZ$64,$B$3,$CU$63,0)</f>
        <v>0.23723384471393918</v>
      </c>
      <c r="DA71" s="1" cm="1">
        <f t="array" ref="DA71">OptionVega($CT71,$B$2,DA$64,$B$3,$CU$63,0)</f>
        <v>0.26455122246358709</v>
      </c>
      <c r="DB71" s="1" cm="1">
        <f t="array" ref="DB71">OptionVega($CT71,$B$2,DB$64,$B$3,$CU$63,0)</f>
        <v>0.28958655791598931</v>
      </c>
      <c r="DC71" s="1" cm="1">
        <f t="array" ref="DC71">OptionVega($CT71,$B$2,DC$64,$B$3,$CU$63,0)</f>
        <v>0.31277780487504986</v>
      </c>
      <c r="DD71" s="1" cm="1">
        <f t="array" ref="DD71">OptionVega($CT71,$B$2,DD$64,$B$3,$CU$63,0)</f>
        <v>0.33444289202725919</v>
      </c>
      <c r="DE71" s="1" cm="1">
        <f t="array" ref="DE71">OptionVega($CT71,$B$2,DE$64,$B$3,$CU$63,0)</f>
        <v>0.50128257699490841</v>
      </c>
      <c r="DF71" s="1" cm="1">
        <f t="array" ref="DF71">OptionVega($CT71,$B$2,DF$64,$B$3,$CU$63,0)</f>
        <v>0.6212783862055673</v>
      </c>
      <c r="DG71" s="1" cm="1">
        <f t="array" ref="DG71">OptionVega($CT71,$B$2,DG$64,$B$3,$CU$63,0)</f>
        <v>0.71761533320686943</v>
      </c>
      <c r="DH71" s="1" cm="1">
        <f t="array" ref="DH71">OptionVega($CT71,$B$2,DH$64,$B$3,$CU$63,0)</f>
        <v>0.79886620400360531</v>
      </c>
      <c r="DQ71" s="130"/>
      <c r="DR71" s="14">
        <v>90</v>
      </c>
      <c r="DS71" s="1" cm="1">
        <f t="array" ref="DS71">OptionRho("P",$DR71,$B$2,DS$64,$B$3,$DS$63,0)</f>
        <v>-9.5273399454231758E-2</v>
      </c>
      <c r="DT71" s="1" cm="1">
        <f t="array" ref="DT71">OptionRho("P",$DR71,$B$2,DT$64,$B$3,$DS$63,0)</f>
        <v>-0.17664512161955698</v>
      </c>
      <c r="DU71" s="1" cm="1">
        <f t="array" ref="DU71">OptionRho("P",$DR71,$B$2,DU$64,$B$3,$DS$63,0)</f>
        <v>-0.25086087962514603</v>
      </c>
      <c r="DV71" s="1" cm="1">
        <f t="array" ref="DV71">OptionRho("P",$DR71,$B$2,DV$64,$B$3,$DS$63,0)</f>
        <v>-0.32125751421305254</v>
      </c>
      <c r="DW71" s="1" cm="1">
        <f t="array" ref="DW71">OptionRho("P",$DR71,$B$2,DW$64,$B$3,$DS$63,0)</f>
        <v>-0.38925508361484984</v>
      </c>
      <c r="DX71" s="1" cm="1">
        <f t="array" ref="DX71">OptionRho("P",$DR71,$B$2,DX$64,$B$3,$DS$63,0)</f>
        <v>-0.45558439750236124</v>
      </c>
      <c r="DY71" s="1" cm="1">
        <f t="array" ref="DY71">OptionRho("P",$DR71,$B$2,DY$64,$B$3,$DS$63,0)</f>
        <v>-0.52067288526246502</v>
      </c>
      <c r="DZ71" s="1" cm="1">
        <f t="array" ref="DZ71">OptionRho("P",$DR71,$B$2,DZ$64,$B$3,$DS$63,0)</f>
        <v>-0.58479342652948607</v>
      </c>
      <c r="EA71" s="1" cm="1">
        <f t="array" ref="EA71">OptionRho("P",$DR71,$B$2,EA$64,$B$3,$DS$63,0)</f>
        <v>-0.64813159334649983</v>
      </c>
      <c r="EB71" s="1" cm="1">
        <f t="array" ref="EB71">OptionRho("P",$DR71,$B$2,EB$64,$B$3,$DS$63,0)</f>
        <v>-0.71081972912872315</v>
      </c>
      <c r="EC71" s="1" cm="1">
        <f t="array" ref="EC71">OptionRho("P",$DR71,$B$2,EC$64,$B$3,$DS$63,0)</f>
        <v>-1.3158096309700396</v>
      </c>
      <c r="ED71" s="1" cm="1">
        <f t="array" ref="ED71">OptionRho("P",$DR71,$B$2,ED$64,$B$3,$DS$63,0)</f>
        <v>-1.8982199268452462</v>
      </c>
      <c r="EE71" s="1" cm="1">
        <f t="array" ref="EE71">OptionRho("P",$DR71,$B$2,EE$64,$B$3,$DS$63,0)</f>
        <v>-2.4667209312610385</v>
      </c>
      <c r="EF71" s="1" cm="1">
        <f t="array" ref="EF71">OptionRho("P",$DR71,$B$2,EF$64,$B$3,$DS$63,0)</f>
        <v>-3.024212005593808</v>
      </c>
    </row>
    <row r="72" spans="1:136" x14ac:dyDescent="0.2">
      <c r="A72" s="133"/>
      <c r="B72" s="14">
        <v>95</v>
      </c>
      <c r="C72" s="1" cm="1">
        <f t="array" ref="C72">OptionPrice("P",$B72,$B$2,C$64,$B$3,$C$63,0)</f>
        <v>5.6467440053352931</v>
      </c>
      <c r="D72" s="1" cm="1">
        <f t="array" ref="D72">OptionPrice("P",$B72,$B$2,D$64,$B$3,$C$63,0)</f>
        <v>6.3886117277776862</v>
      </c>
      <c r="E72" s="1" cm="1">
        <f t="array" ref="E72">OptionPrice("P",$B72,$B$2,E$64,$B$3,$C$63,0)</f>
        <v>7.0086437857897366</v>
      </c>
      <c r="F72" s="1" cm="1">
        <f t="array" ref="F72">OptionPrice("P",$B72,$B$2,F$64,$B$3,$C$63,0)</f>
        <v>7.5456542257935055</v>
      </c>
      <c r="G72" s="1" cm="1">
        <f t="array" ref="G72">OptionPrice("P",$B72,$B$2,G$64,$B$3,$C$63,0)</f>
        <v>8.0234082535424847</v>
      </c>
      <c r="H72" s="1" cm="1">
        <f t="array" ref="H72">OptionPrice("P",$B72,$B$2,H$64,$B$3,$C$63,0)</f>
        <v>8.4564080518705893</v>
      </c>
      <c r="I72" s="1" cm="1">
        <f t="array" ref="I72">OptionPrice("P",$B72,$B$2,I$64,$B$3,$C$63,0)</f>
        <v>8.854128719043409</v>
      </c>
      <c r="J72" s="1" cm="1">
        <f t="array" ref="J72">OptionPrice("P",$B72,$B$2,J$64,$B$3,$C$63,0)</f>
        <v>9.2231313429903423</v>
      </c>
      <c r="K72" s="1" cm="1">
        <f t="array" ref="K72">OptionPrice("P",$B72,$B$2,K$64,$B$3,$C$63,0)</f>
        <v>9.5681715922198194</v>
      </c>
      <c r="L72" s="1" cm="1">
        <f t="array" ref="L72">OptionPrice("P",$B72,$B$2,L$64,$B$3,$C$63,0)</f>
        <v>9.8928232605274218</v>
      </c>
      <c r="M72" s="1" cm="1">
        <f t="array" ref="M72">OptionPrice("P",$B72,$B$2,M$64,$B$3,$C$63,0)</f>
        <v>12.429636543188181</v>
      </c>
      <c r="N72" s="1" cm="1">
        <f t="array" ref="N72">OptionPrice("P",$B72,$B$2,N$64,$B$3,$C$63,0)</f>
        <v>14.250965254701846</v>
      </c>
      <c r="O72" s="1" cm="1">
        <f t="array" ref="O72">OptionPrice("P",$B72,$B$2,O$64,$B$3,$C$63,0)</f>
        <v>15.690289107394975</v>
      </c>
      <c r="P72" s="1" cm="1">
        <f t="array" ref="P72">OptionPrice("P",$B72,$B$2,P$64,$B$3,$C$63,0)</f>
        <v>16.881405903557955</v>
      </c>
      <c r="Y72" s="136"/>
      <c r="Z72" s="14">
        <v>95</v>
      </c>
      <c r="AA72" s="1" cm="1">
        <f t="array" ref="AA72">OptionDelta("P",$Z72,$B$2,AA$64,$B$3,$AA$63,0)</f>
        <v>-0.77744241537585546</v>
      </c>
      <c r="AB72" s="1" cm="1">
        <f t="array" ref="AB72">OptionDelta("P",$Z72,$B$2,AB$64,$B$3,$AA$63,0)</f>
        <v>-0.6937101065655854</v>
      </c>
      <c r="AC72" s="1" cm="1">
        <f t="array" ref="AC72">OptionDelta("P",$Z72,$B$2,AC$64,$B$3,$AA$63,0)</f>
        <v>-0.65028247031978481</v>
      </c>
      <c r="AD72" s="1" cm="1">
        <f t="array" ref="AD72">OptionDelta("P",$Z72,$B$2,AD$64,$B$3,$AA$63,0)</f>
        <v>-0.62196313433435235</v>
      </c>
      <c r="AE72" s="1" cm="1">
        <f t="array" ref="AE72">OptionDelta("P",$Z72,$B$2,AE$64,$B$3,$AA$63,0)</f>
        <v>-0.60126869861810672</v>
      </c>
      <c r="AF72" s="1" cm="1">
        <f t="array" ref="AF72">OptionDelta("P",$Z72,$B$2,AF$64,$B$3,$AA$63,0)</f>
        <v>-0.58508019991269511</v>
      </c>
      <c r="AG72" s="1" cm="1">
        <f t="array" ref="AG72">OptionDelta("P",$Z72,$B$2,AG$64,$B$3,$AA$63,0)</f>
        <v>-0.57183075677667916</v>
      </c>
      <c r="AH72" s="1" cm="1">
        <f t="array" ref="AH72">OptionDelta("P",$Z72,$B$2,AH$64,$B$3,$AA$63,0)</f>
        <v>-0.56063294575822775</v>
      </c>
      <c r="AI72" s="1" cm="1">
        <f t="array" ref="AI72">OptionDelta("P",$Z72,$B$2,AI$64,$B$3,$AA$63,0)</f>
        <v>-0.55094011572048185</v>
      </c>
      <c r="AJ72" s="1" cm="1">
        <f t="array" ref="AJ72">OptionDelta("P",$Z72,$B$2,AJ$64,$B$3,$AA$63,0)</f>
        <v>-0.54239387215072843</v>
      </c>
      <c r="AK72" s="1" cm="1">
        <f t="array" ref="AK72">OptionDelta("P",$Z72,$B$2,AK$64,$B$3,$AA$63,0)</f>
        <v>-0.48772135767095182</v>
      </c>
      <c r="AL72" s="1" cm="1">
        <f t="array" ref="AL72">OptionDelta("P",$Z72,$B$2,AL$64,$B$3,$AA$63,0)</f>
        <v>-0.45551611552615734</v>
      </c>
      <c r="AM72" s="1" cm="1">
        <f t="array" ref="AM72">OptionDelta("P",$Z72,$B$2,AM$64,$B$3,$AA$63,0)</f>
        <v>-0.43181044779477695</v>
      </c>
      <c r="AN72" s="1" cm="1">
        <f t="array" ref="AN72">OptionDelta("P",$Z72,$B$2,AN$64,$B$3,$AA$63,0)</f>
        <v>-0.41265721312345893</v>
      </c>
      <c r="AW72" s="139"/>
      <c r="AX72" s="14">
        <v>95</v>
      </c>
      <c r="AY72" s="1" cm="1">
        <f t="array" ref="AY72">OptionTheta("P",$AX72,$B$2,AY$64,$B$3,$AY$63,0)</f>
        <v>-2.6710064489283251E-2</v>
      </c>
      <c r="AZ72" s="1" cm="1">
        <f t="array" ref="AZ72">OptionTheta("P",$AX72,$B$2,AZ$64,$B$3,$AY$63,0)</f>
        <v>-2.2404614274378724E-2</v>
      </c>
      <c r="BA72" s="1" cm="1">
        <f t="array" ref="BA72">OptionTheta("P",$AX72,$B$2,BA$64,$B$3,$AY$63,0)</f>
        <v>-1.9480461071291533E-2</v>
      </c>
      <c r="BB72" s="1" cm="1">
        <f t="array" ref="BB72">OptionTheta("P",$AX72,$B$2,BB$64,$B$3,$AY$63,0)</f>
        <v>-1.7469855308088863E-2</v>
      </c>
      <c r="BC72" s="1" cm="1">
        <f t="array" ref="BC72">OptionTheta("P",$AX72,$B$2,BC$64,$B$3,$AY$63,0)</f>
        <v>-1.5993468850045021E-2</v>
      </c>
      <c r="BD72" s="1" cm="1">
        <f t="array" ref="BD72">OptionTheta("P",$AX72,$B$2,BD$64,$B$3,$AY$63,0)</f>
        <v>-1.4853435461935573E-2</v>
      </c>
      <c r="BE72" s="1" cm="1">
        <f t="array" ref="BE72">OptionTheta("P",$AX72,$B$2,BE$64,$B$3,$AY$63,0)</f>
        <v>-1.3939759836733604E-2</v>
      </c>
      <c r="BF72" s="1" cm="1">
        <f t="array" ref="BF72">OptionTheta("P",$AX72,$B$2,BF$64,$B$3,$AY$63,0)</f>
        <v>-1.3186557758762879E-2</v>
      </c>
      <c r="BG72" s="1" cm="1">
        <f t="array" ref="BG72">OptionTheta("P",$AX72,$B$2,BG$64,$B$3,$AY$63,0)</f>
        <v>-1.2551843576152015E-2</v>
      </c>
      <c r="BH72" s="1" cm="1">
        <f t="array" ref="BH72">OptionTheta("P",$AX72,$B$2,BH$64,$B$3,$AY$63,0)</f>
        <v>-1.2007493342890006E-2</v>
      </c>
      <c r="BI72" s="1" cm="1">
        <f t="array" ref="BI72">OptionTheta("P",$AX72,$B$2,BI$64,$B$3,$AY$63,0)</f>
        <v>-8.9486651023073793E-3</v>
      </c>
      <c r="BJ72" s="1" cm="1">
        <f t="array" ref="BJ72">OptionTheta("P",$AX72,$B$2,BJ$64,$B$3,$AY$63,0)</f>
        <v>-7.5335962746430792E-3</v>
      </c>
      <c r="BK72" s="1" cm="1">
        <f t="array" ref="BK72">OptionTheta("P",$AX72,$B$2,BK$64,$B$3,$AY$63,0)</f>
        <v>-6.6694501790953101E-3</v>
      </c>
      <c r="BL72" s="1" cm="1">
        <f t="array" ref="BL72">OptionTheta("P",$AX72,$B$2,BL$64,$B$3,$AY$63,0)</f>
        <v>-6.0684137853336054E-3</v>
      </c>
      <c r="BU72" s="142"/>
      <c r="BV72" s="14">
        <v>95</v>
      </c>
      <c r="BW72" s="1" cm="1">
        <f t="array" ref="BW72">OptionGamma($BV72,$B$2,BW$64,$B$3,$BW$63,0)</f>
        <v>4.960740057577824E-2</v>
      </c>
      <c r="BX72" s="1" cm="1">
        <f t="array" ref="BX72">OptionGamma($BV72,$B$2,BX$64,$B$3,$BW$63,0)</f>
        <v>4.1300684164172589E-2</v>
      </c>
      <c r="BY72" s="1" cm="1">
        <f t="array" ref="BY72">OptionGamma($BV72,$B$2,BY$64,$B$3,$BW$63,0)</f>
        <v>3.5581792279001198E-2</v>
      </c>
      <c r="BZ72" s="1" cm="1">
        <f t="array" ref="BZ72">OptionGamma($BV72,$B$2,BZ$64,$B$3,$BW$63,0)</f>
        <v>3.1635322258043566E-2</v>
      </c>
      <c r="CA72" s="1" cm="1">
        <f t="array" ref="CA72">OptionGamma($BV72,$B$2,CA$64,$B$3,$BW$63,0)</f>
        <v>2.8732281352043244E-2</v>
      </c>
      <c r="CB72" s="1" cm="1">
        <f t="array" ref="CB72">OptionGamma($BV72,$B$2,CB$64,$B$3,$BW$63,0)</f>
        <v>2.64881643942976E-2</v>
      </c>
      <c r="CC72" s="1" cm="1">
        <f t="array" ref="CC72">OptionGamma($BV72,$B$2,CC$64,$B$3,$BW$63,0)</f>
        <v>2.4688265009858643E-2</v>
      </c>
      <c r="CD72" s="1" cm="1">
        <f t="array" ref="CD72">OptionGamma($BV72,$B$2,CD$64,$B$3,$BW$63,0)</f>
        <v>2.3203661883923712E-2</v>
      </c>
      <c r="CE72" s="1" cm="1">
        <f t="array" ref="CE72">OptionGamma($BV72,$B$2,CE$64,$B$3,$BW$63,0)</f>
        <v>2.1952066922098775E-2</v>
      </c>
      <c r="CF72" s="1" cm="1">
        <f t="array" ref="CF72">OptionGamma($BV72,$B$2,CF$64,$B$3,$BW$63,0)</f>
        <v>2.087829727981377E-2</v>
      </c>
      <c r="CG72" s="1" cm="1">
        <f t="array" ref="CG72">OptionGamma($BV72,$B$2,CG$64,$B$3,$BW$63,0)</f>
        <v>1.4840061535306964E-2</v>
      </c>
      <c r="CH72" s="1" cm="1">
        <f t="array" ref="CH72">OptionGamma($BV72,$B$2,CH$64,$B$3,$BW$63,0)</f>
        <v>1.2047161650680642E-2</v>
      </c>
      <c r="CI72" s="1" cm="1">
        <f t="array" ref="CI72">OptionGamma($BV72,$B$2,CI$64,$B$3,$BW$63,0)</f>
        <v>1.034474514620942E-2</v>
      </c>
      <c r="CJ72" s="1" cm="1">
        <f t="array" ref="CJ72">OptionGamma($BV72,$B$2,CJ$64,$B$3,$BW$63,0)</f>
        <v>9.1641696406864273E-3</v>
      </c>
      <c r="CS72" s="145"/>
      <c r="CT72" s="14">
        <v>95</v>
      </c>
      <c r="CU72" s="1" cm="1">
        <f t="array" ref="CU72">OptionVega($CT72,$B$2,CU$64,$B$3,$CU$63,0)</f>
        <v>8.9541358039279748E-2</v>
      </c>
      <c r="CV72" s="1" cm="1">
        <f t="array" ref="CV72">OptionVega($CT72,$B$2,CV$64,$B$3,$CU$63,0)</f>
        <v>0.14909546983266303</v>
      </c>
      <c r="CW72" s="1" cm="1">
        <f t="array" ref="CW72">OptionVega($CT72,$B$2,CW$64,$B$3,$CU$63,0)</f>
        <v>0.19267540519079149</v>
      </c>
      <c r="CX72" s="1" cm="1">
        <f t="array" ref="CX72">OptionVega($CT72,$B$2,CX$64,$B$3,$CU$63,0)</f>
        <v>0.22840702670307464</v>
      </c>
      <c r="CY72" s="1" cm="1">
        <f t="array" ref="CY72">OptionVega($CT72,$B$2,CY$64,$B$3,$CU$63,0)</f>
        <v>0.25930883920219033</v>
      </c>
      <c r="CZ72" s="1" cm="1">
        <f t="array" ref="CZ72">OptionVega($CT72,$B$2,CZ$64,$B$3,$CU$63,0)</f>
        <v>0.28686682039024308</v>
      </c>
      <c r="DA72" s="1" cm="1">
        <f t="array" ref="DA72">OptionVega($CT72,$B$2,DA$64,$B$3,$CU$63,0)</f>
        <v>0.31193622839956398</v>
      </c>
      <c r="DB72" s="1" cm="1">
        <f t="array" ref="DB72">OptionVega($CT72,$B$2,DB$64,$B$3,$CU$63,0)</f>
        <v>0.33506087760385844</v>
      </c>
      <c r="DC72" s="1" cm="1">
        <f t="array" ref="DC72">OptionVega($CT72,$B$2,DC$64,$B$3,$CU$63,0)</f>
        <v>0.35661132714949467</v>
      </c>
      <c r="DD72" s="1" cm="1">
        <f t="array" ref="DD72">OptionVega($CT72,$B$2,DD$64,$B$3,$CU$63,0)</f>
        <v>0.37685326590063856</v>
      </c>
      <c r="DE72" s="1" cm="1">
        <f t="array" ref="DE72">OptionVega($CT72,$B$2,DE$64,$B$3,$CU$63,0)</f>
        <v>0.53572622142458148</v>
      </c>
      <c r="DF72" s="1" cm="1">
        <f t="array" ref="DF72">OptionVega($CT72,$B$2,DF$64,$B$3,$CU$63,0)</f>
        <v>0.65235380338435678</v>
      </c>
      <c r="DG72" s="1" cm="1">
        <f t="array" ref="DG72">OptionVega($CT72,$B$2,DG$64,$B$3,$CU$63,0)</f>
        <v>0.7468905995563202</v>
      </c>
      <c r="DH72" s="1" cm="1">
        <f t="array" ref="DH72">OptionVega($CT72,$B$2,DH$64,$B$3,$CU$63,0)</f>
        <v>0.82706631007195031</v>
      </c>
      <c r="DQ72" s="130"/>
      <c r="DR72" s="14">
        <v>95</v>
      </c>
      <c r="DS72" s="1" cm="1">
        <f t="array" ref="DS72">OptionRho("P",$DR72,$B$2,DS$64,$B$3,$DS$63,0)</f>
        <v>-7.950377346604158E-2</v>
      </c>
      <c r="DT72" s="1" cm="1">
        <f t="array" ref="DT72">OptionRho("P",$DR72,$B$2,DT$64,$B$3,$DS$63,0)</f>
        <v>-0.14458214370301661</v>
      </c>
      <c r="DU72" s="1" cm="1">
        <f t="array" ref="DU72">OptionRho("P",$DR72,$B$2,DU$64,$B$3,$DS$63,0)</f>
        <v>-0.20635643539850787</v>
      </c>
      <c r="DV72" s="1" cm="1">
        <f t="array" ref="DV72">OptionRho("P",$DR72,$B$2,DV$64,$B$3,$DS$63,0)</f>
        <v>-0.26652860795022792</v>
      </c>
      <c r="DW72" s="1" cm="1">
        <f t="array" ref="DW72">OptionRho("P",$DR72,$B$2,DW$64,$B$3,$DS$63,0)</f>
        <v>-0.32571967311131306</v>
      </c>
      <c r="DX72" s="1" cm="1">
        <f t="array" ref="DX72">OptionRho("P",$DR72,$B$2,DX$64,$B$3,$DS$63,0)</f>
        <v>-0.38423416226145973</v>
      </c>
      <c r="DY72" s="1" cm="1">
        <f t="array" ref="DY72">OptionRho("P",$DR72,$B$2,DY$64,$B$3,$DS$63,0)</f>
        <v>-0.44224635428979553</v>
      </c>
      <c r="DZ72" s="1" cm="1">
        <f t="array" ref="DZ72">OptionRho("P",$DR72,$B$2,DZ$64,$B$3,$DS$63,0)</f>
        <v>-0.49986608952017586</v>
      </c>
      <c r="EA72" s="1" cm="1">
        <f t="array" ref="EA72">OptionRho("P",$DR72,$B$2,EA$64,$B$3,$DS$63,0)</f>
        <v>-0.55716734327099038</v>
      </c>
      <c r="EB72" s="1" cm="1">
        <f t="array" ref="EB72">OptionRho("P",$DR72,$B$2,EB$64,$B$3,$DS$63,0)</f>
        <v>-0.6142024111484663</v>
      </c>
      <c r="EC72" s="1" cm="1">
        <f t="array" ref="EC72">OptionRho("P",$DR72,$B$2,EC$64,$B$3,$DS$63,0)</f>
        <v>-1.1752633104385721</v>
      </c>
      <c r="ED72" s="1" cm="1">
        <f t="array" ref="ED72">OptionRho("P",$DR72,$B$2,ED$64,$B$3,$DS$63,0)</f>
        <v>-1.7257498868906036</v>
      </c>
      <c r="EE72" s="1" cm="1">
        <f t="array" ref="EE72">OptionRho("P",$DR72,$B$2,EE$64,$B$3,$DS$63,0)</f>
        <v>-2.2684912659159515</v>
      </c>
      <c r="EF72" s="1" cm="1">
        <f t="array" ref="EF72">OptionRho("P",$DR72,$B$2,EF$64,$B$3,$DS$63,0)</f>
        <v>-2.804192057514328</v>
      </c>
    </row>
    <row r="73" spans="1:136" x14ac:dyDescent="0.2">
      <c r="A73" s="133"/>
      <c r="B73" s="14">
        <v>100</v>
      </c>
      <c r="C73" s="1" cm="1">
        <f t="array" ref="C73">OptionPrice("P",$B73,$B$2,C$64,$B$3,$C$63,0)</f>
        <v>2.4717913988830205</v>
      </c>
      <c r="D73" s="1" cm="1">
        <f t="array" ref="D73">OptionPrice("P",$B73,$B$2,D$64,$B$3,$C$63,0)</f>
        <v>3.4644858545419481</v>
      </c>
      <c r="E73" s="1" cm="1">
        <f t="array" ref="E73">OptionPrice("P",$B73,$B$2,E$64,$B$3,$C$63,0)</f>
        <v>4.213325999146285</v>
      </c>
      <c r="F73" s="1" cm="1">
        <f t="array" ref="F73">OptionPrice("P",$B73,$B$2,F$64,$B$3,$C$63,0)</f>
        <v>4.8357495426492463</v>
      </c>
      <c r="G73" s="1" cm="1">
        <f t="array" ref="G73">OptionPrice("P",$B73,$B$2,G$64,$B$3,$C$63,0)</f>
        <v>5.3772721530958449</v>
      </c>
      <c r="H73" s="1" cm="1">
        <f t="array" ref="H73">OptionPrice("P",$B73,$B$2,H$64,$B$3,$C$63,0)</f>
        <v>5.8612504154918952</v>
      </c>
      <c r="I73" s="1" cm="1">
        <f t="array" ref="I73">OptionPrice("P",$B73,$B$2,I$64,$B$3,$C$63,0)</f>
        <v>6.3015670522829907</v>
      </c>
      <c r="J73" s="1" cm="1">
        <f t="array" ref="J73">OptionPrice("P",$B73,$B$2,J$64,$B$3,$C$63,0)</f>
        <v>6.7072725055907156</v>
      </c>
      <c r="K73" s="1" cm="1">
        <f t="array" ref="K73">OptionPrice("P",$B73,$B$2,K$64,$B$3,$C$63,0)</f>
        <v>7.0846567562223512</v>
      </c>
      <c r="L73" s="1" cm="1">
        <f t="array" ref="L73">OptionPrice("P",$B73,$B$2,L$64,$B$3,$C$63,0)</f>
        <v>7.43830206502642</v>
      </c>
      <c r="M73" s="1" cm="1">
        <f t="array" ref="M73">OptionPrice("P",$B73,$B$2,M$64,$B$3,$C$63,0)</f>
        <v>10.172519129121618</v>
      </c>
      <c r="N73" s="1" cm="1">
        <f t="array" ref="N73">OptionPrice("P",$B73,$B$2,N$64,$B$3,$C$63,0)</f>
        <v>12.120314291465803</v>
      </c>
      <c r="O73" s="1" cm="1">
        <f t="array" ref="O73">OptionPrice("P",$B73,$B$2,O$64,$B$3,$C$63,0)</f>
        <v>13.65723072051609</v>
      </c>
      <c r="P73" s="1" cm="1">
        <f t="array" ref="P73">OptionPrice("P",$B73,$B$2,P$64,$B$3,$C$63,0)</f>
        <v>14.929643181902598</v>
      </c>
      <c r="Y73" s="136"/>
      <c r="Z73" s="14">
        <v>100</v>
      </c>
      <c r="AA73" s="1" cm="1">
        <f t="array" ref="AA73">OptionDelta("P",$Z73,$B$2,AA$64,$B$3,$AA$63,0)</f>
        <v>-0.48108360000070371</v>
      </c>
      <c r="AB73" s="1" cm="1">
        <f t="array" ref="AB73">OptionDelta("P",$Z73,$B$2,AB$64,$B$3,$AA$63,0)</f>
        <v>-0.4732581961130774</v>
      </c>
      <c r="AC73" s="1" cm="1">
        <f t="array" ref="AC73">OptionDelta("P",$Z73,$B$2,AC$64,$B$3,$AA$63,0)</f>
        <v>-0.46726038328732289</v>
      </c>
      <c r="AD73" s="1" cm="1">
        <f t="array" ref="AD73">OptionDelta("P",$Z73,$B$2,AD$64,$B$3,$AA$63,0)</f>
        <v>-0.46220970609333534</v>
      </c>
      <c r="AE73" s="1" cm="1">
        <f t="array" ref="AE73">OptionDelta("P",$Z73,$B$2,AE$64,$B$3,$AA$63,0)</f>
        <v>-0.45776498668838594</v>
      </c>
      <c r="AF73" s="1" cm="1">
        <f t="array" ref="AF73">OptionDelta("P",$Z73,$B$2,AF$64,$B$3,$AA$63,0)</f>
        <v>-0.45375117893531969</v>
      </c>
      <c r="AG73" s="1" cm="1">
        <f t="array" ref="AG73">OptionDelta("P",$Z73,$B$2,AG$64,$B$3,$AA$63,0)</f>
        <v>-0.45006425675703965</v>
      </c>
      <c r="AH73" s="1" cm="1">
        <f t="array" ref="AH73">OptionDelta("P",$Z73,$B$2,AH$64,$B$3,$AA$63,0)</f>
        <v>-0.44663641507110596</v>
      </c>
      <c r="AI73" s="1" cm="1">
        <f t="array" ref="AI73">OptionDelta("P",$Z73,$B$2,AI$64,$B$3,$AA$63,0)</f>
        <v>-0.44342053804454018</v>
      </c>
      <c r="AJ73" s="1" cm="1">
        <f t="array" ref="AJ73">OptionDelta("P",$Z73,$B$2,AJ$64,$B$3,$AA$63,0)</f>
        <v>-0.4403823076297575</v>
      </c>
      <c r="AK73" s="1" cm="1">
        <f t="array" ref="AK73">OptionDelta("P",$Z73,$B$2,AK$64,$B$3,$AA$63,0)</f>
        <v>-0.41600201428631822</v>
      </c>
      <c r="AL73" s="1" cm="1">
        <f t="array" ref="AL73">OptionDelta("P",$Z73,$B$2,AL$64,$B$3,$AA$63,0)</f>
        <v>-0.39750608598211901</v>
      </c>
      <c r="AM73" s="1" cm="1">
        <f t="array" ref="AM73">OptionDelta("P",$Z73,$B$2,AM$64,$B$3,$AA$63,0)</f>
        <v>-0.38208857781104733</v>
      </c>
      <c r="AN73" s="1" cm="1">
        <f t="array" ref="AN73">OptionDelta("P",$Z73,$B$2,AN$64,$B$3,$AA$63,0)</f>
        <v>-0.36865783860820911</v>
      </c>
      <c r="AW73" s="139"/>
      <c r="AX73" s="14">
        <v>100</v>
      </c>
      <c r="AY73" s="1" cm="1">
        <f t="array" ref="AY73">OptionTheta("P",$AX73,$B$2,AY$64,$B$3,$AY$63,0)</f>
        <v>-3.5910354750712477E-2</v>
      </c>
      <c r="AZ73" s="1" cm="1">
        <f t="array" ref="AZ73">OptionTheta("P",$AX73,$B$2,AZ$64,$B$3,$AY$63,0)</f>
        <v>-2.5776643294550032E-2</v>
      </c>
      <c r="BA73" s="1" cm="1">
        <f t="array" ref="BA73">OptionTheta("P",$AX73,$B$2,BA$64,$B$3,$AY$63,0)</f>
        <v>-2.1283586146869034E-2</v>
      </c>
      <c r="BB73" s="1" cm="1">
        <f t="array" ref="BB73">OptionTheta("P",$AX73,$B$2,BB$64,$B$3,$AY$63,0)</f>
        <v>-1.8602950785745084E-2</v>
      </c>
      <c r="BC73" s="1" cm="1">
        <f t="array" ref="BC73">OptionTheta("P",$AX73,$B$2,BC$64,$B$3,$AY$63,0)</f>
        <v>-1.6772019093305741E-2</v>
      </c>
      <c r="BD73" s="1" cm="1">
        <f t="array" ref="BD73">OptionTheta("P",$AX73,$B$2,BD$64,$B$3,$AY$63,0)</f>
        <v>-1.5419284289836051E-2</v>
      </c>
      <c r="BE73" s="1" cm="1">
        <f t="array" ref="BE73">OptionTheta("P",$AX73,$B$2,BE$64,$B$3,$AY$63,0)</f>
        <v>-1.4366984985154352E-2</v>
      </c>
      <c r="BF73" s="1" cm="1">
        <f t="array" ref="BF73">OptionTheta("P",$AX73,$B$2,BF$64,$B$3,$AY$63,0)</f>
        <v>-1.3517963670552632E-2</v>
      </c>
      <c r="BG73" s="1" cm="1">
        <f t="array" ref="BG73">OptionTheta("P",$AX73,$B$2,BG$64,$B$3,$AY$63,0)</f>
        <v>-1.2814040929066278E-2</v>
      </c>
      <c r="BH73" s="1" cm="1">
        <f t="array" ref="BH73">OptionTheta("P",$AX73,$B$2,BH$64,$B$3,$AY$63,0)</f>
        <v>-1.2217968869476467E-2</v>
      </c>
      <c r="BI73" s="1" cm="1">
        <f t="array" ref="BI73">OptionTheta("P",$AX73,$B$2,BI$64,$B$3,$AY$63,0)</f>
        <v>-8.9751028005605315E-3</v>
      </c>
      <c r="BJ73" s="1" cm="1">
        <f t="array" ref="BJ73">OptionTheta("P",$AX73,$B$2,BJ$64,$B$3,$AY$63,0)</f>
        <v>-7.5220946277461216E-3</v>
      </c>
      <c r="BK73" s="1" cm="1">
        <f t="array" ref="BK73">OptionTheta("P",$AX73,$B$2,BK$64,$B$3,$AY$63,0)</f>
        <v>-6.6454793488187084E-3</v>
      </c>
      <c r="BL73" s="1" cm="1">
        <f t="array" ref="BL73">OptionTheta("P",$AX73,$B$2,BL$64,$B$3,$AY$63,0)</f>
        <v>-6.0397034478215008E-3</v>
      </c>
      <c r="BU73" s="142"/>
      <c r="BV73" s="14">
        <v>100</v>
      </c>
      <c r="BW73" s="1" cm="1">
        <f t="array" ref="BW73">OptionGamma($BV73,$B$2,BW$64,$B$3,$BW$63,0)</f>
        <v>6.3007389850102583E-2</v>
      </c>
      <c r="BX73" s="1" cm="1">
        <f t="array" ref="BX73">OptionGamma($BV73,$B$2,BX$64,$B$3,$BW$63,0)</f>
        <v>4.4502858739261325E-2</v>
      </c>
      <c r="BY73" s="1" cm="1">
        <f t="array" ref="BY73">OptionGamma($BV73,$B$2,BY$64,$B$3,$BW$63,0)</f>
        <v>3.6295576501642057E-2</v>
      </c>
      <c r="BZ73" s="1" cm="1">
        <f t="array" ref="BZ73">OptionGamma($BV73,$B$2,BZ$64,$B$3,$BW$63,0)</f>
        <v>3.1397549176385632E-2</v>
      </c>
      <c r="CA73" s="1" cm="1">
        <f t="array" ref="CA73">OptionGamma($BV73,$B$2,CA$64,$B$3,$BW$63,0)</f>
        <v>2.8051246304186251E-2</v>
      </c>
      <c r="CB73" s="1" cm="1">
        <f t="array" ref="CB73">OptionGamma($BV73,$B$2,CB$64,$B$3,$BW$63,0)</f>
        <v>2.5578375413499596E-2</v>
      </c>
      <c r="CC73" s="1" cm="1">
        <f t="array" ref="CC73">OptionGamma($BV73,$B$2,CC$64,$B$3,$BW$63,0)</f>
        <v>2.3654347961507342E-2</v>
      </c>
      <c r="CD73" s="1" cm="1">
        <f t="array" ref="CD73">OptionGamma($BV73,$B$2,CD$64,$B$3,$BW$63,0)</f>
        <v>2.2101737998123483E-2</v>
      </c>
      <c r="CE73" s="1" cm="1">
        <f t="array" ref="CE73">OptionGamma($BV73,$B$2,CE$64,$B$3,$BW$63,0)</f>
        <v>2.0814289167512139E-2</v>
      </c>
      <c r="CF73" s="1" cm="1">
        <f t="array" ref="CF73">OptionGamma($BV73,$B$2,CF$64,$B$3,$BW$63,0)</f>
        <v>1.9723966545394447E-2</v>
      </c>
      <c r="CG73" s="1" cm="1">
        <f t="array" ref="CG73">OptionGamma($BV73,$B$2,CG$64,$B$3,$BW$63,0)</f>
        <v>1.3790926583135297E-2</v>
      </c>
      <c r="CH73" s="1" cm="1">
        <f t="array" ref="CH73">OptionGamma($BV73,$B$2,CH$64,$B$3,$BW$63,0)</f>
        <v>1.1134276551152785E-2</v>
      </c>
      <c r="CI73" s="1" cm="1">
        <f t="array" ref="CI73">OptionGamma($BV73,$B$2,CI$64,$B$3,$BW$63,0)</f>
        <v>9.5346953865131021E-3</v>
      </c>
      <c r="CJ73" s="1" cm="1">
        <f t="array" ref="CJ73">OptionGamma($BV73,$B$2,CJ$64,$B$3,$BW$63,0)</f>
        <v>8.4326874401380626E-3</v>
      </c>
      <c r="CS73" s="145"/>
      <c r="CT73" s="14">
        <v>100</v>
      </c>
      <c r="CU73" s="1" cm="1">
        <f t="array" ref="CU73">OptionVega($CT73,$B$2,CU$64,$B$3,$CU$63,0)</f>
        <v>0.12601477970020519</v>
      </c>
      <c r="CV73" s="1" cm="1">
        <f t="array" ref="CV73">OptionVega($CT73,$B$2,CV$64,$B$3,$CU$63,0)</f>
        <v>0.1780114349570453</v>
      </c>
      <c r="CW73" s="1" cm="1">
        <f t="array" ref="CW73">OptionVega($CT73,$B$2,CW$64,$B$3,$CU$63,0)</f>
        <v>0.21777345900985232</v>
      </c>
      <c r="CX73" s="1" cm="1">
        <f t="array" ref="CX73">OptionVega($CT73,$B$2,CX$64,$B$3,$CU$63,0)</f>
        <v>0.25118039341108511</v>
      </c>
      <c r="CY73" s="1" cm="1">
        <f t="array" ref="CY73">OptionVega($CT73,$B$2,CY$64,$B$3,$CU$63,0)</f>
        <v>0.28051246304186261</v>
      </c>
      <c r="CZ73" s="1" cm="1">
        <f t="array" ref="CZ73">OptionVega($CT73,$B$2,CZ$64,$B$3,$CU$63,0)</f>
        <v>0.30694050496199521</v>
      </c>
      <c r="DA73" s="1" cm="1">
        <f t="array" ref="DA73">OptionVega($CT73,$B$2,DA$64,$B$3,$CU$63,0)</f>
        <v>0.3311608714611029</v>
      </c>
      <c r="DB73" s="1" cm="1">
        <f t="array" ref="DB73">OptionVega($CT73,$B$2,DB$64,$B$3,$CU$63,0)</f>
        <v>0.35362780796997573</v>
      </c>
      <c r="DC73" s="1" cm="1">
        <f t="array" ref="DC73">OptionVega($CT73,$B$2,DC$64,$B$3,$CU$63,0)</f>
        <v>0.37465720501521849</v>
      </c>
      <c r="DD73" s="1" cm="1">
        <f t="array" ref="DD73">OptionVega($CT73,$B$2,DD$64,$B$3,$CU$63,0)</f>
        <v>0.39447933090788895</v>
      </c>
      <c r="DE73" s="1" cm="1">
        <f t="array" ref="DE73">OptionVega($CT73,$B$2,DE$64,$B$3,$CU$63,0)</f>
        <v>0.55163706332541196</v>
      </c>
      <c r="DF73" s="1" cm="1">
        <f t="array" ref="DF73">OptionVega($CT73,$B$2,DF$64,$B$3,$CU$63,0)</f>
        <v>0.66805659306916709</v>
      </c>
      <c r="DG73" s="1" cm="1">
        <f t="array" ref="DG73">OptionVega($CT73,$B$2,DG$64,$B$3,$CU$63,0)</f>
        <v>0.76277563092104816</v>
      </c>
      <c r="DH73" s="1" cm="1">
        <f t="array" ref="DH73">OptionVega($CT73,$B$2,DH$64,$B$3,$CU$63,0)</f>
        <v>0.84326874401380636</v>
      </c>
      <c r="DQ73" s="130"/>
      <c r="DR73" s="14">
        <v>100</v>
      </c>
      <c r="DS73" s="1" cm="1">
        <f t="array" ref="DS73">OptionRho("P",$DR73,$B$2,DS$64,$B$3,$DS$63,0)</f>
        <v>-5.0580151398953388E-2</v>
      </c>
      <c r="DT73" s="1" cm="1">
        <f t="array" ref="DT73">OptionRho("P",$DR73,$B$2,DT$64,$B$3,$DS$63,0)</f>
        <v>-0.10158061093169939</v>
      </c>
      <c r="DU73" s="1" cm="1">
        <f t="array" ref="DU73">OptionRho("P",$DR73,$B$2,DU$64,$B$3,$DS$63,0)</f>
        <v>-0.15281809298363572</v>
      </c>
      <c r="DV73" s="1" cm="1">
        <f t="array" ref="DV73">OptionRho("P",$DR73,$B$2,DV$64,$B$3,$DS$63,0)</f>
        <v>-0.20422688060793115</v>
      </c>
      <c r="DW73" s="1" cm="1">
        <f t="array" ref="DW73">OptionRho("P",$DR73,$B$2,DW$64,$B$3,$DS$63,0)</f>
        <v>-0.25576885410967215</v>
      </c>
      <c r="DX73" s="1" cm="1">
        <f t="array" ref="DX73">OptionRho("P",$DR73,$B$2,DX$64,$B$3,$DS$63,0)</f>
        <v>-0.30741820985414314</v>
      </c>
      <c r="DY73" s="1" cm="1">
        <f t="array" ref="DY73">OptionRho("P",$DR73,$B$2,DY$64,$B$3,$DS$63,0)</f>
        <v>-0.35915594909590859</v>
      </c>
      <c r="DZ73" s="1" cm="1">
        <f t="array" ref="DZ73">OptionRho("P",$DR73,$B$2,DZ$64,$B$3,$DS$63,0)</f>
        <v>-0.41096731210161047</v>
      </c>
      <c r="EA73" s="1" cm="1">
        <f t="array" ref="EA73">OptionRho("P",$DR73,$B$2,EA$64,$B$3,$DS$63,0)</f>
        <v>-0.46284039504608737</v>
      </c>
      <c r="EB73" s="1" cm="1">
        <f t="array" ref="EB73">OptionRho("P",$DR73,$B$2,EB$64,$B$3,$DS$63,0)</f>
        <v>-0.51476532828002164</v>
      </c>
      <c r="EC73" s="1" cm="1">
        <f t="array" ref="EC73">OptionRho("P",$DR73,$B$2,EC$64,$B$3,$DS$63,0)</f>
        <v>-1.0354544111550688</v>
      </c>
      <c r="ED73" s="1" cm="1">
        <f t="array" ref="ED73">OptionRho("P",$DR73,$B$2,ED$64,$B$3,$DS$63,0)</f>
        <v>-1.5561276866903309</v>
      </c>
      <c r="EE73" s="1" cm="1">
        <f t="array" ref="EE73">OptionRho("P",$DR73,$B$2,EE$64,$B$3,$DS$63,0)</f>
        <v>-2.0746435400648329</v>
      </c>
      <c r="EF73" s="1" cm="1">
        <f t="array" ref="EF73">OptionRho("P",$DR73,$B$2,EF$64,$B$3,$DS$63,0)</f>
        <v>-2.5897713521361756</v>
      </c>
    </row>
    <row r="74" spans="1:136" x14ac:dyDescent="0.2">
      <c r="A74" s="133"/>
      <c r="B74" s="14">
        <v>105</v>
      </c>
      <c r="C74" s="1" cm="1">
        <f t="array" ref="C74">OptionPrice("P",$B74,$B$2,C$64,$B$3,$C$63,0)</f>
        <v>0.79605638258862399</v>
      </c>
      <c r="D74" s="1" cm="1">
        <f t="array" ref="D74">OptionPrice("P",$B74,$B$2,D$64,$B$3,$C$63,0)</f>
        <v>1.6258188435844403</v>
      </c>
      <c r="E74" s="1" cm="1">
        <f t="array" ref="E74">OptionPrice("P",$B74,$B$2,E$64,$B$3,$C$63,0)</f>
        <v>2.3108012147929813</v>
      </c>
      <c r="F74" s="1" cm="1">
        <f t="array" ref="F74">OptionPrice("P",$B74,$B$2,F$64,$B$3,$C$63,0)</f>
        <v>2.901458513780419</v>
      </c>
      <c r="G74" s="1" cm="1">
        <f t="array" ref="G74">OptionPrice("P",$B74,$B$2,G$64,$B$3,$C$63,0)</f>
        <v>3.4258705415799042</v>
      </c>
      <c r="H74" s="1" cm="1">
        <f t="array" ref="H74">OptionPrice("P",$B74,$B$2,H$64,$B$3,$C$63,0)</f>
        <v>3.9006730954963658</v>
      </c>
      <c r="I74" s="1" cm="1">
        <f t="array" ref="I74">OptionPrice("P",$B74,$B$2,I$64,$B$3,$C$63,0)</f>
        <v>4.3365749188593412</v>
      </c>
      <c r="J74" s="1" cm="1">
        <f t="array" ref="J74">OptionPrice("P",$B74,$B$2,J$64,$B$3,$C$63,0)</f>
        <v>4.7409245696641165</v>
      </c>
      <c r="K74" s="1" cm="1">
        <f t="array" ref="K74">OptionPrice("P",$B74,$B$2,K$64,$B$3,$C$63,0)</f>
        <v>5.1190160164926013</v>
      </c>
      <c r="L74" s="1" cm="1">
        <f t="array" ref="L74">OptionPrice("P",$B74,$B$2,L$64,$B$3,$C$63,0)</f>
        <v>5.4748100095789241</v>
      </c>
      <c r="M74" s="1" cm="1">
        <f t="array" ref="M74">OptionPrice("P",$B74,$B$2,M$64,$B$3,$C$63,0)</f>
        <v>8.2596214806837835</v>
      </c>
      <c r="N74" s="1" cm="1">
        <f t="array" ref="N74">OptionPrice("P",$B74,$B$2,N$64,$B$3,$C$63,0)</f>
        <v>10.267815038309145</v>
      </c>
      <c r="O74" s="1" cm="1">
        <f t="array" ref="O74">OptionPrice("P",$B74,$B$2,O$64,$B$3,$C$63,0)</f>
        <v>11.862467598482496</v>
      </c>
      <c r="P74" s="1" cm="1">
        <f t="array" ref="P74">OptionPrice("P",$B74,$B$2,P$64,$B$3,$C$63,0)</f>
        <v>13.18868888564927</v>
      </c>
      <c r="Y74" s="136"/>
      <c r="Z74" s="14">
        <v>105</v>
      </c>
      <c r="AA74" s="1" cm="1">
        <f t="array" ref="AA74">OptionDelta("P",$Z74,$B$2,AA$64,$B$3,$AA$63,0)</f>
        <v>-0.20642903973843518</v>
      </c>
      <c r="AB74" s="1" cm="1">
        <f t="array" ref="AB74">OptionDelta("P",$Z74,$B$2,AB$64,$B$3,$AA$63,0)</f>
        <v>-0.27007947091758511</v>
      </c>
      <c r="AC74" s="1" cm="1">
        <f t="array" ref="AC74">OptionDelta("P",$Z74,$B$2,AC$64,$B$3,$AA$63,0)</f>
        <v>-0.29890598798456547</v>
      </c>
      <c r="AD74" s="1" cm="1">
        <f t="array" ref="AD74">OptionDelta("P",$Z74,$B$2,AD$64,$B$3,$AA$63,0)</f>
        <v>-0.31540451463442365</v>
      </c>
      <c r="AE74" s="1" cm="1">
        <f t="array" ref="AE74">OptionDelta("P",$Z74,$B$2,AE$64,$B$3,$AA$63,0)</f>
        <v>-0.32597150372142969</v>
      </c>
      <c r="AF74" s="1" cm="1">
        <f t="array" ref="AF74">OptionDelta("P",$Z74,$B$2,AF$64,$B$3,$AA$63,0)</f>
        <v>-0.33318741279258823</v>
      </c>
      <c r="AG74" s="1" cm="1">
        <f t="array" ref="AG74">OptionDelta("P",$Z74,$B$2,AG$64,$B$3,$AA$63,0)</f>
        <v>-0.33831140787767133</v>
      </c>
      <c r="AH74" s="1" cm="1">
        <f t="array" ref="AH74">OptionDelta("P",$Z74,$B$2,AH$64,$B$3,$AA$63,0)</f>
        <v>-0.34203727030691766</v>
      </c>
      <c r="AI74" s="1" cm="1">
        <f t="array" ref="AI74">OptionDelta("P",$Z74,$B$2,AI$64,$B$3,$AA$63,0)</f>
        <v>-0.34478110979113252</v>
      </c>
      <c r="AJ74" s="1" cm="1">
        <f t="array" ref="AJ74">OptionDelta("P",$Z74,$B$2,AJ$64,$B$3,$AA$63,0)</f>
        <v>-0.34680867419920269</v>
      </c>
      <c r="AK74" s="1" cm="1">
        <f t="array" ref="AK74">OptionDelta("P",$Z74,$B$2,AK$64,$B$3,$AA$63,0)</f>
        <v>-0.35025529522042032</v>
      </c>
      <c r="AL74" s="1" cm="1">
        <f t="array" ref="AL74">OptionDelta("P",$Z74,$B$2,AL$64,$B$3,$AA$63,0)</f>
        <v>-0.3443379223573686</v>
      </c>
      <c r="AM74" s="1" cm="1">
        <f t="array" ref="AM74">OptionDelta("P",$Z74,$B$2,AM$64,$B$3,$AA$63,0)</f>
        <v>-0.33652148286606043</v>
      </c>
      <c r="AN74" s="1" cm="1">
        <f t="array" ref="AN74">OptionDelta("P",$Z74,$B$2,AN$64,$B$3,$AA$63,0)</f>
        <v>-0.32833755733835912</v>
      </c>
      <c r="AW74" s="139"/>
      <c r="AX74" s="14">
        <v>105</v>
      </c>
      <c r="AY74" s="1" cm="1">
        <f t="array" ref="AY74">OptionTheta("P",$AX74,$B$2,AY$64,$B$3,$AY$63,0)</f>
        <v>-2.6569226729120082E-2</v>
      </c>
      <c r="AZ74" s="1" cm="1">
        <f t="array" ref="AZ74">OptionTheta("P",$AX74,$B$2,AZ$64,$B$3,$AY$63,0)</f>
        <v>-2.2093469482657665E-2</v>
      </c>
      <c r="BA74" s="1" cm="1">
        <f t="array" ref="BA74">OptionTheta("P",$AX74,$B$2,BA$64,$B$3,$AY$63,0)</f>
        <v>-1.9154236597501428E-2</v>
      </c>
      <c r="BB74" s="1" cm="1">
        <f t="array" ref="BB74">OptionTheta("P",$AX74,$B$2,BB$64,$B$3,$AY$63,0)</f>
        <v>-1.7153581783128705E-2</v>
      </c>
      <c r="BC74" s="1" cm="1">
        <f t="array" ref="BC74">OptionTheta("P",$AX74,$B$2,BC$64,$B$3,$AY$63,0)</f>
        <v>-1.5691819056443804E-2</v>
      </c>
      <c r="BD74" s="1" cm="1">
        <f t="array" ref="BD74">OptionTheta("P",$AX74,$B$2,BD$64,$B$3,$AY$63,0)</f>
        <v>-1.4566456666781963E-2</v>
      </c>
      <c r="BE74" s="1" cm="1">
        <f t="array" ref="BE74">OptionTheta("P",$AX74,$B$2,BE$64,$B$3,$AY$63,0)</f>
        <v>-1.3666345887393121E-2</v>
      </c>
      <c r="BF74" s="1" cm="1">
        <f t="array" ref="BF74">OptionTheta("P",$AX74,$B$2,BF$64,$B$3,$AY$63,0)</f>
        <v>-1.2925392205369028E-2</v>
      </c>
      <c r="BG74" s="1" cm="1">
        <f t="array" ref="BG74">OptionTheta("P",$AX74,$B$2,BG$64,$B$3,$AY$63,0)</f>
        <v>-1.2301674794922935E-2</v>
      </c>
      <c r="BH74" s="1" cm="1">
        <f t="array" ref="BH74">OptionTheta("P",$AX74,$B$2,BH$64,$B$3,$AY$63,0)</f>
        <v>-1.1767207028136389E-2</v>
      </c>
      <c r="BI74" s="1" cm="1">
        <f t="array" ref="BI74">OptionTheta("P",$AX74,$B$2,BI$64,$B$3,$AY$63,0)</f>
        <v>-8.7703185933141747E-3</v>
      </c>
      <c r="BJ74" s="1" cm="1">
        <f t="array" ref="BJ74">OptionTheta("P",$AX74,$B$2,BJ$64,$B$3,$AY$63,0)</f>
        <v>-7.3867638032995399E-3</v>
      </c>
      <c r="BK74" s="1" cm="1">
        <f t="array" ref="BK74">OptionTheta("P",$AX74,$B$2,BK$64,$B$3,$AY$63,0)</f>
        <v>-6.5424854296488606E-3</v>
      </c>
      <c r="BL74" s="1" cm="1">
        <f t="array" ref="BL74">OptionTheta("P",$AX74,$B$2,BL$64,$B$3,$AY$63,0)</f>
        <v>-5.9554697812400975E-3</v>
      </c>
      <c r="BU74" s="142"/>
      <c r="BV74" s="14">
        <v>105</v>
      </c>
      <c r="BW74" s="1" cm="1">
        <f t="array" ref="BW74">OptionGamma($BV74,$B$2,BW$64,$B$3,$BW$63,0)</f>
        <v>4.2961708392642108E-2</v>
      </c>
      <c r="BX74" s="1" cm="1">
        <f t="array" ref="BX74">OptionGamma($BV74,$B$2,BX$64,$B$3,$BW$63,0)</f>
        <v>3.5212130286942124E-2</v>
      </c>
      <c r="BY74" s="1" cm="1">
        <f t="array" ref="BY74">OptionGamma($BV74,$B$2,BY$64,$B$3,$BW$63,0)</f>
        <v>3.0178399358531966E-2</v>
      </c>
      <c r="BZ74" s="1" cm="1">
        <f t="array" ref="BZ74">OptionGamma($BV74,$B$2,BZ$64,$B$3,$BW$63,0)</f>
        <v>2.6761306237360671E-2</v>
      </c>
      <c r="CA74" s="1" cm="1">
        <f t="array" ref="CA74">OptionGamma($BV74,$B$2,CA$64,$B$3,$BW$63,0)</f>
        <v>2.4267506445708333E-2</v>
      </c>
      <c r="CB74" s="1" cm="1">
        <f t="array" ref="CB74">OptionGamma($BV74,$B$2,CB$64,$B$3,$BW$63,0)</f>
        <v>2.2348767206295847E-2</v>
      </c>
      <c r="CC74" s="1" cm="1">
        <f t="array" ref="CC74">OptionGamma($BV74,$B$2,CC$64,$B$3,$BW$63,0)</f>
        <v>2.0814619144845083E-2</v>
      </c>
      <c r="CD74" s="1" cm="1">
        <f t="array" ref="CD74">OptionGamma($BV74,$B$2,CD$64,$B$3,$BW$63,0)</f>
        <v>1.9552017122180455E-2</v>
      </c>
      <c r="CE74" s="1" cm="1">
        <f t="array" ref="CE74">OptionGamma($BV74,$B$2,CE$64,$B$3,$BW$63,0)</f>
        <v>1.8489346824041977E-2</v>
      </c>
      <c r="CF74" s="1" cm="1">
        <f t="array" ref="CF74">OptionGamma($BV74,$B$2,CF$64,$B$3,$BW$63,0)</f>
        <v>1.7578836087368842E-2</v>
      </c>
      <c r="CG74" s="1" cm="1">
        <f t="array" ref="CG74">OptionGamma($BV74,$B$2,CG$64,$B$3,$BW$63,0)</f>
        <v>1.2475292570391813E-2</v>
      </c>
      <c r="CH74" s="1" cm="1">
        <f t="array" ref="CH74">OptionGamma($BV74,$B$2,CH$64,$B$3,$BW$63,0)</f>
        <v>1.0122157910866229E-2</v>
      </c>
      <c r="CI74" s="1" cm="1">
        <f t="array" ref="CI74">OptionGamma($BV74,$B$2,CI$64,$B$3,$BW$63,0)</f>
        <v>8.6895009017126795E-3</v>
      </c>
      <c r="CJ74" s="1" cm="1">
        <f t="array" ref="CJ74">OptionGamma($BV74,$B$2,CJ$64,$B$3,$BW$63,0)</f>
        <v>7.6966219777363501E-3</v>
      </c>
      <c r="CS74" s="145"/>
      <c r="CT74" s="14">
        <v>105</v>
      </c>
      <c r="CU74" s="1" cm="1">
        <f t="array" ref="CU74">OptionVega($CT74,$B$2,CU$64,$B$3,$CU$63,0)</f>
        <v>9.4730567005775868E-2</v>
      </c>
      <c r="CV74" s="1" cm="1">
        <f t="array" ref="CV74">OptionVega($CT74,$B$2,CV$64,$B$3,$CU$63,0)</f>
        <v>0.15528549456541477</v>
      </c>
      <c r="CW74" s="1" cm="1">
        <f t="array" ref="CW74">OptionVega($CT74,$B$2,CW$64,$B$3,$CU$63,0)</f>
        <v>0.19963011175668893</v>
      </c>
      <c r="CX74" s="1" cm="1">
        <f t="array" ref="CX74">OptionVega($CT74,$B$2,CX$64,$B$3,$CU$63,0)</f>
        <v>0.23603472101352116</v>
      </c>
      <c r="CY74" s="1" cm="1">
        <f t="array" ref="CY74">OptionVega($CT74,$B$2,CY$64,$B$3,$CU$63,0)</f>
        <v>0.26754925856393441</v>
      </c>
      <c r="CZ74" s="1" cm="1">
        <f t="array" ref="CZ74">OptionVega($CT74,$B$2,CZ$64,$B$3,$CU$63,0)</f>
        <v>0.29567419013929414</v>
      </c>
      <c r="DA74" s="1" cm="1">
        <f t="array" ref="DA74">OptionVega($CT74,$B$2,DA$64,$B$3,$CU$63,0)</f>
        <v>0.32127364650068396</v>
      </c>
      <c r="DB74" s="1" cm="1">
        <f t="array" ref="DB74">OptionVega($CT74,$B$2,DB$64,$B$3,$CU$63,0)</f>
        <v>0.34489758203526322</v>
      </c>
      <c r="DC74" s="1" cm="1">
        <f t="array" ref="DC74">OptionVega($CT74,$B$2,DC$64,$B$3,$CU$63,0)</f>
        <v>0.36692108772311305</v>
      </c>
      <c r="DD74" s="1" cm="1">
        <f t="array" ref="DD74">OptionVega($CT74,$B$2,DD$64,$B$3,$CU$63,0)</f>
        <v>0.38761333572648299</v>
      </c>
      <c r="DE74" s="1" cm="1">
        <f t="array" ref="DE74">OptionVega($CT74,$B$2,DE$64,$B$3,$CU$63,0)</f>
        <v>0.5501604023542791</v>
      </c>
      <c r="DF74" s="1" cm="1">
        <f t="array" ref="DF74">OptionVega($CT74,$B$2,DF$64,$B$3,$CU$63,0)</f>
        <v>0.669580745803801</v>
      </c>
      <c r="DG74" s="1" cm="1">
        <f t="array" ref="DG74">OptionVega($CT74,$B$2,DG$64,$B$3,$CU$63,0)</f>
        <v>0.76641397953105828</v>
      </c>
      <c r="DH74" s="1" cm="1">
        <f t="array" ref="DH74">OptionVega($CT74,$B$2,DH$64,$B$3,$CU$63,0)</f>
        <v>0.84855257304543275</v>
      </c>
      <c r="DQ74" s="130"/>
      <c r="DR74" s="14">
        <v>105</v>
      </c>
      <c r="DS74" s="1" cm="1">
        <f t="array" ref="DS74">OptionRho("P",$DR74,$B$2,DS$64,$B$3,$DS$63,0)</f>
        <v>-2.247110555512432E-2</v>
      </c>
      <c r="DT74" s="1" cm="1">
        <f t="array" ref="DT74">OptionRho("P",$DR74,$B$2,DT$64,$B$3,$DS$63,0)</f>
        <v>-5.9968326579861744E-2</v>
      </c>
      <c r="DU74" s="1" cm="1">
        <f t="array" ref="DU74">OptionRho("P",$DR74,$B$2,DU$64,$B$3,$DS$63,0)</f>
        <v>-0.10108778985951709</v>
      </c>
      <c r="DV74" s="1" cm="1">
        <f t="array" ref="DV74">OptionRho("P",$DR74,$B$2,DV$64,$B$3,$DS$63,0)</f>
        <v>-0.14407573020157963</v>
      </c>
      <c r="DW74" s="1" cm="1">
        <f t="array" ref="DW74">OptionRho("P",$DR74,$B$2,DW$64,$B$3,$DS$63,0)</f>
        <v>-0.18826439216165011</v>
      </c>
      <c r="DX74" s="1" cm="1">
        <f t="array" ref="DX74">OptionRho("P",$DR74,$B$2,DX$64,$B$3,$DS$63,0)</f>
        <v>-0.23331210863230878</v>
      </c>
      <c r="DY74" s="1" cm="1">
        <f t="array" ref="DY74">OptionRho("P",$DR74,$B$2,DY$64,$B$3,$DS$63,0)</f>
        <v>-0.27901490922210381</v>
      </c>
      <c r="DZ74" s="1" cm="1">
        <f t="array" ref="DZ74">OptionRho("P",$DR74,$B$2,DZ$64,$B$3,$DS$63,0)</f>
        <v>-0.3252387036151238</v>
      </c>
      <c r="EA74" s="1" cm="1">
        <f t="array" ref="EA74">OptionRho("P",$DR74,$B$2,EA$64,$B$3,$DS$63,0)</f>
        <v>-0.37188929290105366</v>
      </c>
      <c r="EB74" s="1" cm="1">
        <f t="array" ref="EB74">OptionRho("P",$DR74,$B$2,EB$64,$B$3,$DS$63,0)</f>
        <v>-0.41889720800495206</v>
      </c>
      <c r="EC74" s="1" cm="1">
        <f t="array" ref="EC74">OptionRho("P",$DR74,$B$2,EC$64,$B$3,$DS$63,0)</f>
        <v>-0.90072854957655835</v>
      </c>
      <c r="ED74" s="1" cm="1">
        <f t="array" ref="ED74">OptionRho("P",$DR74,$B$2,ED$64,$B$3,$DS$63,0)</f>
        <v>-1.3926989065749853</v>
      </c>
      <c r="EE74" s="1" cm="1">
        <f t="array" ref="EE74">OptionRho("P",$DR74,$B$2,EE$64,$B$3,$DS$63,0)</f>
        <v>-1.8878889319767538</v>
      </c>
      <c r="EF74" s="1" cm="1">
        <f t="array" ref="EF74">OptionRho("P",$DR74,$B$2,EF$64,$B$3,$DS$63,0)</f>
        <v>-2.3832066203088491</v>
      </c>
    </row>
    <row r="75" spans="1:136" x14ac:dyDescent="0.2">
      <c r="A75" s="133"/>
      <c r="B75" s="14">
        <v>110</v>
      </c>
      <c r="C75" s="1" cm="1">
        <f t="array" ref="C75">OptionPrice("P",$B75,$B$2,C$64,$B$3,$C$63,0)</f>
        <v>0.18435803629399317</v>
      </c>
      <c r="D75" s="1" cm="1">
        <f t="array" ref="D75">OptionPrice("P",$B75,$B$2,D$64,$B$3,$C$63,0)</f>
        <v>0.65809009972461574</v>
      </c>
      <c r="E75" s="1" cm="1">
        <f t="array" ref="E75">OptionPrice("P",$B75,$B$2,E$64,$B$3,$C$63,0)</f>
        <v>1.1564781561719926</v>
      </c>
      <c r="F75" s="1" cm="1">
        <f t="array" ref="F75">OptionPrice("P",$B75,$B$2,F$64,$B$3,$C$63,0)</f>
        <v>1.6318040959725053</v>
      </c>
      <c r="G75" s="1" cm="1">
        <f t="array" ref="G75">OptionPrice("P",$B75,$B$2,G$64,$B$3,$C$63,0)</f>
        <v>2.0779078901952204</v>
      </c>
      <c r="H75" s="1" cm="1">
        <f t="array" ref="H75">OptionPrice("P",$B75,$B$2,H$64,$B$3,$C$63,0)</f>
        <v>2.4963188732285104</v>
      </c>
      <c r="I75" s="1" cm="1">
        <f t="array" ref="I75">OptionPrice("P",$B75,$B$2,I$64,$B$3,$C$63,0)</f>
        <v>2.8899730652001843</v>
      </c>
      <c r="J75" s="1" cm="1">
        <f t="array" ref="J75">OptionPrice("P",$B75,$B$2,J$64,$B$3,$C$63,0)</f>
        <v>3.2617781361915732</v>
      </c>
      <c r="K75" s="1" cm="1">
        <f t="array" ref="K75">OptionPrice("P",$B75,$B$2,K$64,$B$3,$C$63,0)</f>
        <v>3.6142913010404918</v>
      </c>
      <c r="L75" s="1" cm="1">
        <f t="array" ref="L75">OptionPrice("P",$B75,$B$2,L$64,$B$3,$C$63,0)</f>
        <v>3.9496873984521805</v>
      </c>
      <c r="M75" s="1" cm="1">
        <f t="array" ref="M75">OptionPrice("P",$B75,$B$2,M$64,$B$3,$C$63,0)</f>
        <v>6.6583348344932958</v>
      </c>
      <c r="N75" s="1" cm="1">
        <f t="array" ref="N75">OptionPrice("P",$B75,$B$2,N$64,$B$3,$C$63,0)</f>
        <v>8.6682957089867898</v>
      </c>
      <c r="O75" s="1" cm="1">
        <f t="array" ref="O75">OptionPrice("P",$B75,$B$2,O$64,$B$3,$C$63,0)</f>
        <v>10.284942477887853</v>
      </c>
      <c r="P75" s="1" cm="1">
        <f t="array" ref="P75">OptionPrice("P",$B75,$B$2,P$64,$B$3,$C$63,0)</f>
        <v>11.640184961332274</v>
      </c>
      <c r="Y75" s="136"/>
      <c r="Z75" s="14">
        <v>110</v>
      </c>
      <c r="AA75" s="1" cm="1">
        <f t="array" ref="AA75">OptionDelta("P",$Z75,$B$2,AA$64,$B$3,$AA$63,0)</f>
        <v>-6.0042081945350878E-2</v>
      </c>
      <c r="AB75" s="1" cm="1">
        <f t="array" ref="AB75">OptionDelta("P",$Z75,$B$2,AB$64,$B$3,$AA$63,0)</f>
        <v>-0.12867385834263267</v>
      </c>
      <c r="AC75" s="1" cm="1">
        <f t="array" ref="AC75">OptionDelta("P",$Z75,$B$2,AC$64,$B$3,$AA$63,0)</f>
        <v>-0.17049339258313845</v>
      </c>
      <c r="AD75" s="1" cm="1">
        <f t="array" ref="AD75">OptionDelta("P",$Z75,$B$2,AD$64,$B$3,$AA$63,0)</f>
        <v>-0.19811834940327067</v>
      </c>
      <c r="AE75" s="1" cm="1">
        <f t="array" ref="AE75">OptionDelta("P",$Z75,$B$2,AE$64,$B$3,$AA$63,0)</f>
        <v>-0.21769227036615268</v>
      </c>
      <c r="AF75" s="1" cm="1">
        <f t="array" ref="AF75">OptionDelta("P",$Z75,$B$2,AF$64,$B$3,$AA$63,0)</f>
        <v>-0.23226313823370348</v>
      </c>
      <c r="AG75" s="1" cm="1">
        <f t="array" ref="AG75">OptionDelta("P",$Z75,$B$2,AG$64,$B$3,$AA$63,0)</f>
        <v>-0.2435006186136095</v>
      </c>
      <c r="AH75" s="1" cm="1">
        <f t="array" ref="AH75">OptionDelta("P",$Z75,$B$2,AH$64,$B$3,$AA$63,0)</f>
        <v>-0.25239750657251647</v>
      </c>
      <c r="AI75" s="1" cm="1">
        <f t="array" ref="AI75">OptionDelta("P",$Z75,$B$2,AI$64,$B$3,$AA$63,0)</f>
        <v>-0.25958308974686217</v>
      </c>
      <c r="AJ75" s="1" cm="1">
        <f t="array" ref="AJ75">OptionDelta("P",$Z75,$B$2,AJ$64,$B$3,$AA$63,0)</f>
        <v>-0.26547683131082922</v>
      </c>
      <c r="AK75" s="1" cm="1">
        <f t="array" ref="AK75">OptionDelta("P",$Z75,$B$2,AK$64,$B$3,$AA$63,0)</f>
        <v>-0.2914669006454369</v>
      </c>
      <c r="AL75" s="1" cm="1">
        <f t="array" ref="AL75">OptionDelta("P",$Z75,$B$2,AL$64,$B$3,$AA$63,0)</f>
        <v>-0.29634414861059299</v>
      </c>
      <c r="AM75" s="1" cm="1">
        <f t="array" ref="AM75">OptionDelta("P",$Z75,$B$2,AM$64,$B$3,$AA$63,0)</f>
        <v>-0.29519344894865263</v>
      </c>
      <c r="AN75" s="1" cm="1">
        <f t="array" ref="AN75">OptionDelta("P",$Z75,$B$2,AN$64,$B$3,$AA$63,0)</f>
        <v>-0.29166393636753718</v>
      </c>
      <c r="AW75" s="139"/>
      <c r="AX75" s="14">
        <v>110</v>
      </c>
      <c r="AY75" s="1" cm="1">
        <f t="array" ref="AY75">OptionTheta("P",$AX75,$B$2,AY$64,$B$3,$AY$63,0)</f>
        <v>-1.1544833789078834E-2</v>
      </c>
      <c r="AZ75" s="1" cm="1">
        <f t="array" ref="AZ75">OptionTheta("P",$AX75,$B$2,AZ$64,$B$3,$AY$63,0)</f>
        <v>-1.4560547551698593E-2</v>
      </c>
      <c r="BA75" s="1" cm="1">
        <f t="array" ref="BA75">OptionTheta("P",$AX75,$B$2,BA$64,$B$3,$AY$63,0)</f>
        <v>-1.4494979131663796E-2</v>
      </c>
      <c r="BB75" s="1" cm="1">
        <f t="array" ref="BB75">OptionTheta("P",$AX75,$B$2,BB$64,$B$3,$AY$63,0)</f>
        <v>-1.3906410637241998E-2</v>
      </c>
      <c r="BC75" s="1" cm="1">
        <f t="array" ref="BC75">OptionTheta("P",$AX75,$B$2,BC$64,$B$3,$AY$63,0)</f>
        <v>-1.3256202618526086E-2</v>
      </c>
      <c r="BD75" s="1" cm="1">
        <f t="array" ref="BD75">OptionTheta("P",$AX75,$B$2,BD$64,$B$3,$AY$63,0)</f>
        <v>-1.264703167011603E-2</v>
      </c>
      <c r="BE75" s="1" cm="1">
        <f t="array" ref="BE75">OptionTheta("P",$AX75,$B$2,BE$64,$B$3,$AY$63,0)</f>
        <v>-1.2099202788686914E-2</v>
      </c>
      <c r="BF75" s="1" cm="1">
        <f t="array" ref="BF75">OptionTheta("P",$AX75,$B$2,BF$64,$B$3,$AY$63,0)</f>
        <v>-1.1611415670433153E-2</v>
      </c>
      <c r="BG75" s="1" cm="1">
        <f t="array" ref="BG75">OptionTheta("P",$AX75,$B$2,BG$64,$B$3,$AY$63,0)</f>
        <v>-1.1176963739115761E-2</v>
      </c>
      <c r="BH75" s="1" cm="1">
        <f t="array" ref="BH75">OptionTheta("P",$AX75,$B$2,BH$64,$B$3,$AY$63,0)</f>
        <v>-1.0788466868687762E-2</v>
      </c>
      <c r="BI75" s="1" cm="1">
        <f t="array" ref="BI75">OptionTheta("P",$AX75,$B$2,BI$64,$B$3,$AY$63,0)</f>
        <v>-8.3725679686127551E-3</v>
      </c>
      <c r="BJ75" s="1" cm="1">
        <f t="array" ref="BJ75">OptionTheta("P",$AX75,$B$2,BJ$64,$B$3,$AY$63,0)</f>
        <v>-7.1465985947723023E-3</v>
      </c>
      <c r="BK75" s="1" cm="1">
        <f t="array" ref="BK75">OptionTheta("P",$AX75,$B$2,BK$64,$B$3,$AY$63,0)</f>
        <v>-6.3721242598401683E-3</v>
      </c>
      <c r="BL75" s="1" cm="1">
        <f t="array" ref="BL75">OptionTheta("P",$AX75,$B$2,BL$64,$B$3,$AY$63,0)</f>
        <v>-5.8237133546421476E-3</v>
      </c>
      <c r="BU75" s="142"/>
      <c r="BV75" s="14">
        <v>110</v>
      </c>
      <c r="BW75" s="1" cm="1">
        <f t="array" ref="BW75">OptionGamma($BV75,$B$2,BW$64,$B$3,$BW$63,0)</f>
        <v>1.7132125878144413E-2</v>
      </c>
      <c r="BX75" s="1" cm="1">
        <f t="array" ref="BX75">OptionGamma($BV75,$B$2,BX$64,$B$3,$BW$63,0)</f>
        <v>2.1349081451222499E-2</v>
      </c>
      <c r="BY75" s="1" cm="1">
        <f t="array" ref="BY75">OptionGamma($BV75,$B$2,BY$64,$B$3,$BW$63,0)</f>
        <v>2.1039503593612036E-2</v>
      </c>
      <c r="BZ75" s="1" cm="1">
        <f t="array" ref="BZ75">OptionGamma($BV75,$B$2,BZ$64,$B$3,$BW$63,0)</f>
        <v>2.0006577096239694E-2</v>
      </c>
      <c r="CA75" s="1" cm="1">
        <f t="array" ref="CA75">OptionGamma($BV75,$B$2,CA$64,$B$3,$BW$63,0)</f>
        <v>1.8918485039079756E-2</v>
      </c>
      <c r="CB75" s="1" cm="1">
        <f t="array" ref="CB75">OptionGamma($BV75,$B$2,CB$64,$B$3,$BW$63,0)</f>
        <v>1.7916173218194179E-2</v>
      </c>
      <c r="CC75" s="1" cm="1">
        <f t="array" ref="CC75">OptionGamma($BV75,$B$2,CC$64,$B$3,$BW$63,0)</f>
        <v>1.7022556226213847E-2</v>
      </c>
      <c r="CD75" s="1" cm="1">
        <f t="array" ref="CD75">OptionGamma($BV75,$B$2,CD$64,$B$3,$BW$63,0)</f>
        <v>1.6231040004613291E-2</v>
      </c>
      <c r="CE75" s="1" cm="1">
        <f t="array" ref="CE75">OptionGamma($BV75,$B$2,CE$64,$B$3,$BW$63,0)</f>
        <v>1.5528543194402063E-2</v>
      </c>
      <c r="CF75" s="1" cm="1">
        <f t="array" ref="CF75">OptionGamma($BV75,$B$2,CF$64,$B$3,$BW$63,0)</f>
        <v>1.4901938093572724E-2</v>
      </c>
      <c r="CG75" s="1" cm="1">
        <f t="array" ref="CG75">OptionGamma($BV75,$B$2,CG$64,$B$3,$BW$63,0)</f>
        <v>1.1028059378052651E-2</v>
      </c>
      <c r="CH75" s="1" cm="1">
        <f t="array" ref="CH75">OptionGamma($BV75,$B$2,CH$64,$B$3,$BW$63,0)</f>
        <v>9.0737477955800411E-3</v>
      </c>
      <c r="CI75" s="1" cm="1">
        <f t="array" ref="CI75">OptionGamma($BV75,$B$2,CI$64,$B$3,$BW$63,0)</f>
        <v>7.8440625463605997E-3</v>
      </c>
      <c r="CJ75" s="1" cm="1">
        <f t="array" ref="CJ75">OptionGamma($BV75,$B$2,CJ$64,$B$3,$BW$63,0)</f>
        <v>6.9769553505238452E-3</v>
      </c>
      <c r="CS75" s="145"/>
      <c r="CT75" s="14">
        <v>110</v>
      </c>
      <c r="CU75" s="1" cm="1">
        <f t="array" ref="CU75">OptionVega($CT75,$B$2,CU$64,$B$3,$CU$63,0)</f>
        <v>4.1459744625109492E-2</v>
      </c>
      <c r="CV75" s="1" cm="1">
        <f t="array" ref="CV75">OptionVega($CT75,$B$2,CV$64,$B$3,$CU$63,0)</f>
        <v>0.10332955422391689</v>
      </c>
      <c r="CW75" s="1" cm="1">
        <f t="array" ref="CW75">OptionVega($CT75,$B$2,CW$64,$B$3,$CU$63,0)</f>
        <v>0.15274679608962338</v>
      </c>
      <c r="CX75" s="1" cm="1">
        <f t="array" ref="CX75">OptionVega($CT75,$B$2,CX$64,$B$3,$CU$63,0)</f>
        <v>0.19366366629160028</v>
      </c>
      <c r="CY75" s="1" cm="1">
        <f t="array" ref="CY75">OptionVega($CT75,$B$2,CY$64,$B$3,$CU$63,0)</f>
        <v>0.22891366897286514</v>
      </c>
      <c r="CZ75" s="1" cm="1">
        <f t="array" ref="CZ75">OptionVega($CT75,$B$2,CZ$64,$B$3,$CU$63,0)</f>
        <v>0.26014283512817954</v>
      </c>
      <c r="DA75" s="1" cm="1">
        <f t="array" ref="DA75">OptionVega($CT75,$B$2,DA$64,$B$3,$CU$63,0)</f>
        <v>0.28836210247206262</v>
      </c>
      <c r="DB75" s="1" cm="1">
        <f t="array" ref="DB75">OptionVega($CT75,$B$2,DB$64,$B$3,$CU$63,0)</f>
        <v>0.31423293448931333</v>
      </c>
      <c r="DC75" s="1" cm="1">
        <f t="array" ref="DC75">OptionVega($CT75,$B$2,DC$64,$B$3,$CU$63,0)</f>
        <v>0.33821167077407699</v>
      </c>
      <c r="DD75" s="1" cm="1">
        <f t="array" ref="DD75">OptionVega($CT75,$B$2,DD$64,$B$3,$CU$63,0)</f>
        <v>0.36062690186445995</v>
      </c>
      <c r="DE75" s="1" cm="1">
        <f t="array" ref="DE75">OptionVega($CT75,$B$2,DE$64,$B$3,$CU$63,0)</f>
        <v>0.53375807389774854</v>
      </c>
      <c r="DF75" s="1" cm="1">
        <f t="array" ref="DF75">OptionVega($CT75,$B$2,DF$64,$B$3,$CU$63,0)</f>
        <v>0.658754089959111</v>
      </c>
      <c r="DG75" s="1" cm="1">
        <f t="array" ref="DG75">OptionVega($CT75,$B$2,DG$64,$B$3,$CU$63,0)</f>
        <v>0.75930525448770614</v>
      </c>
      <c r="DH75" s="1" cm="1">
        <f t="array" ref="DH75">OptionVega($CT75,$B$2,DH$64,$B$3,$CU$63,0)</f>
        <v>0.84421159741338536</v>
      </c>
      <c r="DQ75" s="130"/>
      <c r="DR75" s="14">
        <v>110</v>
      </c>
      <c r="DS75" s="1" cm="1">
        <f t="array" ref="DS75">OptionRho("P",$DR75,$B$2,DS$64,$B$3,$DS$63,0)</f>
        <v>-6.7889870502825947E-3</v>
      </c>
      <c r="DT75" s="1" cm="1">
        <f t="array" ref="DT75">OptionRho("P",$DR75,$B$2,DT$64,$B$3,$DS$63,0)</f>
        <v>-2.9624429034828429E-2</v>
      </c>
      <c r="DU75" s="1" cm="1">
        <f t="array" ref="DU75">OptionRho("P",$DR75,$B$2,DU$64,$B$3,$DS$63,0)</f>
        <v>-5.9732254020951649E-2</v>
      </c>
      <c r="DV75" s="1" cm="1">
        <f t="array" ref="DV75">OptionRho("P",$DR75,$B$2,DV$64,$B$3,$DS$63,0)</f>
        <v>-9.3699290121329132E-2</v>
      </c>
      <c r="DW75" s="1" cm="1">
        <f t="array" ref="DW75">OptionRho("P",$DR75,$B$2,DW$64,$B$3,$DS$63,0)</f>
        <v>-0.13012028815236004</v>
      </c>
      <c r="DX75" s="1" cm="1">
        <f t="array" ref="DX75">OptionRho("P",$DR75,$B$2,DX$64,$B$3,$DS$63,0)</f>
        <v>-0.16827158447361532</v>
      </c>
      <c r="DY75" s="1" cm="1">
        <f t="array" ref="DY75">OptionRho("P",$DR75,$B$2,DY$64,$B$3,$DS$63,0)</f>
        <v>-0.20772528778888061</v>
      </c>
      <c r="DZ75" s="1" cm="1">
        <f t="array" ref="DZ75">OptionRho("P",$DR75,$B$2,DZ$64,$B$3,$DS$63,0)</f>
        <v>-0.24820403087334714</v>
      </c>
      <c r="EA75" s="1" cm="1">
        <f t="array" ref="EA75">OptionRho("P",$DR75,$B$2,EA$64,$B$3,$DS$63,0)</f>
        <v>-0.28951588055875793</v>
      </c>
      <c r="EB75" s="1" cm="1">
        <f t="array" ref="EB75">OptionRho("P",$DR75,$B$2,EB$64,$B$3,$DS$63,0)</f>
        <v>-0.33152138842643408</v>
      </c>
      <c r="EC75" s="1" cm="1">
        <f t="array" ref="EC75">OptionRho("P",$DR75,$B$2,EC$64,$B$3,$DS$63,0)</f>
        <v>-0.77439387810982696</v>
      </c>
      <c r="ED75" s="1" cm="1">
        <f t="array" ref="ED75">OptionRho("P",$DR75,$B$2,ED$64,$B$3,$DS$63,0)</f>
        <v>-1.2379845616845606</v>
      </c>
      <c r="EE75" s="1" cm="1">
        <f t="array" ref="EE75">OptionRho("P",$DR75,$B$2,EE$64,$B$3,$DS$63,0)</f>
        <v>-1.7102488744895861</v>
      </c>
      <c r="EF75" s="1" cm="1">
        <f t="array" ref="EF75">OptionRho("P",$DR75,$B$2,EF$64,$B$3,$DS$63,0)</f>
        <v>-2.186160898088068</v>
      </c>
    </row>
    <row r="76" spans="1:136" x14ac:dyDescent="0.2">
      <c r="A76" s="133"/>
      <c r="B76" s="14">
        <v>115</v>
      </c>
      <c r="C76" s="1" cm="1">
        <f t="array" ref="C76">OptionPrice("P",$B76,$B$2,C$64,$B$3,$C$63,0)</f>
        <v>3.0777125640870651E-2</v>
      </c>
      <c r="D76" s="1" cm="1">
        <f t="array" ref="D76">OptionPrice("P",$B76,$B$2,D$64,$B$3,$C$63,0)</f>
        <v>0.23056244343906851</v>
      </c>
      <c r="E76" s="1" cm="1">
        <f t="array" ref="E76">OptionPrice("P",$B76,$B$2,E$64,$B$3,$C$63,0)</f>
        <v>0.52982110425509887</v>
      </c>
      <c r="F76" s="1" cm="1">
        <f t="array" ref="F76">OptionPrice("P",$B76,$B$2,F$64,$B$3,$C$63,0)</f>
        <v>0.86263501147878685</v>
      </c>
      <c r="G76" s="1" cm="1">
        <f t="array" ref="G76">OptionPrice("P",$B76,$B$2,G$64,$B$3,$C$63,0)</f>
        <v>1.2027807982176935</v>
      </c>
      <c r="H76" s="1" cm="1">
        <f t="array" ref="H76">OptionPrice("P",$B76,$B$2,H$64,$B$3,$C$63,0)</f>
        <v>1.5395942914228655</v>
      </c>
      <c r="I76" s="1" cm="1">
        <f t="array" ref="I76">OptionPrice("P",$B76,$B$2,I$64,$B$3,$C$63,0)</f>
        <v>1.8686236486922461</v>
      </c>
      <c r="J76" s="1" cm="1">
        <f t="array" ref="J76">OptionPrice("P",$B76,$B$2,J$64,$B$3,$C$63,0)</f>
        <v>2.1881032096159672</v>
      </c>
      <c r="K76" s="1" cm="1">
        <f t="array" ref="K76">OptionPrice("P",$B76,$B$2,K$64,$B$3,$C$63,0)</f>
        <v>2.4974995293302271</v>
      </c>
      <c r="L76" s="1" cm="1">
        <f t="array" ref="L76">OptionPrice("P",$B76,$B$2,L$64,$B$3,$C$63,0)</f>
        <v>2.7968619856168182</v>
      </c>
      <c r="M76" s="1" cm="1">
        <f t="array" ref="M76">OptionPrice("P",$B76,$B$2,M$64,$B$3,$C$63,0)</f>
        <v>5.3327045383445473</v>
      </c>
      <c r="N76" s="1" cm="1">
        <f t="array" ref="N76">OptionPrice("P",$B76,$B$2,N$64,$B$3,$C$63,0)</f>
        <v>7.2956458236352226</v>
      </c>
      <c r="O76" s="1" cm="1">
        <f t="array" ref="O76">OptionPrice("P",$B76,$B$2,O$64,$B$3,$C$63,0)</f>
        <v>8.9035723172217658</v>
      </c>
      <c r="P76" s="1" cm="1">
        <f t="array" ref="P76">OptionPrice("P",$B76,$B$2,P$64,$B$3,$C$63,0)</f>
        <v>10.266170159703762</v>
      </c>
      <c r="Y76" s="136"/>
      <c r="Z76" s="14">
        <v>115</v>
      </c>
      <c r="AA76" s="1" cm="1">
        <f t="array" ref="AA76">OptionDelta("P",$Z76,$B$2,AA$64,$B$3,$AA$63,0)</f>
        <v>-1.1995775931455177E-2</v>
      </c>
      <c r="AB76" s="1" cm="1">
        <f t="array" ref="AB76">OptionDelta("P",$Z76,$B$2,AB$64,$B$3,$AA$63,0)</f>
        <v>-5.1585835851565065E-2</v>
      </c>
      <c r="AC76" s="1" cm="1">
        <f t="array" ref="AC76">OptionDelta("P",$Z76,$B$2,AC$64,$B$3,$AA$63,0)</f>
        <v>-8.7231124066456167E-2</v>
      </c>
      <c r="AD76" s="1" cm="1">
        <f t="array" ref="AD76">OptionDelta("P",$Z76,$B$2,AD$64,$B$3,$AA$63,0)</f>
        <v>-0.11511171694608568</v>
      </c>
      <c r="AE76" s="1" cm="1">
        <f t="array" ref="AE76">OptionDelta("P",$Z76,$B$2,AE$64,$B$3,$AA$63,0)</f>
        <v>-0.1369046562965619</v>
      </c>
      <c r="AF76" s="1" cm="1">
        <f t="array" ref="AF76">OptionDelta("P",$Z76,$B$2,AF$64,$B$3,$AA$63,0)</f>
        <v>-0.15425607458895985</v>
      </c>
      <c r="AG76" s="1" cm="1">
        <f t="array" ref="AG76">OptionDelta("P",$Z76,$B$2,AG$64,$B$3,$AA$63,0)</f>
        <v>-0.16834237110652894</v>
      </c>
      <c r="AH76" s="1" cm="1">
        <f t="array" ref="AH76">OptionDelta("P",$Z76,$B$2,AH$64,$B$3,$AA$63,0)</f>
        <v>-0.17997586012231237</v>
      </c>
      <c r="AI76" s="1" cm="1">
        <f t="array" ref="AI76">OptionDelta("P",$Z76,$B$2,AI$64,$B$3,$AA$63,0)</f>
        <v>-0.18972433093783714</v>
      </c>
      <c r="AJ76" s="1" cm="1">
        <f t="array" ref="AJ76">OptionDelta("P",$Z76,$B$2,AJ$64,$B$3,$AA$63,0)</f>
        <v>-0.19799359259378047</v>
      </c>
      <c r="AK76" s="1" cm="1">
        <f t="array" ref="AK76">OptionDelta("P",$Z76,$B$2,AK$64,$B$3,$AA$63,0)</f>
        <v>-0.24001164001031328</v>
      </c>
      <c r="AL76" s="1" cm="1">
        <f t="array" ref="AL76">OptionDelta("P",$Z76,$B$2,AL$64,$B$3,$AA$63,0)</f>
        <v>-0.25358023320856948</v>
      </c>
      <c r="AM76" s="1" cm="1">
        <f t="array" ref="AM76">OptionDelta("P",$Z76,$B$2,AM$64,$B$3,$AA$63,0)</f>
        <v>-0.25803836305997996</v>
      </c>
      <c r="AN76" s="1" cm="1">
        <f t="array" ref="AN76">OptionDelta("P",$Z76,$B$2,AN$64,$B$3,$AA$63,0)</f>
        <v>-0.25851595379743597</v>
      </c>
      <c r="AW76" s="139"/>
      <c r="AX76" s="14">
        <v>115</v>
      </c>
      <c r="AY76" s="1" cm="1">
        <f t="array" ref="AY76">OptionTheta("P",$AX76,$B$2,AY$64,$B$3,$AY$63,0)</f>
        <v>-3.1496170651617592E-3</v>
      </c>
      <c r="AZ76" s="1" cm="1">
        <f t="array" ref="AZ76">OptionTheta("P",$AX76,$B$2,AZ$64,$B$3,$AY$63,0)</f>
        <v>-7.6178221555692682E-3</v>
      </c>
      <c r="BA76" s="1" cm="1">
        <f t="array" ref="BA76">OptionTheta("P",$AX76,$B$2,BA$64,$B$3,$AY$63,0)</f>
        <v>-9.4156929413266918E-3</v>
      </c>
      <c r="BB76" s="1" cm="1">
        <f t="array" ref="BB76">OptionTheta("P",$AX76,$B$2,BB$64,$B$3,$AY$63,0)</f>
        <v>-1.0062536917963898E-2</v>
      </c>
      <c r="BC76" s="1" cm="1">
        <f t="array" ref="BC76">OptionTheta("P",$AX76,$B$2,BC$64,$B$3,$AY$63,0)</f>
        <v>-1.0231776798354056E-2</v>
      </c>
      <c r="BD76" s="1" cm="1">
        <f t="array" ref="BD76">OptionTheta("P",$AX76,$B$2,BD$64,$B$3,$AY$63,0)</f>
        <v>-1.0189818772857467E-2</v>
      </c>
      <c r="BE76" s="1" cm="1">
        <f t="array" ref="BE76">OptionTheta("P",$AX76,$B$2,BE$64,$B$3,$AY$63,0)</f>
        <v>-1.0051284122032942E-2</v>
      </c>
      <c r="BF76" s="1" cm="1">
        <f t="array" ref="BF76">OptionTheta("P",$AX76,$B$2,BF$64,$B$3,$AY$63,0)</f>
        <v>-9.8694486005125679E-3</v>
      </c>
      <c r="BG76" s="1" cm="1">
        <f t="array" ref="BG76">OptionTheta("P",$AX76,$B$2,BG$64,$B$3,$AY$63,0)</f>
        <v>-9.6704930598419305E-3</v>
      </c>
      <c r="BH76" s="1" cm="1">
        <f t="array" ref="BH76">OptionTheta("P",$AX76,$B$2,BH$64,$B$3,$AY$63,0)</f>
        <v>-9.467729272024954E-3</v>
      </c>
      <c r="BI76" s="1" cm="1">
        <f t="array" ref="BI76">OptionTheta("P",$AX76,$B$2,BI$64,$B$3,$AY$63,0)</f>
        <v>-7.8283384366417338E-3</v>
      </c>
      <c r="BJ76" s="1" cm="1">
        <f t="array" ref="BJ76">OptionTheta("P",$AX76,$B$2,BJ$64,$B$3,$AY$63,0)</f>
        <v>-6.8229040345424603E-3</v>
      </c>
      <c r="BK76" s="1" cm="1">
        <f t="array" ref="BK76">OptionTheta("P",$AX76,$B$2,BK$64,$B$3,$AY$63,0)</f>
        <v>-6.1468195139975871E-3</v>
      </c>
      <c r="BL76" s="1" cm="1">
        <f t="array" ref="BL76">OptionTheta("P",$AX76,$B$2,BL$64,$B$3,$AY$63,0)</f>
        <v>-5.652667007465118E-3</v>
      </c>
      <c r="BU76" s="142"/>
      <c r="BV76" s="14">
        <v>115</v>
      </c>
      <c r="BW76" s="1" cm="1">
        <f t="array" ref="BW76">OptionGamma($BV76,$B$2,BW$64,$B$3,$BW$63,0)</f>
        <v>4.2930333278127031E-3</v>
      </c>
      <c r="BX76" s="1" cm="1">
        <f t="array" ref="BX76">OptionGamma($BV76,$B$2,BX$64,$B$3,$BW$63,0)</f>
        <v>1.0279303406877476E-2</v>
      </c>
      <c r="BY76" s="1" cm="1">
        <f t="array" ref="BY76">OptionGamma($BV76,$B$2,BY$64,$B$3,$BW$63,0)</f>
        <v>1.2594003477751478E-2</v>
      </c>
      <c r="BZ76" s="1" cm="1">
        <f t="array" ref="BZ76">OptionGamma($BV76,$B$2,BZ$64,$B$3,$BW$63,0)</f>
        <v>1.3352820984703351E-2</v>
      </c>
      <c r="CA76" s="1" cm="1">
        <f t="array" ref="CA76">OptionGamma($BV76,$B$2,CA$64,$B$3,$BW$63,0)</f>
        <v>1.3478753756809101E-2</v>
      </c>
      <c r="CB76" s="1" cm="1">
        <f t="array" ref="CB76">OptionGamma($BV76,$B$2,CB$64,$B$3,$BW$63,0)</f>
        <v>1.333267834934383E-2</v>
      </c>
      <c r="CC76" s="1" cm="1">
        <f t="array" ref="CC76">OptionGamma($BV76,$B$2,CC$64,$B$3,$BW$63,0)</f>
        <v>1.3067821328100538E-2</v>
      </c>
      <c r="CD76" s="1" cm="1">
        <f t="array" ref="CD76">OptionGamma($BV76,$B$2,CD$64,$B$3,$BW$63,0)</f>
        <v>1.2754236173725023E-2</v>
      </c>
      <c r="CE76" s="1" cm="1">
        <f t="array" ref="CE76">OptionGamma($BV76,$B$2,CE$64,$B$3,$BW$63,0)</f>
        <v>1.2425602990436631E-2</v>
      </c>
      <c r="CF76" s="1" cm="1">
        <f t="array" ref="CF76">OptionGamma($BV76,$B$2,CF$64,$B$3,$BW$63,0)</f>
        <v>1.2098525266351955E-2</v>
      </c>
      <c r="CG76" s="1" cm="1">
        <f t="array" ref="CG76">OptionGamma($BV76,$B$2,CG$64,$B$3,$BW$63,0)</f>
        <v>9.5576676672171137E-3</v>
      </c>
      <c r="CH76" s="1" cm="1">
        <f t="array" ref="CH76">OptionGamma($BV76,$B$2,CH$64,$B$3,$BW$63,0)</f>
        <v>8.0369990403848391E-3</v>
      </c>
      <c r="CI76" s="1" cm="1">
        <f t="array" ref="CI76">OptionGamma($BV76,$B$2,CI$64,$B$3,$BW$63,0)</f>
        <v>7.0238536178371452E-3</v>
      </c>
      <c r="CJ76" s="1" cm="1">
        <f t="array" ref="CJ76">OptionGamma($BV76,$B$2,CJ$64,$B$3,$BW$63,0)</f>
        <v>6.2883493733863101E-3</v>
      </c>
      <c r="CS76" s="145"/>
      <c r="CT76" s="14">
        <v>115</v>
      </c>
      <c r="CU76" s="1" cm="1">
        <f t="array" ref="CU76">OptionVega($CT76,$B$2,CU$64,$B$3,$CU$63,0)</f>
        <v>1.1355073152064604E-2</v>
      </c>
      <c r="CV76" s="1" cm="1">
        <f t="array" ref="CV76">OptionVega($CT76,$B$2,CV$64,$B$3,$CU$63,0)</f>
        <v>5.4377515022381848E-2</v>
      </c>
      <c r="CW76" s="1" cm="1">
        <f t="array" ref="CW76">OptionVega($CT76,$B$2,CW$64,$B$3,$CU$63,0)</f>
        <v>9.9933417595958002E-2</v>
      </c>
      <c r="CX76" s="1" cm="1">
        <f t="array" ref="CX76">OptionVega($CT76,$B$2,CX$64,$B$3,$CU$63,0)</f>
        <v>0.14127284601816151</v>
      </c>
      <c r="CY76" s="1" cm="1">
        <f t="array" ref="CY76">OptionVega($CT76,$B$2,CY$64,$B$3,$CU$63,0)</f>
        <v>0.17825651843380044</v>
      </c>
      <c r="CZ76" s="1" cm="1">
        <f t="array" ref="CZ76">OptionVega($CT76,$B$2,CZ$64,$B$3,$CU$63,0)</f>
        <v>0.21158960540408664</v>
      </c>
      <c r="DA76" s="1" cm="1">
        <f t="array" ref="DA76">OptionVega($CT76,$B$2,DA$64,$B$3,$CU$63,0)</f>
        <v>0.24195071188978154</v>
      </c>
      <c r="DB76" s="1" cm="1">
        <f t="array" ref="DB76">OptionVega($CT76,$B$2,DB$64,$B$3,$CU$63,0)</f>
        <v>0.2698796374360215</v>
      </c>
      <c r="DC76" s="1" cm="1">
        <f t="array" ref="DC76">OptionVega($CT76,$B$2,DC$64,$B$3,$CU$63,0)</f>
        <v>0.29579147918734411</v>
      </c>
      <c r="DD76" s="1" cm="1">
        <f t="array" ref="DD76">OptionVega($CT76,$B$2,DD$64,$B$3,$CU$63,0)</f>
        <v>0.32000599329500923</v>
      </c>
      <c r="DE76" s="1" cm="1">
        <f t="array" ref="DE76">OptionVega($CT76,$B$2,DE$64,$B$3,$CU$63,0)</f>
        <v>0.50560061959578562</v>
      </c>
      <c r="DF76" s="1" cm="1">
        <f t="array" ref="DF76">OptionVega($CT76,$B$2,DF$64,$B$3,$CU$63,0)</f>
        <v>0.63773587385453712</v>
      </c>
      <c r="DG76" s="1" cm="1">
        <f t="array" ref="DG76">OptionVega($CT76,$B$2,DG$64,$B$3,$CU$63,0)</f>
        <v>0.74312371276717004</v>
      </c>
      <c r="DH76" s="1" cm="1">
        <f t="array" ref="DH76">OptionVega($CT76,$B$2,DH$64,$B$3,$CU$63,0)</f>
        <v>0.83163420463033977</v>
      </c>
      <c r="DQ76" s="130"/>
      <c r="DR76" s="14">
        <v>115</v>
      </c>
      <c r="DS76" s="1" cm="1">
        <f t="array" ref="DS76">OptionRho("P",$DR76,$B$2,DS$64,$B$3,$DS$63,0)</f>
        <v>-1.4102913577582136E-3</v>
      </c>
      <c r="DT76" s="1" cm="1">
        <f t="array" ref="DT76">OptionRho("P",$DR76,$B$2,DT$64,$B$3,$DS$63,0)</f>
        <v>-1.2325867132738097E-2</v>
      </c>
      <c r="DU76" s="1" cm="1">
        <f t="array" ref="DU76">OptionRho("P",$DR76,$B$2,DU$64,$B$3,$DS$63,0)</f>
        <v>-3.168420111569268E-2</v>
      </c>
      <c r="DV76" s="1" cm="1">
        <f t="array" ref="DV76">OptionRho("P",$DR76,$B$2,DV$64,$B$3,$DS$63,0)</f>
        <v>-5.6401929841114549E-2</v>
      </c>
      <c r="DW76" s="1" cm="1">
        <f t="array" ref="DW76">OptionRho("P",$DR76,$B$2,DW$64,$B$3,$DS$63,0)</f>
        <v>-8.4734081361611549E-2</v>
      </c>
      <c r="DX76" s="1" cm="1">
        <f t="array" ref="DX76">OptionRho("P",$DR76,$B$2,DX$64,$B$3,$DS$63,0)</f>
        <v>-0.1156742572149194</v>
      </c>
      <c r="DY76" s="1" cm="1">
        <f t="array" ref="DY76">OptionRho("P",$DR76,$B$2,DY$64,$B$3,$DS$63,0)</f>
        <v>-0.14859597428160154</v>
      </c>
      <c r="DZ76" s="1" cm="1">
        <f t="array" ref="DZ76">OptionRho("P",$DR76,$B$2,DZ$64,$B$3,$DS$63,0)</f>
        <v>-0.18308261698945508</v>
      </c>
      <c r="EA76" s="1" cm="1">
        <f t="array" ref="EA76">OptionRho("P",$DR76,$B$2,EA$64,$B$3,$DS$63,0)</f>
        <v>-0.21884217828463357</v>
      </c>
      <c r="EB76" s="1" cm="1">
        <f t="array" ref="EB76">OptionRho("P",$DR76,$B$2,EB$64,$B$3,$DS$63,0)</f>
        <v>-0.25566125133901574</v>
      </c>
      <c r="EC76" s="1" cm="1">
        <f t="array" ref="EC76">OptionRho("P",$DR76,$B$2,EC$64,$B$3,$DS$63,0)</f>
        <v>-0.65868086279061155</v>
      </c>
      <c r="ED76" s="1" cm="1">
        <f t="array" ref="ED76">OptionRho("P",$DR76,$B$2,ED$64,$B$3,$DS$63,0)</f>
        <v>-1.0937211792786214</v>
      </c>
      <c r="EE76" s="1" cm="1">
        <f t="array" ref="EE76">OptionRho("P",$DR76,$B$2,EE$64,$B$3,$DS$63,0)</f>
        <v>-1.5431193627647783</v>
      </c>
      <c r="EF76" s="1" cm="1">
        <f t="array" ref="EF76">OptionRho("P",$DR76,$B$2,EF$64,$B$3,$DS$63,0)</f>
        <v>-1.9997752423204445</v>
      </c>
    </row>
    <row r="77" spans="1:136" x14ac:dyDescent="0.2">
      <c r="A77" s="133"/>
      <c r="B77" s="14">
        <v>120</v>
      </c>
      <c r="C77" s="1" cm="1">
        <f t="array" ref="C77">OptionPrice("P",$B77,$B$2,C$64,$B$3,$C$63,0)</f>
        <v>3.7678707584131721E-3</v>
      </c>
      <c r="D77" s="1" cm="1">
        <f t="array" ref="D77">OptionPrice("P",$B77,$B$2,D$64,$B$3,$C$63,0)</f>
        <v>7.0455858487305623E-2</v>
      </c>
      <c r="E77" s="1" cm="1">
        <f t="array" ref="E77">OptionPrice("P",$B77,$B$2,E$64,$B$3,$C$63,0)</f>
        <v>0.22331897830657077</v>
      </c>
      <c r="F77" s="1" cm="1">
        <f t="array" ref="F77">OptionPrice("P",$B77,$B$2,F$64,$B$3,$C$63,0)</f>
        <v>0.43026095368589257</v>
      </c>
      <c r="G77" s="1" cm="1">
        <f t="array" ref="G77">OptionPrice("P",$B77,$B$2,G$64,$B$3,$C$63,0)</f>
        <v>0.66644183407096413</v>
      </c>
      <c r="H77" s="1" cm="1">
        <f t="array" ref="H77">OptionPrice("P",$B77,$B$2,H$64,$B$3,$C$63,0)</f>
        <v>0.91737956452385383</v>
      </c>
      <c r="I77" s="1" cm="1">
        <f t="array" ref="I77">OptionPrice("P",$B77,$B$2,I$64,$B$3,$C$63,0)</f>
        <v>1.1747976610448738</v>
      </c>
      <c r="J77" s="1" cm="1">
        <f t="array" ref="J77">OptionPrice("P",$B77,$B$2,J$64,$B$3,$C$63,0)</f>
        <v>1.4338869683114499</v>
      </c>
      <c r="K77" s="1" cm="1">
        <f t="array" ref="K77">OptionPrice("P",$B77,$B$2,K$64,$B$3,$C$63,0)</f>
        <v>1.6918053336073768</v>
      </c>
      <c r="L77" s="1" cm="1">
        <f t="array" ref="L77">OptionPrice("P",$B77,$B$2,L$64,$B$3,$C$63,0)</f>
        <v>1.9468599279885304</v>
      </c>
      <c r="M77" s="1" cm="1">
        <f t="array" ref="M77">OptionPrice("P",$B77,$B$2,M$64,$B$3,$C$63,0)</f>
        <v>4.2461354487629741</v>
      </c>
      <c r="N77" s="1" cm="1">
        <f t="array" ref="N77">OptionPrice("P",$B77,$B$2,N$64,$B$3,$C$63,0)</f>
        <v>6.1240174732356714</v>
      </c>
      <c r="O77" s="1" cm="1">
        <f t="array" ref="O77">OptionPrice("P",$B77,$B$2,O$64,$B$3,$C$63,0)</f>
        <v>7.6978881232997303</v>
      </c>
      <c r="P77" s="1" cm="1">
        <f t="array" ref="P77">OptionPrice("P",$B77,$B$2,P$64,$B$3,$C$63,0)</f>
        <v>9.0494491457967179</v>
      </c>
      <c r="Y77" s="136"/>
      <c r="Z77" s="14">
        <v>120</v>
      </c>
      <c r="AA77" s="1" cm="1">
        <f t="array" ref="AA77">OptionDelta("P",$Z77,$B$2,AA$64,$B$3,$AA$63,0)</f>
        <v>-1.6937680607602701E-3</v>
      </c>
      <c r="AB77" s="1" cm="1">
        <f t="array" ref="AB77">OptionDelta("P",$Z77,$B$2,AB$64,$B$3,$AA$63,0)</f>
        <v>-1.7623946568294802E-2</v>
      </c>
      <c r="AC77" s="1" cm="1">
        <f t="array" ref="AC77">OptionDelta("P",$Z77,$B$2,AC$64,$B$3,$AA$63,0)</f>
        <v>-4.0360415238651415E-2</v>
      </c>
      <c r="AD77" s="1" cm="1">
        <f t="array" ref="AD77">OptionDelta("P",$Z77,$B$2,AD$64,$B$3,$AA$63,0)</f>
        <v>-6.2238931546006571E-2</v>
      </c>
      <c r="AE77" s="1" cm="1">
        <f t="array" ref="AE77">OptionDelta("P",$Z77,$B$2,AE$64,$B$3,$AA$63,0)</f>
        <v>-8.1466598279311575E-2</v>
      </c>
      <c r="AF77" s="1" cm="1">
        <f t="array" ref="AF77">OptionDelta("P",$Z77,$B$2,AF$64,$B$3,$AA$63,0)</f>
        <v>-9.7993409558041256E-2</v>
      </c>
      <c r="AG77" s="1" cm="1">
        <f t="array" ref="AG77">OptionDelta("P",$Z77,$B$2,AG$64,$B$3,$AA$63,0)</f>
        <v>-0.11216803677626297</v>
      </c>
      <c r="AH77" s="1" cm="1">
        <f t="array" ref="AH77">OptionDelta("P",$Z77,$B$2,AH$64,$B$3,$AA$63,0)</f>
        <v>-0.12437874850463737</v>
      </c>
      <c r="AI77" s="1" cm="1">
        <f t="array" ref="AI77">OptionDelta("P",$Z77,$B$2,AI$64,$B$3,$AA$63,0)</f>
        <v>-0.13496549959519877</v>
      </c>
      <c r="AJ77" s="1" cm="1">
        <f t="array" ref="AJ77">OptionDelta("P",$Z77,$B$2,AJ$64,$B$3,$AA$63,0)</f>
        <v>-0.14420688925670178</v>
      </c>
      <c r="AK77" s="1" cm="1">
        <f t="array" ref="AK77">OptionDelta("P",$Z77,$B$2,AK$64,$B$3,$AA$63,0)</f>
        <v>-0.19579537926180235</v>
      </c>
      <c r="AL77" s="1" cm="1">
        <f t="array" ref="AL77">OptionDelta("P",$Z77,$B$2,AL$64,$B$3,$AA$63,0)</f>
        <v>-0.21589724078774752</v>
      </c>
      <c r="AM77" s="1" cm="1">
        <f t="array" ref="AM77">OptionDelta("P",$Z77,$B$2,AM$64,$B$3,$AA$63,0)</f>
        <v>-0.22488339146361092</v>
      </c>
      <c r="AN77" s="1" cm="1">
        <f t="array" ref="AN77">OptionDelta("P",$Z77,$B$2,AN$64,$B$3,$AA$63,0)</f>
        <v>-0.22871250967264012</v>
      </c>
      <c r="AW77" s="139"/>
      <c r="AX77" s="14">
        <v>120</v>
      </c>
      <c r="AY77" s="1" cm="1">
        <f t="array" ref="AY77">OptionTheta("P",$AX77,$B$2,AY$64,$B$3,$AY$63,0)</f>
        <v>-5.7239098069332851E-4</v>
      </c>
      <c r="AZ77" s="1" cm="1">
        <f t="array" ref="AZ77">OptionTheta("P",$AX77,$B$2,AZ$64,$B$3,$AY$63,0)</f>
        <v>-3.2561338769548651E-3</v>
      </c>
      <c r="BA77" s="1" cm="1">
        <f t="array" ref="BA77">OptionTheta("P",$AX77,$B$2,BA$64,$B$3,$AY$63,0)</f>
        <v>-5.3491670074010738E-3</v>
      </c>
      <c r="BB77" s="1" cm="1">
        <f t="array" ref="BB77">OptionTheta("P",$AX77,$B$2,BB$64,$B$3,$AY$63,0)</f>
        <v>-6.5886060683646051E-3</v>
      </c>
      <c r="BC77" s="1" cm="1">
        <f t="array" ref="BC77">OptionTheta("P",$AX77,$B$2,BC$64,$B$3,$AY$63,0)</f>
        <v>-7.2937602134891012E-3</v>
      </c>
      <c r="BD77" s="1" cm="1">
        <f t="array" ref="BD77">OptionTheta("P",$AX77,$B$2,BD$64,$B$3,$AY$63,0)</f>
        <v>-7.6864588961526245E-3</v>
      </c>
      <c r="BE77" s="1" cm="1">
        <f t="array" ref="BE77">OptionTheta("P",$AX77,$B$2,BE$64,$B$3,$AY$63,0)</f>
        <v>-7.893853933416602E-3</v>
      </c>
      <c r="BF77" s="1" cm="1">
        <f t="array" ref="BF77">OptionTheta("P",$AX77,$B$2,BF$64,$B$3,$AY$63,0)</f>
        <v>-7.9885139104826329E-3</v>
      </c>
      <c r="BG77" s="1" cm="1">
        <f t="array" ref="BG77">OptionTheta("P",$AX77,$B$2,BG$64,$B$3,$AY$63,0)</f>
        <v>-8.0130165823124131E-3</v>
      </c>
      <c r="BH77" s="1" cm="1">
        <f t="array" ref="BH77">OptionTheta("P",$AX77,$B$2,BH$64,$B$3,$AY$63,0)</f>
        <v>-7.9931531821723616E-3</v>
      </c>
      <c r="BI77" s="1" cm="1">
        <f t="array" ref="BI77">OptionTheta("P",$AX77,$B$2,BI$64,$B$3,$AY$63,0)</f>
        <v>-7.1854125396378591E-3</v>
      </c>
      <c r="BJ77" s="1" cm="1">
        <f t="array" ref="BJ77">OptionTheta("P",$AX77,$B$2,BJ$64,$B$3,$AY$63,0)</f>
        <v>-6.4371680775533067E-3</v>
      </c>
      <c r="BK77" s="1" cm="1">
        <f t="array" ref="BK77">OptionTheta("P",$AX77,$B$2,BK$64,$B$3,$AY$63,0)</f>
        <v>-5.878864045591803E-3</v>
      </c>
      <c r="BL77" s="1" cm="1">
        <f t="array" ref="BL77">OptionTheta("P",$AX77,$B$2,BL$64,$B$3,$AY$63,0)</f>
        <v>-5.4503464919609555E-3</v>
      </c>
      <c r="BU77" s="142"/>
      <c r="BV77" s="14">
        <v>120</v>
      </c>
      <c r="BW77" s="1" cm="1">
        <f t="array" ref="BW77">OptionGamma($BV77,$B$2,BW$64,$B$3,$BW$63,0)</f>
        <v>7.1823787351586244E-4</v>
      </c>
      <c r="BX77" s="1" cm="1">
        <f t="array" ref="BX77">OptionGamma($BV77,$B$2,BX$64,$B$3,$BW$63,0)</f>
        <v>4.0508179535475647E-3</v>
      </c>
      <c r="BY77" s="1" cm="1">
        <f t="array" ref="BY77">OptionGamma($BV77,$B$2,BY$64,$B$3,$BW$63,0)</f>
        <v>6.6034037139998062E-3</v>
      </c>
      <c r="BZ77" s="1" cm="1">
        <f t="array" ref="BZ77">OptionGamma($BV77,$B$2,BZ$64,$B$3,$BW$63,0)</f>
        <v>8.0758746095868535E-3</v>
      </c>
      <c r="CA77" s="1" cm="1">
        <f t="array" ref="CA77">OptionGamma($BV77,$B$2,CA$64,$B$3,$BW$63,0)</f>
        <v>8.881243547387634E-3</v>
      </c>
      <c r="CB77" s="1" cm="1">
        <f t="array" ref="CB77">OptionGamma($BV77,$B$2,CB$64,$B$3,$BW$63,0)</f>
        <v>9.3013597568778455E-3</v>
      </c>
      <c r="CC77" s="1" cm="1">
        <f t="array" ref="CC77">OptionGamma($BV77,$B$2,CC$64,$B$3,$BW$63,0)</f>
        <v>9.4962050866496343E-3</v>
      </c>
      <c r="CD77" s="1" cm="1">
        <f t="array" ref="CD77">OptionGamma($BV77,$B$2,CD$64,$B$3,$BW$63,0)</f>
        <v>9.5562993383245896E-3</v>
      </c>
      <c r="CE77" s="1" cm="1">
        <f t="array" ref="CE77">OptionGamma($BV77,$B$2,CE$64,$B$3,$BW$63,0)</f>
        <v>9.5342861100476319E-3</v>
      </c>
      <c r="CF77" s="1" cm="1">
        <f t="array" ref="CF77">OptionGamma($BV77,$B$2,CF$64,$B$3,$BW$63,0)</f>
        <v>9.46175015661453E-3</v>
      </c>
      <c r="CG77" s="1" cm="1">
        <f t="array" ref="CG77">OptionGamma($BV77,$B$2,CG$64,$B$3,$BW$63,0)</f>
        <v>8.1432630811320347E-3</v>
      </c>
      <c r="CH77" s="1" cm="1">
        <f t="array" ref="CH77">OptionGamma($BV77,$B$2,CH$64,$B$3,$BW$63,0)</f>
        <v>7.0460051549628569E-3</v>
      </c>
      <c r="CI77" s="1" cm="1">
        <f t="array" ref="CI77">OptionGamma($BV77,$B$2,CI$64,$B$3,$BW$63,0)</f>
        <v>6.2463417557349936E-3</v>
      </c>
      <c r="CJ77" s="1" cm="1">
        <f t="array" ref="CJ77">OptionGamma($BV77,$B$2,CJ$64,$B$3,$BW$63,0)</f>
        <v>5.6403714114604637E-3</v>
      </c>
      <c r="CS77" s="145"/>
      <c r="CT77" s="14">
        <v>120</v>
      </c>
      <c r="CU77" s="1" cm="1">
        <f t="array" ref="CU77">OptionVega($CT77,$B$2,CU$64,$B$3,$CU$63,0)</f>
        <v>2.0685250757256843E-3</v>
      </c>
      <c r="CV77" s="1" cm="1">
        <f t="array" ref="CV77">OptionVega($CT77,$B$2,CV$64,$B$3,$CU$63,0)</f>
        <v>2.3332711412433971E-2</v>
      </c>
      <c r="CW77" s="1" cm="1">
        <f t="array" ref="CW77">OptionVega($CT77,$B$2,CW$64,$B$3,$CU$63,0)</f>
        <v>5.7053408088958327E-2</v>
      </c>
      <c r="CX77" s="1" cm="1">
        <f t="array" ref="CX77">OptionVega($CT77,$B$2,CX$64,$B$3,$CU$63,0)</f>
        <v>9.3034075502440555E-2</v>
      </c>
      <c r="CY77" s="1" cm="1">
        <f t="array" ref="CY77">OptionVega($CT77,$B$2,CY$64,$B$3,$CU$63,0)</f>
        <v>0.12788990708238193</v>
      </c>
      <c r="CZ77" s="1" cm="1">
        <f t="array" ref="CZ77">OptionVega($CT77,$B$2,CZ$64,$B$3,$CU$63,0)</f>
        <v>0.16072749659884919</v>
      </c>
      <c r="DA77" s="1" cm="1">
        <f t="array" ref="DA77">OptionVega($CT77,$B$2,DA$64,$B$3,$CU$63,0)</f>
        <v>0.19144349454685666</v>
      </c>
      <c r="DB77" s="1" cm="1">
        <f t="array" ref="DB77">OptionVega($CT77,$B$2,DB$64,$B$3,$CU$63,0)</f>
        <v>0.2201771367549985</v>
      </c>
      <c r="DC77" s="1" cm="1">
        <f t="array" ref="DC77">OptionVega($CT77,$B$2,DC$64,$B$3,$CU$63,0)</f>
        <v>0.24712869597243459</v>
      </c>
      <c r="DD77" s="1" cm="1">
        <f t="array" ref="DD77">OptionVega($CT77,$B$2,DD$64,$B$3,$CU$63,0)</f>
        <v>0.27249840451049845</v>
      </c>
      <c r="DE77" s="1" cm="1">
        <f t="array" ref="DE77">OptionVega($CT77,$B$2,DE$64,$B$3,$CU$63,0)</f>
        <v>0.46905195347320522</v>
      </c>
      <c r="DF77" s="1" cm="1">
        <f t="array" ref="DF77">OptionVega($CT77,$B$2,DF$64,$B$3,$CU$63,0)</f>
        <v>0.60877484538879079</v>
      </c>
      <c r="DG77" s="1" cm="1">
        <f t="array" ref="DG77">OptionVega($CT77,$B$2,DG$64,$B$3,$CU$63,0)</f>
        <v>0.71957857026067118</v>
      </c>
      <c r="DH77" s="1" cm="1">
        <f t="array" ref="DH77">OptionVega($CT77,$B$2,DH$64,$B$3,$CU$63,0)</f>
        <v>0.81221348325030684</v>
      </c>
      <c r="DQ77" s="130"/>
      <c r="DR77" s="14">
        <v>120</v>
      </c>
      <c r="DS77" s="1" cm="1">
        <f t="array" ref="DS77">OptionRho("P",$DR77,$B$2,DS$64,$B$3,$DS$63,0)</f>
        <v>-2.0702003804964794E-4</v>
      </c>
      <c r="DT77" s="1" cm="1">
        <f t="array" ref="DT77">OptionRho("P",$DR77,$B$2,DT$64,$B$3,$DS$63,0)</f>
        <v>-4.3706588933653577E-3</v>
      </c>
      <c r="DU77" s="1" cm="1">
        <f t="array" ref="DU77">OptionRho("P",$DR77,$B$2,DU$64,$B$3,$DS$63,0)</f>
        <v>-1.5199706420834205E-2</v>
      </c>
      <c r="DV77" s="1" cm="1">
        <f t="array" ref="DV77">OptionRho("P",$DR77,$B$2,DV$64,$B$3,$DS$63,0)</f>
        <v>-3.1595730956826704E-2</v>
      </c>
      <c r="DW77" s="1" cm="1">
        <f t="array" ref="DW77">OptionRho("P",$DR77,$B$2,DW$64,$B$3,$DS$63,0)</f>
        <v>-5.2212168137941772E-2</v>
      </c>
      <c r="DX77" s="1" cm="1">
        <f t="array" ref="DX77">OptionRho("P",$DR77,$B$2,DX$64,$B$3,$DS$63,0)</f>
        <v>-7.6059532268932792E-2</v>
      </c>
      <c r="DY77" s="1" cm="1">
        <f t="array" ref="DY77">OptionRho("P",$DR77,$B$2,DY$64,$B$3,$DS$63,0)</f>
        <v>-0.10244473451937502</v>
      </c>
      <c r="DZ77" s="1" cm="1">
        <f t="array" ref="DZ77">OptionRho("P",$DR77,$B$2,DZ$64,$B$3,$DS$63,0)</f>
        <v>-0.13087469431094348</v>
      </c>
      <c r="EA77" s="1" cm="1">
        <f t="array" ref="EA77">OptionRho("P",$DR77,$B$2,EA$64,$B$3,$DS$63,0)</f>
        <v>-0.1609889875652811</v>
      </c>
      <c r="EB77" s="1" cm="1">
        <f t="array" ref="EB77">OptionRho("P",$DR77,$B$2,EB$64,$B$3,$DS$63,0)</f>
        <v>-0.19251686638792745</v>
      </c>
      <c r="EC77" s="1" cm="1">
        <f t="array" ref="EC77">OptionRho("P",$DR77,$B$2,EC$64,$B$3,$DS$63,0)</f>
        <v>-0.55483161920358515</v>
      </c>
      <c r="ED77" s="1" cm="1">
        <f t="array" ref="ED77">OptionRho("P",$DR77,$B$2,ED$64,$B$3,$DS$63,0)</f>
        <v>-0.96095059103296132</v>
      </c>
      <c r="EE77" s="1" cm="1">
        <f t="array" ref="EE77">OptionRho("P",$DR77,$B$2,EE$64,$B$3,$DS$63,0)</f>
        <v>-1.3873558039573215</v>
      </c>
      <c r="EF77" s="1" cm="1">
        <f t="array" ref="EF77">OptionRho("P",$DR77,$B$2,EF$64,$B$3,$DS$63,0)</f>
        <v>-1.8247475153256765</v>
      </c>
    </row>
    <row r="78" spans="1:136" x14ac:dyDescent="0.2">
      <c r="A78" s="133"/>
      <c r="B78" s="14">
        <v>125</v>
      </c>
      <c r="C78" s="1" cm="1">
        <f t="array" ref="C78">OptionPrice("P",$B78,$B$2,C$64,$B$3,$C$63,0)</f>
        <v>3.4646571421674197E-4</v>
      </c>
      <c r="D78" s="1" cm="1">
        <f t="array" ref="D78">OptionPrice("P",$B78,$B$2,D$64,$B$3,$C$63,0)</f>
        <v>1.8965165905439174E-2</v>
      </c>
      <c r="E78" s="1" cm="1">
        <f t="array" ref="E78">OptionPrice("P",$B78,$B$2,E$64,$B$3,$C$63,0)</f>
        <v>8.7125029493656747E-2</v>
      </c>
      <c r="F78" s="1" cm="1">
        <f t="array" ref="F78">OptionPrice("P",$B78,$B$2,F$64,$B$3,$C$63,0)</f>
        <v>0.20335023082007542</v>
      </c>
      <c r="G78" s="1" cm="1">
        <f t="array" ref="G78">OptionPrice("P",$B78,$B$2,G$64,$B$3,$C$63,0)</f>
        <v>0.35464130281245154</v>
      </c>
      <c r="H78" s="1" cm="1">
        <f t="array" ref="H78">OptionPrice("P",$B78,$B$2,H$64,$B$3,$C$63,0)</f>
        <v>0.52953002293426099</v>
      </c>
      <c r="I78" s="1" cm="1">
        <f t="array" ref="I78">OptionPrice("P",$B78,$B$2,I$64,$B$3,$C$63,0)</f>
        <v>0.71976292476992043</v>
      </c>
      <c r="J78" s="1" cm="1">
        <f t="array" ref="J78">OptionPrice("P",$B78,$B$2,J$64,$B$3,$C$63,0)</f>
        <v>0.91966106587094032</v>
      </c>
      <c r="K78" s="1" cm="1">
        <f t="array" ref="K78">OptionPrice("P",$B78,$B$2,K$64,$B$3,$C$63,0)</f>
        <v>1.125337722091901</v>
      </c>
      <c r="L78" s="1" cm="1">
        <f t="array" ref="L78">OptionPrice("P",$B78,$B$2,L$64,$B$3,$C$63,0)</f>
        <v>1.3341164899485971</v>
      </c>
      <c r="M78" s="1" cm="1">
        <f t="array" ref="M78">OptionPrice("P",$B78,$B$2,M$64,$B$3,$C$63,0)</f>
        <v>3.3633749623490381</v>
      </c>
      <c r="N78" s="1" cm="1">
        <f t="array" ref="N78">OptionPrice("P",$B78,$B$2,N$64,$B$3,$C$63,0)</f>
        <v>5.1286819343781112</v>
      </c>
      <c r="O78" s="1" cm="1">
        <f t="array" ref="O78">OptionPrice("P",$B78,$B$2,O$64,$B$3,$C$63,0)</f>
        <v>6.6484748334855865</v>
      </c>
      <c r="P78" s="1" cm="1">
        <f t="array" ref="P78">OptionPrice("P",$B78,$B$2,P$64,$B$3,$C$63,0)</f>
        <v>7.9738340271912342</v>
      </c>
      <c r="Y78" s="136"/>
      <c r="Z78" s="14">
        <v>125</v>
      </c>
      <c r="AA78" s="1" cm="1">
        <f t="array" ref="AA78">OptionDelta("P",$Z78,$B$2,AA$64,$B$3,$AA$63,0)</f>
        <v>-1.7468373585427521E-4</v>
      </c>
      <c r="AB78" s="1" cm="1">
        <f t="array" ref="AB78">OptionDelta("P",$Z78,$B$2,AB$64,$B$3,$AA$63,0)</f>
        <v>-5.2050226213751216E-3</v>
      </c>
      <c r="AC78" s="1" cm="1">
        <f t="array" ref="AC78">OptionDelta("P",$Z78,$B$2,AC$64,$B$3,$AA$63,0)</f>
        <v>-1.7038009338831372E-2</v>
      </c>
      <c r="AD78" s="1" cm="1">
        <f t="array" ref="AD78">OptionDelta("P",$Z78,$B$2,AD$64,$B$3,$AA$63,0)</f>
        <v>-3.1515482917612858E-2</v>
      </c>
      <c r="AE78" s="1" cm="1">
        <f t="array" ref="AE78">OptionDelta("P",$Z78,$B$2,AE$64,$B$3,$AA$63,0)</f>
        <v>-4.6097676148000866E-2</v>
      </c>
      <c r="AF78" s="1" cm="1">
        <f t="array" ref="AF78">OptionDelta("P",$Z78,$B$2,AF$64,$B$3,$AA$63,0)</f>
        <v>-5.9785719848803098E-2</v>
      </c>
      <c r="AG78" s="1" cm="1">
        <f t="array" ref="AG78">OptionDelta("P",$Z78,$B$2,AG$64,$B$3,$AA$63,0)</f>
        <v>-7.2277491513736081E-2</v>
      </c>
      <c r="AH78" s="1" cm="1">
        <f t="array" ref="AH78">OptionDelta("P",$Z78,$B$2,AH$64,$B$3,$AA$63,0)</f>
        <v>-8.3551201402274566E-2</v>
      </c>
      <c r="AI78" s="1" cm="1">
        <f t="array" ref="AI78">OptionDelta("P",$Z78,$B$2,AI$64,$B$3,$AA$63,0)</f>
        <v>-9.3689528830588564E-2</v>
      </c>
      <c r="AJ78" s="1" cm="1">
        <f t="array" ref="AJ78">OptionDelta("P",$Z78,$B$2,AJ$64,$B$3,$AA$63,0)</f>
        <v>-0.10280707440266668</v>
      </c>
      <c r="AK78" s="1" cm="1">
        <f t="array" ref="AK78">OptionDelta("P",$Z78,$B$2,AK$64,$B$3,$AA$63,0)</f>
        <v>-0.15839802446828499</v>
      </c>
      <c r="AL78" s="1" cm="1">
        <f t="array" ref="AL78">OptionDelta("P",$Z78,$B$2,AL$64,$B$3,$AA$63,0)</f>
        <v>-0.18300629935642132</v>
      </c>
      <c r="AM78" s="1" cm="1">
        <f t="array" ref="AM78">OptionDelta("P",$Z78,$B$2,AM$64,$B$3,$AA$63,0)</f>
        <v>-0.19548519667211639</v>
      </c>
      <c r="AN78" s="1" cm="1">
        <f t="array" ref="AN78">OptionDelta("P",$Z78,$B$2,AN$64,$B$3,$AA$63,0)</f>
        <v>-0.20203503441308623</v>
      </c>
      <c r="AW78" s="139"/>
      <c r="AX78" s="14">
        <v>125</v>
      </c>
      <c r="AY78" s="1" cm="1">
        <f t="array" ref="AY78">OptionTheta("P",$AX78,$B$2,AY$64,$B$3,$AY$63,0)</f>
        <v>-7.2926416705584656E-5</v>
      </c>
      <c r="AZ78" s="1" cm="1">
        <f t="array" ref="AZ78">OptionTheta("P",$AX78,$B$2,AZ$64,$B$3,$AY$63,0)</f>
        <v>-1.1659693925808853E-3</v>
      </c>
      <c r="BA78" s="1" cm="1">
        <f t="array" ref="BA78">OptionTheta("P",$AX78,$B$2,BA$64,$B$3,$AY$63,0)</f>
        <v>-2.7018260099194316E-3</v>
      </c>
      <c r="BB78" s="1" cm="1">
        <f t="array" ref="BB78">OptionTheta("P",$AX78,$B$2,BB$64,$B$3,$AY$63,0)</f>
        <v>-3.951315607977836E-3</v>
      </c>
      <c r="BC78" s="1" cm="1">
        <f t="array" ref="BC78">OptionTheta("P",$AX78,$B$2,BC$64,$B$3,$AY$63,0)</f>
        <v>-4.8481219728844817E-3</v>
      </c>
      <c r="BD78" s="1" cm="1">
        <f t="array" ref="BD78">OptionTheta("P",$AX78,$B$2,BD$64,$B$3,$AY$63,0)</f>
        <v>-5.4711962243418569E-3</v>
      </c>
      <c r="BE78" s="1" cm="1">
        <f t="array" ref="BE78">OptionTheta("P",$AX78,$B$2,BE$64,$B$3,$AY$63,0)</f>
        <v>-5.8999589052510281E-3</v>
      </c>
      <c r="BF78" s="1" cm="1">
        <f t="array" ref="BF78">OptionTheta("P",$AX78,$B$2,BF$64,$B$3,$AY$63,0)</f>
        <v>-6.1930304020196749E-3</v>
      </c>
      <c r="BG78" s="1" cm="1">
        <f t="array" ref="BG78">OptionTheta("P",$AX78,$B$2,BG$64,$B$3,$AY$63,0)</f>
        <v>-6.3909099723109108E-3</v>
      </c>
      <c r="BH78" s="1" cm="1">
        <f t="array" ref="BH78">OptionTheta("P",$AX78,$B$2,BH$64,$B$3,$AY$63,0)</f>
        <v>-6.5212823673559805E-3</v>
      </c>
      <c r="BI78" s="1" cm="1">
        <f t="array" ref="BI78">OptionTheta("P",$AX78,$B$2,BI$64,$B$3,$AY$63,0)</f>
        <v>-6.4879334644341218E-3</v>
      </c>
      <c r="BJ78" s="1" cm="1">
        <f t="array" ref="BJ78">OptionTheta("P",$AX78,$B$2,BJ$64,$B$3,$AY$63,0)</f>
        <v>-6.0095608159226469E-3</v>
      </c>
      <c r="BK78" s="1" cm="1">
        <f t="array" ref="BK78">OptionTheta("P",$AX78,$B$2,BK$64,$B$3,$AY$63,0)</f>
        <v>-5.5797978516286557E-3</v>
      </c>
      <c r="BL78" s="1" cm="1">
        <f t="array" ref="BL78">OptionTheta("P",$AX78,$B$2,BL$64,$B$3,$AY$63,0)</f>
        <v>-5.224246643841227E-3</v>
      </c>
      <c r="BU78" s="142"/>
      <c r="BV78" s="14">
        <v>125</v>
      </c>
      <c r="BW78" s="1" cm="1">
        <f t="array" ref="BW78">OptionGamma($BV78,$B$2,BW$64,$B$3,$BW$63,0)</f>
        <v>8.4468232865850956E-5</v>
      </c>
      <c r="BX78" s="1" cm="1">
        <f t="array" ref="BX78">OptionGamma($BV78,$B$2,BX$64,$B$3,$BW$63,0)</f>
        <v>1.3404252747399995E-3</v>
      </c>
      <c r="BY78" s="1" cm="1">
        <f t="array" ref="BY78">OptionGamma($BV78,$B$2,BY$64,$B$3,$BW$63,0)</f>
        <v>3.084792741286774E-3</v>
      </c>
      <c r="BZ78" s="1" cm="1">
        <f t="array" ref="BZ78">OptionGamma($BV78,$B$2,BZ$64,$B$3,$BW$63,0)</f>
        <v>4.4825674910614188E-3</v>
      </c>
      <c r="CA78" s="1" cm="1">
        <f t="array" ref="CA78">OptionGamma($BV78,$B$2,CA$64,$B$3,$BW$63,0)</f>
        <v>5.466867238047071E-3</v>
      </c>
      <c r="CB78" s="1" cm="1">
        <f t="array" ref="CB78">OptionGamma($BV78,$B$2,CB$64,$B$3,$BW$63,0)</f>
        <v>6.1342693499021788E-3</v>
      </c>
      <c r="CC78" s="1" cm="1">
        <f t="array" ref="CC78">OptionGamma($BV78,$B$2,CC$64,$B$3,$BW$63,0)</f>
        <v>6.5790096216856182E-3</v>
      </c>
      <c r="CD78" s="1" cm="1">
        <f t="array" ref="CD78">OptionGamma($BV78,$B$2,CD$64,$B$3,$BW$63,0)</f>
        <v>6.8698255498420117E-3</v>
      </c>
      <c r="CE78" s="1" cm="1">
        <f t="array" ref="CE78">OptionGamma($BV78,$B$2,CE$64,$B$3,$BW$63,0)</f>
        <v>7.0538139252298484E-3</v>
      </c>
      <c r="CF78" s="1" cm="1">
        <f t="array" ref="CF78">OptionGamma($BV78,$B$2,CF$64,$B$3,$BW$63,0)</f>
        <v>7.162937779782763E-3</v>
      </c>
      <c r="CG78" s="1" cm="1">
        <f t="array" ref="CG78">OptionGamma($BV78,$B$2,CG$64,$B$3,$BW$63,0)</f>
        <v>6.8366861897907428E-3</v>
      </c>
      <c r="CH78" s="1" cm="1">
        <f t="array" ref="CH78">OptionGamma($BV78,$B$2,CH$64,$B$3,$BW$63,0)</f>
        <v>6.1230240136718661E-3</v>
      </c>
      <c r="CI78" s="1" cm="1">
        <f t="array" ref="CI78">OptionGamma($BV78,$B$2,CI$64,$B$3,$BW$63,0)</f>
        <v>5.5225119093422646E-3</v>
      </c>
      <c r="CJ78" s="1" cm="1">
        <f t="array" ref="CJ78">OptionGamma($BV78,$B$2,CJ$64,$B$3,$BW$63,0)</f>
        <v>5.0386172534840883E-3</v>
      </c>
      <c r="CS78" s="145"/>
      <c r="CT78" s="14">
        <v>125</v>
      </c>
      <c r="CU78" s="1" cm="1">
        <f t="array" ref="CU78">OptionVega($CT78,$B$2,CU$64,$B$3,$CU$63,0)</f>
        <v>2.6396322770578433E-4</v>
      </c>
      <c r="CV78" s="1" cm="1">
        <f t="array" ref="CV78">OptionVega($CT78,$B$2,CV$64,$B$3,$CU$63,0)</f>
        <v>8.3776579671249983E-3</v>
      </c>
      <c r="CW78" s="1" cm="1">
        <f t="array" ref="CW78">OptionVega($CT78,$B$2,CW$64,$B$3,$CU$63,0)</f>
        <v>2.89199319495635E-2</v>
      </c>
      <c r="CX78" s="1" cm="1">
        <f t="array" ref="CX78">OptionVega($CT78,$B$2,CX$64,$B$3,$CU$63,0)</f>
        <v>5.6032093638267749E-2</v>
      </c>
      <c r="CY78" s="1" cm="1">
        <f t="array" ref="CY78">OptionVega($CT78,$B$2,CY$64,$B$3,$CU$63,0)</f>
        <v>8.5419800594485507E-2</v>
      </c>
      <c r="CZ78" s="1" cm="1">
        <f t="array" ref="CZ78">OptionVega($CT78,$B$2,CZ$64,$B$3,$CU$63,0)</f>
        <v>0.11501755031066588</v>
      </c>
      <c r="DA78" s="1" cm="1">
        <f t="array" ref="DA78">OptionVega($CT78,$B$2,DA$64,$B$3,$CU$63,0)</f>
        <v>0.14391583547437295</v>
      </c>
      <c r="DB78" s="1" cm="1">
        <f t="array" ref="DB78">OptionVega($CT78,$B$2,DB$64,$B$3,$CU$63,0)</f>
        <v>0.17174563874605031</v>
      </c>
      <c r="DC78" s="1" cm="1">
        <f t="array" ref="DC78">OptionVega($CT78,$B$2,DC$64,$B$3,$CU$63,0)</f>
        <v>0.19838851664708951</v>
      </c>
      <c r="DD78" s="1" cm="1">
        <f t="array" ref="DD78">OptionVega($CT78,$B$2,DD$64,$B$3,$CU$63,0)</f>
        <v>0.22384180561821135</v>
      </c>
      <c r="DE78" s="1" cm="1">
        <f t="array" ref="DE78">OptionVega($CT78,$B$2,DE$64,$B$3,$CU$63,0)</f>
        <v>0.42729288686192152</v>
      </c>
      <c r="DF78" s="1" cm="1">
        <f t="array" ref="DF78">OptionVega($CT78,$B$2,DF$64,$B$3,$CU$63,0)</f>
        <v>0.57403350128173736</v>
      </c>
      <c r="DG78" s="1" cm="1">
        <f t="array" ref="DG78">OptionVega($CT78,$B$2,DG$64,$B$3,$CU$63,0)</f>
        <v>0.69031398866778315</v>
      </c>
      <c r="DH78" s="1" cm="1">
        <f t="array" ref="DH78">OptionVega($CT78,$B$2,DH$64,$B$3,$CU$63,0)</f>
        <v>0.78728394585688899</v>
      </c>
      <c r="DQ78" s="130"/>
      <c r="DR78" s="14">
        <v>125</v>
      </c>
      <c r="DS78" s="1" cm="1">
        <f t="array" ref="DS78">OptionRho("P",$DR78,$B$2,DS$64,$B$3,$DS$63,0)</f>
        <v>-2.2181932695997136E-5</v>
      </c>
      <c r="DT78" s="1" cm="1">
        <f t="array" ref="DT78">OptionRho("P",$DR78,$B$2,DT$64,$B$3,$DS$63,0)</f>
        <v>-1.3391859871546453E-3</v>
      </c>
      <c r="DU78" s="1" cm="1">
        <f t="array" ref="DU78">OptionRho("P",$DR78,$B$2,DU$64,$B$3,$DS$63,0)</f>
        <v>-6.6506285905427315E-3</v>
      </c>
      <c r="DV78" s="1" cm="1">
        <f t="array" ref="DV78">OptionRho("P",$DR78,$B$2,DV$64,$B$3,$DS$63,0)</f>
        <v>-1.6571142382086741E-2</v>
      </c>
      <c r="DW78" s="1" cm="1">
        <f t="array" ref="DW78">OptionRho("P",$DR78,$B$2,DW$64,$B$3,$DS$63,0)</f>
        <v>-3.058425410656284E-2</v>
      </c>
      <c r="DX78" s="1" cm="1">
        <f t="array" ref="DX78">OptionRho("P",$DR78,$B$2,DX$64,$B$3,$DS$63,0)</f>
        <v>-4.8016470024207905E-2</v>
      </c>
      <c r="DY78" s="1" cm="1">
        <f t="array" ref="DY78">OptionRho("P",$DR78,$B$2,DY$64,$B$3,$DS$63,0)</f>
        <v>-6.828114554790847E-2</v>
      </c>
      <c r="DZ78" s="1" cm="1">
        <f t="array" ref="DZ78">OptionRho("P",$DR78,$B$2,DZ$64,$B$3,$DS$63,0)</f>
        <v>-9.0908489929242081E-2</v>
      </c>
      <c r="EA78" s="1" cm="1">
        <f t="array" ref="EA78">OptionRho("P",$DR78,$B$2,EA$64,$B$3,$DS$63,0)</f>
        <v>-0.11552875943323929</v>
      </c>
      <c r="EB78" s="1" cm="1">
        <f t="array" ref="EB78">OptionRho("P",$DR78,$B$2,EB$64,$B$3,$DS$63,0)</f>
        <v>-0.14185000790281935</v>
      </c>
      <c r="EC78" s="1" cm="1">
        <f t="array" ref="EC78">OptionRho("P",$DR78,$B$2,EC$64,$B$3,$DS$63,0)</f>
        <v>-0.46326256041769354</v>
      </c>
      <c r="ED78" s="1" cm="1">
        <f t="array" ref="ED78">OptionRho("P",$DR78,$B$2,ED$64,$B$3,$DS$63,0)</f>
        <v>-0.84013408061792327</v>
      </c>
      <c r="EE78" s="1" cm="1">
        <f t="array" ref="EE78">OptionRho("P",$DR78,$B$2,EE$64,$B$3,$DS$63,0)</f>
        <v>-1.2433649767000055</v>
      </c>
      <c r="EF78" s="1" cm="1">
        <f t="array" ref="EF78">OptionRho("P",$DR78,$B$2,EF$64,$B$3,$DS$63,0)</f>
        <v>-1.6614106664413506</v>
      </c>
    </row>
    <row r="79" spans="1:136" x14ac:dyDescent="0.2">
      <c r="A79" s="133"/>
      <c r="B79" s="14">
        <v>130</v>
      </c>
      <c r="C79" s="1" cm="1">
        <f t="array" ref="C79">OptionPrice("P",$B79,$B$2,C$64,$B$3,$C$63,0)</f>
        <v>2.4560143471648484E-5</v>
      </c>
      <c r="D79" s="1" cm="1">
        <f t="array" ref="D79">OptionPrice("P",$B79,$B$2,D$64,$B$3,$C$63,0)</f>
        <v>4.5452497053133367E-3</v>
      </c>
      <c r="E79" s="1" cm="1">
        <f t="array" ref="E79">OptionPrice("P",$B79,$B$2,E$64,$B$3,$C$63,0)</f>
        <v>3.1663755766052071E-2</v>
      </c>
      <c r="F79" s="1" cm="1">
        <f t="array" ref="F79">OptionPrice("P",$B79,$B$2,F$64,$B$3,$C$63,0)</f>
        <v>9.147565634983823E-2</v>
      </c>
      <c r="G79" s="1" cm="1">
        <f t="array" ref="G79">OptionPrice("P",$B79,$B$2,G$64,$B$3,$C$63,0)</f>
        <v>0.18186051150669069</v>
      </c>
      <c r="H79" s="1" cm="1">
        <f t="array" ref="H79">OptionPrice("P",$B79,$B$2,H$64,$B$3,$C$63,0)</f>
        <v>0.29689619207424389</v>
      </c>
      <c r="I79" s="1" cm="1">
        <f t="array" ref="I79">OptionPrice("P",$B79,$B$2,I$64,$B$3,$C$63,0)</f>
        <v>0.43069619879097143</v>
      </c>
      <c r="J79" s="1" cm="1">
        <f t="array" ref="J79">OptionPrice("P",$B79,$B$2,J$64,$B$3,$C$63,0)</f>
        <v>0.57840023169498078</v>
      </c>
      <c r="K79" s="1" cm="1">
        <f t="array" ref="K79">OptionPrice("P",$B79,$B$2,K$64,$B$3,$C$63,0)</f>
        <v>0.73622873405738787</v>
      </c>
      <c r="L79" s="1" cm="1">
        <f t="array" ref="L79">OptionPrice("P",$B79,$B$2,L$64,$B$3,$C$63,0)</f>
        <v>0.90130199254097576</v>
      </c>
      <c r="M79" s="1" cm="1">
        <f t="array" ref="M79">OptionPrice("P",$B79,$B$2,M$64,$B$3,$C$63,0)</f>
        <v>2.6518185745966605</v>
      </c>
      <c r="N79" s="1" cm="1">
        <f t="array" ref="N79">OptionPrice("P",$B79,$B$2,N$64,$B$3,$C$63,0)</f>
        <v>4.2865909992066165</v>
      </c>
      <c r="O79" s="1" cm="1">
        <f t="array" ref="O79">OptionPrice("P",$B79,$B$2,O$64,$B$3,$C$63,0)</f>
        <v>5.7372489541362555</v>
      </c>
      <c r="P79" s="1" cm="1">
        <f t="array" ref="P79">OptionPrice("P",$B79,$B$2,P$64,$B$3,$C$63,0)</f>
        <v>7.024286272468462</v>
      </c>
      <c r="Y79" s="136"/>
      <c r="Z79" s="14">
        <v>130</v>
      </c>
      <c r="AA79" s="1" cm="1">
        <f t="array" ref="AA79">OptionDelta("P",$Z79,$B$2,AA$64,$B$3,$AA$63,0)</f>
        <v>-1.3596859818609808E-5</v>
      </c>
      <c r="AB79" s="1" cm="1">
        <f t="array" ref="AB79">OptionDelta("P",$Z79,$B$2,AB$64,$B$3,$AA$63,0)</f>
        <v>-1.3481100199207452E-3</v>
      </c>
      <c r="AC79" s="1" cm="1">
        <f t="array" ref="AC79">OptionDelta("P",$Z79,$B$2,AC$64,$B$3,$AA$63,0)</f>
        <v>-6.6207821485191332E-3</v>
      </c>
      <c r="AD79" s="1" cm="1">
        <f t="array" ref="AD79">OptionDelta("P",$Z79,$B$2,AD$64,$B$3,$AA$63,0)</f>
        <v>-1.5039825106780258E-2</v>
      </c>
      <c r="AE79" s="1" cm="1">
        <f t="array" ref="AE79">OptionDelta("P",$Z79,$B$2,AE$64,$B$3,$AA$63,0)</f>
        <v>-2.4924261663526792E-2</v>
      </c>
      <c r="AF79" s="1" cm="1">
        <f t="array" ref="AF79">OptionDelta("P",$Z79,$B$2,AF$64,$B$3,$AA$63,0)</f>
        <v>-3.5167783159818167E-2</v>
      </c>
      <c r="AG79" s="1" cm="1">
        <f t="array" ref="AG79">OptionDelta("P",$Z79,$B$2,AG$64,$B$3,$AA$63,0)</f>
        <v>-4.5187263769139729E-2</v>
      </c>
      <c r="AH79" s="1" cm="1">
        <f t="array" ref="AH79">OptionDelta("P",$Z79,$B$2,AH$64,$B$3,$AA$63,0)</f>
        <v>-5.4707853004439699E-2</v>
      </c>
      <c r="AI79" s="1" cm="1">
        <f t="array" ref="AI79">OptionDelta("P",$Z79,$B$2,AI$64,$B$3,$AA$63,0)</f>
        <v>-6.3619125849340485E-2</v>
      </c>
      <c r="AJ79" s="1" cm="1">
        <f t="array" ref="AJ79">OptionDelta("P",$Z79,$B$2,AJ$64,$B$3,$AA$63,0)</f>
        <v>-7.1895089760057207E-2</v>
      </c>
      <c r="AK79" s="1" cm="1">
        <f t="array" ref="AK79">OptionDelta("P",$Z79,$B$2,AK$64,$B$3,$AA$63,0)</f>
        <v>-0.12719944668745575</v>
      </c>
      <c r="AL79" s="1" cm="1">
        <f t="array" ref="AL79">OptionDelta("P",$Z79,$B$2,AL$64,$B$3,$AA$63,0)</f>
        <v>-0.15453199824934205</v>
      </c>
      <c r="AM79" s="1" cm="1">
        <f t="array" ref="AM79">OptionDelta("P",$Z79,$B$2,AM$64,$B$3,$AA$63,0)</f>
        <v>-0.16955868613384428</v>
      </c>
      <c r="AN79" s="1" cm="1">
        <f t="array" ref="AN79">OptionDelta("P",$Z79,$B$2,AN$64,$B$3,$AA$63,0)</f>
        <v>-0.17824485149296021</v>
      </c>
      <c r="AW79" s="139"/>
      <c r="AX79" s="14">
        <v>130</v>
      </c>
      <c r="AY79" s="1" cm="1">
        <f t="array" ref="AY79">OptionTheta("P",$AX79,$B$2,AY$64,$B$3,$AY$63,0)</f>
        <v>-6.8065288892057266E-6</v>
      </c>
      <c r="AZ79" s="1" cm="1">
        <f t="array" ref="AZ79">OptionTheta("P",$AX79,$B$2,AZ$64,$B$3,$AY$63,0)</f>
        <v>-3.57454642785214E-4</v>
      </c>
      <c r="BA79" s="1" cm="1">
        <f t="array" ref="BA79">OptionTheta("P",$AX79,$B$2,BA$64,$B$3,$AY$63,0)</f>
        <v>-1.2307771109138237E-3</v>
      </c>
      <c r="BB79" s="1" cm="1">
        <f t="array" ref="BB79">OptionTheta("P",$AX79,$B$2,BB$64,$B$3,$AY$63,0)</f>
        <v>-2.1935940968417639E-3</v>
      </c>
      <c r="BC79" s="1" cm="1">
        <f t="array" ref="BC79">OptionTheta("P",$AX79,$B$2,BC$64,$B$3,$AY$63,0)</f>
        <v>-3.0301086570599474E-3</v>
      </c>
      <c r="BD79" s="1" cm="1">
        <f t="array" ref="BD79">OptionTheta("P",$AX79,$B$2,BD$64,$B$3,$AY$63,0)</f>
        <v>-3.7002851246013173E-3</v>
      </c>
      <c r="BE79" s="1" cm="1">
        <f t="array" ref="BE79">OptionTheta("P",$AX79,$B$2,BE$64,$B$3,$AY$63,0)</f>
        <v>-4.2213016553534046E-3</v>
      </c>
      <c r="BF79" s="1" cm="1">
        <f t="array" ref="BF79">OptionTheta("P",$AX79,$B$2,BF$64,$B$3,$AY$63,0)</f>
        <v>-4.6217799138964814E-3</v>
      </c>
      <c r="BG79" s="1" cm="1">
        <f t="array" ref="BG79">OptionTheta("P",$AX79,$B$2,BG$64,$B$3,$AY$63,0)</f>
        <v>-4.9282147036664344E-3</v>
      </c>
      <c r="BH79" s="1" cm="1">
        <f t="array" ref="BH79">OptionTheta("P",$AX79,$B$2,BH$64,$B$3,$AY$63,0)</f>
        <v>-5.1620402509720631E-3</v>
      </c>
      <c r="BI79" s="1" cm="1">
        <f t="array" ref="BI79">OptionTheta("P",$AX79,$B$2,BI$64,$B$3,$AY$63,0)</f>
        <v>-5.7734613799355931E-3</v>
      </c>
      <c r="BJ79" s="1" cm="1">
        <f t="array" ref="BJ79">OptionTheta("P",$AX79,$B$2,BJ$64,$B$3,$AY$63,0)</f>
        <v>-5.5579978541106306E-3</v>
      </c>
      <c r="BK79" s="1" cm="1">
        <f t="array" ref="BK79">OptionTheta("P",$AX79,$B$2,BK$64,$B$3,$AY$63,0)</f>
        <v>-5.2600197731251814E-3</v>
      </c>
      <c r="BL79" s="1" cm="1">
        <f t="array" ref="BL79">OptionTheta("P",$AX79,$B$2,BL$64,$B$3,$AY$63,0)</f>
        <v>-4.9811552559788875E-3</v>
      </c>
      <c r="BU79" s="142"/>
      <c r="BV79" s="14">
        <v>130</v>
      </c>
      <c r="BW79" s="1" cm="1">
        <f t="array" ref="BW79">OptionGamma($BV79,$B$2,BW$64,$B$3,$BW$63,0)</f>
        <v>7.2972234478141014E-6</v>
      </c>
      <c r="BX79" s="1" cm="1">
        <f t="array" ref="BX79">OptionGamma($BV79,$B$2,BX$64,$B$3,$BW$63,0)</f>
        <v>3.8068919850193204E-4</v>
      </c>
      <c r="BY79" s="1" cm="1">
        <f t="array" ref="BY79">OptionGamma($BV79,$B$2,BY$64,$B$3,$BW$63,0)</f>
        <v>1.3026922814580184E-3</v>
      </c>
      <c r="BZ79" s="1" cm="1">
        <f t="array" ref="BZ79">OptionGamma($BV79,$B$2,BZ$64,$B$3,$BW$63,0)</f>
        <v>2.3082701661092638E-3</v>
      </c>
      <c r="CA79" s="1" cm="1">
        <f t="array" ref="CA79">OptionGamma($BV79,$B$2,CA$64,$B$3,$BW$63,0)</f>
        <v>3.1709157235184286E-3</v>
      </c>
      <c r="CB79" s="1" cm="1">
        <f t="array" ref="CB79">OptionGamma($BV79,$B$2,CB$64,$B$3,$BW$63,0)</f>
        <v>3.8518254155354282E-3</v>
      </c>
      <c r="CC79" s="1" cm="1">
        <f t="array" ref="CC79">OptionGamma($BV79,$B$2,CC$64,$B$3,$BW$63,0)</f>
        <v>4.3719665660242645E-3</v>
      </c>
      <c r="CD79" s="1" cm="1">
        <f t="array" ref="CD79">OptionGamma($BV79,$B$2,CD$64,$B$3,$BW$63,0)</f>
        <v>4.763448098667143E-3</v>
      </c>
      <c r="CE79" s="1" cm="1">
        <f t="array" ref="CE79">OptionGamma($BV79,$B$2,CE$64,$B$3,$BW$63,0)</f>
        <v>5.0554177985015734E-3</v>
      </c>
      <c r="CF79" s="1" cm="1">
        <f t="array" ref="CF79">OptionGamma($BV79,$B$2,CF$64,$B$3,$BW$63,0)</f>
        <v>5.2712072632879253E-3</v>
      </c>
      <c r="CG79" s="1" cm="1">
        <f t="array" ref="CG79">OptionGamma($BV79,$B$2,CG$64,$B$3,$BW$63,0)</f>
        <v>5.6669702285113378E-3</v>
      </c>
      <c r="CH79" s="1" cm="1">
        <f t="array" ref="CH79">OptionGamma($BV79,$B$2,CH$64,$B$3,$BW$63,0)</f>
        <v>5.2808038728821569E-3</v>
      </c>
      <c r="CI79" s="1" cm="1">
        <f t="array" ref="CI79">OptionGamma($BV79,$B$2,CI$64,$B$3,$BW$63,0)</f>
        <v>4.858308981287961E-3</v>
      </c>
      <c r="CJ79" s="1" cm="1">
        <f t="array" ref="CJ79">OptionGamma($BV79,$B$2,CJ$64,$B$3,$BW$63,0)</f>
        <v>4.4856819490140861E-3</v>
      </c>
      <c r="CS79" s="145"/>
      <c r="CT79" s="14">
        <v>130</v>
      </c>
      <c r="CU79" s="1" cm="1">
        <f t="array" ref="CU79">OptionVega($CT79,$B$2,CU$64,$B$3,$CU$63,0)</f>
        <v>2.4664615253611668E-5</v>
      </c>
      <c r="CV79" s="1" cm="1">
        <f t="array" ref="CV79">OptionVega($CT79,$B$2,CV$64,$B$3,$CU$63,0)</f>
        <v>2.573458981873061E-3</v>
      </c>
      <c r="CW79" s="1" cm="1">
        <f t="array" ref="CW79">OptionVega($CT79,$B$2,CW$64,$B$3,$CU$63,0)</f>
        <v>1.3209299733984308E-2</v>
      </c>
      <c r="CX79" s="1" cm="1">
        <f t="array" ref="CX79">OptionVega($CT79,$B$2,CX$64,$B$3,$CU$63,0)</f>
        <v>3.120781264579725E-2</v>
      </c>
      <c r="CY79" s="1" cm="1">
        <f t="array" ref="CY79">OptionVega($CT79,$B$2,CY$64,$B$3,$CU$63,0)</f>
        <v>5.3588475727461456E-2</v>
      </c>
      <c r="CZ79" s="1" cm="1">
        <f t="array" ref="CZ79">OptionVega($CT79,$B$2,CZ$64,$B$3,$CU$63,0)</f>
        <v>7.8115019427058494E-2</v>
      </c>
      <c r="DA79" s="1" cm="1">
        <f t="array" ref="DA79">OptionVega($CT79,$B$2,DA$64,$B$3,$CU$63,0)</f>
        <v>0.10344072895213412</v>
      </c>
      <c r="DB79" s="1" cm="1">
        <f t="array" ref="DB79">OptionVega($CT79,$B$2,DB$64,$B$3,$CU$63,0)</f>
        <v>0.12880363658795957</v>
      </c>
      <c r="DC79" s="1" cm="1">
        <f t="array" ref="DC79">OptionVega($CT79,$B$2,DC$64,$B$3,$CU$63,0)</f>
        <v>0.15378580943041786</v>
      </c>
      <c r="DD79" s="1" cm="1">
        <f t="array" ref="DD79">OptionVega($CT79,$B$2,DD$64,$B$3,$CU$63,0)</f>
        <v>0.17816680549913189</v>
      </c>
      <c r="DE79" s="1" cm="1">
        <f t="array" ref="DE79">OptionVega($CT79,$B$2,DE$64,$B$3,$CU$63,0)</f>
        <v>0.38308718744736653</v>
      </c>
      <c r="DF79" s="1" cm="1">
        <f t="array" ref="DF79">OptionVega($CT79,$B$2,DF$64,$B$3,$CU$63,0)</f>
        <v>0.53547351271025068</v>
      </c>
      <c r="DG79" s="1" cm="1">
        <f t="array" ref="DG79">OptionVega($CT79,$B$2,DG$64,$B$3,$CU$63,0)</f>
        <v>0.6568433742701324</v>
      </c>
      <c r="DH79" s="1" cm="1">
        <f t="array" ref="DH79">OptionVega($CT79,$B$2,DH$64,$B$3,$CU$63,0)</f>
        <v>0.7580802493833807</v>
      </c>
      <c r="DQ79" s="130"/>
      <c r="DR79" s="14">
        <v>130</v>
      </c>
      <c r="DS79" s="1" cm="1">
        <f t="array" ref="DS79">OptionRho("P",$DR79,$B$2,DS$64,$B$3,$DS$63,0)</f>
        <v>-1.7921519198923481E-6</v>
      </c>
      <c r="DT79" s="1" cm="1">
        <f t="array" ref="DT79">OptionRho("P",$DR79,$B$2,DT$64,$B$3,$DS$63,0)</f>
        <v>-3.5959910459001243E-4</v>
      </c>
      <c r="DU79" s="1" cm="1">
        <f t="array" ref="DU79">OptionRho("P",$DR79,$B$2,DU$64,$B$3,$DS$63,0)</f>
        <v>-2.6770963052205918E-3</v>
      </c>
      <c r="DV79" s="1" cm="1">
        <f t="array" ref="DV79">OptionRho("P",$DR79,$B$2,DV$64,$B$3,$DS$63,0)</f>
        <v>-8.1866116809250558E-3</v>
      </c>
      <c r="DW79" s="1" cm="1">
        <f t="array" ref="DW79">OptionRho("P",$DR79,$B$2,DW$64,$B$3,$DS$63,0)</f>
        <v>-1.7110072638825885E-2</v>
      </c>
      <c r="DX79" s="1" cm="1">
        <f t="array" ref="DX79">OptionRho("P",$DR79,$B$2,DX$64,$B$3,$DS$63,0)</f>
        <v>-2.9212248017103624E-2</v>
      </c>
      <c r="DY79" s="1" cm="1">
        <f t="array" ref="DY79">OptionRho("P",$DR79,$B$2,DY$64,$B$3,$DS$63,0)</f>
        <v>-4.4135283421453918E-2</v>
      </c>
      <c r="DZ79" s="1" cm="1">
        <f t="array" ref="DZ79">OptionRho("P",$DR79,$B$2,DZ$64,$B$3,$DS$63,0)</f>
        <v>-6.152336897817718E-2</v>
      </c>
      <c r="EA79" s="1" cm="1">
        <f t="array" ref="EA79">OptionRho("P",$DR79,$B$2,EA$64,$B$3,$DS$63,0)</f>
        <v>-8.1060435850244833E-2</v>
      </c>
      <c r="EB79" s="1" cm="1">
        <f t="array" ref="EB79">OptionRho("P",$DR79,$B$2,EB$64,$B$3,$DS$63,0)</f>
        <v>-0.10247663661348423</v>
      </c>
      <c r="EC79" s="1" cm="1">
        <f t="array" ref="EC79">OptionRho("P",$DR79,$B$2,EC$64,$B$3,$DS$63,0)</f>
        <v>-0.38375493287931833</v>
      </c>
      <c r="ED79" s="1" cm="1">
        <f t="array" ref="ED79">OptionRho("P",$DR79,$B$2,ED$64,$B$3,$DS$63,0)</f>
        <v>-0.73127252314863256</v>
      </c>
      <c r="EE79" s="1" cm="1">
        <f t="array" ref="EE79">OptionRho("P",$DR79,$B$2,EE$64,$B$3,$DS$63,0)</f>
        <v>-1.1111951260614406</v>
      </c>
      <c r="EF79" s="1" cm="1">
        <f t="array" ref="EF79">OptionRho("P",$DR79,$B$2,EF$64,$B$3,$DS$63,0)</f>
        <v>-1.5098058483276644</v>
      </c>
    </row>
    <row r="80" spans="1:136" x14ac:dyDescent="0.2">
      <c r="A80" s="133"/>
      <c r="B80" s="15">
        <v>135</v>
      </c>
      <c r="C80" s="1" cm="1">
        <f t="array" ref="C80">OptionPrice("P",$B80,$B$2,C$64,$B$3,$C$63,0)</f>
        <v>1.3771474023374305E-6</v>
      </c>
      <c r="D80" s="1" cm="1">
        <f t="array" ref="D80">OptionPrice("P",$B80,$B$2,D$64,$B$3,$C$63,0)</f>
        <v>9.8035060404660229E-4</v>
      </c>
      <c r="E80" s="1" cm="1">
        <f t="array" ref="E80">OptionPrice("P",$B80,$B$2,E$64,$B$3,$C$63,0)</f>
        <v>1.0788509424936754E-2</v>
      </c>
      <c r="F80" s="1" cm="1">
        <f t="array" ref="F80">OptionPrice("P",$B80,$B$2,F$64,$B$3,$C$63,0)</f>
        <v>3.9340297073269026E-2</v>
      </c>
      <c r="G80" s="1" cm="1">
        <f t="array" ref="G80">OptionPrice("P",$B80,$B$2,G$64,$B$3,$C$63,0)</f>
        <v>9.0168694639622737E-2</v>
      </c>
      <c r="H80" s="1" cm="1">
        <f t="array" ref="H80">OptionPrice("P",$B80,$B$2,H$64,$B$3,$C$63,0)</f>
        <v>0.16212008933309985</v>
      </c>
      <c r="I80" s="1" cm="1">
        <f t="array" ref="I80">OptionPrice("P",$B80,$B$2,I$64,$B$3,$C$63,0)</f>
        <v>0.25225987672489092</v>
      </c>
      <c r="J80" s="1" cm="1">
        <f t="array" ref="J80">OptionPrice("P",$B80,$B$2,J$64,$B$3,$C$63,0)</f>
        <v>0.35736251438737909</v>
      </c>
      <c r="K80" s="1" cm="1">
        <f t="array" ref="K80">OptionPrice("P",$B80,$B$2,K$64,$B$3,$C$63,0)</f>
        <v>0.47448271706380041</v>
      </c>
      <c r="L80" s="1" cm="1">
        <f t="array" ref="L80">OptionPrice("P",$B80,$B$2,L$64,$B$3,$C$63,0)</f>
        <v>0.60111531813212782</v>
      </c>
      <c r="M80" s="1" cm="1">
        <f t="array" ref="M80">OptionPrice("P",$B80,$B$2,M$64,$B$3,$C$63,0)</f>
        <v>2.0822469188620847</v>
      </c>
      <c r="N80" s="1" cm="1">
        <f t="array" ref="N80">OptionPrice("P",$B80,$B$2,N$64,$B$3,$C$63,0)</f>
        <v>3.576700417391482</v>
      </c>
      <c r="O80" s="1" cm="1">
        <f t="array" ref="O80">OptionPrice("P",$B80,$B$2,O$64,$B$3,$C$63,0)</f>
        <v>4.9476098324527698</v>
      </c>
      <c r="P80" s="1" cm="1">
        <f t="array" ref="P80">OptionPrice("P",$B80,$B$2,P$64,$B$3,$C$63,0)</f>
        <v>6.1869832652714187</v>
      </c>
      <c r="Y80" s="136"/>
      <c r="Z80" s="15">
        <v>135</v>
      </c>
      <c r="AA80" s="1" cm="1">
        <f t="array" ref="AA80">OptionDelta("P",$Z80,$B$2,AA$64,$B$3,$AA$63,0)</f>
        <v>-8.2356076314127336E-7</v>
      </c>
      <c r="AB80" s="1" cm="1">
        <f t="array" ref="AB80">OptionDelta("P",$Z80,$B$2,AB$64,$B$3,$AA$63,0)</f>
        <v>-3.1040784564706492E-4</v>
      </c>
      <c r="AC80" s="1" cm="1">
        <f t="array" ref="AC80">OptionDelta("P",$Z80,$B$2,AC$64,$B$3,$AA$63,0)</f>
        <v>-2.3882986824037555E-3</v>
      </c>
      <c r="AD80" s="1" cm="1">
        <f t="array" ref="AD80">OptionDelta("P",$Z80,$B$2,AD$64,$B$3,$AA$63,0)</f>
        <v>-6.8048459046240461E-3</v>
      </c>
      <c r="AE80" s="1" cm="1">
        <f t="array" ref="AE80">OptionDelta("P",$Z80,$B$2,AE$64,$B$3,$AA$63,0)</f>
        <v>-1.2936058934507999E-2</v>
      </c>
      <c r="AF80" s="1" cm="1">
        <f t="array" ref="AF80">OptionDelta("P",$Z80,$B$2,AF$64,$B$3,$AA$63,0)</f>
        <v>-2.0019016420614544E-2</v>
      </c>
      <c r="AG80" s="1" cm="1">
        <f t="array" ref="AG80">OptionDelta("P",$Z80,$B$2,AG$64,$B$3,$AA$63,0)</f>
        <v>-2.7494256589391308E-2</v>
      </c>
      <c r="AH80" s="1" cm="1">
        <f t="array" ref="AH80">OptionDelta("P",$Z80,$B$2,AH$64,$B$3,$AA$63,0)</f>
        <v>-3.5008571780824504E-2</v>
      </c>
      <c r="AI80" s="1" cm="1">
        <f t="array" ref="AI80">OptionDelta("P",$Z80,$B$2,AI$64,$B$3,$AA$63,0)</f>
        <v>-4.2354591752513771E-2</v>
      </c>
      <c r="AJ80" s="1" cm="1">
        <f t="array" ref="AJ80">OptionDelta("P",$Z80,$B$2,AJ$64,$B$3,$AA$63,0)</f>
        <v>-4.9418010408147417E-2</v>
      </c>
      <c r="AK80" s="1" cm="1">
        <f t="array" ref="AK80">OptionDelta("P",$Z80,$B$2,AK$64,$B$3,$AA$63,0)</f>
        <v>-0.10148028157804423</v>
      </c>
      <c r="AL80" s="1" cm="1">
        <f t="array" ref="AL80">OptionDelta("P",$Z80,$B$2,AL$64,$B$3,$AA$63,0)</f>
        <v>-0.13005419969363385</v>
      </c>
      <c r="AM80" s="1" cm="1">
        <f t="array" ref="AM80">OptionDelta("P",$Z80,$B$2,AM$64,$B$3,$AA$63,0)</f>
        <v>-0.14679895478660199</v>
      </c>
      <c r="AN80" s="1" cm="1">
        <f t="array" ref="AN80">OptionDelta("P",$Z80,$B$2,AN$64,$B$3,$AA$63,0)</f>
        <v>-0.1570960983419486</v>
      </c>
      <c r="AW80" s="139"/>
      <c r="AX80" s="15">
        <v>135</v>
      </c>
      <c r="AY80" s="1" cm="1">
        <f t="array" ref="AY80">OptionTheta("P",$AX80,$B$2,AY$64,$B$3,$AY$63,0)</f>
        <v>-4.8336073626239257E-7</v>
      </c>
      <c r="AZ80" s="1" cm="1">
        <f t="array" ref="AZ80">OptionTheta("P",$AX80,$B$2,AZ$64,$B$3,$AY$63,0)</f>
        <v>-9.5602407191019696E-5</v>
      </c>
      <c r="BA80" s="1" cm="1">
        <f t="array" ref="BA80">OptionTheta("P",$AX80,$B$2,BA$64,$B$3,$AY$63,0)</f>
        <v>-5.1197404722655242E-4</v>
      </c>
      <c r="BB80" s="1" cm="1">
        <f t="array" ref="BB80">OptionTheta("P",$AX80,$B$2,BB$64,$B$3,$AY$63,0)</f>
        <v>-1.1377509755566679E-3</v>
      </c>
      <c r="BC80" s="1" cm="1">
        <f t="array" ref="BC80">OptionTheta("P",$AX80,$B$2,BC$64,$B$3,$AY$63,0)</f>
        <v>-1.7938430555940637E-3</v>
      </c>
      <c r="BD80" s="1" cm="1">
        <f t="array" ref="BD80">OptionTheta("P",$AX80,$B$2,BD$64,$B$3,$AY$63,0)</f>
        <v>-2.3922721286578283E-3</v>
      </c>
      <c r="BE80" s="1" cm="1">
        <f t="array" ref="BE80">OptionTheta("P",$AX80,$B$2,BE$64,$B$3,$AY$63,0)</f>
        <v>-2.9061114302827689E-3</v>
      </c>
      <c r="BF80" s="1" cm="1">
        <f t="array" ref="BF80">OptionTheta("P",$AX80,$B$2,BF$64,$B$3,$AY$63,0)</f>
        <v>-3.335183926006229E-3</v>
      </c>
      <c r="BG80" s="1" cm="1">
        <f t="array" ref="BG80">OptionTheta("P",$AX80,$B$2,BG$64,$B$3,$AY$63,0)</f>
        <v>-3.6887846765490946E-3</v>
      </c>
      <c r="BH80" s="1" cm="1">
        <f t="array" ref="BH80">OptionTheta("P",$AX80,$B$2,BH$64,$B$3,$AY$63,0)</f>
        <v>-3.9783862782465148E-3</v>
      </c>
      <c r="BI80" s="1" cm="1">
        <f t="array" ref="BI80">OptionTheta("P",$AX80,$B$2,BI$64,$B$3,$AY$63,0)</f>
        <v>-5.0716917348653141E-3</v>
      </c>
      <c r="BJ80" s="1" cm="1">
        <f t="array" ref="BJ80">OptionTheta("P",$AX80,$B$2,BJ$64,$B$3,$AY$63,0)</f>
        <v>-5.0976627539948303E-3</v>
      </c>
      <c r="BK80" s="1" cm="1">
        <f t="array" ref="BK80">OptionTheta("P",$AX80,$B$2,BK$64,$B$3,$AY$63,0)</f>
        <v>-4.9285838735718878E-3</v>
      </c>
      <c r="BL80" s="1" cm="1">
        <f t="array" ref="BL80">OptionTheta("P",$AX80,$B$2,BL$64,$B$3,$AY$63,0)</f>
        <v>-4.7270575931021254E-3</v>
      </c>
      <c r="BU80" s="142"/>
      <c r="BV80" s="15">
        <v>135</v>
      </c>
      <c r="BW80" s="1" cm="1">
        <f t="array" ref="BW80">OptionGamma($BV80,$B$2,BW$64,$B$3,$BW$63,0)</f>
        <v>4.8093577566927407E-7</v>
      </c>
      <c r="BX80" s="1" cm="1">
        <f t="array" ref="BX80">OptionGamma($BV80,$B$2,BX$64,$B$3,$BW$63,0)</f>
        <v>9.4556994587265296E-5</v>
      </c>
      <c r="BY80" s="1" cm="1">
        <f t="array" ref="BY80">OptionGamma($BV80,$B$2,BY$64,$B$3,$BW$63,0)</f>
        <v>5.0353481185787989E-4</v>
      </c>
      <c r="BZ80" s="1" cm="1">
        <f t="array" ref="BZ80">OptionGamma($BV80,$B$2,BZ$64,$B$3,$BW$63,0)</f>
        <v>1.1130292486590083E-3</v>
      </c>
      <c r="CA80" s="1" cm="1">
        <f t="array" ref="CA80">OptionGamma($BV80,$B$2,CA$64,$B$3,$BW$63,0)</f>
        <v>1.7459186523562447E-3</v>
      </c>
      <c r="CB80" s="1" cm="1">
        <f t="array" ref="CB80">OptionGamma($BV80,$B$2,CB$64,$B$3,$BW$63,0)</f>
        <v>2.3169614647433373E-3</v>
      </c>
      <c r="CC80" s="1" cm="1">
        <f t="array" ref="CC80">OptionGamma($BV80,$B$2,CC$64,$B$3,$BW$63,0)</f>
        <v>2.8013465758306814E-3</v>
      </c>
      <c r="CD80" s="1" cm="1">
        <f t="array" ref="CD80">OptionGamma($BV80,$B$2,CD$64,$B$3,$BW$63,0)</f>
        <v>3.2002933770762325E-3</v>
      </c>
      <c r="CE80" s="1" cm="1">
        <f t="array" ref="CE80">OptionGamma($BV80,$B$2,CE$64,$B$3,$BW$63,0)</f>
        <v>3.5239585209983202E-3</v>
      </c>
      <c r="CF80" s="1" cm="1">
        <f t="array" ref="CF80">OptionGamma($BV80,$B$2,CF$64,$B$3,$BW$63,0)</f>
        <v>3.7843224261389784E-3</v>
      </c>
      <c r="CG80" s="1" cm="1">
        <f t="array" ref="CG80">OptionGamma($BV80,$B$2,CG$64,$B$3,$BW$63,0)</f>
        <v>4.6456697775222452E-3</v>
      </c>
      <c r="CH80" s="1" cm="1">
        <f t="array" ref="CH80">OptionGamma($BV80,$B$2,CH$64,$B$3,$BW$63,0)</f>
        <v>4.5248469998567693E-3</v>
      </c>
      <c r="CI80" s="1" cm="1">
        <f t="array" ref="CI80">OptionGamma($BV80,$B$2,CI$64,$B$3,$BW$63,0)</f>
        <v>4.2559078918170063E-3</v>
      </c>
      <c r="CJ80" s="1" cm="1">
        <f t="array" ref="CJ80">OptionGamma($BV80,$B$2,CJ$64,$B$3,$BW$63,0)</f>
        <v>3.9819655859202495E-3</v>
      </c>
      <c r="CS80" s="145"/>
      <c r="CT80" s="15">
        <v>135</v>
      </c>
      <c r="CU80" s="1" cm="1">
        <f t="array" ref="CU80">OptionVega($CT80,$B$2,CU$64,$B$3,$CU$63,0)</f>
        <v>1.7530109023145043E-6</v>
      </c>
      <c r="CV80" s="1" cm="1">
        <f t="array" ref="CV80">OptionVega($CT80,$B$2,CV$64,$B$3,$CU$63,0)</f>
        <v>6.89320490541164E-4</v>
      </c>
      <c r="CW80" s="1" cm="1">
        <f t="array" ref="CW80">OptionVega($CT80,$B$2,CW$64,$B$3,$CU$63,0)</f>
        <v>5.5061531676659165E-3</v>
      </c>
      <c r="CX80" s="1" cm="1">
        <f t="array" ref="CX80">OptionVega($CT80,$B$2,CX$64,$B$3,$CU$63,0)</f>
        <v>1.6227966445448345E-2</v>
      </c>
      <c r="CY80" s="1" cm="1">
        <f t="array" ref="CY80">OptionVega($CT80,$B$2,CY$64,$B$3,$CU$63,0)</f>
        <v>3.1819367439192572E-2</v>
      </c>
      <c r="CZ80" s="1" cm="1">
        <f t="array" ref="CZ80">OptionVega($CT80,$B$2,CZ$64,$B$3,$CU$63,0)</f>
        <v>5.0671947233936809E-2</v>
      </c>
      <c r="DA80" s="1" cm="1">
        <f t="array" ref="DA80">OptionVega($CT80,$B$2,DA$64,$B$3,$CU$63,0)</f>
        <v>7.147635788231986E-2</v>
      </c>
      <c r="DB80" s="1" cm="1">
        <f t="array" ref="DB80">OptionVega($CT80,$B$2,DB$64,$B$3,$CU$63,0)</f>
        <v>9.3320554875542944E-2</v>
      </c>
      <c r="DC80" s="1" cm="1">
        <f t="array" ref="DC80">OptionVega($CT80,$B$2,DC$64,$B$3,$CU$63,0)</f>
        <v>0.11560345928134991</v>
      </c>
      <c r="DD80" s="1" cm="1">
        <f t="array" ref="DD80">OptionVega($CT80,$B$2,DD$64,$B$3,$CU$63,0)</f>
        <v>0.13793855243276579</v>
      </c>
      <c r="DE80" s="1" cm="1">
        <f t="array" ref="DE80">OptionVega($CT80,$B$2,DE$64,$B$3,$CU$63,0)</f>
        <v>0.33866932678137185</v>
      </c>
      <c r="DF80" s="1" cm="1">
        <f t="array" ref="DF80">OptionVega($CT80,$B$2,DF$64,$B$3,$CU$63,0)</f>
        <v>0.49479201943433782</v>
      </c>
      <c r="DG80" s="1" cm="1">
        <f t="array" ref="DG80">OptionVega($CT80,$B$2,DG$64,$B$3,$CU$63,0)</f>
        <v>0.62051137062691963</v>
      </c>
      <c r="DH80" s="1" cm="1">
        <f t="array" ref="DH80">OptionVega($CT80,$B$2,DH$64,$B$3,$CU$63,0)</f>
        <v>0.72571322803396565</v>
      </c>
      <c r="DQ80" s="130"/>
      <c r="DR80" s="15">
        <v>135</v>
      </c>
      <c r="DS80" s="1" cm="1">
        <f t="array" ref="DS80">OptionRho("P",$DR80,$B$2,DS$64,$B$3,$DS$63,0)</f>
        <v>-1.1255785043228925E-7</v>
      </c>
      <c r="DT80" s="1" cm="1">
        <f t="array" ref="DT80">OptionRho("P",$DR80,$B$2,DT$64,$B$3,$DS$63,0)</f>
        <v>-8.5770819532797691E-5</v>
      </c>
      <c r="DU80" s="1" cm="1">
        <f t="array" ref="DU80">OptionRho("P",$DR80,$B$2,DU$64,$B$3,$DS$63,0)</f>
        <v>-9.9962649464833248E-4</v>
      </c>
      <c r="DV80" s="1" cm="1">
        <f t="array" ref="DV80">OptionRho("P",$DR80,$B$2,DV$64,$B$3,$DS$63,0)</f>
        <v>-3.8319779767900762E-3</v>
      </c>
      <c r="DW80" s="1" cm="1">
        <f t="array" ref="DW80">OptionRho("P",$DR80,$B$2,DW$64,$B$3,$DS$63,0)</f>
        <v>-9.182683253990985E-3</v>
      </c>
      <c r="DX80" s="1" cm="1">
        <f t="array" ref="DX80">OptionRho("P",$DR80,$B$2,DX$64,$B$3,$DS$63,0)</f>
        <v>-1.7188123836696396E-2</v>
      </c>
      <c r="DY80" s="1" cm="1">
        <f t="array" ref="DY80">OptionRho("P",$DR80,$B$2,DY$64,$B$3,$DS$63,0)</f>
        <v>-2.7747891614049097E-2</v>
      </c>
      <c r="DZ80" s="1" cm="1">
        <f t="array" ref="DZ80">OptionRho("P",$DR80,$B$2,DZ$64,$B$3,$DS$63,0)</f>
        <v>-4.0668157638389463E-2</v>
      </c>
      <c r="EA80" s="1" cm="1">
        <f t="array" ref="EA80">OptionRho("P",$DR80,$B$2,EA$64,$B$3,$DS$63,0)</f>
        <v>-5.5731173432878381E-2</v>
      </c>
      <c r="EB80" s="1" cm="1">
        <f t="array" ref="EB80">OptionRho("P",$DR80,$B$2,EB$64,$B$3,$DS$63,0)</f>
        <v>-7.2725467232320318E-2</v>
      </c>
      <c r="EC80" s="1" cm="1">
        <f t="array" ref="EC80">OptionRho("P",$DR80,$B$2,EC$64,$B$3,$DS$63,0)</f>
        <v>-0.31564169863796115</v>
      </c>
      <c r="ED80" s="1" cm="1">
        <f t="array" ref="ED80">OptionRho("P",$DR80,$B$2,ED$64,$B$3,$DS$63,0)</f>
        <v>-0.63402052128096154</v>
      </c>
      <c r="EE80" s="1" cm="1">
        <f t="array" ref="EE80">OptionRho("P",$DR80,$B$2,EE$64,$B$3,$DS$63,0)</f>
        <v>-0.99061874914576131</v>
      </c>
      <c r="EF80" s="1" cm="1">
        <f t="array" ref="EF80">OptionRho("P",$DR80,$B$2,EF$64,$B$3,$DS$63,0)</f>
        <v>-1.3697478270717238</v>
      </c>
    </row>
    <row r="81" spans="1:136" x14ac:dyDescent="0.2">
      <c r="A81" s="133"/>
      <c r="B81" s="6" t="s">
        <v>2</v>
      </c>
      <c r="C81" s="9">
        <v>0.3</v>
      </c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8"/>
      <c r="Y81" s="136"/>
      <c r="Z81" s="18" t="s">
        <v>2</v>
      </c>
      <c r="AA81" s="21">
        <v>0.3</v>
      </c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20"/>
      <c r="AW81" s="139"/>
      <c r="AX81" s="22" t="s">
        <v>2</v>
      </c>
      <c r="AY81" s="25">
        <v>0.3</v>
      </c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4"/>
      <c r="BU81" s="142"/>
      <c r="BV81" s="26" t="s">
        <v>2</v>
      </c>
      <c r="BW81" s="29">
        <v>0.3</v>
      </c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8"/>
      <c r="CS81" s="145"/>
      <c r="CT81" s="30" t="s">
        <v>2</v>
      </c>
      <c r="CU81" s="33">
        <v>0.3</v>
      </c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2"/>
      <c r="DQ81" s="130"/>
      <c r="DR81" s="34" t="s">
        <v>2</v>
      </c>
      <c r="DS81" s="37">
        <v>0.3</v>
      </c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6"/>
    </row>
    <row r="82" spans="1:136" x14ac:dyDescent="0.2">
      <c r="A82" s="133"/>
      <c r="C82" s="10">
        <v>0.1</v>
      </c>
      <c r="D82" s="11">
        <v>0.2</v>
      </c>
      <c r="E82" s="11">
        <v>0.3</v>
      </c>
      <c r="F82" s="11">
        <v>0.4</v>
      </c>
      <c r="G82" s="11">
        <v>0.5</v>
      </c>
      <c r="H82" s="11">
        <v>0.6</v>
      </c>
      <c r="I82" s="11">
        <v>0.7</v>
      </c>
      <c r="J82" s="11">
        <v>0.8</v>
      </c>
      <c r="K82" s="11">
        <v>0.9</v>
      </c>
      <c r="L82" s="11">
        <v>1</v>
      </c>
      <c r="M82" s="11">
        <v>2</v>
      </c>
      <c r="N82" s="11">
        <v>3</v>
      </c>
      <c r="O82" s="11">
        <v>4</v>
      </c>
      <c r="P82" s="12">
        <v>5</v>
      </c>
      <c r="Y82" s="136"/>
      <c r="AA82" s="10">
        <v>0.1</v>
      </c>
      <c r="AB82" s="11">
        <v>0.2</v>
      </c>
      <c r="AC82" s="11">
        <v>0.3</v>
      </c>
      <c r="AD82" s="11">
        <v>0.4</v>
      </c>
      <c r="AE82" s="11">
        <v>0.5</v>
      </c>
      <c r="AF82" s="11">
        <v>0.6</v>
      </c>
      <c r="AG82" s="11">
        <v>0.7</v>
      </c>
      <c r="AH82" s="11">
        <v>0.8</v>
      </c>
      <c r="AI82" s="11">
        <v>0.9</v>
      </c>
      <c r="AJ82" s="11">
        <v>1</v>
      </c>
      <c r="AK82" s="11">
        <v>2</v>
      </c>
      <c r="AL82" s="11">
        <v>3</v>
      </c>
      <c r="AM82" s="11">
        <v>4</v>
      </c>
      <c r="AN82" s="12">
        <v>5</v>
      </c>
      <c r="AW82" s="139"/>
      <c r="AY82" s="10">
        <v>0.1</v>
      </c>
      <c r="AZ82" s="11">
        <v>0.2</v>
      </c>
      <c r="BA82" s="11">
        <v>0.3</v>
      </c>
      <c r="BB82" s="11">
        <v>0.4</v>
      </c>
      <c r="BC82" s="11">
        <v>0.5</v>
      </c>
      <c r="BD82" s="11">
        <v>0.6</v>
      </c>
      <c r="BE82" s="11">
        <v>0.7</v>
      </c>
      <c r="BF82" s="11">
        <v>0.8</v>
      </c>
      <c r="BG82" s="11">
        <v>0.9</v>
      </c>
      <c r="BH82" s="11">
        <v>1</v>
      </c>
      <c r="BI82" s="11">
        <v>2</v>
      </c>
      <c r="BJ82" s="11">
        <v>3</v>
      </c>
      <c r="BK82" s="11">
        <v>4</v>
      </c>
      <c r="BL82" s="12">
        <v>5</v>
      </c>
      <c r="BU82" s="142"/>
      <c r="BW82" s="10">
        <v>0.1</v>
      </c>
      <c r="BX82" s="11">
        <v>0.2</v>
      </c>
      <c r="BY82" s="11">
        <v>0.3</v>
      </c>
      <c r="BZ82" s="11">
        <v>0.4</v>
      </c>
      <c r="CA82" s="11">
        <v>0.5</v>
      </c>
      <c r="CB82" s="11">
        <v>0.6</v>
      </c>
      <c r="CC82" s="11">
        <v>0.7</v>
      </c>
      <c r="CD82" s="11">
        <v>0.8</v>
      </c>
      <c r="CE82" s="11">
        <v>0.9</v>
      </c>
      <c r="CF82" s="11">
        <v>1</v>
      </c>
      <c r="CG82" s="11">
        <v>2</v>
      </c>
      <c r="CH82" s="11">
        <v>3</v>
      </c>
      <c r="CI82" s="11">
        <v>4</v>
      </c>
      <c r="CJ82" s="12">
        <v>5</v>
      </c>
      <c r="CS82" s="145"/>
      <c r="CU82" s="10">
        <v>0.1</v>
      </c>
      <c r="CV82" s="11">
        <v>0.2</v>
      </c>
      <c r="CW82" s="11">
        <v>0.3</v>
      </c>
      <c r="CX82" s="11">
        <v>0.4</v>
      </c>
      <c r="CY82" s="11">
        <v>0.5</v>
      </c>
      <c r="CZ82" s="11">
        <v>0.6</v>
      </c>
      <c r="DA82" s="11">
        <v>0.7</v>
      </c>
      <c r="DB82" s="11">
        <v>0.8</v>
      </c>
      <c r="DC82" s="11">
        <v>0.9</v>
      </c>
      <c r="DD82" s="11">
        <v>1</v>
      </c>
      <c r="DE82" s="11">
        <v>2</v>
      </c>
      <c r="DF82" s="11">
        <v>3</v>
      </c>
      <c r="DG82" s="11">
        <v>4</v>
      </c>
      <c r="DH82" s="12">
        <v>5</v>
      </c>
      <c r="DQ82" s="130"/>
      <c r="DS82" s="10">
        <v>0.1</v>
      </c>
      <c r="DT82" s="11">
        <v>0.2</v>
      </c>
      <c r="DU82" s="11">
        <v>0.3</v>
      </c>
      <c r="DV82" s="11">
        <v>0.4</v>
      </c>
      <c r="DW82" s="11">
        <v>0.5</v>
      </c>
      <c r="DX82" s="11">
        <v>0.6</v>
      </c>
      <c r="DY82" s="11">
        <v>0.7</v>
      </c>
      <c r="DZ82" s="11">
        <v>0.8</v>
      </c>
      <c r="EA82" s="11">
        <v>0.9</v>
      </c>
      <c r="EB82" s="11">
        <v>1</v>
      </c>
      <c r="EC82" s="11">
        <v>2</v>
      </c>
      <c r="ED82" s="11">
        <v>3</v>
      </c>
      <c r="EE82" s="11">
        <v>4</v>
      </c>
      <c r="EF82" s="12">
        <v>5</v>
      </c>
    </row>
    <row r="83" spans="1:136" x14ac:dyDescent="0.2">
      <c r="A83" s="133"/>
      <c r="B83" s="13">
        <v>60</v>
      </c>
      <c r="C83" s="1" cm="1">
        <f t="array" ref="C83">OptionPrice("P",$B83,$B$2,C$82,$B$3,$C$81,0)</f>
        <v>39.900050032764007</v>
      </c>
      <c r="D83" s="1" cm="1">
        <f t="array" ref="D83">OptionPrice("P",$B83,$B$2,D$82,$B$3,$C$81,0)</f>
        <v>39.800381913314062</v>
      </c>
      <c r="E83" s="1" cm="1">
        <f t="array" ref="E83">OptionPrice("P",$B83,$B$2,E$82,$B$3,$C$81,0)</f>
        <v>39.70395401842886</v>
      </c>
      <c r="F83" s="1" cm="1">
        <f t="array" ref="F83">OptionPrice("P",$B83,$B$2,F$82,$B$3,$C$81,0)</f>
        <v>39.617812611363995</v>
      </c>
      <c r="G83" s="1" cm="1">
        <f t="array" ref="G83">OptionPrice("P",$B83,$B$2,G$82,$B$3,$C$81,0)</f>
        <v>39.547751469154065</v>
      </c>
      <c r="H83" s="1" cm="1">
        <f t="array" ref="H83">OptionPrice("P",$B83,$B$2,H$82,$B$3,$C$81,0)</f>
        <v>39.496113710650356</v>
      </c>
      <c r="I83" s="1" cm="1">
        <f t="array" ref="I83">OptionPrice("P",$B83,$B$2,I$82,$B$3,$C$81,0)</f>
        <v>39.462763776577752</v>
      </c>
      <c r="J83" s="1" cm="1">
        <f t="array" ref="J83">OptionPrice("P",$B83,$B$2,J$82,$B$3,$C$81,0)</f>
        <v>39.446312670389688</v>
      </c>
      <c r="K83" s="1" cm="1">
        <f t="array" ref="K83">OptionPrice("P",$B83,$B$2,K$82,$B$3,$C$81,0)</f>
        <v>39.444894513264181</v>
      </c>
      <c r="L83" s="1" cm="1">
        <f t="array" ref="L83">OptionPrice("P",$B83,$B$2,L$82,$B$3,$C$81,0)</f>
        <v>39.456570958159389</v>
      </c>
      <c r="M83" s="1" cm="1">
        <f t="array" ref="M83">OptionPrice("P",$B83,$B$2,M$82,$B$3,$C$81,0)</f>
        <v>39.983015455289475</v>
      </c>
      <c r="N83" s="1" cm="1">
        <f t="array" ref="N83">OptionPrice("P",$B83,$B$2,N$82,$B$3,$C$81,0)</f>
        <v>40.766582561287159</v>
      </c>
      <c r="O83" s="1" cm="1">
        <f t="array" ref="O83">OptionPrice("P",$B83,$B$2,O$82,$B$3,$C$81,0)</f>
        <v>41.558025255220848</v>
      </c>
      <c r="P83" s="1" cm="1">
        <f t="array" ref="P83">OptionPrice("P",$B83,$B$2,P$82,$B$3,$C$81,0)</f>
        <v>42.295600762314471</v>
      </c>
      <c r="Y83" s="136"/>
      <c r="Z83" s="13">
        <v>60</v>
      </c>
      <c r="AA83" s="1" cm="1">
        <f t="array" ref="AA83">OptionDelta("P",$Z83,$B$2,AA$82,$B$3,$AA$81,0)</f>
        <v>-0.99999994996583763</v>
      </c>
      <c r="AB83" s="1" cm="1">
        <f t="array" ref="AB83">OptionDelta("P",$Z83,$B$2,AB$82,$B$3,$AA$81,0)</f>
        <v>-0.99990252813746106</v>
      </c>
      <c r="AC83" s="1" cm="1">
        <f t="array" ref="AC83">OptionDelta("P",$Z83,$B$2,AC$82,$B$3,$AA$81,0)</f>
        <v>-0.99868673402053365</v>
      </c>
      <c r="AD83" s="1" cm="1">
        <f t="array" ref="AD83">OptionDelta("P",$Z83,$B$2,AD$82,$B$3,$AA$81,0)</f>
        <v>-0.99500733996609969</v>
      </c>
      <c r="AE83" s="1" cm="1">
        <f t="array" ref="AE83">OptionDelta("P",$Z83,$B$2,AE$82,$B$3,$AA$81,0)</f>
        <v>-0.98864918253526834</v>
      </c>
      <c r="AF83" s="1" cm="1">
        <f t="array" ref="AF83">OptionDelta("P",$Z83,$B$2,AF$82,$B$3,$AA$81,0)</f>
        <v>-0.9801200211979566</v>
      </c>
      <c r="AG83" s="1" cm="1">
        <f t="array" ref="AG83">OptionDelta("P",$Z83,$B$2,AG$82,$B$3,$AA$81,0)</f>
        <v>-0.97006775523526267</v>
      </c>
      <c r="AH83" s="1" cm="1">
        <f t="array" ref="AH83">OptionDelta("P",$Z83,$B$2,AH$82,$B$3,$AA$81,0)</f>
        <v>-0.95904909766423552</v>
      </c>
      <c r="AI83" s="1" cm="1">
        <f t="array" ref="AI83">OptionDelta("P",$Z83,$B$2,AI$82,$B$3,$AA$81,0)</f>
        <v>-0.94748399738581035</v>
      </c>
      <c r="AJ83" s="1" cm="1">
        <f t="array" ref="AJ83">OptionDelta("P",$Z83,$B$2,AJ$82,$B$3,$AA$81,0)</f>
        <v>-0.93567143682162501</v>
      </c>
      <c r="AK83" s="1" cm="1">
        <f t="array" ref="AK83">OptionDelta("P",$Z83,$B$2,AK$82,$B$3,$AA$81,0)</f>
        <v>-0.82760802885631146</v>
      </c>
      <c r="AL83" s="1" cm="1">
        <f t="array" ref="AL83">OptionDelta("P",$Z83,$B$2,AL$82,$B$3,$AA$81,0)</f>
        <v>-0.74714796680976803</v>
      </c>
      <c r="AM83" s="1" cm="1">
        <f t="array" ref="AM83">OptionDelta("P",$Z83,$B$2,AM$82,$B$3,$AA$81,0)</f>
        <v>-0.68605874158405855</v>
      </c>
      <c r="AN83" s="1" cm="1">
        <f t="array" ref="AN83">OptionDelta("P",$Z83,$B$2,AN$82,$B$3,$AA$81,0)</f>
        <v>-0.63741139706825356</v>
      </c>
      <c r="AW83" s="139"/>
      <c r="AX83" s="13">
        <v>60</v>
      </c>
      <c r="AY83" s="1" cm="1">
        <f t="array" ref="AY83">OptionTheta("P",$AX83,$B$2,AY$82,$B$3,$AY$81,0)</f>
        <v>-2.7370090589788143E-3</v>
      </c>
      <c r="AZ83" s="1" cm="1">
        <f t="array" ref="AZ83">OptionTheta("P",$AX83,$B$2,AZ$82,$B$3,$AY$81,0)</f>
        <v>-2.7554034070823262E-3</v>
      </c>
      <c r="BA83" s="1" cm="1">
        <f t="array" ref="BA83">OptionTheta("P",$AX83,$B$2,BA$82,$B$3,$AY$81,0)</f>
        <v>-2.9240164229944543E-3</v>
      </c>
      <c r="BB83" s="1" cm="1">
        <f t="array" ref="BB83">OptionTheta("P",$AX83,$B$2,BB$82,$B$3,$AY$81,0)</f>
        <v>-3.2840526299164506E-3</v>
      </c>
      <c r="BC83" s="1" cm="1">
        <f t="array" ref="BC83">OptionTheta("P",$AX83,$B$2,BC$82,$B$3,$AY$81,0)</f>
        <v>-3.7464957345846777E-3</v>
      </c>
      <c r="BD83" s="1" cm="1">
        <f t="array" ref="BD83">OptionTheta("P",$AX83,$B$2,BD$82,$B$3,$AY$81,0)</f>
        <v>-4.2266721251811067E-3</v>
      </c>
      <c r="BE83" s="1" cm="1">
        <f t="array" ref="BE83">OptionTheta("P",$AX83,$B$2,BE$82,$B$3,$AY$81,0)</f>
        <v>-4.6773378076668008E-3</v>
      </c>
      <c r="BF83" s="1" cm="1">
        <f t="array" ref="BF83">OptionTheta("P",$AX83,$B$2,BF$82,$B$3,$AY$81,0)</f>
        <v>-5.0786247725683785E-3</v>
      </c>
      <c r="BG83" s="1" cm="1">
        <f t="array" ref="BG83">OptionTheta("P",$AX83,$B$2,BG$82,$B$3,$AY$81,0)</f>
        <v>-5.4255984700706337E-3</v>
      </c>
      <c r="BH83" s="1" cm="1">
        <f t="array" ref="BH83">OptionTheta("P",$AX83,$B$2,BH$82,$B$3,$AY$81,0)</f>
        <v>-5.7204103630856462E-3</v>
      </c>
      <c r="BI83" s="1" cm="1">
        <f t="array" ref="BI83">OptionTheta("P",$AX83,$B$2,BI$82,$B$3,$AY$81,0)</f>
        <v>-6.9075912196841331E-3</v>
      </c>
      <c r="BJ83" s="1" cm="1">
        <f t="array" ref="BJ83">OptionTheta("P",$AX83,$B$2,BJ$82,$B$3,$AY$81,0)</f>
        <v>-6.8961627729754484E-3</v>
      </c>
      <c r="BK83" s="1" cm="1">
        <f t="array" ref="BK83">OptionTheta("P",$AX83,$B$2,BK$82,$B$3,$AY$81,0)</f>
        <v>-6.6396758764085094E-3</v>
      </c>
      <c r="BL83" s="1" cm="1">
        <f t="array" ref="BL83">OptionTheta("P",$AX83,$B$2,BL$82,$B$3,$AY$81,0)</f>
        <v>-6.3421813403715197E-3</v>
      </c>
      <c r="BU83" s="142"/>
      <c r="BV83" s="13">
        <v>60</v>
      </c>
      <c r="BW83" s="1" cm="1">
        <f t="array" ref="BW83">OptionGamma($BV83,$B$2,BW$82,$B$3,$BW$81,0)</f>
        <v>4.8371729163416155E-8</v>
      </c>
      <c r="BX83" s="1" cm="1">
        <f t="array" ref="BX83">OptionGamma($BV83,$B$2,BX$82,$B$3,$BW$81,0)</f>
        <v>4.8005602280442924E-5</v>
      </c>
      <c r="BY83" s="1" cm="1">
        <f t="array" ref="BY83">OptionGamma($BV83,$B$2,BY$82,$B$3,$BW$81,0)</f>
        <v>4.3836057898992057E-4</v>
      </c>
      <c r="BZ83" s="1" cm="1">
        <f t="array" ref="BZ83">OptionGamma($BV83,$B$2,BZ$82,$B$3,$BW$81,0)</f>
        <v>1.2684980236185482E-3</v>
      </c>
      <c r="CA83" s="1" cm="1">
        <f t="array" ref="CA83">OptionGamma($BV83,$B$2,CA$82,$B$3,$BW$81,0)</f>
        <v>2.3382957957450985E-3</v>
      </c>
      <c r="CB83" s="1" cm="1">
        <f t="array" ref="CB83">OptionGamma($BV83,$B$2,CB$82,$B$3,$BW$81,0)</f>
        <v>3.4549517028754717E-3</v>
      </c>
      <c r="CC83" s="1" cm="1">
        <f t="array" ref="CC83">OptionGamma($BV83,$B$2,CC$82,$B$3,$BW$81,0)</f>
        <v>4.5096296845151063E-3</v>
      </c>
      <c r="CD83" s="1" cm="1">
        <f t="array" ref="CD83">OptionGamma($BV83,$B$2,CD$82,$B$3,$BW$81,0)</f>
        <v>5.4555892387964204E-3</v>
      </c>
      <c r="CE83" s="1" cm="1">
        <f t="array" ref="CE83">OptionGamma($BV83,$B$2,CE$82,$B$3,$BW$81,0)</f>
        <v>6.2802722099484769E-3</v>
      </c>
      <c r="CF83" s="1" cm="1">
        <f t="array" ref="CF83">OptionGamma($BV83,$B$2,CF$82,$B$3,$BW$81,0)</f>
        <v>6.9875383385906891E-3</v>
      </c>
      <c r="CG83" s="1" cm="1">
        <f t="array" ref="CG83">OptionGamma($BV83,$B$2,CG$82,$B$3,$BW$81,0)</f>
        <v>1.0030097674802637E-2</v>
      </c>
      <c r="CH83" s="1" cm="1">
        <f t="array" ref="CH83">OptionGamma($BV83,$B$2,CH$82,$B$3,$BW$81,0)</f>
        <v>1.025398028665004E-2</v>
      </c>
      <c r="CI83" s="1" cm="1">
        <f t="array" ref="CI83">OptionGamma($BV83,$B$2,CI$82,$B$3,$BW$81,0)</f>
        <v>9.8534950455954461E-3</v>
      </c>
      <c r="CJ83" s="1" cm="1">
        <f t="array" ref="CJ83">OptionGamma($BV83,$B$2,CJ$82,$B$3,$BW$81,0)</f>
        <v>9.3178601442685666E-3</v>
      </c>
      <c r="CS83" s="145"/>
      <c r="CT83" s="13">
        <v>60</v>
      </c>
      <c r="CU83" s="1" cm="1">
        <f t="array" ref="CU83">OptionVega($CT83,$B$2,CU$82,$B$3,$CU$81,0)</f>
        <v>5.2241467496489445E-8</v>
      </c>
      <c r="CV83" s="1" cm="1">
        <f t="array" ref="CV83">OptionVega($CT83,$B$2,CV$82,$B$3,$CU$81,0)</f>
        <v>1.0369210092575669E-4</v>
      </c>
      <c r="CW83" s="1" cm="1">
        <f t="array" ref="CW83">OptionVega($CT83,$B$2,CW$82,$B$3,$CU$81,0)</f>
        <v>1.4202882759273422E-3</v>
      </c>
      <c r="CX83" s="1" cm="1">
        <f t="array" ref="CX83">OptionVega($CT83,$B$2,CX$82,$B$3,$CU$81,0)</f>
        <v>5.4799114620321266E-3</v>
      </c>
      <c r="CY83" s="1" cm="1">
        <f t="array" ref="CY83">OptionVega($CT83,$B$2,CY$82,$B$3,$CU$81,0)</f>
        <v>1.2626797297023531E-2</v>
      </c>
      <c r="CZ83" s="1" cm="1">
        <f t="array" ref="CZ83">OptionVega($CT83,$B$2,CZ$82,$B$3,$CU$81,0)</f>
        <v>2.2388087034633054E-2</v>
      </c>
      <c r="DA83" s="1" cm="1">
        <f t="array" ref="DA83">OptionVega($CT83,$B$2,DA$82,$B$3,$CU$81,0)</f>
        <v>3.4092800414934198E-2</v>
      </c>
      <c r="DB83" s="1" cm="1">
        <f t="array" ref="DB83">OptionVega($CT83,$B$2,DB$82,$B$3,$CU$81,0)</f>
        <v>4.7136291023201063E-2</v>
      </c>
      <c r="DC83" s="1" cm="1">
        <f t="array" ref="DC83">OptionVega($CT83,$B$2,DC$82,$B$3,$CU$81,0)</f>
        <v>6.1044245880699184E-2</v>
      </c>
      <c r="DD83" s="1" cm="1">
        <f t="array" ref="DD83">OptionVega($CT83,$B$2,DD$82,$B$3,$CU$81,0)</f>
        <v>7.5465414056779437E-2</v>
      </c>
      <c r="DE83" s="1" cm="1">
        <f t="array" ref="DE83">OptionVega($CT83,$B$2,DE$82,$B$3,$CU$81,0)</f>
        <v>0.21665010977573695</v>
      </c>
      <c r="DF83" s="1" cm="1">
        <f t="array" ref="DF83">OptionVega($CT83,$B$2,DF$82,$B$3,$CU$81,0)</f>
        <v>0.33222896128746121</v>
      </c>
      <c r="DG83" s="1" cm="1">
        <f t="array" ref="DG83">OptionVega($CT83,$B$2,DG$82,$B$3,$CU$81,0)</f>
        <v>0.42567098596972325</v>
      </c>
      <c r="DH83" s="1" cm="1">
        <f t="array" ref="DH83">OptionVega($CT83,$B$2,DH$82,$B$3,$CU$81,0)</f>
        <v>0.50316444779050262</v>
      </c>
      <c r="DQ83" s="130"/>
      <c r="DR83" s="13">
        <v>60</v>
      </c>
      <c r="DS83" s="1" cm="1">
        <f t="array" ref="DS83">OptionRho("P",$DR83,$B$2,DS$82,$B$3,$DS$81,0)</f>
        <v>-9.9900047030714284E-2</v>
      </c>
      <c r="DT83" s="1" cm="1">
        <f t="array" ref="DT83">OptionRho("P",$DR83,$B$2,DT$82,$B$3,$DS$81,0)</f>
        <v>-0.19958906720312347</v>
      </c>
      <c r="DU83" s="1" cm="1">
        <f t="array" ref="DU83">OptionRho("P",$DR83,$B$2,DU$82,$B$3,$DS$81,0)</f>
        <v>-0.29887547417898264</v>
      </c>
      <c r="DV83" s="1" cm="1">
        <f t="array" ref="DV83">OptionRho("P",$DR83,$B$2,DV$82,$B$3,$DS$81,0)</f>
        <v>-0.39727301203731991</v>
      </c>
      <c r="DW83" s="1" cm="1">
        <f t="array" ref="DW83">OptionRho("P",$DR83,$B$2,DW$82,$B$3,$DS$81,0)</f>
        <v>-0.49433351210635079</v>
      </c>
      <c r="DX83" s="1" cm="1">
        <f t="array" ref="DX83">OptionRho("P",$DR83,$B$2,DX$82,$B$3,$DS$81,0)</f>
        <v>-0.58981988989516643</v>
      </c>
      <c r="DY83" s="1" cm="1">
        <f t="array" ref="DY83">OptionRho("P",$DR83,$B$2,DY$82,$B$3,$DS$81,0)</f>
        <v>-0.68366780363485458</v>
      </c>
      <c r="DZ83" s="1" cm="1">
        <f t="array" ref="DZ83">OptionRho("P",$DR83,$B$2,DZ$82,$B$3,$DS$81,0)</f>
        <v>-0.77591406824195053</v>
      </c>
      <c r="EA83" s="1" cm="1">
        <f t="array" ref="EA83">OptionRho("P",$DR83,$B$2,EA$82,$B$3,$DS$81,0)</f>
        <v>-0.86664540920771527</v>
      </c>
      <c r="EB83" s="1" cm="1">
        <f t="array" ref="EB83">OptionRho("P",$DR83,$B$2,EB$82,$B$3,$DS$81,0)</f>
        <v>-0.95596857167456895</v>
      </c>
      <c r="EC83" s="1" cm="1">
        <f t="array" ref="EC83">OptionRho("P",$DR83,$B$2,EC$82,$B$3,$DS$81,0)</f>
        <v>-1.7927899437333634</v>
      </c>
      <c r="ED83" s="1" cm="1">
        <f t="array" ref="ED83">OptionRho("P",$DR83,$B$2,ED$82,$B$3,$DS$81,0)</f>
        <v>-2.5678638170961969</v>
      </c>
      <c r="EE83" s="1" cm="1">
        <f t="array" ref="EE83">OptionRho("P",$DR83,$B$2,EE$82,$B$3,$DS$81,0)</f>
        <v>-3.3088619900105747</v>
      </c>
      <c r="EF83" s="1" cm="1">
        <f t="array" ref="EF83">OptionRho("P",$DR83,$B$2,EF$82,$B$3,$DS$81,0)</f>
        <v>-4.0270142293204847</v>
      </c>
    </row>
    <row r="84" spans="1:136" x14ac:dyDescent="0.2">
      <c r="A84" s="133"/>
      <c r="B84" s="14">
        <v>65</v>
      </c>
      <c r="C84" s="1" cm="1">
        <f t="array" ref="C84">OptionPrice("P",$B84,$B$2,C$82,$B$3,$C$81,0)</f>
        <v>34.900054552010033</v>
      </c>
      <c r="D84" s="1" cm="1">
        <f t="array" ref="D84">OptionPrice("P",$B84,$B$2,D$82,$B$3,$C$81,0)</f>
        <v>34.802227826610959</v>
      </c>
      <c r="E84" s="1" cm="1">
        <f t="array" ref="E84">OptionPrice("P",$B84,$B$2,E$82,$B$3,$C$81,0)</f>
        <v>34.719550391395444</v>
      </c>
      <c r="F84" s="1" cm="1">
        <f t="array" ref="F84">OptionPrice("P",$B84,$B$2,F$82,$B$3,$C$81,0)</f>
        <v>34.665332985612864</v>
      </c>
      <c r="G84" s="1" cm="1">
        <f t="array" ref="G84">OptionPrice("P",$B84,$B$2,G$82,$B$3,$C$81,0)</f>
        <v>34.642715692303469</v>
      </c>
      <c r="H84" s="1" cm="1">
        <f t="array" ref="H84">OptionPrice("P",$B84,$B$2,H$82,$B$3,$C$81,0)</f>
        <v>34.6489583076741</v>
      </c>
      <c r="I84" s="1" cm="1">
        <f t="array" ref="I84">OptionPrice("P",$B84,$B$2,I$82,$B$3,$C$81,0)</f>
        <v>34.679554168108503</v>
      </c>
      <c r="J84" s="1" cm="1">
        <f t="array" ref="J84">OptionPrice("P",$B84,$B$2,J$82,$B$3,$C$81,0)</f>
        <v>34.730001528254668</v>
      </c>
      <c r="K84" s="1" cm="1">
        <f t="array" ref="K84">OptionPrice("P",$B84,$B$2,K$82,$B$3,$C$81,0)</f>
        <v>34.796374634970121</v>
      </c>
      <c r="L84" s="1" cm="1">
        <f t="array" ref="L84">OptionPrice("P",$B84,$B$2,L$82,$B$3,$C$81,0)</f>
        <v>34.875423892823683</v>
      </c>
      <c r="M84" s="1" cm="1">
        <f t="array" ref="M84">OptionPrice("P",$B84,$B$2,M$82,$B$3,$C$81,0)</f>
        <v>35.974238048509598</v>
      </c>
      <c r="N84" s="1" cm="1">
        <f t="array" ref="N84">OptionPrice("P",$B84,$B$2,N$82,$B$3,$C$81,0)</f>
        <v>37.159738207270372</v>
      </c>
      <c r="O84" s="1" cm="1">
        <f t="array" ref="O84">OptionPrice("P",$B84,$B$2,O$82,$B$3,$C$81,0)</f>
        <v>38.250072082902378</v>
      </c>
      <c r="P84" s="1" cm="1">
        <f t="array" ref="P84">OptionPrice("P",$B84,$B$2,P$82,$B$3,$C$81,0)</f>
        <v>39.223383449175095</v>
      </c>
      <c r="Y84" s="136"/>
      <c r="Z84" s="14">
        <v>65</v>
      </c>
      <c r="AA84" s="1" cm="1">
        <f t="array" ref="AA84">OptionDelta("P",$Z84,$B$2,AA$82,$B$3,$AA$81,0)</f>
        <v>-0.99999631780591081</v>
      </c>
      <c r="AB84" s="1" cm="1">
        <f t="array" ref="AB84">OptionDelta("P",$Z84,$B$2,AB$82,$B$3,$AA$81,0)</f>
        <v>-0.99912262163087784</v>
      </c>
      <c r="AC84" s="1" cm="1">
        <f t="array" ref="AC84">OptionDelta("P",$Z84,$B$2,AC$82,$B$3,$AA$81,0)</f>
        <v>-0.99415298895596782</v>
      </c>
      <c r="AD84" s="1" cm="1">
        <f t="array" ref="AD84">OptionDelta("P",$Z84,$B$2,AD$82,$B$3,$AA$81,0)</f>
        <v>-0.98439853521310394</v>
      </c>
      <c r="AE84" s="1" cm="1">
        <f t="array" ref="AE84">OptionDelta("P",$Z84,$B$2,AE$82,$B$3,$AA$81,0)</f>
        <v>-0.97135514264148681</v>
      </c>
      <c r="AF84" s="1" cm="1">
        <f t="array" ref="AF84">OptionDelta("P",$Z84,$B$2,AF$82,$B$3,$AA$81,0)</f>
        <v>-0.95653186252639477</v>
      </c>
      <c r="AG84" s="1" cm="1">
        <f t="array" ref="AG84">OptionDelta("P",$Z84,$B$2,AG$82,$B$3,$AA$81,0)</f>
        <v>-0.94096106457413042</v>
      </c>
      <c r="AH84" s="1" cm="1">
        <f t="array" ref="AH84">OptionDelta("P",$Z84,$B$2,AH$82,$B$3,$AA$81,0)</f>
        <v>-0.92527188397817484</v>
      </c>
      <c r="AI84" s="1" cm="1">
        <f t="array" ref="AI84">OptionDelta("P",$Z84,$B$2,AI$82,$B$3,$AA$81,0)</f>
        <v>-0.90982718659992456</v>
      </c>
      <c r="AJ84" s="1" cm="1">
        <f t="array" ref="AJ84">OptionDelta("P",$Z84,$B$2,AJ$82,$B$3,$AA$81,0)</f>
        <v>-0.89482611219229757</v>
      </c>
      <c r="AK84" s="1" cm="1">
        <f t="array" ref="AK84">OptionDelta("P",$Z84,$B$2,AK$82,$B$3,$AA$81,0)</f>
        <v>-0.77520315606192436</v>
      </c>
      <c r="AL84" s="1" cm="1">
        <f t="array" ref="AL84">OptionDelta("P",$Z84,$B$2,AL$82,$B$3,$AA$81,0)</f>
        <v>-0.6954993169592607</v>
      </c>
      <c r="AM84" s="1" cm="1">
        <f t="array" ref="AM84">OptionDelta("P",$Z84,$B$2,AM$82,$B$3,$AA$81,0)</f>
        <v>-0.63732017542195851</v>
      </c>
      <c r="AN84" s="1" cm="1">
        <f t="array" ref="AN84">OptionDelta("P",$Z84,$B$2,AN$82,$B$3,$AA$81,0)</f>
        <v>-0.59181932468991505</v>
      </c>
      <c r="AW84" s="139"/>
      <c r="AX84" s="14">
        <v>65</v>
      </c>
      <c r="AY84" s="1" cm="1">
        <f t="array" ref="AY84">OptionTheta("P",$AX84,$B$2,AY$82,$B$3,$AY$81,0)</f>
        <v>-2.7384393585732913E-3</v>
      </c>
      <c r="AZ84" s="1" cm="1">
        <f t="array" ref="AZ84">OptionTheta("P",$AX84,$B$2,AZ$82,$B$3,$AY$81,0)</f>
        <v>-2.9110910519761588E-3</v>
      </c>
      <c r="BA84" s="1" cm="1">
        <f t="array" ref="BA84">OptionTheta("P",$AX84,$B$2,BA$82,$B$3,$AY$81,0)</f>
        <v>-3.53207932680338E-3</v>
      </c>
      <c r="BB84" s="1" cm="1">
        <f t="array" ref="BB84">OptionTheta("P",$AX84,$B$2,BB$82,$B$3,$AY$81,0)</f>
        <v>-4.357193615421368E-3</v>
      </c>
      <c r="BC84" s="1" cm="1">
        <f t="array" ref="BC84">OptionTheta("P",$AX84,$B$2,BC$82,$B$3,$AY$81,0)</f>
        <v>-5.1525425587608895E-3</v>
      </c>
      <c r="BD84" s="1" cm="1">
        <f t="array" ref="BD84">OptionTheta("P",$AX84,$B$2,BD$82,$B$3,$AY$81,0)</f>
        <v>-5.831472640071036E-3</v>
      </c>
      <c r="BE84" s="1" cm="1">
        <f t="array" ref="BE84">OptionTheta("P",$AX84,$B$2,BE$82,$B$3,$AY$81,0)</f>
        <v>-6.3812568814145491E-3</v>
      </c>
      <c r="BF84" s="1" cm="1">
        <f t="array" ref="BF84">OptionTheta("P",$AX84,$B$2,BF$82,$B$3,$AY$81,0)</f>
        <v>-6.8151486431387992E-3</v>
      </c>
      <c r="BG84" s="1" cm="1">
        <f t="array" ref="BG84">OptionTheta("P",$AX84,$B$2,BG$82,$B$3,$AY$81,0)</f>
        <v>-7.1525632302570528E-3</v>
      </c>
      <c r="BH84" s="1" cm="1">
        <f t="array" ref="BH84">OptionTheta("P",$AX84,$B$2,BH$82,$B$3,$AY$81,0)</f>
        <v>-7.4120928339153468E-3</v>
      </c>
      <c r="BI84" s="1" cm="1">
        <f t="array" ref="BI84">OptionTheta("P",$AX84,$B$2,BI$82,$B$3,$AY$81,0)</f>
        <v>-8.0280824568745666E-3</v>
      </c>
      <c r="BJ84" s="1" cm="1">
        <f t="array" ref="BJ84">OptionTheta("P",$AX84,$B$2,BJ$82,$B$3,$AY$81,0)</f>
        <v>-7.6548306918495903E-3</v>
      </c>
      <c r="BK84" s="1" cm="1">
        <f t="array" ref="BK84">OptionTheta("P",$AX84,$B$2,BK$82,$B$3,$AY$81,0)</f>
        <v>-7.192380050596219E-3</v>
      </c>
      <c r="BL84" s="1" cm="1">
        <f t="array" ref="BL84">OptionTheta("P",$AX84,$B$2,BL$82,$B$3,$AY$81,0)</f>
        <v>-6.7675570834690273E-3</v>
      </c>
      <c r="BU84" s="142"/>
      <c r="BV84" s="14">
        <v>65</v>
      </c>
      <c r="BW84" s="1" cm="1">
        <f t="array" ref="BW84">OptionGamma($BV84,$B$2,BW$82,$B$3,$BW$81,0)</f>
        <v>2.7992835519207707E-6</v>
      </c>
      <c r="BX84" s="1" cm="1">
        <f t="array" ref="BX84">OptionGamma($BV84,$B$2,BX$82,$B$3,$BW$81,0)</f>
        <v>3.4238659642402488E-4</v>
      </c>
      <c r="BY84" s="1" cm="1">
        <f t="array" ref="BY84">OptionGamma($BV84,$B$2,BY$82,$B$3,$BW$81,0)</f>
        <v>1.5558922158995399E-3</v>
      </c>
      <c r="BZ84" s="1" cm="1">
        <f t="array" ref="BZ84">OptionGamma($BV84,$B$2,BZ$82,$B$3,$BW$81,0)</f>
        <v>3.1761382873591237E-3</v>
      </c>
      <c r="CA84" s="1" cm="1">
        <f t="array" ref="CA84">OptionGamma($BV84,$B$2,CA$82,$B$3,$BW$81,0)</f>
        <v>4.7488233231175484E-3</v>
      </c>
      <c r="CB84" s="1" cm="1">
        <f t="array" ref="CB84">OptionGamma($BV84,$B$2,CB$82,$B$3,$BW$81,0)</f>
        <v>6.1025757786037126E-3</v>
      </c>
      <c r="CC84" s="1" cm="1">
        <f t="array" ref="CC84">OptionGamma($BV84,$B$2,CC$82,$B$3,$BW$81,0)</f>
        <v>7.2096701015754924E-3</v>
      </c>
      <c r="CD84" s="1" cm="1">
        <f t="array" ref="CD84">OptionGamma($BV84,$B$2,CD$82,$B$3,$BW$81,0)</f>
        <v>8.0936358441935641E-3</v>
      </c>
      <c r="CE84" s="1" cm="1">
        <f t="array" ref="CE84">OptionGamma($BV84,$B$2,CE$82,$B$3,$BW$81,0)</f>
        <v>8.7907122230331206E-3</v>
      </c>
      <c r="CF84" s="1" cm="1">
        <f t="array" ref="CF84">OptionGamma($BV84,$B$2,CF$82,$B$3,$BW$81,0)</f>
        <v>9.336082432746199E-3</v>
      </c>
      <c r="CG84" s="1" cm="1">
        <f t="array" ref="CG84">OptionGamma($BV84,$B$2,CG$82,$B$3,$BW$81,0)</f>
        <v>1.0869825982032193E-2</v>
      </c>
      <c r="CH84" s="1" cm="1">
        <f t="array" ref="CH84">OptionGamma($BV84,$B$2,CH$82,$B$3,$BW$81,0)</f>
        <v>1.0363399155444456E-2</v>
      </c>
      <c r="CI84" s="1" cm="1">
        <f t="array" ref="CI84">OptionGamma($BV84,$B$2,CI$82,$B$3,$BW$81,0)</f>
        <v>9.6171460019162294E-3</v>
      </c>
      <c r="CJ84" s="1" cm="1">
        <f t="array" ref="CJ84">OptionGamma($BV84,$B$2,CJ$82,$B$3,$BW$81,0)</f>
        <v>8.9059405124312912E-3</v>
      </c>
      <c r="CS84" s="145"/>
      <c r="CT84" s="14">
        <v>65</v>
      </c>
      <c r="CU84" s="1" cm="1">
        <f t="array" ref="CU84">OptionVega($CT84,$B$2,CU$82,$B$3,$CU$81,0)</f>
        <v>3.5480919020595774E-6</v>
      </c>
      <c r="CV84" s="1" cm="1">
        <f t="array" ref="CV84">OptionVega($CT84,$B$2,CV$82,$B$3,$CU$81,0)</f>
        <v>8.6795002193490315E-4</v>
      </c>
      <c r="CW84" s="1" cm="1">
        <f t="array" ref="CW84">OptionVega($CT84,$B$2,CW$82,$B$3,$CU$81,0)</f>
        <v>5.9162801509579999E-3</v>
      </c>
      <c r="CX84" s="1" cm="1">
        <f t="array" ref="CX84">OptionVega($CT84,$B$2,CX$82,$B$3,$CU$81,0)</f>
        <v>1.6103021116910757E-2</v>
      </c>
      <c r="CY84" s="1" cm="1">
        <f t="array" ref="CY84">OptionVega($CT84,$B$2,CY$82,$B$3,$CU$81,0)</f>
        <v>3.0095667810257465E-2</v>
      </c>
      <c r="CZ84" s="1" cm="1">
        <f t="array" ref="CZ84">OptionVega($CT84,$B$2,CZ$82,$B$3,$CU$81,0)</f>
        <v>4.6410088796281238E-2</v>
      </c>
      <c r="DA84" s="1" cm="1">
        <f t="array" ref="DA84">OptionVega($CT84,$B$2,DA$82,$B$3,$CU$81,0)</f>
        <v>6.3967797976228563E-2</v>
      </c>
      <c r="DB84" s="1" cm="1">
        <f t="array" ref="DB84">OptionVega($CT84,$B$2,DB$82,$B$3,$CU$81,0)</f>
        <v>8.2069467460122739E-2</v>
      </c>
      <c r="DC84" s="1" cm="1">
        <f t="array" ref="DC84">OptionVega($CT84,$B$2,DC$82,$B$3,$CU$81,0)</f>
        <v>0.10028004968425032</v>
      </c>
      <c r="DD84" s="1" cm="1">
        <f t="array" ref="DD84">OptionVega($CT84,$B$2,DD$82,$B$3,$CU$81,0)</f>
        <v>0.11833484483505809</v>
      </c>
      <c r="DE84" s="1" cm="1">
        <f t="array" ref="DE84">OptionVega($CT84,$B$2,DE$82,$B$3,$CU$81,0)</f>
        <v>0.27555008864451608</v>
      </c>
      <c r="DF84" s="1" cm="1">
        <f t="array" ref="DF84">OptionVega($CT84,$B$2,DF$82,$B$3,$CU$81,0)</f>
        <v>0.39406825288577535</v>
      </c>
      <c r="DG84" s="1" cm="1">
        <f t="array" ref="DG84">OptionVega($CT84,$B$2,DG$82,$B$3,$CU$81,0)</f>
        <v>0.4875893022971528</v>
      </c>
      <c r="DH84" s="1" cm="1">
        <f t="array" ref="DH84">OptionVega($CT84,$B$2,DH$82,$B$3,$CU$81,0)</f>
        <v>0.56441397997533316</v>
      </c>
      <c r="DQ84" s="130"/>
      <c r="DR84" s="14">
        <v>65</v>
      </c>
      <c r="DS84" s="1" cm="1">
        <f t="array" ref="DS84">OptionRho("P",$DR84,$B$2,DS$82,$B$3,$DS$81,0)</f>
        <v>-9.9899815209394241E-2</v>
      </c>
      <c r="DT84" s="1" cm="1">
        <f t="array" ref="DT84">OptionRho("P",$DR84,$B$2,DT$82,$B$3,$DS$81,0)</f>
        <v>-0.19949039646523606</v>
      </c>
      <c r="DU84" s="1" cm="1">
        <f t="array" ref="DU84">OptionRho("P",$DR84,$B$2,DU$82,$B$3,$DS$81,0)</f>
        <v>-0.29801848402060005</v>
      </c>
      <c r="DV84" s="1" cm="1">
        <f t="array" ref="DV84">OptionRho("P",$DR84,$B$2,DV$82,$B$3,$DS$81,0)</f>
        <v>-0.39460495109785848</v>
      </c>
      <c r="DW84" s="1" cm="1">
        <f t="array" ref="DW84">OptionRho("P",$DR84,$B$2,DW$82,$B$3,$DS$81,0)</f>
        <v>-0.48890399982000055</v>
      </c>
      <c r="DX84" s="1" cm="1">
        <f t="array" ref="DX84">OptionRho("P",$DR84,$B$2,DX$82,$B$3,$DS$81,0)</f>
        <v>-0.58094117623133856</v>
      </c>
      <c r="DY84" s="1" cm="1">
        <f t="array" ref="DY84">OptionRho("P",$DR84,$B$2,DY$82,$B$3,$DS$81,0)</f>
        <v>-0.67089416355798881</v>
      </c>
      <c r="DZ84" s="1" cm="1">
        <f t="array" ref="DZ84">OptionRho("P",$DR84,$B$2,DZ$82,$B$3,$DS$81,0)</f>
        <v>-0.75898139189468838</v>
      </c>
      <c r="EA84" s="1" cm="1">
        <f t="array" ref="EA84">OptionRho("P",$DR84,$B$2,EA$82,$B$3,$DS$81,0)</f>
        <v>-0.84541627587568691</v>
      </c>
      <c r="EB84" s="1" cm="1">
        <f t="array" ref="EB84">OptionRho("P",$DR84,$B$2,EB$82,$B$3,$DS$81,0)</f>
        <v>-0.93039121185323037</v>
      </c>
      <c r="EC84" s="1" cm="1">
        <f t="array" ref="EC84">OptionRho("P",$DR84,$B$2,EC$82,$B$3,$DS$81,0)</f>
        <v>-1.7272488638506938</v>
      </c>
      <c r="ED84" s="1" cm="1">
        <f t="array" ref="ED84">OptionRho("P",$DR84,$B$2,ED$82,$B$3,$DS$81,0)</f>
        <v>-2.4710158142886698</v>
      </c>
      <c r="EE84" s="1" cm="1">
        <f t="array" ref="EE84">OptionRho("P",$DR84,$B$2,EE$82,$B$3,$DS$81,0)</f>
        <v>-3.1870353394131872</v>
      </c>
      <c r="EF84" s="1" cm="1">
        <f t="array" ref="EF84">OptionRho("P",$DR84,$B$2,EF$82,$B$3,$DS$81,0)</f>
        <v>-3.8845819777009787</v>
      </c>
    </row>
    <row r="85" spans="1:136" x14ac:dyDescent="0.2">
      <c r="A85" s="133"/>
      <c r="B85" s="14">
        <v>70</v>
      </c>
      <c r="C85" s="1" cm="1">
        <f t="array" ref="C85">OptionPrice("P",$B85,$B$2,C$82,$B$3,$C$81,0)</f>
        <v>29.900217259643867</v>
      </c>
      <c r="D85" s="1" cm="1">
        <f t="array" ref="D85">OptionPrice("P",$B85,$B$2,D$82,$B$3,$C$81,0)</f>
        <v>29.81444931813688</v>
      </c>
      <c r="E85" s="1" cm="1">
        <f t="array" ref="E85">OptionPrice("P",$B85,$B$2,E$82,$B$3,$C$81,0)</f>
        <v>29.776983341216379</v>
      </c>
      <c r="F85" s="1" cm="1">
        <f t="array" ref="F85">OptionPrice("P",$B85,$B$2,F$82,$B$3,$C$81,0)</f>
        <v>29.794925996986393</v>
      </c>
      <c r="G85" s="1" cm="1">
        <f t="array" ref="G85">OptionPrice("P",$B85,$B$2,G$82,$B$3,$C$81,0)</f>
        <v>29.858317142124889</v>
      </c>
      <c r="H85" s="1" cm="1">
        <f t="array" ref="H85">OptionPrice("P",$B85,$B$2,H$82,$B$3,$C$81,0)</f>
        <v>29.955528783893456</v>
      </c>
      <c r="I85" s="1" cm="1">
        <f t="array" ref="I85">OptionPrice("P",$B85,$B$2,I$82,$B$3,$C$81,0)</f>
        <v>30.077132579145754</v>
      </c>
      <c r="J85" s="1" cm="1">
        <f t="array" ref="J85">OptionPrice("P",$B85,$B$2,J$82,$B$3,$C$81,0)</f>
        <v>30.216115885276849</v>
      </c>
      <c r="K85" s="1" cm="1">
        <f t="array" ref="K85">OptionPrice("P",$B85,$B$2,K$82,$B$3,$C$81,0)</f>
        <v>30.367375211408429</v>
      </c>
      <c r="L85" s="1" cm="1">
        <f t="array" ref="L85">OptionPrice("P",$B85,$B$2,L$82,$B$3,$C$81,0)</f>
        <v>30.527199877082481</v>
      </c>
      <c r="M85" s="1" cm="1">
        <f t="array" ref="M85">OptionPrice("P",$B85,$B$2,M$82,$B$3,$C$81,0)</f>
        <v>32.236441380742441</v>
      </c>
      <c r="N85" s="1" cm="1">
        <f t="array" ref="N85">OptionPrice("P",$B85,$B$2,N$82,$B$3,$C$81,0)</f>
        <v>33.811507686989124</v>
      </c>
      <c r="O85" s="1" cm="1">
        <f t="array" ref="O85">OptionPrice("P",$B85,$B$2,O$82,$B$3,$C$81,0)</f>
        <v>35.182287140455394</v>
      </c>
      <c r="P85" s="1" cm="1">
        <f t="array" ref="P85">OptionPrice("P",$B85,$B$2,P$82,$B$3,$C$81,0)</f>
        <v>36.373688717963113</v>
      </c>
      <c r="Y85" s="136"/>
      <c r="Z85" s="14">
        <v>70</v>
      </c>
      <c r="AA85" s="1" cm="1">
        <f t="array" ref="AA85">OptionDelta("P",$Z85,$B$2,AA$82,$B$3,$AA$81,0)</f>
        <v>-0.99989292389718487</v>
      </c>
      <c r="AB85" s="1" cm="1">
        <f t="array" ref="AB85">OptionDelta("P",$Z85,$B$2,AB$82,$B$3,$AA$81,0)</f>
        <v>-0.99500981832634638</v>
      </c>
      <c r="AC85" s="1" cm="1">
        <f t="array" ref="AC85">OptionDelta("P",$Z85,$B$2,AC$82,$B$3,$AA$81,0)</f>
        <v>-0.98078500536712698</v>
      </c>
      <c r="AD85" s="1" cm="1">
        <f t="array" ref="AD85">OptionDelta("P",$Z85,$B$2,AD$82,$B$3,$AA$81,0)</f>
        <v>-0.96112490376939341</v>
      </c>
      <c r="AE85" s="1" cm="1">
        <f t="array" ref="AE85">OptionDelta("P",$Z85,$B$2,AE$82,$B$3,$AA$81,0)</f>
        <v>-0.93963844251047635</v>
      </c>
      <c r="AF85" s="1" cm="1">
        <f t="array" ref="AF85">OptionDelta("P",$Z85,$B$2,AF$82,$B$3,$AA$81,0)</f>
        <v>-0.91817123136383305</v>
      </c>
      <c r="AG85" s="1" cm="1">
        <f t="array" ref="AG85">OptionDelta("P",$Z85,$B$2,AG$82,$B$3,$AA$81,0)</f>
        <v>-0.8975366081156535</v>
      </c>
      <c r="AH85" s="1" cm="1">
        <f t="array" ref="AH85">OptionDelta("P",$Z85,$B$2,AH$82,$B$3,$AA$81,0)</f>
        <v>-0.87804528554403938</v>
      </c>
      <c r="AI85" s="1" cm="1">
        <f t="array" ref="AI85">OptionDelta("P",$Z85,$B$2,AI$82,$B$3,$AA$81,0)</f>
        <v>-0.85977360332933828</v>
      </c>
      <c r="AJ85" s="1" cm="1">
        <f t="array" ref="AJ85">OptionDelta("P",$Z85,$B$2,AJ$82,$B$3,$AA$81,0)</f>
        <v>-0.84269193278455312</v>
      </c>
      <c r="AK85" s="1" cm="1">
        <f t="array" ref="AK85">OptionDelta("P",$Z85,$B$2,AK$82,$B$3,$AA$81,0)</f>
        <v>-0.71952075660120351</v>
      </c>
      <c r="AL85" s="1" cm="1">
        <f t="array" ref="AL85">OptionDelta("P",$Z85,$B$2,AL$82,$B$3,$AA$81,0)</f>
        <v>-0.64389089311574621</v>
      </c>
      <c r="AM85" s="1" cm="1">
        <f t="array" ref="AM85">OptionDelta("P",$Z85,$B$2,AM$82,$B$3,$AA$81,0)</f>
        <v>-0.59009586095973765</v>
      </c>
      <c r="AN85" s="1" cm="1">
        <f t="array" ref="AN85">OptionDelta("P",$Z85,$B$2,AN$82,$B$3,$AA$81,0)</f>
        <v>-0.54845300509914008</v>
      </c>
      <c r="AW85" s="139"/>
      <c r="AX85" s="14">
        <v>70</v>
      </c>
      <c r="AY85" s="1" cm="1">
        <f t="array" ref="AY85">OptionTheta("P",$AX85,$B$2,AY$82,$B$3,$AY$81,0)</f>
        <v>-2.7751853855400113E-3</v>
      </c>
      <c r="AZ85" s="1" cm="1">
        <f t="array" ref="AZ85">OptionTheta("P",$AX85,$B$2,AZ$82,$B$3,$AY$81,0)</f>
        <v>-3.6535717009432696E-3</v>
      </c>
      <c r="BA85" s="1" cm="1">
        <f t="array" ref="BA85">OptionTheta("P",$AX85,$B$2,BA$82,$B$3,$AY$81,0)</f>
        <v>-5.1547376184022812E-3</v>
      </c>
      <c r="BB85" s="1" cm="1">
        <f t="array" ref="BB85">OptionTheta("P",$AX85,$B$2,BB$82,$B$3,$AY$81,0)</f>
        <v>-6.4892385976516543E-3</v>
      </c>
      <c r="BC85" s="1" cm="1">
        <f t="array" ref="BC85">OptionTheta("P",$AX85,$B$2,BC$82,$B$3,$AY$81,0)</f>
        <v>-7.489192016738048E-3</v>
      </c>
      <c r="BD85" s="1" cm="1">
        <f t="array" ref="BD85">OptionTheta("P",$AX85,$B$2,BD$82,$B$3,$AY$81,0)</f>
        <v>-8.1977844053933539E-3</v>
      </c>
      <c r="BE85" s="1" cm="1">
        <f t="array" ref="BE85">OptionTheta("P",$AX85,$B$2,BE$82,$B$3,$AY$81,0)</f>
        <v>-8.6874998115432783E-3</v>
      </c>
      <c r="BF85" s="1" cm="1">
        <f t="array" ref="BF85">OptionTheta("P",$AX85,$B$2,BF$82,$B$3,$AY$81,0)</f>
        <v>-9.0191515837346869E-3</v>
      </c>
      <c r="BG85" s="1" cm="1">
        <f t="array" ref="BG85">OptionTheta("P",$AX85,$B$2,BG$82,$B$3,$AY$81,0)</f>
        <v>-9.237517167095817E-3</v>
      </c>
      <c r="BH85" s="1" cm="1">
        <f t="array" ref="BH85">OptionTheta("P",$AX85,$B$2,BH$82,$B$3,$AY$81,0)</f>
        <v>-9.3744220477017387E-3</v>
      </c>
      <c r="BI85" s="1" cm="1">
        <f t="array" ref="BI85">OptionTheta("P",$AX85,$B$2,BI$82,$B$3,$AY$81,0)</f>
        <v>-9.1161674037588455E-3</v>
      </c>
      <c r="BJ85" s="1" cm="1">
        <f t="array" ref="BJ85">OptionTheta("P",$AX85,$B$2,BJ$82,$B$3,$AY$81,0)</f>
        <v>-8.3513115305343527E-3</v>
      </c>
      <c r="BK85" s="1" cm="1">
        <f t="array" ref="BK85">OptionTheta("P",$AX85,$B$2,BK$82,$B$3,$AY$81,0)</f>
        <v>-7.6868394879115219E-3</v>
      </c>
      <c r="BL85" s="1" cm="1">
        <f t="array" ref="BL85">OptionTheta("P",$AX85,$B$2,BL$82,$B$3,$AY$81,0)</f>
        <v>-7.1428781562510599E-3</v>
      </c>
      <c r="BU85" s="142"/>
      <c r="BV85" s="14">
        <v>70</v>
      </c>
      <c r="BW85" s="1" cm="1">
        <f t="array" ref="BW85">OptionGamma($BV85,$B$2,BW$82,$B$3,$BW$81,0)</f>
        <v>6.3562115182022813E-5</v>
      </c>
      <c r="BX85" s="1" cm="1">
        <f t="array" ref="BX85">OptionGamma($BV85,$B$2,BX$82,$B$3,$BW$81,0)</f>
        <v>1.5369719040112578E-3</v>
      </c>
      <c r="BY85" s="1" cm="1">
        <f t="array" ref="BY85">OptionGamma($BV85,$B$2,BY$82,$B$3,$BW$81,0)</f>
        <v>4.0687523516901589E-3</v>
      </c>
      <c r="BZ85" s="1" cm="1">
        <f t="array" ref="BZ85">OptionGamma($BV85,$B$2,BZ$82,$B$3,$BW$81,0)</f>
        <v>6.3393895489089105E-3</v>
      </c>
      <c r="CA85" s="1" cm="1">
        <f t="array" ref="CA85">OptionGamma($BV85,$B$2,CA$82,$B$3,$BW$81,0)</f>
        <v>8.0599773466249677E-3</v>
      </c>
      <c r="CB85" s="1" cm="1">
        <f t="array" ref="CB85">OptionGamma($BV85,$B$2,CB$82,$B$3,$BW$81,0)</f>
        <v>9.2966719191608007E-3</v>
      </c>
      <c r="CC85" s="1" cm="1">
        <f t="array" ref="CC85">OptionGamma($BV85,$B$2,CC$82,$B$3,$BW$81,0)</f>
        <v>1.0167303762997196E-2</v>
      </c>
      <c r="CD85" s="1" cm="1">
        <f t="array" ref="CD85">OptionGamma($BV85,$B$2,CD$82,$B$3,$BW$81,0)</f>
        <v>1.0771870609204376E-2</v>
      </c>
      <c r="CE85" s="1" cm="1">
        <f t="array" ref="CE85">OptionGamma($BV85,$B$2,CE$82,$B$3,$BW$81,0)</f>
        <v>1.1184482954854207E-2</v>
      </c>
      <c r="CF85" s="1" cm="1">
        <f t="array" ref="CF85">OptionGamma($BV85,$B$2,CF$82,$B$3,$BW$81,0)</f>
        <v>1.1458084787714838E-2</v>
      </c>
      <c r="CG85" s="1" cm="1">
        <f t="array" ref="CG85">OptionGamma($BV85,$B$2,CG$82,$B$3,$BW$81,0)</f>
        <v>1.1344091423781007E-2</v>
      </c>
      <c r="CH85" s="1" cm="1">
        <f t="array" ref="CH85">OptionGamma($BV85,$B$2,CH$82,$B$3,$BW$81,0)</f>
        <v>1.0246666696571999E-2</v>
      </c>
      <c r="CI85" s="1" cm="1">
        <f t="array" ref="CI85">OptionGamma($BV85,$B$2,CI$82,$B$3,$BW$81,0)</f>
        <v>9.2553580000514068E-3</v>
      </c>
      <c r="CJ85" s="1" cm="1">
        <f t="array" ref="CJ85">OptionGamma($BV85,$B$2,CJ$82,$B$3,$BW$81,0)</f>
        <v>8.4330908674948215E-3</v>
      </c>
      <c r="CS85" s="145"/>
      <c r="CT85" s="14">
        <v>70</v>
      </c>
      <c r="CU85" s="1" cm="1">
        <f t="array" ref="CU85">OptionVega($CT85,$B$2,CU$82,$B$3,$CU$81,0)</f>
        <v>9.343630931757354E-5</v>
      </c>
      <c r="CV85" s="1" cm="1">
        <f t="array" ref="CV85">OptionVega($CT85,$B$2,CV$82,$B$3,$CU$81,0)</f>
        <v>4.5186973977930974E-3</v>
      </c>
      <c r="CW85" s="1" cm="1">
        <f t="array" ref="CW85">OptionVega($CT85,$B$2,CW$82,$B$3,$CU$81,0)</f>
        <v>1.7943197870953598E-2</v>
      </c>
      <c r="CX85" s="1" cm="1">
        <f t="array" ref="CX85">OptionVega($CT85,$B$2,CX$82,$B$3,$CU$81,0)</f>
        <v>3.7275610547584395E-2</v>
      </c>
      <c r="CY85" s="1" cm="1">
        <f t="array" ref="CY85">OptionVega($CT85,$B$2,CY$82,$B$3,$CU$81,0)</f>
        <v>5.9240833497693518E-2</v>
      </c>
      <c r="CZ85" s="1" cm="1">
        <f t="array" ref="CZ85">OptionVega($CT85,$B$2,CZ$82,$B$3,$CU$81,0)</f>
        <v>8.1996646326998268E-2</v>
      </c>
      <c r="DA85" s="1" cm="1">
        <f t="array" ref="DA85">OptionVega($CT85,$B$2,DA$82,$B$3,$CU$81,0)</f>
        <v>0.10462155572124114</v>
      </c>
      <c r="DB85" s="1" cm="1">
        <f t="array" ref="DB85">OptionVega($CT85,$B$2,DB$82,$B$3,$CU$81,0)</f>
        <v>0.12667719836424346</v>
      </c>
      <c r="DC85" s="1" cm="1">
        <f t="array" ref="DC85">OptionVega($CT85,$B$2,DC$82,$B$3,$CU$81,0)</f>
        <v>0.14797070949272112</v>
      </c>
      <c r="DD85" s="1" cm="1">
        <f t="array" ref="DD85">OptionVega($CT85,$B$2,DD$82,$B$3,$CU$81,0)</f>
        <v>0.16843384637940814</v>
      </c>
      <c r="DE85" s="1" cm="1">
        <f t="array" ref="DE85">OptionVega($CT85,$B$2,DE$82,$B$3,$CU$81,0)</f>
        <v>0.33351628785916165</v>
      </c>
      <c r="DF85" s="1" cm="1">
        <f t="array" ref="DF85">OptionVega($CT85,$B$2,DF$82,$B$3,$CU$81,0)</f>
        <v>0.45187800131882511</v>
      </c>
      <c r="DG85" s="1" cm="1">
        <f t="array" ref="DG85">OptionVega($CT85,$B$2,DG$82,$B$3,$CU$81,0)</f>
        <v>0.54421505040302276</v>
      </c>
      <c r="DH85" s="1" cm="1">
        <f t="array" ref="DH85">OptionVega($CT85,$B$2,DH$82,$B$3,$CU$81,0)</f>
        <v>0.61983217876086938</v>
      </c>
      <c r="DQ85" s="130"/>
      <c r="DR85" s="14">
        <v>70</v>
      </c>
      <c r="DS85" s="1" cm="1">
        <f t="array" ref="DS85">OptionRho("P",$DR85,$B$2,DS$82,$B$3,$DS$81,0)</f>
        <v>-9.9892721932446818E-2</v>
      </c>
      <c r="DT85" s="1" cm="1">
        <f t="array" ref="DT85">OptionRho("P",$DR85,$B$2,DT$82,$B$3,$DS$81,0)</f>
        <v>-0.19893027320196227</v>
      </c>
      <c r="DU85" s="1" cm="1">
        <f t="array" ref="DU85">OptionRho("P",$DR85,$B$2,DU$82,$B$3,$DS$81,0)</f>
        <v>-0.29529580115074583</v>
      </c>
      <c r="DV85" s="1" cm="1">
        <f t="array" ref="DV85">OptionRho("P",$DR85,$B$2,DV$82,$B$3,$DS$81,0)</f>
        <v>-0.38829467704337572</v>
      </c>
      <c r="DW85" s="1" cm="1">
        <f t="array" ref="DW85">OptionRho("P",$DR85,$B$2,DW$82,$B$3,$DS$81,0)</f>
        <v>-0.47816504058929116</v>
      </c>
      <c r="DX85" s="1" cm="1">
        <f t="array" ref="DX85">OptionRho("P",$DR85,$B$2,DX$82,$B$3,$DS$81,0)</f>
        <v>-0.56536508987617051</v>
      </c>
      <c r="DY85" s="1" cm="1">
        <f t="array" ref="DY85">OptionRho("P",$DR85,$B$2,DY$82,$B$3,$DS$81,0)</f>
        <v>-0.65033286603069052</v>
      </c>
      <c r="DZ85" s="1" cm="1">
        <f t="array" ref="DZ85">OptionRho("P",$DR85,$B$2,DZ$82,$B$3,$DS$81,0)</f>
        <v>-0.73343428698687685</v>
      </c>
      <c r="EA85" s="1" cm="1">
        <f t="array" ref="EA85">OptionRho("P",$DR85,$B$2,EA$82,$B$3,$DS$81,0)</f>
        <v>-0.81496374700015894</v>
      </c>
      <c r="EB85" s="1" cm="1">
        <f t="array" ref="EB85">OptionRho("P",$DR85,$B$2,EB$82,$B$3,$DS$81,0)</f>
        <v>-0.89515635172001207</v>
      </c>
      <c r="EC85" s="1" cm="1">
        <f t="array" ref="EC85">OptionRho("P",$DR85,$B$2,EC$82,$B$3,$DS$81,0)</f>
        <v>-1.6520578868565337</v>
      </c>
      <c r="ED85" s="1" cm="1">
        <f t="array" ref="ED85">OptionRho("P",$DR85,$B$2,ED$82,$B$3,$DS$81,0)</f>
        <v>-2.3665161061527402</v>
      </c>
      <c r="EE85" s="1" cm="1">
        <f t="array" ref="EE85">OptionRho("P",$DR85,$B$2,EE$82,$B$3,$DS$81,0)</f>
        <v>-3.0595598963054811</v>
      </c>
      <c r="EF85" s="1" cm="1">
        <f t="array" ref="EF85">OptionRho("P",$DR85,$B$2,EF$82,$B$3,$DS$81,0)</f>
        <v>-3.7382699537451458</v>
      </c>
    </row>
    <row r="86" spans="1:136" x14ac:dyDescent="0.2">
      <c r="A86" s="133"/>
      <c r="B86" s="14">
        <v>75</v>
      </c>
      <c r="C86" s="1" cm="1">
        <f t="array" ref="C86">OptionPrice("P",$B86,$B$2,C$82,$B$3,$C$81,0)</f>
        <v>24.902951136508975</v>
      </c>
      <c r="D86" s="1" cm="1">
        <f t="array" ref="D86">OptionPrice("P",$B86,$B$2,D$82,$B$3,$C$81,0)</f>
        <v>24.869285124142607</v>
      </c>
      <c r="E86" s="1" cm="1">
        <f t="array" ref="E86">OptionPrice("P",$B86,$B$2,E$82,$B$3,$C$81,0)</f>
        <v>24.939789850042743</v>
      </c>
      <c r="F86" s="1" cm="1">
        <f t="array" ref="F86">OptionPrice("P",$B86,$B$2,F$82,$B$3,$C$81,0)</f>
        <v>25.085173760077907</v>
      </c>
      <c r="G86" s="1" cm="1">
        <f t="array" ref="G86">OptionPrice("P",$B86,$B$2,G$82,$B$3,$C$81,0)</f>
        <v>25.276374185267485</v>
      </c>
      <c r="H86" s="1" cm="1">
        <f t="array" ref="H86">OptionPrice("P",$B86,$B$2,H$82,$B$3,$C$81,0)</f>
        <v>25.49465435683166</v>
      </c>
      <c r="I86" s="1" cm="1">
        <f t="array" ref="I86">OptionPrice("P",$B86,$B$2,I$82,$B$3,$C$81,0)</f>
        <v>25.728517083426851</v>
      </c>
      <c r="J86" s="1" cm="1">
        <f t="array" ref="J86">OptionPrice("P",$B86,$B$2,J$82,$B$3,$C$81,0)</f>
        <v>25.970839832793203</v>
      </c>
      <c r="K86" s="1" cm="1">
        <f t="array" ref="K86">OptionPrice("P",$B86,$B$2,K$82,$B$3,$C$81,0)</f>
        <v>26.217122422808757</v>
      </c>
      <c r="L86" s="1" cm="1">
        <f t="array" ref="L86">OptionPrice("P",$B86,$B$2,L$82,$B$3,$C$81,0)</f>
        <v>26.464469191676073</v>
      </c>
      <c r="M86" s="1" cm="1">
        <f t="array" ref="M86">OptionPrice("P",$B86,$B$2,M$82,$B$3,$C$81,0)</f>
        <v>28.781550289457776</v>
      </c>
      <c r="N86" s="1" cm="1">
        <f t="array" ref="N86">OptionPrice("P",$B86,$B$2,N$82,$B$3,$C$81,0)</f>
        <v>30.71908087839504</v>
      </c>
      <c r="O86" s="1" cm="1">
        <f t="array" ref="O86">OptionPrice("P",$B86,$B$2,O$82,$B$3,$C$81,0)</f>
        <v>32.34571117420932</v>
      </c>
      <c r="P86" s="1" cm="1">
        <f t="array" ref="P86">OptionPrice("P",$B86,$B$2,P$82,$B$3,$C$81,0)</f>
        <v>33.734754946172771</v>
      </c>
      <c r="Y86" s="136"/>
      <c r="Z86" s="14">
        <v>75</v>
      </c>
      <c r="AA86" s="1" cm="1">
        <f t="array" ref="AA86">OptionDelta("P",$Z86,$B$2,AA$82,$B$3,$AA$81,0)</f>
        <v>-0.99853247742148155</v>
      </c>
      <c r="AB86" s="1" cm="1">
        <f t="array" ref="AB86">OptionDelta("P",$Z86,$B$2,AB$82,$B$3,$AA$81,0)</f>
        <v>-0.98040881029842508</v>
      </c>
      <c r="AC86" s="1" cm="1">
        <f t="array" ref="AC86">OptionDelta("P",$Z86,$B$2,AC$82,$B$3,$AA$81,0)</f>
        <v>-0.95056549342913066</v>
      </c>
      <c r="AD86" s="1" cm="1">
        <f t="array" ref="AD86">OptionDelta("P",$Z86,$B$2,AD$82,$B$3,$AA$81,0)</f>
        <v>-0.91928338097899298</v>
      </c>
      <c r="AE86" s="1" cm="1">
        <f t="array" ref="AE86">OptionDelta("P",$Z86,$B$2,AE$82,$B$3,$AA$81,0)</f>
        <v>-0.88999660249603174</v>
      </c>
      <c r="AF86" s="1" cm="1">
        <f t="array" ref="AF86">OptionDelta("P",$Z86,$B$2,AF$82,$B$3,$AA$81,0)</f>
        <v>-0.86345561048023245</v>
      </c>
      <c r="AG86" s="1" cm="1">
        <f t="array" ref="AG86">OptionDelta("P",$Z86,$B$2,AG$82,$B$3,$AA$81,0)</f>
        <v>-0.83958778898814013</v>
      </c>
      <c r="AH86" s="1" cm="1">
        <f t="array" ref="AH86">OptionDelta("P",$Z86,$B$2,AH$82,$B$3,$AA$81,0)</f>
        <v>-0.81810037029895166</v>
      </c>
      <c r="AI86" s="1" cm="1">
        <f t="array" ref="AI86">OptionDelta("P",$Z86,$B$2,AI$82,$B$3,$AA$81,0)</f>
        <v>-0.79867181429170175</v>
      </c>
      <c r="AJ86" s="1" cm="1">
        <f t="array" ref="AJ86">OptionDelta("P",$Z86,$B$2,AJ$82,$B$3,$AA$81,0)</f>
        <v>-0.78100943988166782</v>
      </c>
      <c r="AK86" s="1" cm="1">
        <f t="array" ref="AK86">OptionDelta("P",$Z86,$B$2,AK$82,$B$3,$AA$81,0)</f>
        <v>-0.66231908916757454</v>
      </c>
      <c r="AL86" s="1" cm="1">
        <f t="array" ref="AL86">OptionDelta("P",$Z86,$B$2,AL$82,$B$3,$AA$81,0)</f>
        <v>-0.59332314529799546</v>
      </c>
      <c r="AM86" s="1" cm="1">
        <f t="array" ref="AM86">OptionDelta("P",$Z86,$B$2,AM$82,$B$3,$AA$81,0)</f>
        <v>-0.54490681007005426</v>
      </c>
      <c r="AN86" s="1" cm="1">
        <f t="array" ref="AN86">OptionDelta("P",$Z86,$B$2,AN$82,$B$3,$AA$81,0)</f>
        <v>-0.50754168118532883</v>
      </c>
      <c r="AW86" s="139"/>
      <c r="AX86" s="14">
        <v>75</v>
      </c>
      <c r="AY86" s="1" cm="1">
        <f t="array" ref="AY86">OptionTheta("P",$AX86,$B$2,AY$82,$B$3,$AY$81,0)</f>
        <v>-3.200258149889842E-3</v>
      </c>
      <c r="AZ86" s="1" cm="1">
        <f t="array" ref="AZ86">OptionTheta("P",$AX86,$B$2,AZ$82,$B$3,$AY$81,0)</f>
        <v>-5.9748778197106335E-3</v>
      </c>
      <c r="BA86" s="1" cm="1">
        <f t="array" ref="BA86">OptionTheta("P",$AX86,$B$2,BA$82,$B$3,$AY$81,0)</f>
        <v>-8.3878067698842373E-3</v>
      </c>
      <c r="BB86" s="1" cm="1">
        <f t="array" ref="BB86">OptionTheta("P",$AX86,$B$2,BB$82,$B$3,$AY$81,0)</f>
        <v>-9.8702494383240066E-3</v>
      </c>
      <c r="BC86" s="1" cm="1">
        <f t="array" ref="BC86">OptionTheta("P",$AX86,$B$2,BC$82,$B$3,$AY$81,0)</f>
        <v>-1.0717685052081793E-2</v>
      </c>
      <c r="BD86" s="1" cm="1">
        <f t="array" ref="BD86">OptionTheta("P",$AX86,$B$2,BD$82,$B$3,$AY$81,0)</f>
        <v>-1.1179621236328733E-2</v>
      </c>
      <c r="BE86" s="1" cm="1">
        <f t="array" ref="BE86">OptionTheta("P",$AX86,$B$2,BE$82,$B$3,$AY$81,0)</f>
        <v>-1.1408578907631757E-2</v>
      </c>
      <c r="BF86" s="1" cm="1">
        <f t="array" ref="BF86">OptionTheta("P",$AX86,$B$2,BF$82,$B$3,$AY$81,0)</f>
        <v>-1.1494534366605027E-2</v>
      </c>
      <c r="BG86" s="1" cm="1">
        <f t="array" ref="BG86">OptionTheta("P",$AX86,$B$2,BG$82,$B$3,$AY$81,0)</f>
        <v>-1.1491324857295039E-2</v>
      </c>
      <c r="BH86" s="1" cm="1">
        <f t="array" ref="BH86">OptionTheta("P",$AX86,$B$2,BH$82,$B$3,$AY$81,0)</f>
        <v>-1.1431961739693125E-2</v>
      </c>
      <c r="BI86" s="1" cm="1">
        <f t="array" ref="BI86">OptionTheta("P",$AX86,$B$2,BI$82,$B$3,$AY$81,0)</f>
        <v>-1.0114146589079194E-2</v>
      </c>
      <c r="BJ86" s="1" cm="1">
        <f t="array" ref="BJ86">OptionTheta("P",$AX86,$B$2,BJ$82,$B$3,$AY$81,0)</f>
        <v>-8.9648338134762397E-3</v>
      </c>
      <c r="BK86" s="1" cm="1">
        <f t="array" ref="BK86">OptionTheta("P",$AX86,$B$2,BK$82,$B$3,$AY$81,0)</f>
        <v>-8.1149466460868399E-3</v>
      </c>
      <c r="BL86" s="1" cm="1">
        <f t="array" ref="BL86">OptionTheta("P",$AX86,$B$2,BL$82,$B$3,$AY$81,0)</f>
        <v>-7.4651637976795825E-3</v>
      </c>
      <c r="BU86" s="142"/>
      <c r="BV86" s="14">
        <v>75</v>
      </c>
      <c r="BW86" s="1" cm="1">
        <f t="array" ref="BW86">OptionGamma($BV86,$B$2,BW$82,$B$3,$BW$81,0)</f>
        <v>6.7225819369320027E-4</v>
      </c>
      <c r="BX86" s="1" cm="1">
        <f t="array" ref="BX86">OptionGamma($BV86,$B$2,BX$82,$B$3,$BW$81,0)</f>
        <v>4.7282210181891805E-3</v>
      </c>
      <c r="BY86" s="1" cm="1">
        <f t="array" ref="BY86">OptionGamma($BV86,$B$2,BY$82,$B$3,$BW$81,0)</f>
        <v>8.2932442565351958E-3</v>
      </c>
      <c r="BZ86" s="1" cm="1">
        <f t="array" ref="BZ86">OptionGamma($BV86,$B$2,BZ$82,$B$3,$BW$81,0)</f>
        <v>1.0517834159617734E-2</v>
      </c>
      <c r="CA86" s="1" cm="1">
        <f t="array" ref="CA86">OptionGamma($BV86,$B$2,CA$82,$B$3,$BW$81,0)</f>
        <v>1.1819037433225307E-2</v>
      </c>
      <c r="CB86" s="1" cm="1">
        <f t="array" ref="CB86">OptionGamma($BV86,$B$2,CB$82,$B$3,$BW$81,0)</f>
        <v>1.2555154567235544E-2</v>
      </c>
      <c r="CC86" s="1" cm="1">
        <f t="array" ref="CC86">OptionGamma($BV86,$B$2,CC$82,$B$3,$BW$81,0)</f>
        <v>1.2946786325768763E-2</v>
      </c>
      <c r="CD86" s="1" cm="1">
        <f t="array" ref="CD86">OptionGamma($BV86,$B$2,CD$82,$B$3,$BW$81,0)</f>
        <v>1.3124825156577539E-2</v>
      </c>
      <c r="CE86" s="1" cm="1">
        <f t="array" ref="CE86">OptionGamma($BV86,$B$2,CE$82,$B$3,$BW$81,0)</f>
        <v>1.3168033532704496E-2</v>
      </c>
      <c r="CF86" s="1" cm="1">
        <f t="array" ref="CF86">OptionGamma($BV86,$B$2,CF$82,$B$3,$BW$81,0)</f>
        <v>1.3124994619891275E-2</v>
      </c>
      <c r="CG86" s="1" cm="1">
        <f t="array" ref="CG86">OptionGamma($BV86,$B$2,CG$82,$B$3,$BW$81,0)</f>
        <v>1.1484873818246508E-2</v>
      </c>
      <c r="CH86" s="1" cm="1">
        <f t="array" ref="CH86">OptionGamma($BV86,$B$2,CH$82,$B$3,$BW$81,0)</f>
        <v>9.9554811818721202E-3</v>
      </c>
      <c r="CI86" s="1" cm="1">
        <f t="array" ref="CI86">OptionGamma($BV86,$B$2,CI$82,$B$3,$BW$81,0)</f>
        <v>8.8091587418353094E-3</v>
      </c>
      <c r="CJ86" s="1" cm="1">
        <f t="array" ref="CJ86">OptionGamma($BV86,$B$2,CJ$82,$B$3,$BW$81,0)</f>
        <v>7.9280236081079453E-3</v>
      </c>
      <c r="CS86" s="145"/>
      <c r="CT86" s="14">
        <v>75</v>
      </c>
      <c r="CU86" s="1" cm="1">
        <f t="array" ref="CU86">OptionVega($CT86,$B$2,CU$82,$B$3,$CU$81,0)</f>
        <v>1.1344357018572753E-3</v>
      </c>
      <c r="CV86" s="1" cm="1">
        <f t="array" ref="CV86">OptionVega($CT86,$B$2,CV$82,$B$3,$CU$81,0)</f>
        <v>1.5957745936388483E-2</v>
      </c>
      <c r="CW86" s="1" cm="1">
        <f t="array" ref="CW86">OptionVega($CT86,$B$2,CW$82,$B$3,$CU$81,0)</f>
        <v>4.1984549048709421E-2</v>
      </c>
      <c r="CX86" s="1" cm="1">
        <f t="array" ref="CX86">OptionVega($CT86,$B$2,CX$82,$B$3,$CU$81,0)</f>
        <v>7.0995380577419692E-2</v>
      </c>
      <c r="CY86" s="1" cm="1">
        <f t="array" ref="CY86">OptionVega($CT86,$B$2,CY$82,$B$3,$CU$81,0)</f>
        <v>9.9723128342838543E-2</v>
      </c>
      <c r="CZ86" s="1" cm="1">
        <f t="array" ref="CZ86">OptionVega($CT86,$B$2,CZ$82,$B$3,$CU$81,0)</f>
        <v>0.12712093999325988</v>
      </c>
      <c r="DA86" s="1" cm="1">
        <f t="array" ref="DA86">OptionVega($CT86,$B$2,DA$82,$B$3,$CU$81,0)</f>
        <v>0.1529339134731435</v>
      </c>
      <c r="DB86" s="1" cm="1">
        <f t="array" ref="DB86">OptionVega($CT86,$B$2,DB$82,$B$3,$CU$81,0)</f>
        <v>0.17718513961379675</v>
      </c>
      <c r="DC86" s="1" cm="1">
        <f t="array" ref="DC86">OptionVega($CT86,$B$2,DC$82,$B$3,$CU$81,0)</f>
        <v>0.19998950927794951</v>
      </c>
      <c r="DD86" s="1" cm="1">
        <f t="array" ref="DD86">OptionVega($CT86,$B$2,DD$82,$B$3,$CU$81,0)</f>
        <v>0.22148428421066527</v>
      </c>
      <c r="DE86" s="1" cm="1">
        <f t="array" ref="DE86">OptionVega($CT86,$B$2,DE$82,$B$3,$CU$81,0)</f>
        <v>0.38761449136581971</v>
      </c>
      <c r="DF86" s="1" cm="1">
        <f t="array" ref="DF86">OptionVega($CT86,$B$2,DF$82,$B$3,$CU$81,0)</f>
        <v>0.50399623483227596</v>
      </c>
      <c r="DG86" s="1" cm="1">
        <f t="array" ref="DG86">OptionVega($CT86,$B$2,DG$82,$B$3,$CU$81,0)</f>
        <v>0.59461821507388335</v>
      </c>
      <c r="DH86" s="1" cm="1">
        <f t="array" ref="DH86">OptionVega($CT86,$B$2,DH$82,$B$3,$CU$81,0)</f>
        <v>0.66892699193410787</v>
      </c>
      <c r="DQ86" s="130"/>
      <c r="DR86" s="14">
        <v>75</v>
      </c>
      <c r="DS86" s="1" cm="1">
        <f t="array" ref="DS86">OptionRho("P",$DR86,$B$2,DS$82,$B$3,$DS$81,0)</f>
        <v>-9.9792886943120107E-2</v>
      </c>
      <c r="DT86" s="1" cm="1">
        <f t="array" ref="DT86">OptionRho("P",$DR86,$B$2,DT$82,$B$3,$DS$81,0)</f>
        <v>-0.19679989179304899</v>
      </c>
      <c r="DU86" s="1" cm="1">
        <f t="array" ref="DU86">OptionRho("P",$DR86,$B$2,DU$82,$B$3,$DS$81,0)</f>
        <v>-0.28869660557168259</v>
      </c>
      <c r="DV86" s="1" cm="1">
        <f t="array" ref="DV86">OptionRho("P",$DR86,$B$2,DV$82,$B$3,$DS$81,0)</f>
        <v>-0.37612570933400952</v>
      </c>
      <c r="DW86" s="1" cm="1">
        <f t="array" ref="DW86">OptionRho("P",$DR86,$B$2,DW$82,$B$3,$DS$81,0)</f>
        <v>-0.46013059686234931</v>
      </c>
      <c r="DX86" s="1" cm="1">
        <f t="array" ref="DX86">OptionRho("P",$DR86,$B$2,DX$82,$B$3,$DS$81,0)</f>
        <v>-0.54152295085709456</v>
      </c>
      <c r="DY86" s="1" cm="1">
        <f t="array" ref="DY86">OptionRho("P",$DR86,$B$2,DY$82,$B$3,$DS$81,0)</f>
        <v>-0.62088320880276149</v>
      </c>
      <c r="DZ86" s="1" cm="1">
        <f t="array" ref="DZ86">OptionRho("P",$DR86,$B$2,DZ$82,$B$3,$DS$81,0)</f>
        <v>-0.69862694084171673</v>
      </c>
      <c r="EA86" s="1" cm="1">
        <f t="array" ref="EA86">OptionRho("P",$DR86,$B$2,EA$82,$B$3,$DS$81,0)</f>
        <v>-0.77505757645217754</v>
      </c>
      <c r="EB86" s="1" cm="1">
        <f t="array" ref="EB86">OptionRho("P",$DR86,$B$2,EB$82,$B$3,$DS$81,0)</f>
        <v>-0.85040177182801169</v>
      </c>
      <c r="EC86" s="1" cm="1">
        <f t="array" ref="EC86">OptionRho("P",$DR86,$B$2,EC$82,$B$3,$DS$81,0)</f>
        <v>-1.5691096395405175</v>
      </c>
      <c r="ED86" s="1" cm="1">
        <f t="array" ref="ED86">OptionRho("P",$DR86,$B$2,ED$82,$B$3,$DS$81,0)</f>
        <v>-2.2565495032723408</v>
      </c>
      <c r="EE86" s="1" cm="1">
        <f t="array" ref="EE86">OptionRho("P",$DR86,$B$2,EE$82,$B$3,$DS$81,0)</f>
        <v>-2.9285488771785357</v>
      </c>
      <c r="EF86" s="1" cm="1">
        <f t="array" ref="EF86">OptionRho("P",$DR86,$B$2,EF$82,$B$3,$DS$81,0)</f>
        <v>-3.5900190517536217</v>
      </c>
    </row>
    <row r="87" spans="1:136" x14ac:dyDescent="0.2">
      <c r="A87" s="133"/>
      <c r="B87" s="14">
        <v>80</v>
      </c>
      <c r="C87" s="1" cm="1">
        <f t="array" ref="C87">OptionPrice("P",$B87,$B$2,C$82,$B$3,$C$81,0)</f>
        <v>19.927496626602093</v>
      </c>
      <c r="D87" s="1" cm="1">
        <f t="array" ref="D87">OptionPrice("P",$B87,$B$2,D$82,$B$3,$C$81,0)</f>
        <v>20.048186860797827</v>
      </c>
      <c r="E87" s="1" cm="1">
        <f t="array" ref="E87">OptionPrice("P",$B87,$B$2,E$82,$B$3,$C$81,0)</f>
        <v>20.312609645700206</v>
      </c>
      <c r="F87" s="1" cm="1">
        <f t="array" ref="F87">OptionPrice("P",$B87,$B$2,F$82,$B$3,$C$81,0)</f>
        <v>20.638989592216447</v>
      </c>
      <c r="G87" s="1" cm="1">
        <f t="array" ref="G87">OptionPrice("P",$B87,$B$2,G$82,$B$3,$C$81,0)</f>
        <v>20.98945730534912</v>
      </c>
      <c r="H87" s="1" cm="1">
        <f t="array" ref="H87">OptionPrice("P",$B87,$B$2,H$82,$B$3,$C$81,0)</f>
        <v>21.34668874577568</v>
      </c>
      <c r="I87" s="1" cm="1">
        <f t="array" ref="I87">OptionPrice("P",$B87,$B$2,I$82,$B$3,$C$81,0)</f>
        <v>21.702371573590717</v>
      </c>
      <c r="J87" s="1" cm="1">
        <f t="array" ref="J87">OptionPrice("P",$B87,$B$2,J$82,$B$3,$C$81,0)</f>
        <v>22.052407524555107</v>
      </c>
      <c r="K87" s="1" cm="1">
        <f t="array" ref="K87">OptionPrice("P",$B87,$B$2,K$82,$B$3,$C$81,0)</f>
        <v>22.394796253644401</v>
      </c>
      <c r="L87" s="1" cm="1">
        <f t="array" ref="L87">OptionPrice("P",$B87,$B$2,L$82,$B$3,$C$81,0)</f>
        <v>22.72863298345893</v>
      </c>
      <c r="M87" s="1" cm="1">
        <f t="array" ref="M87">OptionPrice("P",$B87,$B$2,M$82,$B$3,$C$81,0)</f>
        <v>25.613192126575598</v>
      </c>
      <c r="N87" s="1" cm="1">
        <f t="array" ref="N87">OptionPrice("P",$B87,$B$2,N$82,$B$3,$C$81,0)</f>
        <v>27.875276952959176</v>
      </c>
      <c r="O87" s="1" cm="1">
        <f t="array" ref="O87">OptionPrice("P",$B87,$B$2,O$82,$B$3,$C$81,0)</f>
        <v>29.72925709226746</v>
      </c>
      <c r="P87" s="1" cm="1">
        <f t="array" ref="P87">OptionPrice("P",$B87,$B$2,P$82,$B$3,$C$81,0)</f>
        <v>31.293998884881596</v>
      </c>
      <c r="Y87" s="136"/>
      <c r="Z87" s="14">
        <v>80</v>
      </c>
      <c r="AA87" s="1" cm="1">
        <f t="array" ref="AA87">OptionDelta("P",$Z87,$B$2,AA$82,$B$3,$AA$81,0)</f>
        <v>-0.98910947326415422</v>
      </c>
      <c r="AB87" s="1" cm="1">
        <f t="array" ref="AB87">OptionDelta("P",$Z87,$B$2,AB$82,$B$3,$AA$81,0)</f>
        <v>-0.94308666201370861</v>
      </c>
      <c r="AC87" s="1" cm="1">
        <f t="array" ref="AC87">OptionDelta("P",$Z87,$B$2,AC$82,$B$3,$AA$81,0)</f>
        <v>-0.89573043536076724</v>
      </c>
      <c r="AD87" s="1" cm="1">
        <f t="array" ref="AD87">OptionDelta("P",$Z87,$B$2,AD$82,$B$3,$AA$81,0)</f>
        <v>-0.85545490352774345</v>
      </c>
      <c r="AE87" s="1" cm="1">
        <f t="array" ref="AE87">OptionDelta("P",$Z87,$B$2,AE$82,$B$3,$AA$81,0)</f>
        <v>-0.82180678459839196</v>
      </c>
      <c r="AF87" s="1" cm="1">
        <f t="array" ref="AF87">OptionDelta("P",$Z87,$B$2,AF$82,$B$3,$AA$81,0)</f>
        <v>-0.79339207963546399</v>
      </c>
      <c r="AG87" s="1" cm="1">
        <f t="array" ref="AG87">OptionDelta("P",$Z87,$B$2,AG$82,$B$3,$AA$81,0)</f>
        <v>-0.76902433777372758</v>
      </c>
      <c r="AH87" s="1" cm="1">
        <f t="array" ref="AH87">OptionDelta("P",$Z87,$B$2,AH$82,$B$3,$AA$81,0)</f>
        <v>-0.74781465076701359</v>
      </c>
      <c r="AI87" s="1" cm="1">
        <f t="array" ref="AI87">OptionDelta("P",$Z87,$B$2,AI$82,$B$3,$AA$81,0)</f>
        <v>-0.72910925383215464</v>
      </c>
      <c r="AJ87" s="1" cm="1">
        <f t="array" ref="AJ87">OptionDelta("P",$Z87,$B$2,AJ$82,$B$3,$AA$81,0)</f>
        <v>-0.71242345118592665</v>
      </c>
      <c r="AK87" s="1" cm="1">
        <f t="array" ref="AK87">OptionDelta("P",$Z87,$B$2,AK$82,$B$3,$AA$81,0)</f>
        <v>-0.60514295751881164</v>
      </c>
      <c r="AL87" s="1" cm="1">
        <f t="array" ref="AL87">OptionDelta("P",$Z87,$B$2,AL$82,$B$3,$AA$81,0)</f>
        <v>-0.54454758788761459</v>
      </c>
      <c r="AM87" s="1" cm="1">
        <f t="array" ref="AM87">OptionDelta("P",$Z87,$B$2,AM$82,$B$3,$AA$81,0)</f>
        <v>-0.50209014965405951</v>
      </c>
      <c r="AN87" s="1" cm="1">
        <f t="array" ref="AN87">OptionDelta("P",$Z87,$B$2,AN$82,$B$3,$AA$81,0)</f>
        <v>-0.46919124044230576</v>
      </c>
      <c r="AW87" s="139"/>
      <c r="AX87" s="14">
        <v>80</v>
      </c>
      <c r="AY87" s="1" cm="1">
        <f t="array" ref="AY87">OptionTheta("P",$AX87,$B$2,AY$82,$B$3,$AY$81,0)</f>
        <v>-5.698641761719251E-3</v>
      </c>
      <c r="AZ87" s="1" cm="1">
        <f t="array" ref="AZ87">OptionTheta("P",$AX87,$B$2,AZ$82,$B$3,$AY$81,0)</f>
        <v>-1.10177962891768E-2</v>
      </c>
      <c r="BA87" s="1" cm="1">
        <f t="array" ref="BA87">OptionTheta("P",$AX87,$B$2,BA$82,$B$3,$AY$81,0)</f>
        <v>-1.3379282786554696E-2</v>
      </c>
      <c r="BB87" s="1" cm="1">
        <f t="array" ref="BB87">OptionTheta("P",$AX87,$B$2,BB$82,$B$3,$AY$81,0)</f>
        <v>-1.4263395883486386E-2</v>
      </c>
      <c r="BC87" s="1" cm="1">
        <f t="array" ref="BC87">OptionTheta("P",$AX87,$B$2,BC$82,$B$3,$AY$81,0)</f>
        <v>-1.4499296200671882E-2</v>
      </c>
      <c r="BD87" s="1" cm="1">
        <f t="array" ref="BD87">OptionTheta("P",$AX87,$B$2,BD$82,$B$3,$AY$81,0)</f>
        <v>-1.4439145321886381E-2</v>
      </c>
      <c r="BE87" s="1" cm="1">
        <f t="array" ref="BE87">OptionTheta("P",$AX87,$B$2,BE$82,$B$3,$AY$81,0)</f>
        <v>-1.4240291587279179E-2</v>
      </c>
      <c r="BF87" s="1" cm="1">
        <f t="array" ref="BF87">OptionTheta("P",$AX87,$B$2,BF$82,$B$3,$AY$81,0)</f>
        <v>-1.3977728689804639E-2</v>
      </c>
      <c r="BG87" s="1" cm="1">
        <f t="array" ref="BG87">OptionTheta("P",$AX87,$B$2,BG$82,$B$3,$AY$81,0)</f>
        <v>-1.3689031824410378E-2</v>
      </c>
      <c r="BH87" s="1" cm="1">
        <f t="array" ref="BH87">OptionTheta("P",$AX87,$B$2,BH$82,$B$3,$AY$81,0)</f>
        <v>-1.3393637214433273E-2</v>
      </c>
      <c r="BI87" s="1" cm="1">
        <f t="array" ref="BI87">OptionTheta("P",$AX87,$B$2,BI$82,$B$3,$AY$81,0)</f>
        <v>-1.0978423756534976E-2</v>
      </c>
      <c r="BJ87" s="1" cm="1">
        <f t="array" ref="BJ87">OptionTheta("P",$AX87,$B$2,BJ$82,$B$3,$AY$81,0)</f>
        <v>-9.4824502623308445E-3</v>
      </c>
      <c r="BK87" s="1" cm="1">
        <f t="array" ref="BK87">OptionTheta("P",$AX87,$B$2,BK$82,$B$3,$AY$81,0)</f>
        <v>-8.4728370429211185E-3</v>
      </c>
      <c r="BL87" s="1" cm="1">
        <f t="array" ref="BL87">OptionTheta("P",$AX87,$B$2,BL$82,$B$3,$AY$81,0)</f>
        <v>-7.733848139373516E-3</v>
      </c>
      <c r="BU87" s="142"/>
      <c r="BV87" s="14">
        <v>80</v>
      </c>
      <c r="BW87" s="1" cm="1">
        <f t="array" ref="BW87">OptionGamma($BV87,$B$2,BW$82,$B$3,$BW$81,0)</f>
        <v>3.7827836741325775E-3</v>
      </c>
      <c r="BX87" s="1" cm="1">
        <f t="array" ref="BX87">OptionGamma($BV87,$B$2,BX$82,$B$3,$BW$81,0)</f>
        <v>1.0647723775453427E-2</v>
      </c>
      <c r="BY87" s="1" cm="1">
        <f t="array" ref="BY87">OptionGamma($BV87,$B$2,BY$82,$B$3,$BW$81,0)</f>
        <v>1.3762943653982113E-2</v>
      </c>
      <c r="BZ87" s="1" cm="1">
        <f t="array" ref="BZ87">OptionGamma($BV87,$B$2,BZ$82,$B$3,$BW$81,0)</f>
        <v>1.4983978051139487E-2</v>
      </c>
      <c r="CA87" s="1" cm="1">
        <f t="array" ref="CA87">OptionGamma($BV87,$B$2,CA$82,$B$3,$BW$81,0)</f>
        <v>1.5364246918448029E-2</v>
      </c>
      <c r="CB87" s="1" cm="1">
        <f t="array" ref="CB87">OptionGamma($BV87,$B$2,CB$82,$B$3,$BW$81,0)</f>
        <v>1.5354539900425004E-2</v>
      </c>
      <c r="CC87" s="1" cm="1">
        <f t="array" ref="CC87">OptionGamma($BV87,$B$2,CC$82,$B$3,$BW$81,0)</f>
        <v>1.5157858484034765E-2</v>
      </c>
      <c r="CD87" s="1" cm="1">
        <f t="array" ref="CD87">OptionGamma($BV87,$B$2,CD$82,$B$3,$BW$81,0)</f>
        <v>1.4871858249720597E-2</v>
      </c>
      <c r="CE87" s="1" cm="1">
        <f t="array" ref="CE87">OptionGamma($BV87,$B$2,CE$82,$B$3,$BW$81,0)</f>
        <v>1.4546046008012571E-2</v>
      </c>
      <c r="CF87" s="1" cm="1">
        <f t="array" ref="CF87">OptionGamma($BV87,$B$2,CF$82,$B$3,$BW$81,0)</f>
        <v>1.4206432265572271E-2</v>
      </c>
      <c r="CG87" s="1" cm="1">
        <f t="array" ref="CG87">OptionGamma($BV87,$B$2,CG$82,$B$3,$BW$81,0)</f>
        <v>1.1343327721716881E-2</v>
      </c>
      <c r="CH87" s="1" cm="1">
        <f t="array" ref="CH87">OptionGamma($BV87,$B$2,CH$82,$B$3,$BW$81,0)</f>
        <v>9.5371649510801234E-3</v>
      </c>
      <c r="CI87" s="1" cm="1">
        <f t="array" ref="CI87">OptionGamma($BV87,$B$2,CI$82,$B$3,$BW$81,0)</f>
        <v>8.3111834375704362E-3</v>
      </c>
      <c r="CJ87" s="1" cm="1">
        <f t="array" ref="CJ87">OptionGamma($BV87,$B$2,CJ$82,$B$3,$BW$81,0)</f>
        <v>7.4116721863495584E-3</v>
      </c>
      <c r="CS87" s="145"/>
      <c r="CT87" s="14">
        <v>80</v>
      </c>
      <c r="CU87" s="1" cm="1">
        <f t="array" ref="CU87">OptionVega($CT87,$B$2,CU$82,$B$3,$CU$81,0)</f>
        <v>7.2629446543345496E-3</v>
      </c>
      <c r="CV87" s="1" cm="1">
        <f t="array" ref="CV87">OptionVega($CT87,$B$2,CV$82,$B$3,$CU$81,0)</f>
        <v>4.0887259297741153E-2</v>
      </c>
      <c r="CW87" s="1" cm="1">
        <f t="array" ref="CW87">OptionVega($CT87,$B$2,CW$82,$B$3,$CU$81,0)</f>
        <v>7.9274555446936956E-2</v>
      </c>
      <c r="CX87" s="1" cm="1">
        <f t="array" ref="CX87">OptionVega($CT87,$B$2,CX$82,$B$3,$CU$81,0)</f>
        <v>0.11507695143275126</v>
      </c>
      <c r="CY87" s="1" cm="1">
        <f t="array" ref="CY87">OptionVega($CT87,$B$2,CY$82,$B$3,$CU$81,0)</f>
        <v>0.14749677041710108</v>
      </c>
      <c r="CZ87" s="1" cm="1">
        <f t="array" ref="CZ87">OptionVega($CT87,$B$2,CZ$82,$B$3,$CU$81,0)</f>
        <v>0.17688429965289609</v>
      </c>
      <c r="DA87" s="1" cm="1">
        <f t="array" ref="DA87">OptionVega($CT87,$B$2,DA$82,$B$3,$CU$81,0)</f>
        <v>0.20372161802542726</v>
      </c>
      <c r="DB87" s="1" cm="1">
        <f t="array" ref="DB87">OptionVega($CT87,$B$2,DB$82,$B$3,$CU$81,0)</f>
        <v>0.22843174271570832</v>
      </c>
      <c r="DC87" s="1" cm="1">
        <f t="array" ref="DC87">OptionVega($CT87,$B$2,DC$82,$B$3,$CU$81,0)</f>
        <v>0.25135567501845724</v>
      </c>
      <c r="DD87" s="1" cm="1">
        <f t="array" ref="DD87">OptionVega($CT87,$B$2,DD$82,$B$3,$CU$81,0)</f>
        <v>0.27276349949898759</v>
      </c>
      <c r="DE87" s="1" cm="1">
        <f t="array" ref="DE87">OptionVega($CT87,$B$2,DE$82,$B$3,$CU$81,0)</f>
        <v>0.43558378451392826</v>
      </c>
      <c r="DF87" s="1" cm="1">
        <f t="array" ref="DF87">OptionVega($CT87,$B$2,DF$82,$B$3,$CU$81,0)</f>
        <v>0.54934070118221501</v>
      </c>
      <c r="DG87" s="1" cm="1">
        <f t="array" ref="DG87">OptionVega($CT87,$B$2,DG$82,$B$3,$CU$81,0)</f>
        <v>0.63829888800540957</v>
      </c>
      <c r="DH87" s="1" cm="1">
        <f t="array" ref="DH87">OptionVega($CT87,$B$2,DH$82,$B$3,$CU$81,0)</f>
        <v>0.71152052988955772</v>
      </c>
      <c r="DQ87" s="130"/>
      <c r="DR87" s="14">
        <v>80</v>
      </c>
      <c r="DS87" s="1" cm="1">
        <f t="array" ref="DS87">OptionRho("P",$DR87,$B$2,DS$82,$B$3,$DS$81,0)</f>
        <v>-9.9056254487734446E-2</v>
      </c>
      <c r="DT87" s="1" cm="1">
        <f t="array" ref="DT87">OptionRho("P",$DR87,$B$2,DT$82,$B$3,$DS$81,0)</f>
        <v>-0.19099023964378906</v>
      </c>
      <c r="DU87" s="1" cm="1">
        <f t="array" ref="DU87">OptionRho("P",$DR87,$B$2,DU$82,$B$3,$DS$81,0)</f>
        <v>-0.27591313342368473</v>
      </c>
      <c r="DV87" s="1" cm="1">
        <f t="array" ref="DV87">OptionRho("P",$DR87,$B$2,DV$82,$B$3,$DS$81,0)</f>
        <v>-0.35630152749774369</v>
      </c>
      <c r="DW87" s="1" cm="1">
        <f t="array" ref="DW87">OptionRho("P",$DR87,$B$2,DW$82,$B$3,$DS$81,0)</f>
        <v>-0.43367000036610232</v>
      </c>
      <c r="DX87" s="1" cm="1">
        <f t="array" ref="DX87">OptionRho("P",$DR87,$B$2,DX$82,$B$3,$DS$81,0)</f>
        <v>-0.50890833069967678</v>
      </c>
      <c r="DY87" s="1" cm="1">
        <f t="array" ref="DY87">OptionRho("P",$DR87,$B$2,DY$82,$B$3,$DS$81,0)</f>
        <v>-0.58257023016842235</v>
      </c>
      <c r="DZ87" s="1" cm="1">
        <f t="array" ref="DZ87">OptionRho("P",$DR87,$B$2,DZ$82,$B$3,$DS$81,0)</f>
        <v>-0.65502063668732968</v>
      </c>
      <c r="EA87" s="1" cm="1">
        <f t="array" ref="EA87">OptionRho("P",$DR87,$B$2,EA$82,$B$3,$DS$81,0)</f>
        <v>-0.72651182904195089</v>
      </c>
      <c r="EB87" s="1" cm="1">
        <f t="array" ref="EB87">OptionRho("P",$DR87,$B$2,EB$82,$B$3,$DS$81,0)</f>
        <v>-0.79722509078333059</v>
      </c>
      <c r="EC87" s="1" cm="1">
        <f t="array" ref="EC87">OptionRho("P",$DR87,$B$2,EC$82,$B$3,$DS$81,0)</f>
        <v>-1.4804925745616104</v>
      </c>
      <c r="ED87" s="1" cm="1">
        <f t="array" ref="ED87">OptionRho("P",$DR87,$B$2,ED$82,$B$3,$DS$81,0)</f>
        <v>-2.1431725195190503</v>
      </c>
      <c r="EE87" s="1" cm="1">
        <f t="array" ref="EE87">OptionRho("P",$DR87,$B$2,EE$82,$B$3,$DS$81,0)</f>
        <v>-2.795858762583689</v>
      </c>
      <c r="EF87" s="1" cm="1">
        <f t="array" ref="EF87">OptionRho("P",$DR87,$B$2,EF$82,$B$3,$DS$81,0)</f>
        <v>-3.4414649060133029</v>
      </c>
    </row>
    <row r="88" spans="1:136" x14ac:dyDescent="0.2">
      <c r="A88" s="133"/>
      <c r="B88" s="14">
        <v>85</v>
      </c>
      <c r="C88" s="1" cm="1">
        <f t="array" ref="C88">OptionPrice("P",$B88,$B$2,C$82,$B$3,$C$81,0)</f>
        <v>15.058794367354722</v>
      </c>
      <c r="D88" s="1" cm="1">
        <f t="array" ref="D88">OptionPrice("P",$B88,$B$2,D$82,$B$3,$C$81,0)</f>
        <v>15.49747936792879</v>
      </c>
      <c r="E88" s="1" cm="1">
        <f t="array" ref="E88">OptionPrice("P",$B88,$B$2,E$82,$B$3,$C$81,0)</f>
        <v>16.029552542690666</v>
      </c>
      <c r="F88" s="1" cm="1">
        <f t="array" ref="F88">OptionPrice("P",$B88,$B$2,F$82,$B$3,$C$81,0)</f>
        <v>16.566037818231351</v>
      </c>
      <c r="G88" s="1" cm="1">
        <f t="array" ref="G88">OptionPrice("P",$B88,$B$2,G$82,$B$3,$C$81,0)</f>
        <v>17.084868193589166</v>
      </c>
      <c r="H88" s="1" cm="1">
        <f t="array" ref="H88">OptionPrice("P",$B88,$B$2,H$82,$B$3,$C$81,0)</f>
        <v>17.580767337709865</v>
      </c>
      <c r="I88" s="1" cm="1">
        <f t="array" ref="I88">OptionPrice("P",$B88,$B$2,I$82,$B$3,$C$81,0)</f>
        <v>18.053448645972118</v>
      </c>
      <c r="J88" s="1" cm="1">
        <f t="array" ref="J88">OptionPrice("P",$B88,$B$2,J$82,$B$3,$C$81,0)</f>
        <v>18.504188279537523</v>
      </c>
      <c r="K88" s="1" cm="1">
        <f t="array" ref="K88">OptionPrice("P",$B88,$B$2,K$82,$B$3,$C$81,0)</f>
        <v>18.934686626490553</v>
      </c>
      <c r="L88" s="1" cm="1">
        <f t="array" ref="L88">OptionPrice("P",$B88,$B$2,L$82,$B$3,$C$81,0)</f>
        <v>19.346665356876265</v>
      </c>
      <c r="M88" s="1" cm="1">
        <f t="array" ref="M88">OptionPrice("P",$B88,$B$2,M$82,$B$3,$C$81,0)</f>
        <v>22.727951262743616</v>
      </c>
      <c r="N88" s="1" cm="1">
        <f t="array" ref="N88">OptionPrice("P",$B88,$B$2,N$82,$B$3,$C$81,0)</f>
        <v>25.26972286589146</v>
      </c>
      <c r="O88" s="1" cm="1">
        <f t="array" ref="O88">OptionPrice("P",$B88,$B$2,O$82,$B$3,$C$81,0)</f>
        <v>27.320527784919562</v>
      </c>
      <c r="P88" s="1" cm="1">
        <f t="array" ref="P88">OptionPrice("P",$B88,$B$2,P$82,$B$3,$C$81,0)</f>
        <v>29.038542558467455</v>
      </c>
      <c r="Y88" s="136"/>
      <c r="Z88" s="14">
        <v>85</v>
      </c>
      <c r="AA88" s="1" cm="1">
        <f t="array" ref="AA88">OptionDelta("P",$Z88,$B$2,AA$82,$B$3,$AA$81,0)</f>
        <v>-0.95105041176998162</v>
      </c>
      <c r="AB88" s="1" cm="1">
        <f t="array" ref="AB88">OptionDelta("P",$Z88,$B$2,AB$82,$B$3,$AA$81,0)</f>
        <v>-0.87062603477158196</v>
      </c>
      <c r="AC88" s="1" cm="1">
        <f t="array" ref="AC88">OptionDelta("P",$Z88,$B$2,AC$82,$B$3,$AA$81,0)</f>
        <v>-0.81290248778862662</v>
      </c>
      <c r="AD88" s="1" cm="1">
        <f t="array" ref="AD88">OptionDelta("P",$Z88,$B$2,AD$82,$B$3,$AA$81,0)</f>
        <v>-0.77053193108328744</v>
      </c>
      <c r="AE88" s="1" cm="1">
        <f t="array" ref="AE88">OptionDelta("P",$Z88,$B$2,AE$82,$B$3,$AA$81,0)</f>
        <v>-0.73776993263156676</v>
      </c>
      <c r="AF88" s="1" cm="1">
        <f t="array" ref="AF88">OptionDelta("P",$Z88,$B$2,AF$82,$B$3,$AA$81,0)</f>
        <v>-0.71135950475813281</v>
      </c>
      <c r="AG88" s="1" cm="1">
        <f t="array" ref="AG88">OptionDelta("P",$Z88,$B$2,AG$82,$B$3,$AA$81,0)</f>
        <v>-0.68938336584831517</v>
      </c>
      <c r="AH88" s="1" cm="1">
        <f t="array" ref="AH88">OptionDelta("P",$Z88,$B$2,AH$82,$B$3,$AA$81,0)</f>
        <v>-0.67064466370442455</v>
      </c>
      <c r="AI88" s="1" cm="1">
        <f t="array" ref="AI88">OptionDelta("P",$Z88,$B$2,AI$82,$B$3,$AA$81,0)</f>
        <v>-0.65435610431318014</v>
      </c>
      <c r="AJ88" s="1" cm="1">
        <f t="array" ref="AJ88">OptionDelta("P",$Z88,$B$2,AJ$82,$B$3,$AA$81,0)</f>
        <v>-0.63997666916532903</v>
      </c>
      <c r="AK88" s="1" cm="1">
        <f t="array" ref="AK88">OptionDelta("P",$Z88,$B$2,AK$82,$B$3,$AA$81,0)</f>
        <v>-0.54925855366537546</v>
      </c>
      <c r="AL88" s="1" cm="1">
        <f t="array" ref="AL88">OptionDelta("P",$Z88,$B$2,AL$82,$B$3,$AA$81,0)</f>
        <v>-0.49809512869829664</v>
      </c>
      <c r="AM88" s="1" cm="1">
        <f t="array" ref="AM88">OptionDelta("P",$Z88,$B$2,AM$82,$B$3,$AA$81,0)</f>
        <v>-0.46183900015825552</v>
      </c>
      <c r="AN88" s="1" cm="1">
        <f t="array" ref="AN88">OptionDelta("P",$Z88,$B$2,AN$82,$B$3,$AA$81,0)</f>
        <v>-0.43341874291344296</v>
      </c>
      <c r="AW88" s="139"/>
      <c r="AX88" s="14">
        <v>85</v>
      </c>
      <c r="AY88" s="1" cm="1">
        <f t="array" ref="AY88">OptionTheta("P",$AX88,$B$2,AY$82,$B$3,$AY$81,0)</f>
        <v>-1.3828580164981728E-2</v>
      </c>
      <c r="AZ88" s="1" cm="1">
        <f t="array" ref="AZ88">OptionTheta("P",$AX88,$B$2,AZ$82,$B$3,$AY$81,0)</f>
        <v>-1.8920546118769043E-2</v>
      </c>
      <c r="BA88" s="1" cm="1">
        <f t="array" ref="BA88">OptionTheta("P",$AX88,$B$2,BA$82,$B$3,$AY$81,0)</f>
        <v>-1.9475295532731803E-2</v>
      </c>
      <c r="BB88" s="1" cm="1">
        <f t="array" ref="BB88">OptionTheta("P",$AX88,$B$2,BB$82,$B$3,$AY$81,0)</f>
        <v>-1.8997478808385648E-2</v>
      </c>
      <c r="BC88" s="1" cm="1">
        <f t="array" ref="BC88">OptionTheta("P",$AX88,$B$2,BC$82,$B$3,$AY$81,0)</f>
        <v>-1.828050979333417E-2</v>
      </c>
      <c r="BD88" s="1" cm="1">
        <f t="array" ref="BD88">OptionTheta("P",$AX88,$B$2,BD$82,$B$3,$AY$81,0)</f>
        <v>-1.7540881018903672E-2</v>
      </c>
      <c r="BE88" s="1" cm="1">
        <f t="array" ref="BE88">OptionTheta("P",$AX88,$B$2,BE$82,$B$3,$AY$81,0)</f>
        <v>-1.6842302052625397E-2</v>
      </c>
      <c r="BF88" s="1" cm="1">
        <f t="array" ref="BF88">OptionTheta("P",$AX88,$B$2,BF$82,$B$3,$AY$81,0)</f>
        <v>-1.6201218780702211E-2</v>
      </c>
      <c r="BG88" s="1" cm="1">
        <f t="array" ref="BG88">OptionTheta("P",$AX88,$B$2,BG$82,$B$3,$AY$81,0)</f>
        <v>-1.5618329948938497E-2</v>
      </c>
      <c r="BH88" s="1" cm="1">
        <f t="array" ref="BH88">OptionTheta("P",$AX88,$B$2,BH$82,$B$3,$AY$81,0)</f>
        <v>-1.5089188564501175E-2</v>
      </c>
      <c r="BI88" s="1" cm="1">
        <f t="array" ref="BI88">OptionTheta("P",$AX88,$B$2,BI$82,$B$3,$AY$81,0)</f>
        <v>-1.1680564427523346E-2</v>
      </c>
      <c r="BJ88" s="1" cm="1">
        <f t="array" ref="BJ88">OptionTheta("P",$AX88,$B$2,BJ$82,$B$3,$AY$81,0)</f>
        <v>-9.8979311833948171E-3</v>
      </c>
      <c r="BK88" s="1" cm="1">
        <f t="array" ref="BK88">OptionTheta("P",$AX88,$B$2,BK$82,$B$3,$AY$81,0)</f>
        <v>-8.7599485484381439E-3</v>
      </c>
      <c r="BL88" s="1" cm="1">
        <f t="array" ref="BL88">OptionTheta("P",$AX88,$B$2,BL$82,$B$3,$AY$81,0)</f>
        <v>-7.9501241141132859E-3</v>
      </c>
      <c r="BU88" s="142"/>
      <c r="BV88" s="14">
        <v>85</v>
      </c>
      <c r="BW88" s="1" cm="1">
        <f t="array" ref="BW88">OptionGamma($BV88,$B$2,BW$82,$B$3,$BW$81,0)</f>
        <v>1.257501258451457E-2</v>
      </c>
      <c r="BX88" s="1" cm="1">
        <f t="array" ref="BX88">OptionGamma($BV88,$B$2,BX$82,$B$3,$BW$81,0)</f>
        <v>1.8488250396357001E-2</v>
      </c>
      <c r="BY88" s="1" cm="1">
        <f t="array" ref="BY88">OptionGamma($BV88,$B$2,BY$82,$B$3,$BW$81,0)</f>
        <v>1.9245583173855805E-2</v>
      </c>
      <c r="BZ88" s="1" cm="1">
        <f t="array" ref="BZ88">OptionGamma($BV88,$B$2,BZ$82,$B$3,$BW$81,0)</f>
        <v>1.8803436356655608E-2</v>
      </c>
      <c r="CA88" s="1" cm="1">
        <f t="array" ref="CA88">OptionGamma($BV88,$B$2,CA$82,$B$3,$BW$81,0)</f>
        <v>1.8068228988525181E-2</v>
      </c>
      <c r="CB88" s="1" cm="1">
        <f t="array" ref="CB88">OptionGamma($BV88,$B$2,CB$82,$B$3,$BW$81,0)</f>
        <v>1.7291682643531966E-2</v>
      </c>
      <c r="CC88" s="1" cm="1">
        <f t="array" ref="CC88">OptionGamma($BV88,$B$2,CC$82,$B$3,$BW$81,0)</f>
        <v>1.6550341873979184E-2</v>
      </c>
      <c r="CD88" s="1" cm="1">
        <f t="array" ref="CD88">OptionGamma($BV88,$B$2,CD$82,$B$3,$BW$81,0)</f>
        <v>1.5865759347980533E-2</v>
      </c>
      <c r="CE88" s="1" cm="1">
        <f t="array" ref="CE88">OptionGamma($BV88,$B$2,CE$82,$B$3,$BW$81,0)</f>
        <v>1.5240725494598826E-2</v>
      </c>
      <c r="CF88" s="1" cm="1">
        <f t="array" ref="CF88">OptionGamma($BV88,$B$2,CF$82,$B$3,$BW$81,0)</f>
        <v>1.4671609392337213E-2</v>
      </c>
      <c r="CG88" s="1" cm="1">
        <f t="array" ref="CG88">OptionGamma($BV88,$B$2,CG$82,$B$3,$BW$81,0)</f>
        <v>1.0978106060139997E-2</v>
      </c>
      <c r="CH88" s="1" cm="1">
        <f t="array" ref="CH88">OptionGamma($BV88,$B$2,CH$82,$B$3,$BW$81,0)</f>
        <v>9.0324238181826739E-3</v>
      </c>
      <c r="CI88" s="1" cm="1">
        <f t="array" ref="CI88">OptionGamma($BV88,$B$2,CI$82,$B$3,$BW$81,0)</f>
        <v>7.7865829825335157E-3</v>
      </c>
      <c r="CJ88" s="1" cm="1">
        <f t="array" ref="CJ88">OptionGamma($BV88,$B$2,CJ$82,$B$3,$BW$81,0)</f>
        <v>6.8988971767481684E-3</v>
      </c>
      <c r="CS88" s="145"/>
      <c r="CT88" s="14">
        <v>85</v>
      </c>
      <c r="CU88" s="1" cm="1">
        <f t="array" ref="CU88">OptionVega($CT88,$B$2,CU$82,$B$3,$CU$81,0)</f>
        <v>2.725633977693533E-2</v>
      </c>
      <c r="CV88" s="1" cm="1">
        <f t="array" ref="CV88">OptionVega($CT88,$B$2,CV$82,$B$3,$CU$81,0)</f>
        <v>8.0146565468207587E-2</v>
      </c>
      <c r="CW88" s="1" cm="1">
        <f t="array" ref="CW88">OptionVega($CT88,$B$2,CW$82,$B$3,$CU$81,0)</f>
        <v>0.12514440458799733</v>
      </c>
      <c r="CX88" s="1" cm="1">
        <f t="array" ref="CX88">OptionVega($CT88,$B$2,CX$82,$B$3,$CU$81,0)</f>
        <v>0.16302579321220409</v>
      </c>
      <c r="CY88" s="1" cm="1">
        <f t="array" ref="CY88">OptionVega($CT88,$B$2,CY$82,$B$3,$CU$81,0)</f>
        <v>0.19581443166314164</v>
      </c>
      <c r="CZ88" s="1" cm="1">
        <f t="array" ref="CZ88">OptionVega($CT88,$B$2,CZ$82,$B$3,$CU$81,0)</f>
        <v>0.22487833277913319</v>
      </c>
      <c r="DA88" s="1" cm="1">
        <f t="array" ref="DA88">OptionVega($CT88,$B$2,DA$82,$B$3,$CU$81,0)</f>
        <v>0.25111006208294911</v>
      </c>
      <c r="DB88" s="1" cm="1">
        <f t="array" ref="DB88">OptionVega($CT88,$B$2,DB$82,$B$3,$CU$81,0)</f>
        <v>0.27511226709398245</v>
      </c>
      <c r="DC88" s="1" cm="1">
        <f t="array" ref="DC88">OptionVega($CT88,$B$2,DC$82,$B$3,$CU$81,0)</f>
        <v>0.29730845258588656</v>
      </c>
      <c r="DD88" s="1" cm="1">
        <f t="array" ref="DD88">OptionVega($CT88,$B$2,DD$82,$B$3,$CU$81,0)</f>
        <v>0.31800713357890908</v>
      </c>
      <c r="DE88" s="1" cm="1">
        <f t="array" ref="DE88">OptionVega($CT88,$B$2,DE$82,$B$3,$CU$81,0)</f>
        <v>0.47590089770706884</v>
      </c>
      <c r="DF88" s="1" cm="1">
        <f t="array" ref="DF88">OptionVega($CT88,$B$2,DF$82,$B$3,$CU$81,0)</f>
        <v>0.58733335877732828</v>
      </c>
      <c r="DG88" s="1" cm="1">
        <f t="array" ref="DG88">OptionVega($CT88,$B$2,DG$82,$B$3,$CU$81,0)</f>
        <v>0.67509674458565583</v>
      </c>
      <c r="DH88" s="1" cm="1">
        <f t="array" ref="DH88">OptionVega($CT88,$B$2,DH$82,$B$3,$CU$81,0)</f>
        <v>0.74766798153008274</v>
      </c>
      <c r="DQ88" s="130"/>
      <c r="DR88" s="14">
        <v>85</v>
      </c>
      <c r="DS88" s="1" cm="1">
        <f t="array" ref="DS88">OptionRho("P",$DR88,$B$2,DS$82,$B$3,$DS$81,0)</f>
        <v>-9.5898079367803174E-2</v>
      </c>
      <c r="DT88" s="1" cm="1">
        <f t="array" ref="DT88">OptionRho("P",$DR88,$B$2,DT$82,$B$3,$DS$81,0)</f>
        <v>-0.17900138464702656</v>
      </c>
      <c r="DU88" s="1" cm="1">
        <f t="array" ref="DU88">OptionRho("P",$DR88,$B$2,DU$82,$B$3,$DS$81,0)</f>
        <v>-0.25537879201417174</v>
      </c>
      <c r="DV88" s="1" cm="1">
        <f t="array" ref="DV88">OptionRho("P",$DR88,$B$2,DV$82,$B$3,$DS$81,0)</f>
        <v>-0.32824500784124316</v>
      </c>
      <c r="DW88" s="1" cm="1">
        <f t="array" ref="DW88">OptionRho("P",$DR88,$B$2,DW$82,$B$3,$DS$81,0)</f>
        <v>-0.3989765623363617</v>
      </c>
      <c r="DX88" s="1" cm="1">
        <f t="array" ref="DX88">OptionRho("P",$DR88,$B$2,DX$82,$B$3,$DS$81,0)</f>
        <v>-0.4682779514529069</v>
      </c>
      <c r="DY88" s="1" cm="1">
        <f t="array" ref="DY88">OptionRho("P",$DR88,$B$2,DY$82,$B$3,$DS$81,0)</f>
        <v>-0.5365572432015524</v>
      </c>
      <c r="DZ88" s="1" cm="1">
        <f t="array" ref="DZ88">OptionRho("P",$DR88,$B$2,DZ$82,$B$3,$DS$81,0)</f>
        <v>-0.604071877555309</v>
      </c>
      <c r="EA88" s="1" cm="1">
        <f t="array" ref="EA88">OptionRho("P",$DR88,$B$2,EA$82,$B$3,$DS$81,0)</f>
        <v>-0.67099459943799789</v>
      </c>
      <c r="EB88" s="1" cm="1">
        <f t="array" ref="EB88">OptionRho("P",$DR88,$B$2,EB$82,$B$3,$DS$81,0)</f>
        <v>-0.73744682235929226</v>
      </c>
      <c r="EC88" s="1" cm="1">
        <f t="array" ref="EC88">OptionRho("P",$DR88,$B$2,EC$82,$B$3,$DS$81,0)</f>
        <v>-1.3882985664860106</v>
      </c>
      <c r="ED88" s="1" cm="1">
        <f t="array" ref="ED88">OptionRho("P",$DR88,$B$2,ED$82,$B$3,$DS$81,0)</f>
        <v>-2.0282342641574003</v>
      </c>
      <c r="EE88" s="1" cm="1">
        <f t="array" ref="EE88">OptionRho("P",$DR88,$B$2,EE$82,$B$3,$DS$81,0)</f>
        <v>-2.6630737119348518</v>
      </c>
      <c r="EF88" s="1" cm="1">
        <f t="array" ref="EF88">OptionRho("P",$DR88,$B$2,EF$82,$B$3,$DS$81,0)</f>
        <v>-3.2939567853055052</v>
      </c>
    </row>
    <row r="89" spans="1:136" x14ac:dyDescent="0.2">
      <c r="A89" s="133"/>
      <c r="B89" s="14">
        <v>90</v>
      </c>
      <c r="C89" s="1" cm="1">
        <f t="array" ref="C89">OptionPrice("P",$B89,$B$2,C$82,$B$3,$C$81,0)</f>
        <v>10.516793436958793</v>
      </c>
      <c r="D89" s="1" cm="1">
        <f t="array" ref="D89">OptionPrice("P",$B89,$B$2,D$82,$B$3,$C$81,0)</f>
        <v>11.407901309513306</v>
      </c>
      <c r="E89" s="1" cm="1">
        <f t="array" ref="E89">OptionPrice("P",$B89,$B$2,E$82,$B$3,$C$81,0)</f>
        <v>12.224618417729957</v>
      </c>
      <c r="F89" s="1" cm="1">
        <f t="array" ref="F89">OptionPrice("P",$B89,$B$2,F$82,$B$3,$C$81,0)</f>
        <v>12.960187531305678</v>
      </c>
      <c r="G89" s="1" cm="1">
        <f t="array" ref="G89">OptionPrice("P",$B89,$B$2,G$82,$B$3,$C$81,0)</f>
        <v>13.629373464138993</v>
      </c>
      <c r="H89" s="1" cm="1">
        <f t="array" ref="H89">OptionPrice("P",$B89,$B$2,H$82,$B$3,$C$81,0)</f>
        <v>14.244914472376678</v>
      </c>
      <c r="I89" s="1" cm="1">
        <f t="array" ref="I89">OptionPrice("P",$B89,$B$2,I$82,$B$3,$C$81,0)</f>
        <v>14.816397403631967</v>
      </c>
      <c r="J89" s="1" cm="1">
        <f t="array" ref="J89">OptionPrice("P",$B89,$B$2,J$82,$B$3,$C$81,0)</f>
        <v>15.351005626872109</v>
      </c>
      <c r="K89" s="1" cm="1">
        <f t="array" ref="K89">OptionPrice("P",$B89,$B$2,K$82,$B$3,$C$81,0)</f>
        <v>15.854217518851151</v>
      </c>
      <c r="L89" s="1" cm="1">
        <f t="array" ref="L89">OptionPrice("P",$B89,$B$2,L$82,$B$3,$C$81,0)</f>
        <v>16.330299691723319</v>
      </c>
      <c r="M89" s="1" cm="1">
        <f t="array" ref="M89">OptionPrice("P",$B89,$B$2,M$82,$B$3,$C$81,0)</f>
        <v>20.11681873682177</v>
      </c>
      <c r="N89" s="1" cm="1">
        <f t="array" ref="N89">OptionPrice("P",$B89,$B$2,N$82,$B$3,$C$81,0)</f>
        <v>22.889869754222829</v>
      </c>
      <c r="O89" s="1" cm="1">
        <f t="array" ref="O89">OptionPrice("P",$B89,$B$2,O$82,$B$3,$C$81,0)</f>
        <v>25.106447357275378</v>
      </c>
      <c r="P89" s="1" cm="1">
        <f t="array" ref="P89">OptionPrice("P",$B89,$B$2,P$82,$B$3,$C$81,0)</f>
        <v>26.955587771136301</v>
      </c>
      <c r="Y89" s="136"/>
      <c r="Z89" s="14">
        <v>90</v>
      </c>
      <c r="AA89" s="1" cm="1">
        <f t="array" ref="AA89">OptionDelta("P",$Z89,$B$2,AA$82,$B$3,$AA$81,0)</f>
        <v>-0.85374292440200006</v>
      </c>
      <c r="AB89" s="1" cm="1">
        <f t="array" ref="AB89">OptionDelta("P",$Z89,$B$2,AB$82,$B$3,$AA$81,0)</f>
        <v>-0.75907237290923424</v>
      </c>
      <c r="AC89" s="1" cm="1">
        <f t="array" ref="AC89">OptionDelta("P",$Z89,$B$2,AC$82,$B$3,$AA$81,0)</f>
        <v>-0.70567310001943828</v>
      </c>
      <c r="AD89" s="1" cm="1">
        <f t="array" ref="AD89">OptionDelta("P",$Z89,$B$2,AD$82,$B$3,$AA$81,0)</f>
        <v>-0.66979547949050677</v>
      </c>
      <c r="AE89" s="1" cm="1">
        <f t="array" ref="AE89">OptionDelta("P",$Z89,$B$2,AE$82,$B$3,$AA$81,0)</f>
        <v>-0.64320465993398146</v>
      </c>
      <c r="AF89" s="1" cm="1">
        <f t="array" ref="AF89">OptionDelta("P",$Z89,$B$2,AF$82,$B$3,$AA$81,0)</f>
        <v>-0.62224795286560064</v>
      </c>
      <c r="AG89" s="1" cm="1">
        <f t="array" ref="AG89">OptionDelta("P",$Z89,$B$2,AG$82,$B$3,$AA$81,0)</f>
        <v>-0.60502620477444458</v>
      </c>
      <c r="AH89" s="1" cm="1">
        <f t="array" ref="AH89">OptionDelta("P",$Z89,$B$2,AH$82,$B$3,$AA$81,0)</f>
        <v>-0.59044006826425854</v>
      </c>
      <c r="AI89" s="1" cm="1">
        <f t="array" ref="AI89">OptionDelta("P",$Z89,$B$2,AI$82,$B$3,$AA$81,0)</f>
        <v>-0.57780208416455869</v>
      </c>
      <c r="AJ89" s="1" cm="1">
        <f t="array" ref="AJ89">OptionDelta("P",$Z89,$B$2,AJ$82,$B$3,$AA$81,0)</f>
        <v>-0.56665658907905203</v>
      </c>
      <c r="AK89" s="1" cm="1">
        <f t="array" ref="AK89">OptionDelta("P",$Z89,$B$2,AK$82,$B$3,$AA$81,0)</f>
        <v>-0.49563750571488163</v>
      </c>
      <c r="AL89" s="1" cm="1">
        <f t="array" ref="AL89">OptionDelta("P",$Z89,$B$2,AL$82,$B$3,$AA$81,0)</f>
        <v>-0.45431124070599771</v>
      </c>
      <c r="AM89" s="1" cm="1">
        <f t="array" ref="AM89">OptionDelta("P",$Z89,$B$2,AM$82,$B$3,$AA$81,0)</f>
        <v>-0.42423701798348556</v>
      </c>
      <c r="AN89" s="1" cm="1">
        <f t="array" ref="AN89">OptionDelta("P",$Z89,$B$2,AN$82,$B$3,$AA$81,0)</f>
        <v>-0.40017907667774644</v>
      </c>
      <c r="AW89" s="139"/>
      <c r="AX89" s="14">
        <v>90</v>
      </c>
      <c r="AY89" s="1" cm="1">
        <f t="array" ref="AY89">OptionTheta("P",$AX89,$B$2,AY$82,$B$3,$AY$81,0)</f>
        <v>-2.9206464545394779E-2</v>
      </c>
      <c r="AZ89" s="1" cm="1">
        <f t="array" ref="AZ89">OptionTheta("P",$AX89,$B$2,AZ$82,$B$3,$AY$81,0)</f>
        <v>-2.7948723093094568E-2</v>
      </c>
      <c r="BA89" s="1" cm="1">
        <f t="array" ref="BA89">OptionTheta("P",$AX89,$B$2,BA$82,$B$3,$AY$81,0)</f>
        <v>-2.5349701673582331E-2</v>
      </c>
      <c r="BB89" s="1" cm="1">
        <f t="array" ref="BB89">OptionTheta("P",$AX89,$B$2,BB$82,$B$3,$AY$81,0)</f>
        <v>-2.3190512154875571E-2</v>
      </c>
      <c r="BC89" s="1" cm="1">
        <f t="array" ref="BC89">OptionTheta("P",$AX89,$B$2,BC$82,$B$3,$AY$81,0)</f>
        <v>-2.1467383523570929E-2</v>
      </c>
      <c r="BD89" s="1" cm="1">
        <f t="array" ref="BD89">OptionTheta("P",$AX89,$B$2,BD$82,$B$3,$AY$81,0)</f>
        <v>-2.0072212101404661E-2</v>
      </c>
      <c r="BE89" s="1" cm="1">
        <f t="array" ref="BE89">OptionTheta("P",$AX89,$B$2,BE$82,$B$3,$AY$81,0)</f>
        <v>-1.8919112440667987E-2</v>
      </c>
      <c r="BF89" s="1" cm="1">
        <f t="array" ref="BF89">OptionTheta("P",$AX89,$B$2,BF$82,$B$3,$AY$81,0)</f>
        <v>-1.7947741673441635E-2</v>
      </c>
      <c r="BG89" s="1" cm="1">
        <f t="array" ref="BG89">OptionTheta("P",$AX89,$B$2,BG$82,$B$3,$AY$81,0)</f>
        <v>-1.7115914972014597E-2</v>
      </c>
      <c r="BH89" s="1" cm="1">
        <f t="array" ref="BH89">OptionTheta("P",$AX89,$B$2,BH$82,$B$3,$AY$81,0)</f>
        <v>-1.6393596048567813E-2</v>
      </c>
      <c r="BI89" s="1" cm="1">
        <f t="array" ref="BI89">OptionTheta("P",$AX89,$B$2,BI$82,$B$3,$AY$81,0)</f>
        <v>-1.2206284758448777E-2</v>
      </c>
      <c r="BJ89" s="1" cm="1">
        <f t="array" ref="BJ89">OptionTheta("P",$AX89,$B$2,BJ$82,$B$3,$AY$81,0)</f>
        <v>-1.0210444326795852E-2</v>
      </c>
      <c r="BK89" s="1" cm="1">
        <f t="array" ref="BK89">OptionTheta("P",$AX89,$B$2,BK$82,$B$3,$AY$81,0)</f>
        <v>-8.9781673669593175E-3</v>
      </c>
      <c r="BL89" s="1" cm="1">
        <f t="array" ref="BL89">OptionTheta("P",$AX89,$B$2,BL$82,$B$3,$AY$81,0)</f>
        <v>-8.1164075501158513E-3</v>
      </c>
      <c r="BU89" s="142"/>
      <c r="BV89" s="14">
        <v>90</v>
      </c>
      <c r="BW89" s="1" cm="1">
        <f t="array" ref="BW89">OptionGamma($BV89,$B$2,BW$82,$B$3,$BW$81,0)</f>
        <v>2.6849994493107564E-2</v>
      </c>
      <c r="BX89" s="1" cm="1">
        <f t="array" ref="BX89">OptionGamma($BV89,$B$2,BX$82,$B$3,$BW$81,0)</f>
        <v>2.5799834788109949E-2</v>
      </c>
      <c r="BY89" s="1" cm="1">
        <f t="array" ref="BY89">OptionGamma($BV89,$B$2,BY$82,$B$3,$BW$81,0)</f>
        <v>2.3306691732956811E-2</v>
      </c>
      <c r="BZ89" s="1" cm="1">
        <f t="array" ref="BZ89">OptionGamma($BV89,$B$2,BZ$82,$B$3,$BW$81,0)</f>
        <v>2.1212946857819128E-2</v>
      </c>
      <c r="CA89" s="1" cm="1">
        <f t="array" ref="CA89">OptionGamma($BV89,$B$2,CA$82,$B$3,$BW$81,0)</f>
        <v>1.9534751872486739E-2</v>
      </c>
      <c r="CB89" s="1" cm="1">
        <f t="array" ref="CB89">OptionGamma($BV89,$B$2,CB$82,$B$3,$BW$81,0)</f>
        <v>1.8172524320191757E-2</v>
      </c>
      <c r="CC89" s="1" cm="1">
        <f t="array" ref="CC89">OptionGamma($BV89,$B$2,CC$82,$B$3,$BW$81,0)</f>
        <v>1.7044687194816176E-2</v>
      </c>
      <c r="CD89" s="1" cm="1">
        <f t="array" ref="CD89">OptionGamma($BV89,$B$2,CD$82,$B$3,$BW$81,0)</f>
        <v>1.6093332217008625E-2</v>
      </c>
      <c r="CE89" s="1" cm="1">
        <f t="array" ref="CE89">OptionGamma($BV89,$B$2,CE$82,$B$3,$BW$81,0)</f>
        <v>1.5277763824001958E-2</v>
      </c>
      <c r="CF89" s="1" cm="1">
        <f t="array" ref="CF89">OptionGamma($BV89,$B$2,CF$82,$B$3,$BW$81,0)</f>
        <v>1.4568912566910484E-2</v>
      </c>
      <c r="CG89" s="1" cm="1">
        <f t="array" ref="CG89">OptionGamma($BV89,$B$2,CG$82,$B$3,$BW$81,0)</f>
        <v>1.0447330574272131E-2</v>
      </c>
      <c r="CH89" s="1" cm="1">
        <f t="array" ref="CH89">OptionGamma($BV89,$B$2,CH$82,$B$3,$BW$81,0)</f>
        <v>8.4747143075524275E-3</v>
      </c>
      <c r="CI89" s="1" cm="1">
        <f t="array" ref="CI89">OptionGamma($BV89,$B$2,CI$82,$B$3,$BW$81,0)</f>
        <v>7.2541928646975579E-3</v>
      </c>
      <c r="CJ89" s="1" cm="1">
        <f t="array" ref="CJ89">OptionGamma($BV89,$B$2,CJ$82,$B$3,$BW$81,0)</f>
        <v>6.399922384282445E-3</v>
      </c>
      <c r="CS89" s="145"/>
      <c r="CT89" s="14">
        <v>90</v>
      </c>
      <c r="CU89" s="1" cm="1">
        <f t="array" ref="CU89">OptionVega($CT89,$B$2,CU$82,$B$3,$CU$81,0)</f>
        <v>6.5245486618251372E-2</v>
      </c>
      <c r="CV89" s="1" cm="1">
        <f t="array" ref="CV89">OptionVega($CT89,$B$2,CV$82,$B$3,$CU$81,0)</f>
        <v>0.12538719707021431</v>
      </c>
      <c r="CW89" s="1" cm="1">
        <f t="array" ref="CW89">OptionVega($CT89,$B$2,CW$82,$B$3,$CU$81,0)</f>
        <v>0.16990578273325513</v>
      </c>
      <c r="CX89" s="1" cm="1">
        <f t="array" ref="CX89">OptionVega($CT89,$B$2,CX$82,$B$3,$CU$81,0)</f>
        <v>0.20618984345800193</v>
      </c>
      <c r="CY89" s="1" cm="1">
        <f t="array" ref="CY89">OptionVega($CT89,$B$2,CY$82,$B$3,$CU$81,0)</f>
        <v>0.23734723525071394</v>
      </c>
      <c r="CZ89" s="1" cm="1">
        <f t="array" ref="CZ89">OptionVega($CT89,$B$2,CZ$82,$B$3,$CU$81,0)</f>
        <v>0.26495540458839584</v>
      </c>
      <c r="DA89" s="1" cm="1">
        <f t="array" ref="DA89">OptionVega($CT89,$B$2,DA$82,$B$3,$CU$81,0)</f>
        <v>0.28993012918382316</v>
      </c>
      <c r="DB89" s="1" cm="1">
        <f t="array" ref="DB89">OptionVega($CT89,$B$2,DB$82,$B$3,$CU$81,0)</f>
        <v>0.3128543782986476</v>
      </c>
      <c r="DC89" s="1" cm="1">
        <f t="array" ref="DC89">OptionVega($CT89,$B$2,DC$82,$B$3,$CU$81,0)</f>
        <v>0.33412469483092277</v>
      </c>
      <c r="DD89" s="1" cm="1">
        <f t="array" ref="DD89">OptionVega($CT89,$B$2,DD$82,$B$3,$CU$81,0)</f>
        <v>0.35402457537592474</v>
      </c>
      <c r="DE89" s="1" cm="1">
        <f t="array" ref="DE89">OptionVega($CT89,$B$2,DE$82,$B$3,$CU$81,0)</f>
        <v>0.50774026590962573</v>
      </c>
      <c r="DF89" s="1" cm="1">
        <f t="array" ref="DF89">OptionVega($CT89,$B$2,DF$82,$B$3,$CU$81,0)</f>
        <v>0.61780667302057179</v>
      </c>
      <c r="DG89" s="1" cm="1">
        <f t="array" ref="DG89">OptionVega($CT89,$B$2,DG$82,$B$3,$CU$81,0)</f>
        <v>0.70510754644860263</v>
      </c>
      <c r="DH89" s="1" cm="1">
        <f t="array" ref="DH89">OptionVega($CT89,$B$2,DH$82,$B$3,$CU$81,0)</f>
        <v>0.77759056969031726</v>
      </c>
      <c r="DQ89" s="130"/>
      <c r="DR89" s="14">
        <v>90</v>
      </c>
      <c r="DS89" s="1" cm="1">
        <f t="array" ref="DS89">OptionRho("P",$DR89,$B$2,DS$82,$B$3,$DS$81,0)</f>
        <v>-8.7353656633138821E-2</v>
      </c>
      <c r="DT89" s="1" cm="1">
        <f t="array" ref="DT89">OptionRho("P",$DR89,$B$2,DT$82,$B$3,$DS$81,0)</f>
        <v>-0.15944882974268879</v>
      </c>
      <c r="DU89" s="1" cm="1">
        <f t="array" ref="DU89">OptionRho("P",$DR89,$B$2,DU$82,$B$3,$DS$81,0)</f>
        <v>-0.2272055922584382</v>
      </c>
      <c r="DV89" s="1" cm="1">
        <f t="array" ref="DV89">OptionRho("P",$DR89,$B$2,DV$82,$B$3,$DS$81,0)</f>
        <v>-0.29296712274180514</v>
      </c>
      <c r="DW89" s="1" cm="1">
        <f t="array" ref="DW89">OptionRho("P",$DR89,$B$2,DW$82,$B$3,$DS$81,0)</f>
        <v>-0.35758896429098663</v>
      </c>
      <c r="DX89" s="1" cm="1">
        <f t="array" ref="DX89">OptionRho("P",$DR89,$B$2,DX$82,$B$3,$DS$81,0)</f>
        <v>-0.4214833813816844</v>
      </c>
      <c r="DY89" s="1" cm="1">
        <f t="array" ref="DY89">OptionRho("P",$DR89,$B$2,DY$82,$B$3,$DS$81,0)</f>
        <v>-0.48488129083332387</v>
      </c>
      <c r="DZ89" s="1" cm="1">
        <f t="array" ref="DZ89">OptionRho("P",$DR89,$B$2,DZ$82,$B$3,$DS$81,0)</f>
        <v>-0.54792489416524304</v>
      </c>
      <c r="EA89" s="1" cm="1">
        <f t="array" ref="EA89">OptionRho("P",$DR89,$B$2,EA$82,$B$3,$DS$81,0)</f>
        <v>-0.6107076458429529</v>
      </c>
      <c r="EB89" s="1" cm="1">
        <f t="array" ref="EB89">OptionRho("P",$DR89,$B$2,EB$82,$B$3,$DS$81,0)</f>
        <v>-0.67329392708837998</v>
      </c>
      <c r="EC89" s="1" cm="1">
        <f t="array" ref="EC89">OptionRho("P",$DR89,$B$2,EC$82,$B$3,$DS$81,0)</f>
        <v>-1.2944838850232225</v>
      </c>
      <c r="ED89" s="1" cm="1">
        <f t="array" ref="ED89">OptionRho("P",$DR89,$B$2,ED$82,$B$3,$DS$81,0)</f>
        <v>-1.9133364425328785</v>
      </c>
      <c r="EE89" s="1" cm="1">
        <f t="array" ref="EE89">OptionRho("P",$DR89,$B$2,EE$82,$B$3,$DS$81,0)</f>
        <v>-2.5315111590315631</v>
      </c>
      <c r="EF89" s="1" cm="1">
        <f t="array" ref="EF89">OptionRho("P",$DR89,$B$2,EF$82,$B$3,$DS$81,0)</f>
        <v>-3.1485852336066738</v>
      </c>
    </row>
    <row r="90" spans="1:136" x14ac:dyDescent="0.2">
      <c r="A90" s="133"/>
      <c r="B90" s="14">
        <v>95</v>
      </c>
      <c r="C90" s="1" cm="1">
        <f t="array" ref="C90">OptionPrice("P",$B90,$B$2,C$82,$B$3,$C$81,0)</f>
        <v>6.6426002363535019</v>
      </c>
      <c r="D90" s="1" cm="1">
        <f t="array" ref="D90">OptionPrice("P",$B90,$B$2,D$82,$B$3,$C$81,0)</f>
        <v>7.9565007734625794</v>
      </c>
      <c r="E90" s="1" cm="1">
        <f t="array" ref="E90">OptionPrice("P",$B90,$B$2,E$82,$B$3,$C$81,0)</f>
        <v>8.9973064731654873</v>
      </c>
      <c r="F90" s="1" cm="1">
        <f t="array" ref="F90">OptionPrice("P",$B90,$B$2,F$82,$B$3,$C$81,0)</f>
        <v>9.8809618106439032</v>
      </c>
      <c r="G90" s="1" cm="1">
        <f t="array" ref="G90">OptionPrice("P",$B90,$B$2,G$82,$B$3,$C$81,0)</f>
        <v>10.659450228059811</v>
      </c>
      <c r="H90" s="1" cm="1">
        <f t="array" ref="H90">OptionPrice("P",$B90,$B$2,H$82,$B$3,$C$81,0)</f>
        <v>11.361195695628268</v>
      </c>
      <c r="I90" s="1" cm="1">
        <f t="array" ref="I90">OptionPrice("P",$B90,$B$2,I$82,$B$3,$C$81,0)</f>
        <v>12.00372412699312</v>
      </c>
      <c r="J90" s="1" cm="1">
        <f t="array" ref="J90">OptionPrice("P",$B90,$B$2,J$82,$B$3,$C$81,0)</f>
        <v>12.598740737435598</v>
      </c>
      <c r="K90" s="1" cm="1">
        <f t="array" ref="K90">OptionPrice("P",$B90,$B$2,K$82,$B$3,$C$81,0)</f>
        <v>13.15452217999929</v>
      </c>
      <c r="L90" s="1" cm="1">
        <f t="array" ref="L90">OptionPrice("P",$B90,$B$2,L$82,$B$3,$C$81,0)</f>
        <v>13.677176876491146</v>
      </c>
      <c r="M90" s="1" cm="1">
        <f t="array" ref="M90">OptionPrice("P",$B90,$B$2,M$82,$B$3,$C$81,0)</f>
        <v>17.766635306790839</v>
      </c>
      <c r="N90" s="1" cm="1">
        <f t="array" ref="N90">OptionPrice("P",$B90,$B$2,N$82,$B$3,$C$81,0)</f>
        <v>20.72182999685495</v>
      </c>
      <c r="O90" s="1" cm="1">
        <f t="array" ref="O90">OptionPrice("P",$B90,$B$2,O$82,$B$3,$C$81,0)</f>
        <v>23.073734482222577</v>
      </c>
      <c r="P90" s="1" cm="1">
        <f t="array" ref="P90">OptionPrice("P",$B90,$B$2,P$82,$B$3,$C$81,0)</f>
        <v>25.03267411004262</v>
      </c>
      <c r="Y90" s="136"/>
      <c r="Z90" s="14">
        <v>95</v>
      </c>
      <c r="AA90" s="1" cm="1">
        <f t="array" ref="AA90">OptionDelta("P",$Z90,$B$2,AA$82,$B$3,$AA$81,0)</f>
        <v>-0.68534693429781512</v>
      </c>
      <c r="AB90" s="1" cm="1">
        <f t="array" ref="AB90">OptionDelta("P",$Z90,$B$2,AB$82,$B$3,$AA$81,0)</f>
        <v>-0.6180366959210446</v>
      </c>
      <c r="AC90" s="1" cm="1">
        <f t="array" ref="AC90">OptionDelta("P",$Z90,$B$2,AC$82,$B$3,$AA$81,0)</f>
        <v>-0.58384710662090655</v>
      </c>
      <c r="AD90" s="1" cm="1">
        <f t="array" ref="AD90">OptionDelta("P",$Z90,$B$2,AD$82,$B$3,$AA$81,0)</f>
        <v>-0.56134857249801873</v>
      </c>
      <c r="AE90" s="1" cm="1">
        <f t="array" ref="AE90">OptionDelta("P",$Z90,$B$2,AE$82,$B$3,$AA$81,0)</f>
        <v>-0.54465278448532417</v>
      </c>
      <c r="AF90" s="1" cm="1">
        <f t="array" ref="AF90">OptionDelta("P",$Z90,$B$2,AF$82,$B$3,$AA$81,0)</f>
        <v>-0.53137304929510343</v>
      </c>
      <c r="AG90" s="1" cm="1">
        <f t="array" ref="AG90">OptionDelta("P",$Z90,$B$2,AG$82,$B$3,$AA$81,0)</f>
        <v>-0.5203251694133888</v>
      </c>
      <c r="AH90" s="1" cm="1">
        <f t="array" ref="AH90">OptionDelta("P",$Z90,$B$2,AH$82,$B$3,$AA$81,0)</f>
        <v>-0.51084211699665127</v>
      </c>
      <c r="AI90" s="1" cm="1">
        <f t="array" ref="AI90">OptionDelta("P",$Z90,$B$2,AI$82,$B$3,$AA$81,0)</f>
        <v>-0.50251371636138731</v>
      </c>
      <c r="AJ90" s="1" cm="1">
        <f t="array" ref="AJ90">OptionDelta("P",$Z90,$B$2,AJ$82,$B$3,$AA$81,0)</f>
        <v>-0.49507092011561626</v>
      </c>
      <c r="AK90" s="1" cm="1">
        <f t="array" ref="AK90">OptionDelta("P",$Z90,$B$2,AK$82,$B$3,$AA$81,0)</f>
        <v>-0.44497280460428268</v>
      </c>
      <c r="AL90" s="1" cm="1">
        <f t="array" ref="AL90">OptionDelta("P",$Z90,$B$2,AL$82,$B$3,$AA$81,0)</f>
        <v>-0.41339176139808453</v>
      </c>
      <c r="AM90" s="1" cm="1">
        <f t="array" ref="AM90">OptionDelta("P",$Z90,$B$2,AM$82,$B$3,$AA$81,0)</f>
        <v>-0.38928699917989928</v>
      </c>
      <c r="AN90" s="1" cm="1">
        <f t="array" ref="AN90">OptionDelta("P",$Z90,$B$2,AN$82,$B$3,$AA$81,0)</f>
        <v>-0.36938513644082593</v>
      </c>
      <c r="AW90" s="139"/>
      <c r="AX90" s="14">
        <v>95</v>
      </c>
      <c r="AY90" s="1" cm="1">
        <f t="array" ref="AY90">OptionTheta("P",$AX90,$B$2,AY$82,$B$3,$AY$81,0)</f>
        <v>-4.5802295382685571E-2</v>
      </c>
      <c r="AZ90" s="1" cm="1">
        <f t="array" ref="AZ90">OptionTheta("P",$AX90,$B$2,AZ$82,$B$3,$AY$81,0)</f>
        <v>-3.5117893436459033E-2</v>
      </c>
      <c r="BA90" s="1" cm="1">
        <f t="array" ref="BA90">OptionTheta("P",$AX90,$B$2,BA$82,$B$3,$AY$81,0)</f>
        <v>-2.9571904838263087E-2</v>
      </c>
      <c r="BB90" s="1" cm="1">
        <f t="array" ref="BB90">OptionTheta("P",$AX90,$B$2,BB$82,$B$3,$AY$81,0)</f>
        <v>-2.6066463648258709E-2</v>
      </c>
      <c r="BC90" s="1" cm="1">
        <f t="array" ref="BC90">OptionTheta("P",$AX90,$B$2,BC$82,$B$3,$AY$81,0)</f>
        <v>-2.3598091363147063E-2</v>
      </c>
      <c r="BD90" s="1" cm="1">
        <f t="array" ref="BD90">OptionTheta("P",$AX90,$B$2,BD$82,$B$3,$AY$81,0)</f>
        <v>-2.1739507935681014E-2</v>
      </c>
      <c r="BE90" s="1" cm="1">
        <f t="array" ref="BE90">OptionTheta("P",$AX90,$B$2,BE$82,$B$3,$AY$81,0)</f>
        <v>-2.027483216544659E-2</v>
      </c>
      <c r="BF90" s="1" cm="1">
        <f t="array" ref="BF90">OptionTheta("P",$AX90,$B$2,BF$82,$B$3,$AY$81,0)</f>
        <v>-1.908186902785227E-2</v>
      </c>
      <c r="BG90" s="1" cm="1">
        <f t="array" ref="BG90">OptionTheta("P",$AX90,$B$2,BG$82,$B$3,$AY$81,0)</f>
        <v>-1.8085627495394288E-2</v>
      </c>
      <c r="BH90" s="1" cm="1">
        <f t="array" ref="BH90">OptionTheta("P",$AX90,$B$2,BH$82,$B$3,$AY$81,0)</f>
        <v>-1.7237212921161166E-2</v>
      </c>
      <c r="BI90" s="1" cm="1">
        <f t="array" ref="BI90">OptionTheta("P",$AX90,$B$2,BI$82,$B$3,$AY$81,0)</f>
        <v>-1.2553262177061575E-2</v>
      </c>
      <c r="BJ90" s="1" cm="1">
        <f t="array" ref="BJ90">OptionTheta("P",$AX90,$B$2,BJ$82,$B$3,$AY$81,0)</f>
        <v>-1.0423240181160184E-2</v>
      </c>
      <c r="BK90" s="1" cm="1">
        <f t="array" ref="BK90">OptionTheta("P",$AX90,$B$2,BK$82,$B$3,$AY$81,0)</f>
        <v>-9.1311004997066385E-3</v>
      </c>
      <c r="BL90" s="1" cm="1">
        <f t="array" ref="BL90">OptionTheta("P",$AX90,$B$2,BL$82,$B$3,$AY$81,0)</f>
        <v>-8.2359141695812644E-3</v>
      </c>
      <c r="BU90" s="142"/>
      <c r="BV90" s="14">
        <v>95</v>
      </c>
      <c r="BW90" s="1" cm="1">
        <f t="array" ref="BW90">OptionGamma($BV90,$B$2,BW$82,$B$3,$BW$81,0)</f>
        <v>3.9397555493342631E-2</v>
      </c>
      <c r="BX90" s="1" cm="1">
        <f t="array" ref="BX90">OptionGamma($BV90,$B$2,BX$82,$B$3,$BW$81,0)</f>
        <v>2.9920175402764988E-2</v>
      </c>
      <c r="BY90" s="1" cm="1">
        <f t="array" ref="BY90">OptionGamma($BV90,$B$2,BY$82,$B$3,$BW$81,0)</f>
        <v>2.4990132225163462E-2</v>
      </c>
      <c r="BZ90" s="1" cm="1">
        <f t="array" ref="BZ90">OptionGamma($BV90,$B$2,BZ$82,$B$3,$BW$81,0)</f>
        <v>2.187052870331763E-2</v>
      </c>
      <c r="CA90" s="1" cm="1">
        <f t="array" ref="CA90">OptionGamma($BV90,$B$2,CA$82,$B$3,$BW$81,0)</f>
        <v>1.9671994336736283E-2</v>
      </c>
      <c r="CB90" s="1" cm="1">
        <f t="array" ref="CB90">OptionGamma($BV90,$B$2,CB$82,$B$3,$BW$81,0)</f>
        <v>1.8015399304984771E-2</v>
      </c>
      <c r="CC90" s="1" cm="1">
        <f t="array" ref="CC90">OptionGamma($BV90,$B$2,CC$82,$B$3,$BW$81,0)</f>
        <v>1.6709061466729101E-2</v>
      </c>
      <c r="CD90" s="1" cm="1">
        <f t="array" ref="CD90">OptionGamma($BV90,$B$2,CD$82,$B$3,$BW$81,0)</f>
        <v>1.5644431582997612E-2</v>
      </c>
      <c r="CE90" s="1" cm="1">
        <f t="array" ref="CE90">OptionGamma($BV90,$B$2,CE$82,$B$3,$BW$81,0)</f>
        <v>1.4754868041798963E-2</v>
      </c>
      <c r="CF90" s="1" cm="1">
        <f t="array" ref="CF90">OptionGamma($BV90,$B$2,CF$82,$B$3,$BW$81,0)</f>
        <v>1.3996906305568678E-2</v>
      </c>
      <c r="CG90" s="1" cm="1">
        <f t="array" ref="CG90">OptionGamma($BV90,$B$2,CG$82,$B$3,$BW$81,0)</f>
        <v>9.8037554378220954E-3</v>
      </c>
      <c r="CH90" s="1" cm="1">
        <f t="array" ref="CH90">OptionGamma($BV90,$B$2,CH$82,$B$3,$BW$81,0)</f>
        <v>7.8905317151781781E-3</v>
      </c>
      <c r="CI90" s="1" cm="1">
        <f t="array" ref="CI90">OptionGamma($BV90,$B$2,CI$82,$B$3,$BW$81,0)</f>
        <v>6.727711143982254E-3</v>
      </c>
      <c r="CJ90" s="1" cm="1">
        <f t="array" ref="CJ90">OptionGamma($BV90,$B$2,CJ$82,$B$3,$BW$81,0)</f>
        <v>5.9214922774464777E-3</v>
      </c>
      <c r="CS90" s="145"/>
      <c r="CT90" s="14">
        <v>95</v>
      </c>
      <c r="CU90" s="1" cm="1">
        <f t="array" ref="CU90">OptionVega($CT90,$B$2,CU$82,$B$3,$CU$81,0)</f>
        <v>0.10666888149822518</v>
      </c>
      <c r="CV90" s="1" cm="1">
        <f t="array" ref="CV90">OptionVega($CT90,$B$2,CV$82,$B$3,$CU$81,0)</f>
        <v>0.16201774980597239</v>
      </c>
      <c r="CW90" s="1" cm="1">
        <f t="array" ref="CW90">OptionVega($CT90,$B$2,CW$82,$B$3,$CU$81,0)</f>
        <v>0.20298234899889017</v>
      </c>
      <c r="CX90" s="1" cm="1">
        <f t="array" ref="CX90">OptionVega($CT90,$B$2,CX$82,$B$3,$CU$81,0)</f>
        <v>0.23685782585692991</v>
      </c>
      <c r="CY90" s="1" cm="1">
        <f t="array" ref="CY90">OptionVega($CT90,$B$2,CY$82,$B$3,$CU$81,0)</f>
        <v>0.26630962333356745</v>
      </c>
      <c r="CZ90" s="1" cm="1">
        <f t="array" ref="CZ90">OptionVega($CT90,$B$2,CZ$82,$B$3,$CU$81,0)</f>
        <v>0.29266016170947762</v>
      </c>
      <c r="DA90" s="1" cm="1">
        <f t="array" ref="DA90">OptionVega($CT90,$B$2,DA$82,$B$3,$CU$81,0)</f>
        <v>0.31667848744818328</v>
      </c>
      <c r="DB90" s="1" cm="1">
        <f t="array" ref="DB90">OptionVega($CT90,$B$2,DB$82,$B$3,$CU$81,0)</f>
        <v>0.33885838808772822</v>
      </c>
      <c r="DC90" s="1" cm="1">
        <f t="array" ref="DC90">OptionVega($CT90,$B$2,DC$82,$B$3,$CU$81,0)</f>
        <v>0.35953924700853623</v>
      </c>
      <c r="DD90" s="1" cm="1">
        <f t="array" ref="DD90">OptionVega($CT90,$B$2,DD$82,$B$3,$CU$81,0)</f>
        <v>0.37896623822327197</v>
      </c>
      <c r="DE90" s="1" cm="1">
        <f t="array" ref="DE90">OptionVega($CT90,$B$2,DE$82,$B$3,$CU$81,0)</f>
        <v>0.53087335695806659</v>
      </c>
      <c r="DF90" s="1" cm="1">
        <f t="array" ref="DF90">OptionVega($CT90,$B$2,DF$82,$B$3,$CU$81,0)</f>
        <v>0.6409084385653474</v>
      </c>
      <c r="DG90" s="1" cm="1">
        <f t="array" ref="DG90">OptionVega($CT90,$B$2,DG$82,$B$3,$CU$81,0)</f>
        <v>0.72861111689327818</v>
      </c>
      <c r="DH90" s="1" cm="1">
        <f t="array" ref="DH90">OptionVega($CT90,$B$2,DH$82,$B$3,$CU$81,0)</f>
        <v>0.80162201705931713</v>
      </c>
      <c r="DQ90" s="130"/>
      <c r="DR90" s="14">
        <v>95</v>
      </c>
      <c r="DS90" s="1" cm="1">
        <f t="array" ref="DS90">OptionRho("P",$DR90,$B$2,DS$82,$B$3,$DS$81,0)</f>
        <v>-7.1750558994645955E-2</v>
      </c>
      <c r="DT90" s="1" cm="1">
        <f t="array" ref="DT90">OptionRho("P",$DR90,$B$2,DT$82,$B$3,$DS$81,0)</f>
        <v>-0.13333997377192364</v>
      </c>
      <c r="DU90" s="1" cm="1">
        <f t="array" ref="DU90">OptionRho("P",$DR90,$B$2,DU$82,$B$3,$DS$81,0)</f>
        <v>-0.19338834480645484</v>
      </c>
      <c r="DV90" s="1" cm="1">
        <f t="array" ref="DV90">OptionRho("P",$DR90,$B$2,DV$82,$B$3,$DS$81,0)</f>
        <v>-0.25283630479182273</v>
      </c>
      <c r="DW90" s="1" cm="1">
        <f t="array" ref="DW90">OptionRho("P",$DR90,$B$2,DW$82,$B$3,$DS$81,0)</f>
        <v>-0.31200732377082802</v>
      </c>
      <c r="DX90" s="1" cm="1">
        <f t="array" ref="DX90">OptionRho("P",$DR90,$B$2,DX$82,$B$3,$DS$81,0)</f>
        <v>-0.37104981227197853</v>
      </c>
      <c r="DY90" s="1" cm="1">
        <f t="array" ref="DY90">OptionRho("P",$DR90,$B$2,DY$82,$B$3,$DS$81,0)</f>
        <v>-0.43004230654885534</v>
      </c>
      <c r="DZ90" s="1" cm="1">
        <f t="array" ref="DZ90">OptionRho("P",$DR90,$B$2,DZ$82,$B$3,$DS$81,0)</f>
        <v>-0.48902993481693979</v>
      </c>
      <c r="EA90" s="1" cm="1">
        <f t="array" ref="EA90">OptionRho("P",$DR90,$B$2,EA$82,$B$3,$DS$81,0)</f>
        <v>-0.54803992710897975</v>
      </c>
      <c r="EB90" s="1" cm="1">
        <f t="array" ref="EB90">OptionRho("P",$DR90,$B$2,EB$82,$B$3,$DS$81,0)</f>
        <v>-0.60708914287474702</v>
      </c>
      <c r="EC90" s="1" cm="1">
        <f t="array" ref="EC90">OptionRho("P",$DR90,$B$2,EC$82,$B$3,$DS$81,0)</f>
        <v>-1.200781034883954</v>
      </c>
      <c r="ED90" s="1" cm="1">
        <f t="array" ref="ED90">OptionRho("P",$DR90,$B$2,ED$82,$B$3,$DS$81,0)</f>
        <v>-1.7998214198901894</v>
      </c>
      <c r="EE90" s="1" cm="1">
        <f t="array" ref="EE90">OptionRho("P",$DR90,$B$2,EE$82,$B$3,$DS$81,0)</f>
        <v>-2.4022399761725204</v>
      </c>
      <c r="EF90" s="1" cm="1">
        <f t="array" ref="EF90">OptionRho("P",$DR90,$B$2,EF$82,$B$3,$DS$81,0)</f>
        <v>-3.0062131035960546</v>
      </c>
    </row>
    <row r="91" spans="1:136" x14ac:dyDescent="0.2">
      <c r="A91" s="133"/>
      <c r="B91" s="14">
        <v>100</v>
      </c>
      <c r="C91" s="1" cm="1">
        <f t="array" ref="C91">OptionPrice("P",$B91,$B$2,C$82,$B$3,$C$81,0)</f>
        <v>3.7316242147403571</v>
      </c>
      <c r="D91" s="1" cm="1">
        <f t="array" ref="D91">OptionPrice("P",$B91,$B$2,D$82,$B$3,$C$81,0)</f>
        <v>5.2437104622180257</v>
      </c>
      <c r="E91" s="1" cm="1">
        <f t="array" ref="E91">OptionPrice("P",$B91,$B$2,E$82,$B$3,$C$81,0)</f>
        <v>6.3894281560183472</v>
      </c>
      <c r="F91" s="1" cm="1">
        <f t="array" ref="F91">OptionPrice("P",$B91,$B$2,F$82,$B$3,$C$81,0)</f>
        <v>7.3450434518304775</v>
      </c>
      <c r="G91" s="1" cm="1">
        <f t="array" ref="G91">OptionPrice("P",$B91,$B$2,G$82,$B$3,$C$81,0)</f>
        <v>8.1788934816042484</v>
      </c>
      <c r="H91" s="1" cm="1">
        <f t="array" ref="H91">OptionPrice("P",$B91,$B$2,H$82,$B$3,$C$81,0)</f>
        <v>8.9260562475533334</v>
      </c>
      <c r="I91" s="1" cm="1">
        <f t="array" ref="I91">OptionPrice("P",$B91,$B$2,I$82,$B$3,$C$81,0)</f>
        <v>9.6073876317319531</v>
      </c>
      <c r="J91" s="1" cm="1">
        <f t="array" ref="J91">OptionPrice("P",$B91,$B$2,J$82,$B$3,$C$81,0)</f>
        <v>10.236488042085007</v>
      </c>
      <c r="K91" s="1" cm="1">
        <f t="array" ref="K91">OptionPrice("P",$B91,$B$2,K$82,$B$3,$C$81,0)</f>
        <v>10.82281244369878</v>
      </c>
      <c r="L91" s="1" cm="1">
        <f t="array" ref="L91">OptionPrice("P",$B91,$B$2,L$82,$B$3,$C$81,0)</f>
        <v>11.373250838700876</v>
      </c>
      <c r="M91" s="1" cm="1">
        <f t="array" ref="M91">OptionPrice("P",$B91,$B$2,M$82,$B$3,$C$81,0)</f>
        <v>15.661405372993883</v>
      </c>
      <c r="N91" s="1" cm="1">
        <f t="array" ref="N91">OptionPrice("P",$B91,$B$2,N$82,$B$3,$C$81,0)</f>
        <v>18.75104119251403</v>
      </c>
      <c r="O91" s="1" cm="1">
        <f t="array" ref="O91">OptionPrice("P",$B91,$B$2,O$82,$B$3,$C$81,0)</f>
        <v>21.209247081841326</v>
      </c>
      <c r="P91" s="1" cm="1">
        <f t="array" ref="P91">OptionPrice("P",$B91,$B$2,P$82,$B$3,$C$81,0)</f>
        <v>23.257849443691889</v>
      </c>
      <c r="Y91" s="136"/>
      <c r="Z91" s="14">
        <v>100</v>
      </c>
      <c r="AA91" s="1" cm="1">
        <f t="array" ref="AA91">OptionDelta("P",$Z91,$B$2,AA$82,$B$3,$AA$81,0)</f>
        <v>-0.47688423504863664</v>
      </c>
      <c r="AB91" s="1" cm="1">
        <f t="array" ref="AB91">OptionDelta("P",$Z91,$B$2,AB$82,$B$3,$AA$81,0)</f>
        <v>-0.46732766707817819</v>
      </c>
      <c r="AC91" s="1" cm="1">
        <f t="array" ref="AC91">OptionDelta("P",$Z91,$B$2,AC$82,$B$3,$AA$81,0)</f>
        <v>-0.46000711241294456</v>
      </c>
      <c r="AD91" s="1" cm="1">
        <f t="array" ref="AD91">OptionDelta("P",$Z91,$B$2,AD$82,$B$3,$AA$81,0)</f>
        <v>-0.45384601264142221</v>
      </c>
      <c r="AE91" s="1" cm="1">
        <f t="array" ref="AE91">OptionDelta("P",$Z91,$B$2,AE$82,$B$3,$AA$81,0)</f>
        <v>-0.44842711362451881</v>
      </c>
      <c r="AF91" s="1" cm="1">
        <f t="array" ref="AF91">OptionDelta("P",$Z91,$B$2,AF$82,$B$3,$AA$81,0)</f>
        <v>-0.44353629460817168</v>
      </c>
      <c r="AG91" s="1" cm="1">
        <f t="array" ref="AG91">OptionDelta("P",$Z91,$B$2,AG$82,$B$3,$AA$81,0)</f>
        <v>-0.43904628326616701</v>
      </c>
      <c r="AH91" s="1" cm="1">
        <f t="array" ref="AH91">OptionDelta("P",$Z91,$B$2,AH$82,$B$3,$AA$81,0)</f>
        <v>-0.43487410610469346</v>
      </c>
      <c r="AI91" s="1" cm="1">
        <f t="array" ref="AI91">OptionDelta("P",$Z91,$B$2,AI$82,$B$3,$AA$81,0)</f>
        <v>-0.43096209583856271</v>
      </c>
      <c r="AJ91" s="1" cm="1">
        <f t="array" ref="AJ91">OptionDelta("P",$Z91,$B$2,AJ$82,$B$3,$AA$81,0)</f>
        <v>-0.42726824069695946</v>
      </c>
      <c r="AK91" s="1" cm="1">
        <f t="array" ref="AK91">OptionDelta("P",$Z91,$B$2,AK$82,$B$3,$AA$81,0)</f>
        <v>-0.39771250319529661</v>
      </c>
      <c r="AL91" s="1" cm="1">
        <f t="array" ref="AL91">OptionDelta("P",$Z91,$B$2,AL$82,$B$3,$AA$81,0)</f>
        <v>-0.37541594204455841</v>
      </c>
      <c r="AM91" s="1" cm="1">
        <f t="array" ref="AM91">OptionDelta("P",$Z91,$B$2,AM$82,$B$3,$AA$81,0)</f>
        <v>-0.35693383673749857</v>
      </c>
      <c r="AN91" s="1" cm="1">
        <f t="array" ref="AN91">OptionDelta("P",$Z91,$B$2,AN$82,$B$3,$AA$81,0)</f>
        <v>-0.34092285507232256</v>
      </c>
      <c r="AW91" s="139"/>
      <c r="AX91" s="14">
        <v>100</v>
      </c>
      <c r="AY91" s="1" cm="1">
        <f t="array" ref="AY91">OptionTheta("P",$AX91,$B$2,AY$82,$B$3,$AY$81,0)</f>
        <v>-5.3166901690558398E-2</v>
      </c>
      <c r="AZ91" s="1" cm="1">
        <f t="array" ref="AZ91">OptionTheta("P",$AX91,$B$2,AZ$82,$B$3,$AY$81,0)</f>
        <v>-3.7961085877947935E-2</v>
      </c>
      <c r="BA91" s="1" cm="1">
        <f t="array" ref="BA91">OptionTheta("P",$AX91,$B$2,BA$82,$B$3,$AY$81,0)</f>
        <v>-3.1217648413626151E-2</v>
      </c>
      <c r="BB91" s="1" cm="1">
        <f t="array" ref="BB91">OptionTheta("P",$AX91,$B$2,BB$82,$B$3,$AY$81,0)</f>
        <v>-2.719356915301414E-2</v>
      </c>
      <c r="BC91" s="1" cm="1">
        <f t="array" ref="BC91">OptionTheta("P",$AX91,$B$2,BC$82,$B$3,$AY$81,0)</f>
        <v>-2.4444510514490304E-2</v>
      </c>
      <c r="BD91" s="1" cm="1">
        <f t="array" ref="BD91">OptionTheta("P",$AX91,$B$2,BD$82,$B$3,$AY$81,0)</f>
        <v>-2.241307860004893E-2</v>
      </c>
      <c r="BE91" s="1" cm="1">
        <f t="array" ref="BE91">OptionTheta("P",$AX91,$B$2,BE$82,$B$3,$AY$81,0)</f>
        <v>-2.0832551779675485E-2</v>
      </c>
      <c r="BF91" s="1" cm="1">
        <f t="array" ref="BF91">OptionTheta("P",$AX91,$B$2,BF$82,$B$3,$AY$81,0)</f>
        <v>-1.9557141895031962E-2</v>
      </c>
      <c r="BG91" s="1" cm="1">
        <f t="array" ref="BG91">OptionTheta("P",$AX91,$B$2,BG$82,$B$3,$AY$81,0)</f>
        <v>-1.8499543727220395E-2</v>
      </c>
      <c r="BH91" s="1" cm="1">
        <f t="array" ref="BH91">OptionTheta("P",$AX91,$B$2,BH$82,$B$3,$AY$81,0)</f>
        <v>-1.7603859125808106E-2</v>
      </c>
      <c r="BI91" s="1" cm="1">
        <f t="array" ref="BI91">OptionTheta("P",$AX91,$B$2,BI$82,$B$3,$AY$81,0)</f>
        <v>-1.2728463618794253E-2</v>
      </c>
      <c r="BJ91" s="1" cm="1">
        <f t="array" ref="BJ91">OptionTheta("P",$AX91,$B$2,BJ$82,$B$3,$AY$81,0)</f>
        <v>-1.0542463830339594E-2</v>
      </c>
      <c r="BK91" s="1" cm="1">
        <f t="array" ref="BK91">OptionTheta("P",$AX91,$B$2,BK$82,$B$3,$AY$81,0)</f>
        <v>-9.2234831742763722E-3</v>
      </c>
      <c r="BL91" s="1" cm="1">
        <f t="array" ref="BL91">OptionTheta("P",$AX91,$B$2,BL$82,$B$3,$AY$81,0)</f>
        <v>-8.3123348411768914E-3</v>
      </c>
      <c r="BU91" s="142"/>
      <c r="BV91" s="14">
        <v>100</v>
      </c>
      <c r="BW91" s="1" cm="1">
        <f t="array" ref="BW91">OptionGamma($BV91,$B$2,BW$82,$B$3,$BW$81,0)</f>
        <v>4.1981596977461719E-2</v>
      </c>
      <c r="BX91" s="1" cm="1">
        <f t="array" ref="BX91">OptionGamma($BV91,$B$2,BX$82,$B$3,$BW$81,0)</f>
        <v>2.963562571944587E-2</v>
      </c>
      <c r="BY91" s="1" cm="1">
        <f t="array" ref="BY91">OptionGamma($BV91,$B$2,BY$82,$B$3,$BW$81,0)</f>
        <v>2.4156756171112039E-2</v>
      </c>
      <c r="BZ91" s="1" cm="1">
        <f t="array" ref="BZ91">OptionGamma($BV91,$B$2,BZ$82,$B$3,$BW$81,0)</f>
        <v>2.0885236208200961E-2</v>
      </c>
      <c r="CA91" s="1" cm="1">
        <f t="array" ref="CA91">OptionGamma($BV91,$B$2,CA$82,$B$3,$BW$81,0)</f>
        <v>1.8648956198552002E-2</v>
      </c>
      <c r="CB91" s="1" cm="1">
        <f t="array" ref="CB91">OptionGamma($BV91,$B$2,CB$82,$B$3,$BW$81,0)</f>
        <v>1.6995504070964788E-2</v>
      </c>
      <c r="CC91" s="1" cm="1">
        <f t="array" ref="CC91">OptionGamma($BV91,$B$2,CC$82,$B$3,$BW$81,0)</f>
        <v>1.5708358311106813E-2</v>
      </c>
      <c r="CD91" s="1" cm="1">
        <f t="array" ref="CD91">OptionGamma($BV91,$B$2,CD$82,$B$3,$BW$81,0)</f>
        <v>1.4669150678135831E-2</v>
      </c>
      <c r="CE91" s="1" cm="1">
        <f t="array" ref="CE91">OptionGamma($BV91,$B$2,CE$82,$B$3,$BW$81,0)</f>
        <v>1.38069849781331E-2</v>
      </c>
      <c r="CF91" s="1" cm="1">
        <f t="array" ref="CF91">OptionGamma($BV91,$B$2,CF$82,$B$3,$BW$81,0)</f>
        <v>1.3076461848524422E-2</v>
      </c>
      <c r="CG91" s="1" cm="1">
        <f t="array" ref="CG91">OptionGamma($BV91,$B$2,CG$82,$B$3,$BW$81,0)</f>
        <v>9.092361475410371E-3</v>
      </c>
      <c r="CH91" s="1" cm="1">
        <f t="array" ref="CH91">OptionGamma($BV91,$B$2,CH$82,$B$3,$BW$81,0)</f>
        <v>7.3001620980094519E-3</v>
      </c>
      <c r="CI91" s="1" cm="1">
        <f t="array" ref="CI91">OptionGamma($BV91,$B$2,CI$82,$B$3,$BW$81,0)</f>
        <v>6.2167667801221425E-3</v>
      </c>
      <c r="CJ91" s="1" cm="1">
        <f t="array" ref="CJ91">OptionGamma($BV91,$B$2,CJ$82,$B$3,$BW$81,0)</f>
        <v>5.4677797056007201E-3</v>
      </c>
      <c r="CS91" s="145"/>
      <c r="CT91" s="14">
        <v>100</v>
      </c>
      <c r="CU91" s="1" cm="1">
        <f t="array" ref="CU91">OptionVega($CT91,$B$2,CU$82,$B$3,$CU$81,0)</f>
        <v>0.12594479093238517</v>
      </c>
      <c r="CV91" s="1" cm="1">
        <f t="array" ref="CV91">OptionVega($CT91,$B$2,CV$82,$B$3,$CU$81,0)</f>
        <v>0.17781375431667518</v>
      </c>
      <c r="CW91" s="1" cm="1">
        <f t="array" ref="CW91">OptionVega($CT91,$B$2,CW$82,$B$3,$CU$81,0)</f>
        <v>0.21741080554000833</v>
      </c>
      <c r="CX91" s="1" cm="1">
        <f t="array" ref="CX91">OptionVega($CT91,$B$2,CX$82,$B$3,$CU$81,0)</f>
        <v>0.25062283449841155</v>
      </c>
      <c r="CY91" s="1" cm="1">
        <f t="array" ref="CY91">OptionVega($CT91,$B$2,CY$82,$B$3,$CU$81,0)</f>
        <v>0.27973434297828004</v>
      </c>
      <c r="CZ91" s="1" cm="1">
        <f t="array" ref="CZ91">OptionVega($CT91,$B$2,CZ$82,$B$3,$CU$81,0)</f>
        <v>0.30591907327736617</v>
      </c>
      <c r="DA91" s="1" cm="1">
        <f t="array" ref="DA91">OptionVega($CT91,$B$2,DA$82,$B$3,$CU$81,0)</f>
        <v>0.32987552453324309</v>
      </c>
      <c r="DB91" s="1" cm="1">
        <f t="array" ref="DB91">OptionVega($CT91,$B$2,DB$82,$B$3,$CU$81,0)</f>
        <v>0.35205961627525989</v>
      </c>
      <c r="DC91" s="1" cm="1">
        <f t="array" ref="DC91">OptionVega($CT91,$B$2,DC$82,$B$3,$CU$81,0)</f>
        <v>0.37278859440959367</v>
      </c>
      <c r="DD91" s="1" cm="1">
        <f t="array" ref="DD91">OptionVega($CT91,$B$2,DD$82,$B$3,$CU$81,0)</f>
        <v>0.39229385545573264</v>
      </c>
      <c r="DE91" s="1" cm="1">
        <f t="array" ref="DE91">OptionVega($CT91,$B$2,DE$82,$B$3,$CU$81,0)</f>
        <v>0.54554168852462226</v>
      </c>
      <c r="DF91" s="1" cm="1">
        <f t="array" ref="DF91">OptionVega($CT91,$B$2,DF$82,$B$3,$CU$81,0)</f>
        <v>0.65701458882085051</v>
      </c>
      <c r="DG91" s="1" cm="1">
        <f t="array" ref="DG91">OptionVega($CT91,$B$2,DG$82,$B$3,$CU$81,0)</f>
        <v>0.74601201361465708</v>
      </c>
      <c r="DH91" s="1" cm="1">
        <f t="array" ref="DH91">OptionVega($CT91,$B$2,DH$82,$B$3,$CU$81,0)</f>
        <v>0.8201669558401079</v>
      </c>
      <c r="DQ91" s="130"/>
      <c r="DR91" s="14">
        <v>100</v>
      </c>
      <c r="DS91" s="1" cm="1">
        <f t="array" ref="DS91">OptionRho("P",$DR91,$B$2,DS$82,$B$3,$DS$81,0)</f>
        <v>-5.1420047719604019E-2</v>
      </c>
      <c r="DT91" s="1" cm="1">
        <f t="array" ref="DT91">OptionRho("P",$DR91,$B$2,DT$82,$B$3,$DS$81,0)</f>
        <v>-0.10395295434007169</v>
      </c>
      <c r="DU91" s="1" cm="1">
        <f t="array" ref="DU91">OptionRho("P",$DR91,$B$2,DU$82,$B$3,$DS$81,0)</f>
        <v>-0.15717041819193842</v>
      </c>
      <c r="DV91" s="1" cm="1">
        <f t="array" ref="DV91">OptionRho("P",$DR91,$B$2,DV$82,$B$3,$DS$81,0)</f>
        <v>-0.21091857886389082</v>
      </c>
      <c r="DW91" s="1" cm="1">
        <f t="array" ref="DW91">OptionRho("P",$DR91,$B$2,DW$82,$B$3,$DS$81,0)</f>
        <v>-0.26510802422028057</v>
      </c>
      <c r="DX91" s="1" cm="1">
        <f t="array" ref="DX91">OptionRho("P",$DR91,$B$2,DX$82,$B$3,$DS$81,0)</f>
        <v>-0.31967811425022302</v>
      </c>
      <c r="DY91" s="1" cm="1">
        <f t="array" ref="DY91">OptionRho("P",$DR91,$B$2,DY$82,$B$3,$DS$81,0)</f>
        <v>-0.37458411170844053</v>
      </c>
      <c r="DZ91" s="1" cm="1">
        <f t="array" ref="DZ91">OptionRho("P",$DR91,$B$2,DZ$82,$B$3,$DS$81,0)</f>
        <v>-0.42979118922043497</v>
      </c>
      <c r="EA91" s="1" cm="1">
        <f t="array" ref="EA91">OptionRho("P",$DR91,$B$2,EA$82,$B$3,$DS$81,0)</f>
        <v>-0.48527119824799547</v>
      </c>
      <c r="EB91" s="1" cm="1">
        <f t="array" ref="EB91">OptionRho("P",$DR91,$B$2,EB$82,$B$3,$DS$81,0)</f>
        <v>-0.54100074908396822</v>
      </c>
      <c r="EC91" s="1" cm="1">
        <f t="array" ref="EC91">OptionRho("P",$DR91,$B$2,EC$82,$B$3,$DS$81,0)</f>
        <v>-1.1086531138504709</v>
      </c>
      <c r="ED91" s="1" cm="1">
        <f t="array" ref="ED91">OptionRho("P",$DR91,$B$2,ED$82,$B$3,$DS$81,0)</f>
        <v>-1.6887790619090959</v>
      </c>
      <c r="EE91" s="1" cm="1">
        <f t="array" ref="EE91">OptionRho("P",$DR91,$B$2,EE$82,$B$3,$DS$81,0)</f>
        <v>-2.2761052302236475</v>
      </c>
      <c r="EF91" s="1" cm="1">
        <f t="array" ref="EF91">OptionRho("P",$DR91,$B$2,EF$82,$B$3,$DS$81,0)</f>
        <v>-2.8675067475462073</v>
      </c>
    </row>
    <row r="92" spans="1:136" x14ac:dyDescent="0.2">
      <c r="A92" s="133"/>
      <c r="B92" s="14">
        <v>105</v>
      </c>
      <c r="C92" s="1" cm="1">
        <f t="array" ref="C92">OptionPrice("P",$B92,$B$2,C$82,$B$3,$C$81,0)</f>
        <v>1.8473670612081428</v>
      </c>
      <c r="D92" s="1" cm="1">
        <f t="array" ref="D92">OptionPrice("P",$B92,$B$2,D$82,$B$3,$C$81,0)</f>
        <v>3.2639649948754936</v>
      </c>
      <c r="E92" s="1" cm="1">
        <f t="array" ref="E92">OptionPrice("P",$B92,$B$2,E$82,$B$3,$C$81,0)</f>
        <v>4.3813605134567837</v>
      </c>
      <c r="F92" s="1" cm="1">
        <f t="array" ref="F92">OptionPrice("P",$B92,$B$2,F$82,$B$3,$C$81,0)</f>
        <v>5.3286996961612729</v>
      </c>
      <c r="G92" s="1" cm="1">
        <f t="array" ref="G92">OptionPrice("P",$B92,$B$2,G$82,$B$3,$C$81,0)</f>
        <v>6.1628134084461266</v>
      </c>
      <c r="H92" s="1" cm="1">
        <f t="array" ref="H92">OptionPrice("P",$B92,$B$2,H$82,$B$3,$C$81,0)</f>
        <v>6.9145380976901336</v>
      </c>
      <c r="I92" s="1" cm="1">
        <f t="array" ref="I92">OptionPrice("P",$B92,$B$2,I$82,$B$3,$C$81,0)</f>
        <v>7.6028052683302931</v>
      </c>
      <c r="J92" s="1" cm="1">
        <f t="array" ref="J92">OptionPrice("P",$B92,$B$2,J$82,$B$3,$C$81,0)</f>
        <v>8.2402236158937399</v>
      </c>
      <c r="K92" s="1" cm="1">
        <f t="array" ref="K92">OptionPrice("P",$B92,$B$2,K$82,$B$3,$C$81,0)</f>
        <v>8.8356911132559617</v>
      </c>
      <c r="L92" s="1" cm="1">
        <f t="array" ref="L92">OptionPrice("P",$B92,$B$2,L$82,$B$3,$C$81,0)</f>
        <v>9.3957651213063329</v>
      </c>
      <c r="M92" s="1" cm="1">
        <f t="array" ref="M92">OptionPrice("P",$B92,$B$2,M$82,$B$3,$C$81,0)</f>
        <v>13.783420027962549</v>
      </c>
      <c r="N92" s="1" cm="1">
        <f t="array" ref="N92">OptionPrice("P",$B92,$B$2,N$82,$B$3,$C$81,0)</f>
        <v>16.962775268879099</v>
      </c>
      <c r="O92" s="1" cm="1">
        <f t="array" ref="O92">OptionPrice("P",$B92,$B$2,O$82,$B$3,$C$81,0)</f>
        <v>19.500224955691245</v>
      </c>
      <c r="P92" s="1" cm="1">
        <f t="array" ref="P92">OptionPrice("P",$B92,$B$2,P$82,$B$3,$C$81,0)</f>
        <v>21.619775694695356</v>
      </c>
      <c r="Y92" s="136"/>
      <c r="Z92" s="14">
        <v>105</v>
      </c>
      <c r="AA92" s="1" cm="1">
        <f t="array" ref="AA92">OptionDelta("P",$Z92,$B$2,AA$82,$B$3,$AA$81,0)</f>
        <v>-0.28357001703173512</v>
      </c>
      <c r="AB92" s="1" cm="1">
        <f t="array" ref="AB92">OptionDelta("P",$Z92,$B$2,AB$82,$B$3,$AA$81,0)</f>
        <v>-0.32792519835401701</v>
      </c>
      <c r="AC92" s="1" cm="1">
        <f t="array" ref="AC92">OptionDelta("P",$Z92,$B$2,AC$82,$B$3,$AA$81,0)</f>
        <v>-0.34555716588791241</v>
      </c>
      <c r="AD92" s="1" cm="1">
        <f t="array" ref="AD92">OptionDelta("P",$Z92,$B$2,AD$82,$B$3,$AA$81,0)</f>
        <v>-0.35453815378573783</v>
      </c>
      <c r="AE92" s="1" cm="1">
        <f t="array" ref="AE92">OptionDelta("P",$Z92,$B$2,AE$82,$B$3,$AA$81,0)</f>
        <v>-0.35955994735600627</v>
      </c>
      <c r="AF92" s="1" cm="1">
        <f t="array" ref="AF92">OptionDelta("P",$Z92,$B$2,AF$82,$B$3,$AA$81,0)</f>
        <v>-0.3624308207054423</v>
      </c>
      <c r="AG92" s="1" cm="1">
        <f t="array" ref="AG92">OptionDelta("P",$Z92,$B$2,AG$82,$B$3,$AA$81,0)</f>
        <v>-0.36400558258912941</v>
      </c>
      <c r="AH92" s="1" cm="1">
        <f t="array" ref="AH92">OptionDelta("P",$Z92,$B$2,AH$82,$B$3,$AA$81,0)</f>
        <v>-0.36474330915224362</v>
      </c>
      <c r="AI92" s="1" cm="1">
        <f t="array" ref="AI92">OptionDelta("P",$Z92,$B$2,AI$82,$B$3,$AA$81,0)</f>
        <v>-0.36491321269559851</v>
      </c>
      <c r="AJ92" s="1" cm="1">
        <f t="array" ref="AJ92">OptionDelta("P",$Z92,$B$2,AJ$82,$B$3,$AA$81,0)</f>
        <v>-0.36468367724410999</v>
      </c>
      <c r="AK92" s="1" cm="1">
        <f t="array" ref="AK92">OptionDelta("P",$Z92,$B$2,AK$82,$B$3,$AA$81,0)</f>
        <v>-0.35410097844860078</v>
      </c>
      <c r="AL92" s="1" cm="1">
        <f t="array" ref="AL92">OptionDelta("P",$Z92,$B$2,AL$82,$B$3,$AA$81,0)</f>
        <v>-0.34037519782795722</v>
      </c>
      <c r="AM92" s="1" cm="1">
        <f t="array" ref="AM92">OptionDelta("P",$Z92,$B$2,AM$82,$B$3,$AA$81,0)</f>
        <v>-0.32708251377171815</v>
      </c>
      <c r="AN92" s="1" cm="1">
        <f t="array" ref="AN92">OptionDelta("P",$Z92,$B$2,AN$82,$B$3,$AA$81,0)</f>
        <v>-0.31466223641772739</v>
      </c>
      <c r="AW92" s="139"/>
      <c r="AX92" s="14">
        <v>105</v>
      </c>
      <c r="AY92" s="1" cm="1">
        <f t="array" ref="AY92">OptionTheta("P",$AX92,$B$2,AY$82,$B$3,$AY$81,0)</f>
        <v>-4.7081464790796758E-2</v>
      </c>
      <c r="AZ92" s="1" cm="1">
        <f t="array" ref="AZ92">OptionTheta("P",$AX92,$B$2,AZ$82,$B$3,$AY$81,0)</f>
        <v>-3.5887085071293796E-2</v>
      </c>
      <c r="BA92" s="1" cm="1">
        <f t="array" ref="BA92">OptionTheta("P",$AX92,$B$2,BA$82,$B$3,$AY$81,0)</f>
        <v>-3.0157913993785503E-2</v>
      </c>
      <c r="BB92" s="1" cm="1">
        <f t="array" ref="BB92">OptionTheta("P",$AX92,$B$2,BB$82,$B$3,$AY$81,0)</f>
        <v>-2.6554602974384736E-2</v>
      </c>
      <c r="BC92" s="1" cm="1">
        <f t="array" ref="BC92">OptionTheta("P",$AX92,$B$2,BC$82,$B$3,$AY$81,0)</f>
        <v>-2.4023816247406422E-2</v>
      </c>
      <c r="BD92" s="1" cm="1">
        <f t="array" ref="BD92">OptionTheta("P",$AX92,$B$2,BD$82,$B$3,$AY$81,0)</f>
        <v>-2.212123321464014E-2</v>
      </c>
      <c r="BE92" s="1" cm="1">
        <f t="array" ref="BE92">OptionTheta("P",$AX92,$B$2,BE$82,$B$3,$AY$81,0)</f>
        <v>-2.0623478187417936E-2</v>
      </c>
      <c r="BF92" s="1" cm="1">
        <f t="array" ref="BF92">OptionTheta("P",$AX92,$B$2,BF$82,$B$3,$AY$81,0)</f>
        <v>-1.9404508788504027E-2</v>
      </c>
      <c r="BG92" s="1" cm="1">
        <f t="array" ref="BG92">OptionTheta("P",$AX92,$B$2,BG$82,$B$3,$AY$81,0)</f>
        <v>-1.8387139627239556E-2</v>
      </c>
      <c r="BH92" s="1" cm="1">
        <f t="array" ref="BH92">OptionTheta("P",$AX92,$B$2,BH$82,$B$3,$AY$81,0)</f>
        <v>-1.7521124953687829E-2</v>
      </c>
      <c r="BI92" s="1" cm="1">
        <f t="array" ref="BI92">OptionTheta("P",$AX92,$B$2,BI$82,$B$3,$AY$81,0)</f>
        <v>-1.2745464870043022E-2</v>
      </c>
      <c r="BJ92" s="1" cm="1">
        <f t="array" ref="BJ92">OptionTheta("P",$AX92,$B$2,BJ$82,$B$3,$AY$81,0)</f>
        <v>-1.0576148146805823E-2</v>
      </c>
      <c r="BK92" s="1" cm="1">
        <f t="array" ref="BK92">OptionTheta("P",$AX92,$B$2,BK$82,$B$3,$AY$81,0)</f>
        <v>-9.2607131217351847E-3</v>
      </c>
      <c r="BL92" s="1" cm="1">
        <f t="array" ref="BL92">OptionTheta("P",$AX92,$B$2,BL$82,$B$3,$AY$81,0)</f>
        <v>-8.3495924672006352E-3</v>
      </c>
      <c r="BU92" s="142"/>
      <c r="BV92" s="14">
        <v>105</v>
      </c>
      <c r="BW92" s="1" cm="1">
        <f t="array" ref="BW92">OptionGamma($BV92,$B$2,BW$82,$B$3,$BW$81,0)</f>
        <v>3.4000529020197359E-2</v>
      </c>
      <c r="BX92" s="1" cm="1">
        <f t="array" ref="BX92">OptionGamma($BV92,$B$2,BX$82,$B$3,$BW$81,0)</f>
        <v>2.5642378317564656E-2</v>
      </c>
      <c r="BY92" s="1" cm="1">
        <f t="array" ref="BY92">OptionGamma($BV92,$B$2,BY$82,$B$3,$BW$81,0)</f>
        <v>2.1367578691690262E-2</v>
      </c>
      <c r="BZ92" s="1" cm="1">
        <f t="array" ref="BZ92">OptionGamma($BV92,$B$2,BZ$82,$B$3,$BW$81,0)</f>
        <v>1.8678514542129088E-2</v>
      </c>
      <c r="CA92" s="1" cm="1">
        <f t="array" ref="CA92">OptionGamma($BV92,$B$2,CA$82,$B$3,$BW$81,0)</f>
        <v>1.6789169768697557E-2</v>
      </c>
      <c r="CB92" s="1" cm="1">
        <f t="array" ref="CB92">OptionGamma($BV92,$B$2,CB$82,$B$3,$BW$81,0)</f>
        <v>1.5368208376167369E-2</v>
      </c>
      <c r="CC92" s="1" cm="1">
        <f t="array" ref="CC92">OptionGamma($BV92,$B$2,CC$82,$B$3,$BW$81,0)</f>
        <v>1.4249101786859477E-2</v>
      </c>
      <c r="CD92" s="1" cm="1">
        <f t="array" ref="CD92">OptionGamma($BV92,$B$2,CD$82,$B$3,$BW$81,0)</f>
        <v>1.3337894677823489E-2</v>
      </c>
      <c r="CE92" s="1" cm="1">
        <f t="array" ref="CE92">OptionGamma($BV92,$B$2,CE$82,$B$3,$BW$81,0)</f>
        <v>1.2577052515957671E-2</v>
      </c>
      <c r="CF92" s="1" cm="1">
        <f t="array" ref="CF92">OptionGamma($BV92,$B$2,CF$82,$B$3,$BW$81,0)</f>
        <v>1.1929120878360653E-2</v>
      </c>
      <c r="CG92" s="1" cm="1">
        <f t="array" ref="CG92">OptionGamma($BV92,$B$2,CG$82,$B$3,$BW$81,0)</f>
        <v>8.3496184427614972E-3</v>
      </c>
      <c r="CH92" s="1" cm="1">
        <f t="array" ref="CH92">OptionGamma($BV92,$B$2,CH$82,$B$3,$BW$81,0)</f>
        <v>6.7186139847336453E-3</v>
      </c>
      <c r="CI92" s="1" cm="1">
        <f t="array" ref="CI92">OptionGamma($BV92,$B$2,CI$82,$B$3,$BW$81,0)</f>
        <v>5.7278335105389287E-3</v>
      </c>
      <c r="CJ92" s="1" cm="1">
        <f t="array" ref="CJ92">OptionGamma($BV92,$B$2,CJ$82,$B$3,$BW$81,0)</f>
        <v>5.0410846970877594E-3</v>
      </c>
      <c r="CS92" s="145"/>
      <c r="CT92" s="14">
        <v>105</v>
      </c>
      <c r="CU92" s="1" cm="1">
        <f t="array" ref="CU92">OptionVega($CT92,$B$2,CU$82,$B$3,$CU$81,0)</f>
        <v>0.11245674973430275</v>
      </c>
      <c r="CV92" s="1" cm="1">
        <f t="array" ref="CV92">OptionVega($CT92,$B$2,CV$82,$B$3,$CU$81,0)</f>
        <v>0.16962433257069018</v>
      </c>
      <c r="CW92" s="1" cm="1">
        <f t="array" ref="CW92">OptionVega($CT92,$B$2,CW$82,$B$3,$CU$81,0)</f>
        <v>0.21201979956829659</v>
      </c>
      <c r="CX92" s="1" cm="1">
        <f t="array" ref="CX92">OptionVega($CT92,$B$2,CX$82,$B$3,$CU$81,0)</f>
        <v>0.24711674739236783</v>
      </c>
      <c r="CY92" s="1" cm="1">
        <f t="array" ref="CY92">OptionVega($CT92,$B$2,CY$82,$B$3,$CU$81,0)</f>
        <v>0.27765089504983587</v>
      </c>
      <c r="CZ92" s="1" cm="1">
        <f t="array" ref="CZ92">OptionVega($CT92,$B$2,CZ$82,$B$3,$CU$81,0)</f>
        <v>0.30498209522504149</v>
      </c>
      <c r="DA92" s="1" cm="1">
        <f t="array" ref="DA92">OptionVega($CT92,$B$2,DA$82,$B$3,$CU$81,0)</f>
        <v>0.32990232912026402</v>
      </c>
      <c r="DB92" s="1" cm="1">
        <f t="array" ref="DB92">OptionVega($CT92,$B$2,DB$82,$B$3,$CU$81,0)</f>
        <v>0.35292069317520947</v>
      </c>
      <c r="DC92" s="1" cm="1">
        <f t="array" ref="DC92">OptionVega($CT92,$B$2,DC$82,$B$3,$CU$81,0)</f>
        <v>0.37438741076876991</v>
      </c>
      <c r="DD92" s="1" cm="1">
        <f t="array" ref="DD92">OptionVega($CT92,$B$2,DD$82,$B$3,$CU$81,0)</f>
        <v>0.39455567305177863</v>
      </c>
      <c r="DE92" s="1" cm="1">
        <f t="array" ref="DE92">OptionVega($CT92,$B$2,DE$82,$B$3,$CU$81,0)</f>
        <v>0.55232725998867305</v>
      </c>
      <c r="DF92" s="1" cm="1">
        <f t="array" ref="DF92">OptionVega($CT92,$B$2,DF$82,$B$3,$CU$81,0)</f>
        <v>0.66665447263519584</v>
      </c>
      <c r="DG92" s="1" cm="1">
        <f t="array" ref="DG92">OptionVega($CT92,$B$2,DG$82,$B$3,$CU$81,0)</f>
        <v>0.75779237344430039</v>
      </c>
      <c r="DH92" s="1" cm="1">
        <f t="array" ref="DH92">OptionVega($CT92,$B$2,DH$82,$B$3,$CU$81,0)</f>
        <v>0.83366938178088823</v>
      </c>
      <c r="DQ92" s="130"/>
      <c r="DR92" s="14">
        <v>105</v>
      </c>
      <c r="DS92" s="1" cm="1">
        <f t="array" ref="DS92">OptionRho("P",$DR92,$B$2,DS$82,$B$3,$DS$81,0)</f>
        <v>-3.1622218849540334E-2</v>
      </c>
      <c r="DT92" s="1" cm="1">
        <f t="array" ref="DT92">OptionRho("P",$DR92,$B$2,DT$82,$B$3,$DS$81,0)</f>
        <v>-7.5392221644094565E-2</v>
      </c>
      <c r="DU92" s="1" cm="1">
        <f t="array" ref="DU92">OptionRho("P",$DR92,$B$2,DU$82,$B$3,$DS$81,0)</f>
        <v>-0.12199458879506278</v>
      </c>
      <c r="DV92" s="1" cm="1">
        <f t="array" ref="DV92">OptionRho("P",$DR92,$B$2,DV$82,$B$3,$DS$81,0)</f>
        <v>-0.17022082337465497</v>
      </c>
      <c r="DW92" s="1" cm="1">
        <f t="array" ref="DW92">OptionRho("P",$DR92,$B$2,DW$82,$B$3,$DS$81,0)</f>
        <v>-0.21958303940413396</v>
      </c>
      <c r="DX92" s="1" cm="1">
        <f t="array" ref="DX92">OptionRho("P",$DR92,$B$2,DX$82,$B$3,$DS$81,0)</f>
        <v>-0.26981864563056945</v>
      </c>
      <c r="DY92" s="1" cm="1">
        <f t="array" ref="DY92">OptionRho("P",$DR92,$B$2,DY$82,$B$3,$DS$81,0)</f>
        <v>-0.32076374008132214</v>
      </c>
      <c r="DZ92" s="1" cm="1">
        <f t="array" ref="DZ92">OptionRho("P",$DR92,$B$2,DZ$82,$B$3,$DS$81,0)</f>
        <v>-0.37230616861503463</v>
      </c>
      <c r="EA92" s="1" cm="1">
        <f t="array" ref="EA92">OptionRho("P",$DR92,$B$2,EA$82,$B$3,$DS$81,0)</f>
        <v>-0.42436420601664415</v>
      </c>
      <c r="EB92" s="1" cm="1">
        <f t="array" ref="EB92">OptionRho("P",$DR92,$B$2,EB$82,$B$3,$DS$81,0)</f>
        <v>-0.4768755123193788</v>
      </c>
      <c r="EC92" s="1" cm="1">
        <f t="array" ref="EC92">OptionRho("P",$DR92,$B$2,EC$82,$B$3,$DS$81,0)</f>
        <v>-1.0192804553013126</v>
      </c>
      <c r="ED92" s="1" cm="1">
        <f t="array" ref="ED92">OptionRho("P",$DR92,$B$2,ED$82,$B$3,$DS$81,0)</f>
        <v>-1.5810651312244381</v>
      </c>
      <c r="EE92" s="1" cm="1">
        <f t="array" ref="EE92">OptionRho("P",$DR92,$B$2,EE$82,$B$3,$DS$81,0)</f>
        <v>-2.1537555560688664</v>
      </c>
      <c r="EF92" s="1" cm="1">
        <f t="array" ref="EF92">OptionRho("P",$DR92,$B$2,EF$82,$B$3,$DS$81,0)</f>
        <v>-2.7329655259278365</v>
      </c>
    </row>
    <row r="93" spans="1:136" x14ac:dyDescent="0.2">
      <c r="A93" s="133"/>
      <c r="B93" s="14">
        <v>110</v>
      </c>
      <c r="C93" s="1" cm="1">
        <f t="array" ref="C93">OptionPrice("P",$B93,$B$2,C$82,$B$3,$C$81,0)</f>
        <v>0.80428297043632924</v>
      </c>
      <c r="D93" s="1" cm="1">
        <f t="array" ref="D93">OptionPrice("P",$B93,$B$2,D$82,$B$3,$C$81,0)</f>
        <v>1.9213282822513378</v>
      </c>
      <c r="E93" s="1" cm="1">
        <f t="array" ref="E93">OptionPrice("P",$B93,$B$2,E$82,$B$3,$C$81,0)</f>
        <v>2.9052634864003331</v>
      </c>
      <c r="F93" s="1" cm="1">
        <f t="array" ref="F93">OptionPrice("P",$B93,$B$2,F$82,$B$3,$C$81,0)</f>
        <v>3.7779020802732362</v>
      </c>
      <c r="G93" s="1" cm="1">
        <f t="array" ref="G93">OptionPrice("P",$B93,$B$2,G$82,$B$3,$C$81,0)</f>
        <v>4.5654868253577305</v>
      </c>
      <c r="H93" s="1" cm="1">
        <f t="array" ref="H93">OptionPrice("P",$B93,$B$2,H$82,$B$3,$C$81,0)</f>
        <v>5.2865196529870069</v>
      </c>
      <c r="I93" s="1" cm="1">
        <f t="array" ref="I93">OptionPrice("P",$B93,$B$2,I$82,$B$3,$C$81,0)</f>
        <v>5.9539233509215279</v>
      </c>
      <c r="J93" s="1" cm="1">
        <f t="array" ref="J93">OptionPrice("P",$B93,$B$2,J$82,$B$3,$C$81,0)</f>
        <v>6.5770037553768788</v>
      </c>
      <c r="K93" s="1" cm="1">
        <f t="array" ref="K93">OptionPrice("P",$B93,$B$2,K$82,$B$3,$C$81,0)</f>
        <v>7.1626835010921823</v>
      </c>
      <c r="L93" s="1" cm="1">
        <f t="array" ref="L93">OptionPrice("P",$B93,$B$2,L$82,$B$3,$C$81,0)</f>
        <v>7.7162624205700396</v>
      </c>
      <c r="M93" s="1" cm="1">
        <f t="array" ref="M93">OptionPrice("P",$B93,$B$2,M$82,$B$3,$C$81,0)</f>
        <v>12.11416947079838</v>
      </c>
      <c r="N93" s="1" cm="1">
        <f t="array" ref="N93">OptionPrice("P",$B93,$B$2,N$82,$B$3,$C$81,0)</f>
        <v>15.342515676537104</v>
      </c>
      <c r="O93" s="1" cm="1">
        <f t="array" ref="O93">OptionPrice("P",$B93,$B$2,O$82,$B$3,$C$81,0)</f>
        <v>17.93445319237324</v>
      </c>
      <c r="P93" s="1" cm="1">
        <f t="array" ref="P93">OptionPrice("P",$B93,$B$2,P$82,$B$3,$C$81,0)</f>
        <v>20.107787442368732</v>
      </c>
      <c r="Y93" s="136"/>
      <c r="Z93" s="14">
        <v>110</v>
      </c>
      <c r="AA93" s="1" cm="1">
        <f t="array" ref="AA93">OptionDelta("P",$Z93,$B$2,AA$82,$B$3,$AA$81,0)</f>
        <v>-0.14397429893497082</v>
      </c>
      <c r="AB93" s="1" cm="1">
        <f t="array" ref="AB93">OptionDelta("P",$Z93,$B$2,AB$82,$B$3,$AA$81,0)</f>
        <v>-0.21406685945973947</v>
      </c>
      <c r="AC93" s="1" cm="1">
        <f t="array" ref="AC93">OptionDelta("P",$Z93,$B$2,AC$82,$B$3,$AA$81,0)</f>
        <v>-0.24810817610949054</v>
      </c>
      <c r="AD93" s="1" cm="1">
        <f t="array" ref="AD93">OptionDelta("P",$Z93,$B$2,AD$82,$B$3,$AA$81,0)</f>
        <v>-0.2681957426118291</v>
      </c>
      <c r="AE93" s="1" cm="1">
        <f t="array" ref="AE93">OptionDelta("P",$Z93,$B$2,AE$82,$B$3,$AA$81,0)</f>
        <v>-0.28131727903685144</v>
      </c>
      <c r="AF93" s="1" cm="1">
        <f t="array" ref="AF93">OptionDelta("P",$Z93,$B$2,AF$82,$B$3,$AA$81,0)</f>
        <v>-0.29041967693435344</v>
      </c>
      <c r="AG93" s="1" cm="1">
        <f t="array" ref="AG93">OptionDelta("P",$Z93,$B$2,AG$82,$B$3,$AA$81,0)</f>
        <v>-0.29697784742910749</v>
      </c>
      <c r="AH93" s="1" cm="1">
        <f t="array" ref="AH93">OptionDelta("P",$Z93,$B$2,AH$82,$B$3,$AA$81,0)</f>
        <v>-0.30181817478322093</v>
      </c>
      <c r="AI93" s="1" cm="1">
        <f t="array" ref="AI93">OptionDelta("P",$Z93,$B$2,AI$82,$B$3,$AA$81,0)</f>
        <v>-0.30544231654306619</v>
      </c>
      <c r="AJ93" s="1" cm="1">
        <f t="array" ref="AJ93">OptionDelta("P",$Z93,$B$2,AJ$82,$B$3,$AA$81,0)</f>
        <v>-0.30817362101832413</v>
      </c>
      <c r="AK93" s="1" cm="1">
        <f t="array" ref="AK93">OptionDelta("P",$Z93,$B$2,AK$82,$B$3,$AA$81,0)</f>
        <v>-0.31422106223939261</v>
      </c>
      <c r="AL93" s="1" cm="1">
        <f t="array" ref="AL93">OptionDelta("P",$Z93,$B$2,AL$82,$B$3,$AA$81,0)</f>
        <v>-0.30819711245370862</v>
      </c>
      <c r="AM93" s="1" cm="1">
        <f t="array" ref="AM93">OptionDelta("P",$Z93,$B$2,AM$82,$B$3,$AA$81,0)</f>
        <v>-0.29961193101075256</v>
      </c>
      <c r="AN93" s="1" cm="1">
        <f t="array" ref="AN93">OptionDelta("P",$Z93,$B$2,AN$82,$B$3,$AA$81,0)</f>
        <v>-0.29046533054367063</v>
      </c>
      <c r="AW93" s="139"/>
      <c r="AX93" s="14">
        <v>110</v>
      </c>
      <c r="AY93" s="1" cm="1">
        <f t="array" ref="AY93">OptionTheta("P",$AX93,$B$2,AY$82,$B$3,$AY$81,0)</f>
        <v>-3.2882505212348916E-2</v>
      </c>
      <c r="AZ93" s="1" cm="1">
        <f t="array" ref="AZ93">OptionTheta("P",$AX93,$B$2,AZ$82,$B$3,$AY$81,0)</f>
        <v>-3.0158506291189109E-2</v>
      </c>
      <c r="BA93" s="1" cm="1">
        <f t="array" ref="BA93">OptionTheta("P",$AX93,$B$2,BA$82,$B$3,$AY$81,0)</f>
        <v>-2.6948764257055113E-2</v>
      </c>
      <c r="BB93" s="1" cm="1">
        <f t="array" ref="BB93">OptionTheta("P",$AX93,$B$2,BB$82,$B$3,$AY$81,0)</f>
        <v>-2.4465648975409482E-2</v>
      </c>
      <c r="BC93" s="1" cm="1">
        <f t="array" ref="BC93">OptionTheta("P",$AX93,$B$2,BC$82,$B$3,$AY$81,0)</f>
        <v>-2.2542204530891296E-2</v>
      </c>
      <c r="BD93" s="1" cm="1">
        <f t="array" ref="BD93">OptionTheta("P",$AX93,$B$2,BD$82,$B$3,$AY$81,0)</f>
        <v>-2.1010485353721235E-2</v>
      </c>
      <c r="BE93" s="1" cm="1">
        <f t="array" ref="BE93">OptionTheta("P",$AX93,$B$2,BE$82,$B$3,$AY$81,0)</f>
        <v>-1.9757921770085968E-2</v>
      </c>
      <c r="BF93" s="1" cm="1">
        <f t="array" ref="BF93">OptionTheta("P",$AX93,$B$2,BF$82,$B$3,$AY$81,0)</f>
        <v>-1.8710553199128836E-2</v>
      </c>
      <c r="BG93" s="1" cm="1">
        <f t="array" ref="BG93">OptionTheta("P",$AX93,$B$2,BG$82,$B$3,$AY$81,0)</f>
        <v>-1.7818534989544197E-2</v>
      </c>
      <c r="BH93" s="1" cm="1">
        <f t="array" ref="BH93">OptionTheta("P",$AX93,$B$2,BH$82,$B$3,$AY$81,0)</f>
        <v>-1.7047194723064183E-2</v>
      </c>
      <c r="BI93" s="1" cm="1">
        <f t="array" ref="BI93">OptionTheta("P",$AX93,$B$2,BI$82,$B$3,$AY$81,0)</f>
        <v>-1.2622041071819228E-2</v>
      </c>
      <c r="BJ93" s="1" cm="1">
        <f t="array" ref="BJ93">OptionTheta("P",$AX93,$B$2,BJ$82,$B$3,$AY$81,0)</f>
        <v>-1.0533401640780708E-2</v>
      </c>
      <c r="BK93" s="1" cm="1">
        <f t="array" ref="BK93">OptionTheta("P",$AX93,$B$2,BK$82,$B$3,$AY$81,0)</f>
        <v>-9.2484959771214677E-3</v>
      </c>
      <c r="BL93" s="1" cm="1">
        <f t="array" ref="BL93">OptionTheta("P",$AX93,$B$2,BL$82,$B$3,$AY$81,0)</f>
        <v>-8.3516645981479391E-3</v>
      </c>
      <c r="BU93" s="142"/>
      <c r="BV93" s="14">
        <v>110</v>
      </c>
      <c r="BW93" s="1" cm="1">
        <f t="array" ref="BW93">OptionGamma($BV93,$B$2,BW$82,$B$3,$BW$81,0)</f>
        <v>2.1736822486638243E-2</v>
      </c>
      <c r="BX93" s="1" cm="1">
        <f t="array" ref="BX93">OptionGamma($BV93,$B$2,BX$82,$B$3,$BW$81,0)</f>
        <v>1.9748701502398165E-2</v>
      </c>
      <c r="BY93" s="1" cm="1">
        <f t="array" ref="BY93">OptionGamma($BV93,$B$2,BY$82,$B$3,$BW$81,0)</f>
        <v>1.7510243021562306E-2</v>
      </c>
      <c r="BZ93" s="1" cm="1">
        <f t="array" ref="BZ93">OptionGamma($BV93,$B$2,BZ$82,$B$3,$BW$81,0)</f>
        <v>1.5789104753624824E-2</v>
      </c>
      <c r="CA93" s="1" cm="1">
        <f t="array" ref="CA93">OptionGamma($BV93,$B$2,CA$82,$B$3,$BW$81,0)</f>
        <v>1.4458770943216178E-2</v>
      </c>
      <c r="CB93" s="1" cm="1">
        <f t="array" ref="CB93">OptionGamma($BV93,$B$2,CB$82,$B$3,$BW$81,0)</f>
        <v>1.3400367884206782E-2</v>
      </c>
      <c r="CC93" s="1" cm="1">
        <f t="array" ref="CC93">OptionGamma($BV93,$B$2,CC$82,$B$3,$BW$81,0)</f>
        <v>1.253521869678631E-2</v>
      </c>
      <c r="CD93" s="1" cm="1">
        <f t="array" ref="CD93">OptionGamma($BV93,$B$2,CD$82,$B$3,$BW$81,0)</f>
        <v>1.1811904293602783E-2</v>
      </c>
      <c r="CE93" s="1" cm="1">
        <f t="array" ref="CE93">OptionGamma($BV93,$B$2,CE$82,$B$3,$BW$81,0)</f>
        <v>1.1195871235951033E-2</v>
      </c>
      <c r="CF93" s="1" cm="1">
        <f t="array" ref="CF93">OptionGamma($BV93,$B$2,CF$82,$B$3,$BW$81,0)</f>
        <v>1.0663126660408761E-2</v>
      </c>
      <c r="CG93" s="1" cm="1">
        <f t="array" ref="CG93">OptionGamma($BV93,$B$2,CG$82,$B$3,$BW$81,0)</f>
        <v>7.603783522576131E-3</v>
      </c>
      <c r="CH93" s="1" cm="1">
        <f t="array" ref="CH93">OptionGamma($BV93,$B$2,CH$82,$B$3,$BW$81,0)</f>
        <v>6.1565649557768741E-3</v>
      </c>
      <c r="CI93" s="1" cm="1">
        <f t="array" ref="CI93">OptionGamma($BV93,$B$2,CI$82,$B$3,$BW$81,0)</f>
        <v>5.2649832426331956E-3</v>
      </c>
      <c r="CJ93" s="1" cm="1">
        <f t="array" ref="CJ93">OptionGamma($BV93,$B$2,CJ$82,$B$3,$BW$81,0)</f>
        <v>4.6423651796185005E-3</v>
      </c>
      <c r="CS93" s="145"/>
      <c r="CT93" s="14">
        <v>110</v>
      </c>
      <c r="CU93" s="1" cm="1">
        <f t="array" ref="CU93">OptionVega($CT93,$B$2,CU$82,$B$3,$CU$81,0)</f>
        <v>7.8904665626496825E-2</v>
      </c>
      <c r="CV93" s="1" cm="1">
        <f t="array" ref="CV93">OptionVega($CT93,$B$2,CV$82,$B$3,$CU$81,0)</f>
        <v>0.14337557290741065</v>
      </c>
      <c r="CW93" s="1" cm="1">
        <f t="array" ref="CW93">OptionVega($CT93,$B$2,CW$82,$B$3,$CU$81,0)</f>
        <v>0.19068654650481348</v>
      </c>
      <c r="CX93" s="1" cm="1">
        <f t="array" ref="CX93">OptionVega($CT93,$B$2,CX$82,$B$3,$CU$81,0)</f>
        <v>0.22925780102263246</v>
      </c>
      <c r="CY93" s="1" cm="1">
        <f t="array" ref="CY93">OptionVega($CT93,$B$2,CY$82,$B$3,$CU$81,0)</f>
        <v>0.26242669261937368</v>
      </c>
      <c r="CZ93" s="1" cm="1">
        <f t="array" ref="CZ93">OptionVega($CT93,$B$2,CZ$82,$B$3,$CU$81,0)</f>
        <v>0.29186001251802374</v>
      </c>
      <c r="DA93" s="1" cm="1">
        <f t="array" ref="DA93">OptionVega($CT93,$B$2,DA$82,$B$3,$CU$81,0)</f>
        <v>0.31851990708534011</v>
      </c>
      <c r="DB93" s="1" cm="1">
        <f t="array" ref="DB93">OptionVega($CT93,$B$2,DB$82,$B$3,$CU$81,0)</f>
        <v>0.34301770068622478</v>
      </c>
      <c r="DC93" s="1" cm="1">
        <f t="array" ref="DC93">OptionVega($CT93,$B$2,DC$82,$B$3,$CU$81,0)</f>
        <v>0.36576911327852024</v>
      </c>
      <c r="DD93" s="1" cm="1">
        <f t="array" ref="DD93">OptionVega($CT93,$B$2,DD$82,$B$3,$CU$81,0)</f>
        <v>0.38707149777283806</v>
      </c>
      <c r="DE93" s="1" cm="1">
        <f t="array" ref="DE93">OptionVega($CT93,$B$2,DE$82,$B$3,$CU$81,0)</f>
        <v>0.5520346837390272</v>
      </c>
      <c r="DF93" s="1" cm="1">
        <f t="array" ref="DF93">OptionVega($CT93,$B$2,DF$82,$B$3,$CU$81,0)</f>
        <v>0.6704499236841015</v>
      </c>
      <c r="DG93" s="1" cm="1">
        <f t="array" ref="DG93">OptionVega($CT93,$B$2,DG$82,$B$3,$CU$81,0)</f>
        <v>0.76447556683034001</v>
      </c>
      <c r="DH93" s="1" cm="1">
        <f t="array" ref="DH93">OptionVega($CT93,$B$2,DH$82,$B$3,$CU$81,0)</f>
        <v>0.84258928010075784</v>
      </c>
      <c r="DQ93" s="130"/>
      <c r="DR93" s="14">
        <v>110</v>
      </c>
      <c r="DS93" s="1" cm="1">
        <f t="array" ref="DS93">OptionRho("P",$DR93,$B$2,DS$82,$B$3,$DS$81,0)</f>
        <v>-1.6641455853283121E-2</v>
      </c>
      <c r="DT93" s="1" cm="1">
        <f t="array" ref="DT93">OptionRho("P",$DR93,$B$2,DT$82,$B$3,$DS$81,0)</f>
        <v>-5.0937365645645362E-2</v>
      </c>
      <c r="DU93" s="1" cm="1">
        <f t="array" ref="DU93">OptionRho("P",$DR93,$B$2,DU$82,$B$3,$DS$81,0)</f>
        <v>-9.0591488575332849E-2</v>
      </c>
      <c r="DV93" s="1" cm="1">
        <f t="array" ref="DV93">OptionRho("P",$DR93,$B$2,DV$82,$B$3,$DS$81,0)</f>
        <v>-0.13311773507029778</v>
      </c>
      <c r="DW93" s="1" cm="1">
        <f t="array" ref="DW93">OptionRho("P",$DR93,$B$2,DW$82,$B$3,$DS$81,0)</f>
        <v>-0.17755193759705692</v>
      </c>
      <c r="DX93" s="1" cm="1">
        <f t="array" ref="DX93">OptionRho("P",$DR93,$B$2,DX$82,$B$3,$DS$81,0)</f>
        <v>-0.22339610469459531</v>
      </c>
      <c r="DY93" s="1" cm="1">
        <f t="array" ref="DY93">OptionRho("P",$DR93,$B$2,DY$82,$B$3,$DS$81,0)</f>
        <v>-0.27035040597686349</v>
      </c>
      <c r="DZ93" s="1" cm="1">
        <f t="array" ref="DZ93">OptionRho("P",$DR93,$B$2,DZ$82,$B$3,$DS$81,0)</f>
        <v>-0.31821602385224945</v>
      </c>
      <c r="EA93" s="1" cm="1">
        <f t="array" ref="EA93">OptionRho("P",$DR93,$B$2,EA$82,$B$3,$DS$81,0)</f>
        <v>-0.3668520448874652</v>
      </c>
      <c r="EB93" s="1" cm="1">
        <f t="array" ref="EB93">OptionRho("P",$DR93,$B$2,EB$82,$B$3,$DS$81,0)</f>
        <v>-0.41615360732585693</v>
      </c>
      <c r="EC93" s="1" cm="1">
        <f t="array" ref="EC93">OptionRho("P",$DR93,$B$2,EC$82,$B$3,$DS$81,0)</f>
        <v>-0.93356972634263113</v>
      </c>
      <c r="ED93" s="1" cm="1">
        <f t="array" ref="ED93">OptionRho("P",$DR93,$B$2,ED$82,$B$3,$DS$81,0)</f>
        <v>-1.4773259413933515</v>
      </c>
      <c r="EE93" s="1" cm="1">
        <f t="array" ref="EE93">OptionRho("P",$DR93,$B$2,EE$82,$B$3,$DS$81,0)</f>
        <v>-2.0356706241422411</v>
      </c>
      <c r="EF93" s="1" cm="1">
        <f t="array" ref="EF93">OptionRho("P",$DR93,$B$2,EF$82,$B$3,$DS$81,0)</f>
        <v>-2.6029486901086254</v>
      </c>
    </row>
    <row r="94" spans="1:136" x14ac:dyDescent="0.2">
      <c r="A94" s="133"/>
      <c r="B94" s="14">
        <v>115</v>
      </c>
      <c r="C94" s="1" cm="1">
        <f t="array" ref="C94">OptionPrice("P",$B94,$B$2,C$82,$B$3,$C$81,0)</f>
        <v>0.30895936686905134</v>
      </c>
      <c r="D94" s="1" cm="1">
        <f t="array" ref="D94">OptionPrice("P",$B94,$B$2,D$82,$B$3,$C$81,0)</f>
        <v>1.0722741150019957</v>
      </c>
      <c r="E94" s="1" cm="1">
        <f t="array" ref="E94">OptionPrice("P",$B94,$B$2,E$82,$B$3,$C$81,0)</f>
        <v>1.8664913666057323</v>
      </c>
      <c r="F94" s="1" cm="1">
        <f t="array" ref="F94">OptionPrice("P",$B94,$B$2,F$82,$B$3,$C$81,0)</f>
        <v>2.6214563574356653</v>
      </c>
      <c r="G94" s="1" cm="1">
        <f t="array" ref="G94">OptionPrice("P",$B94,$B$2,G$82,$B$3,$C$81,0)</f>
        <v>3.3293379677998054</v>
      </c>
      <c r="H94" s="1" cm="1">
        <f t="array" ref="H94">OptionPrice("P",$B94,$B$2,H$82,$B$3,$C$81,0)</f>
        <v>3.9932902460539381</v>
      </c>
      <c r="I94" s="1" cm="1">
        <f t="array" ref="I94">OptionPrice("P",$B94,$B$2,I$82,$B$3,$C$81,0)</f>
        <v>4.6182574842843422</v>
      </c>
      <c r="J94" s="1" cm="1">
        <f t="array" ref="J94">OptionPrice("P",$B94,$B$2,J$82,$B$3,$C$81,0)</f>
        <v>5.2089601005649051</v>
      </c>
      <c r="K94" s="1" cm="1">
        <f t="array" ref="K94">OptionPrice("P",$B94,$B$2,K$82,$B$3,$C$81,0)</f>
        <v>5.7694846680122716</v>
      </c>
      <c r="L94" s="1" cm="1">
        <f t="array" ref="L94">OptionPrice("P",$B94,$B$2,L$82,$B$3,$C$81,0)</f>
        <v>6.3032761089779541</v>
      </c>
      <c r="M94" s="1" cm="1">
        <f t="array" ref="M94">OptionPrice("P",$B94,$B$2,M$82,$B$3,$C$81,0)</f>
        <v>10.635051273152062</v>
      </c>
      <c r="N94" s="1" cm="1">
        <f t="array" ref="N94">OptionPrice("P",$B94,$B$2,N$82,$B$3,$C$81,0)</f>
        <v>13.876226153903353</v>
      </c>
      <c r="O94" s="1" cm="1">
        <f t="array" ref="O94">OptionPrice("P",$B94,$B$2,O$82,$B$3,$C$81,0)</f>
        <v>16.500365226391828</v>
      </c>
      <c r="P94" s="1" cm="1">
        <f t="array" ref="P94">OptionPrice("P",$B94,$B$2,P$82,$B$3,$C$81,0)</f>
        <v>18.711916698569631</v>
      </c>
      <c r="Y94" s="136"/>
      <c r="Z94" s="14">
        <v>115</v>
      </c>
      <c r="AA94" s="1" cm="1">
        <f t="array" ref="AA94">OptionDelta("P",$Z94,$B$2,AA$82,$B$3,$AA$81,0)</f>
        <v>-6.2860563865533403E-2</v>
      </c>
      <c r="AB94" s="1" cm="1">
        <f t="array" ref="AB94">OptionDelta("P",$Z94,$B$2,AB$82,$B$3,$AA$81,0)</f>
        <v>-0.13056736333207186</v>
      </c>
      <c r="AC94" s="1" cm="1">
        <f t="array" ref="AC94">OptionDelta("P",$Z94,$B$2,AC$82,$B$3,$AA$81,0)</f>
        <v>-0.17080729051251253</v>
      </c>
      <c r="AD94" s="1" cm="1">
        <f t="array" ref="AD94">OptionDelta("P",$Z94,$B$2,AD$82,$B$3,$AA$81,0)</f>
        <v>-0.19695159463482959</v>
      </c>
      <c r="AE94" s="1" cm="1">
        <f t="array" ref="AE94">OptionDelta("P",$Z94,$B$2,AE$82,$B$3,$AA$81,0)</f>
        <v>-0.21520789168988552</v>
      </c>
      <c r="AF94" s="1" cm="1">
        <f t="array" ref="AF94">OptionDelta("P",$Z94,$B$2,AF$82,$B$3,$AA$81,0)</f>
        <v>-0.22860493515588864</v>
      </c>
      <c r="AG94" s="1" cm="1">
        <f t="array" ref="AG94">OptionDelta("P",$Z94,$B$2,AG$82,$B$3,$AA$81,0)</f>
        <v>-0.23878616098400873</v>
      </c>
      <c r="AH94" s="1" cm="1">
        <f t="array" ref="AH94">OptionDelta("P",$Z94,$B$2,AH$82,$B$3,$AA$81,0)</f>
        <v>-0.24672234308969565</v>
      </c>
      <c r="AI94" s="1" cm="1">
        <f t="array" ref="AI94">OptionDelta("P",$Z94,$B$2,AI$82,$B$3,$AA$81,0)</f>
        <v>-0.25302566857316067</v>
      </c>
      <c r="AJ94" s="1" cm="1">
        <f t="array" ref="AJ94">OptionDelta("P",$Z94,$B$2,AJ$82,$B$3,$AA$81,0)</f>
        <v>-0.25810246366170242</v>
      </c>
      <c r="AK94" s="1" cm="1">
        <f t="array" ref="AK94">OptionDelta("P",$Z94,$B$2,AK$82,$B$3,$AA$81,0)</f>
        <v>-0.27803309935298359</v>
      </c>
      <c r="AL94" s="1" cm="1">
        <f t="array" ref="AL94">OptionDelta("P",$Z94,$B$2,AL$82,$B$3,$AA$81,0)</f>
        <v>-0.27876486598286454</v>
      </c>
      <c r="AM94" s="1" cm="1">
        <f t="array" ref="AM94">OptionDelta("P",$Z94,$B$2,AM$82,$B$3,$AA$81,0)</f>
        <v>-0.27438534458062125</v>
      </c>
      <c r="AN94" s="1" cm="1">
        <f t="array" ref="AN94">OptionDelta("P",$Z94,$B$2,AN$82,$B$3,$AA$81,0)</f>
        <v>-0.2681918990694907</v>
      </c>
      <c r="AW94" s="139"/>
      <c r="AX94" s="14">
        <v>115</v>
      </c>
      <c r="AY94" s="1" cm="1">
        <f t="array" ref="AY94">OptionTheta("P",$AX94,$B$2,AY$82,$B$3,$AY$81,0)</f>
        <v>-1.866907172055916E-2</v>
      </c>
      <c r="AZ94" s="1" cm="1">
        <f t="array" ref="AZ94">OptionTheta("P",$AX94,$B$2,AZ$82,$B$3,$AY$81,0)</f>
        <v>-2.2863700804185774E-2</v>
      </c>
      <c r="BA94" s="1" cm="1">
        <f t="array" ref="BA94">OptionTheta("P",$AX94,$B$2,BA$82,$B$3,$AY$81,0)</f>
        <v>-2.2490389957066471E-2</v>
      </c>
      <c r="BB94" s="1" cm="1">
        <f t="array" ref="BB94">OptionTheta("P",$AX94,$B$2,BB$82,$B$3,$AY$81,0)</f>
        <v>-2.1419564055203524E-2</v>
      </c>
      <c r="BC94" s="1" cm="1">
        <f t="array" ref="BC94">OptionTheta("P",$AX94,$B$2,BC$82,$B$3,$AY$81,0)</f>
        <v>-2.0309088052372956E-2</v>
      </c>
      <c r="BD94" s="1" cm="1">
        <f t="array" ref="BD94">OptionTheta("P",$AX94,$B$2,BD$82,$B$3,$AY$81,0)</f>
        <v>-1.9292988394988071E-2</v>
      </c>
      <c r="BE94" s="1" cm="1">
        <f t="array" ref="BE94">OptionTheta("P",$AX94,$B$2,BE$82,$B$3,$AY$81,0)</f>
        <v>-1.8390546994241766E-2</v>
      </c>
      <c r="BF94" s="1" cm="1">
        <f t="array" ref="BF94">OptionTheta("P",$AX94,$B$2,BF$82,$B$3,$AY$81,0)</f>
        <v>-1.7593214524963083E-2</v>
      </c>
      <c r="BG94" s="1" cm="1">
        <f t="array" ref="BG94">OptionTheta("P",$AX94,$B$2,BG$82,$B$3,$AY$81,0)</f>
        <v>-1.6886802339123184E-2</v>
      </c>
      <c r="BH94" s="1" cm="1">
        <f t="array" ref="BH94">OptionTheta("P",$AX94,$B$2,BH$82,$B$3,$AY$81,0)</f>
        <v>-1.6257524384379409E-2</v>
      </c>
      <c r="BI94" s="1" cm="1">
        <f t="array" ref="BI94">OptionTheta("P",$AX94,$B$2,BI$82,$B$3,$AY$81,0)</f>
        <v>-1.2378162747524263E-2</v>
      </c>
      <c r="BJ94" s="1" cm="1">
        <f t="array" ref="BJ94">OptionTheta("P",$AX94,$B$2,BJ$82,$B$3,$AY$81,0)</f>
        <v>-1.0423780656811408E-2</v>
      </c>
      <c r="BK94" s="1" cm="1">
        <f t="array" ref="BK94">OptionTheta("P",$AX94,$B$2,BK$82,$B$3,$AY$81,0)</f>
        <v>-9.1925836878554192E-3</v>
      </c>
      <c r="BL94" s="1" cm="1">
        <f t="array" ref="BL94">OptionTheta("P",$AX94,$B$2,BL$82,$B$3,$AY$81,0)</f>
        <v>-8.3224577439667061E-3</v>
      </c>
      <c r="BU94" s="142"/>
      <c r="BV94" s="14">
        <v>115</v>
      </c>
      <c r="BW94" s="1" cm="1">
        <f t="array" ref="BW94">OptionGamma($BV94,$B$2,BW$82,$B$3,$BW$81,0)</f>
        <v>1.132338909622355E-2</v>
      </c>
      <c r="BX94" s="1" cm="1">
        <f t="array" ref="BX94">OptionGamma($BV94,$B$2,BX$82,$B$3,$BW$81,0)</f>
        <v>1.3752363931184045E-2</v>
      </c>
      <c r="BY94" s="1" cm="1">
        <f t="array" ref="BY94">OptionGamma($BV94,$B$2,BY$82,$B$3,$BW$81,0)</f>
        <v>1.3432302518922605E-2</v>
      </c>
      <c r="BZ94" s="1" cm="1">
        <f t="array" ref="BZ94">OptionGamma($BV94,$B$2,BZ$82,$B$3,$BW$81,0)</f>
        <v>1.2712341075815795E-2</v>
      </c>
      <c r="CA94" s="1" cm="1">
        <f t="array" ref="CA94">OptionGamma($BV94,$B$2,CA$82,$B$3,$BW$81,0)</f>
        <v>1.1984095247208172E-2</v>
      </c>
      <c r="CB94" s="1" cm="1">
        <f t="array" ref="CB94">OptionGamma($BV94,$B$2,CB$82,$B$3,$BW$81,0)</f>
        <v>1.132386000635301E-2</v>
      </c>
      <c r="CC94" s="1" cm="1">
        <f t="array" ref="CC94">OptionGamma($BV94,$B$2,CC$82,$B$3,$BW$81,0)</f>
        <v>1.074020246658062E-2</v>
      </c>
      <c r="CD94" s="1" cm="1">
        <f t="array" ref="CD94">OptionGamma($BV94,$B$2,CD$82,$B$3,$BW$81,0)</f>
        <v>1.022592397572397E-2</v>
      </c>
      <c r="CE94" s="1" cm="1">
        <f t="array" ref="CE94">OptionGamma($BV94,$B$2,CE$82,$B$3,$BW$81,0)</f>
        <v>9.7710707636894881E-3</v>
      </c>
      <c r="CF94" s="1" cm="1">
        <f t="array" ref="CF94">OptionGamma($BV94,$B$2,CF$82,$B$3,$BW$81,0)</f>
        <v>9.366344559542529E-3</v>
      </c>
      <c r="CG94" s="1" cm="1">
        <f t="array" ref="CG94">OptionGamma($BV94,$B$2,CG$82,$B$3,$BW$81,0)</f>
        <v>6.8757669831697628E-3</v>
      </c>
      <c r="CH94" s="1" cm="1">
        <f t="array" ref="CH94">OptionGamma($BV94,$B$2,CH$82,$B$3,$BW$81,0)</f>
        <v>5.6212360131347814E-3</v>
      </c>
      <c r="CI94" s="1" cm="1">
        <f t="array" ref="CI94">OptionGamma($BV94,$B$2,CI$82,$B$3,$BW$81,0)</f>
        <v>4.8304914892427558E-3</v>
      </c>
      <c r="CJ94" s="1" cm="1">
        <f t="array" ref="CJ94">OptionGamma($BV94,$B$2,CJ$82,$B$3,$BW$81,0)</f>
        <v>4.2716357498546308E-3</v>
      </c>
      <c r="CS94" s="145"/>
      <c r="CT94" s="14">
        <v>115</v>
      </c>
      <c r="CU94" s="1" cm="1">
        <f t="array" ref="CU94">OptionVega($CT94,$B$2,CU$82,$B$3,$CU$81,0)</f>
        <v>4.4925546239266936E-2</v>
      </c>
      <c r="CV94" s="1" cm="1">
        <f t="array" ref="CV94">OptionVega($CT94,$B$2,CV$82,$B$3,$CU$81,0)</f>
        <v>0.10912500779394539</v>
      </c>
      <c r="CW94" s="1" cm="1">
        <f t="array" ref="CW94">OptionVega($CT94,$B$2,CW$82,$B$3,$CU$81,0)</f>
        <v>0.1598779807314763</v>
      </c>
      <c r="CX94" s="1" cm="1">
        <f t="array" ref="CX94">OptionVega($CT94,$B$2,CX$82,$B$3,$CU$81,0)</f>
        <v>0.20174485287319668</v>
      </c>
      <c r="CY94" s="1" cm="1">
        <f t="array" ref="CY94">OptionVega($CT94,$B$2,CY$82,$B$3,$CU$81,0)</f>
        <v>0.23773448946649214</v>
      </c>
      <c r="CZ94" s="1" cm="1">
        <f t="array" ref="CZ94">OptionVega($CT94,$B$2,CZ$82,$B$3,$CU$81,0)</f>
        <v>0.26956448745123346</v>
      </c>
      <c r="DA94" s="1" cm="1">
        <f t="array" ref="DA94">OptionVega($CT94,$B$2,DA$82,$B$3,$CU$81,0)</f>
        <v>0.29828227300311033</v>
      </c>
      <c r="DB94" s="1" cm="1">
        <f t="array" ref="DB94">OptionVega($CT94,$B$2,DB$82,$B$3,$CU$81,0)</f>
        <v>0.32457082698947876</v>
      </c>
      <c r="DC94" s="1" cm="1">
        <f t="array" ref="DC94">OptionVega($CT94,$B$2,DC$82,$B$3,$CU$81,0)</f>
        <v>0.34890050929444233</v>
      </c>
      <c r="DD94" s="1" cm="1">
        <f t="array" ref="DD94">OptionVega($CT94,$B$2,DD$82,$B$3,$CU$81,0)</f>
        <v>0.37160972039984985</v>
      </c>
      <c r="DE94" s="1" cm="1">
        <f t="array" ref="DE94">OptionVega($CT94,$B$2,DE$82,$B$3,$CU$81,0)</f>
        <v>0.5455921101145208</v>
      </c>
      <c r="DF94" s="1" cm="1">
        <f t="array" ref="DF94">OptionVega($CT94,$B$2,DF$82,$B$3,$CU$81,0)</f>
        <v>0.66906761646336732</v>
      </c>
      <c r="DG94" s="1" cm="1">
        <f t="array" ref="DG94">OptionVega($CT94,$B$2,DG$82,$B$3,$CU$81,0)</f>
        <v>0.76659899934282549</v>
      </c>
      <c r="DH94" s="1" cm="1">
        <f t="array" ref="DH94">OptionVega($CT94,$B$2,DH$82,$B$3,$CU$81,0)</f>
        <v>0.84738574187741256</v>
      </c>
      <c r="DQ94" s="130"/>
      <c r="DR94" s="14">
        <v>115</v>
      </c>
      <c r="DS94" s="1" cm="1">
        <f t="array" ref="DS94">OptionRho("P",$DR94,$B$2,DS$82,$B$3,$DS$81,0)</f>
        <v>-7.5379242114053903E-3</v>
      </c>
      <c r="DT94" s="1" cm="1">
        <f t="array" ref="DT94">OptionRho("P",$DR94,$B$2,DT$82,$B$3,$DS$81,0)</f>
        <v>-3.2175041796380505E-2</v>
      </c>
      <c r="DU94" s="1" cm="1">
        <f t="array" ref="DU94">OptionRho("P",$DR94,$B$2,DU$82,$B$3,$DS$81,0)</f>
        <v>-6.4527989326634019E-2</v>
      </c>
      <c r="DV94" s="1" cm="1">
        <f t="array" ref="DV94">OptionRho("P",$DR94,$B$2,DV$82,$B$3,$DS$81,0)</f>
        <v>-0.10108355896176431</v>
      </c>
      <c r="DW94" s="1" cm="1">
        <f t="array" ref="DW94">OptionRho("P",$DR94,$B$2,DW$82,$B$3,$DS$81,0)</f>
        <v>-0.1403912275606832</v>
      </c>
      <c r="DX94" s="1" cm="1">
        <f t="array" ref="DX94">OptionRho("P",$DR94,$B$2,DX$82,$B$3,$DS$81,0)</f>
        <v>-0.18169714673388676</v>
      </c>
      <c r="DY94" s="1" cm="1">
        <f t="array" ref="DY94">OptionRho("P",$DR94,$B$2,DY$82,$B$3,$DS$81,0)</f>
        <v>-0.22455066198211743</v>
      </c>
      <c r="DZ94" s="1" cm="1">
        <f t="array" ref="DZ94">OptionRho("P",$DR94,$B$2,DZ$82,$B$3,$DS$81,0)</f>
        <v>-0.26865623644703929</v>
      </c>
      <c r="EA94" s="1" cm="1">
        <f t="array" ref="EA94">OptionRho("P",$DR94,$B$2,EA$82,$B$3,$DS$81,0)</f>
        <v>-0.31380692898533175</v>
      </c>
      <c r="EB94" s="1" cm="1">
        <f t="array" ref="EB94">OptionRho("P",$DR94,$B$2,EB$82,$B$3,$DS$81,0)</f>
        <v>-0.3598505943007374</v>
      </c>
      <c r="EC94" s="1" cm="1">
        <f t="array" ref="EC94">OptionRho("P",$DR94,$B$2,EC$82,$B$3,$DS$81,0)</f>
        <v>-0.85217715397490357</v>
      </c>
      <c r="ED94" s="1" cm="1">
        <f t="array" ref="ED94">OptionRho("P",$DR94,$B$2,ED$82,$B$3,$DS$81,0)</f>
        <v>-1.3780255722579833</v>
      </c>
      <c r="EE94" s="1" cm="1">
        <f t="array" ref="EE94">OptionRho("P",$DR94,$B$2,EE$82,$B$3,$DS$81,0)</f>
        <v>-1.9221871941265309</v>
      </c>
      <c r="EF94" s="1" cm="1">
        <f t="array" ref="EF94">OptionRho("P",$DR94,$B$2,EF$82,$B$3,$DS$81,0)</f>
        <v>-2.4776992545780532</v>
      </c>
    </row>
    <row r="95" spans="1:136" x14ac:dyDescent="0.2">
      <c r="A95" s="133"/>
      <c r="B95" s="14">
        <v>120</v>
      </c>
      <c r="C95" s="1" cm="1">
        <f t="array" ref="C95">OptionPrice("P",$B95,$B$2,C$82,$B$3,$C$81,0)</f>
        <v>0.10542233103356891</v>
      </c>
      <c r="D95" s="1" cm="1">
        <f t="array" ref="D95">OptionPrice("P",$B95,$B$2,D$82,$B$3,$C$81,0)</f>
        <v>0.56923343363616219</v>
      </c>
      <c r="E95" s="1" cm="1">
        <f t="array" ref="E95">OptionPrice("P",$B95,$B$2,E$82,$B$3,$C$81,0)</f>
        <v>1.1643421328056309</v>
      </c>
      <c r="F95" s="1" cm="1">
        <f t="array" ref="F95">OptionPrice("P",$B95,$B$2,F$82,$B$3,$C$81,0)</f>
        <v>1.7832033367914555</v>
      </c>
      <c r="G95" s="1" cm="1">
        <f t="array" ref="G95">OptionPrice("P",$B95,$B$2,G$82,$B$3,$C$81,0)</f>
        <v>2.3930088260613438</v>
      </c>
      <c r="H95" s="1" cm="1">
        <f t="array" ref="H95">OptionPrice("P",$B95,$B$2,H$82,$B$3,$C$81,0)</f>
        <v>2.9833008005227484</v>
      </c>
      <c r="I95" s="1" cm="1">
        <f t="array" ref="I95">OptionPrice("P",$B95,$B$2,I$82,$B$3,$C$81,0)</f>
        <v>3.5512044657478761</v>
      </c>
      <c r="J95" s="1" cm="1">
        <f t="array" ref="J95">OptionPrice("P",$B95,$B$2,J$82,$B$3,$C$81,0)</f>
        <v>4.0966540963640661</v>
      </c>
      <c r="K95" s="1" cm="1">
        <f t="array" ref="K95">OptionPrice("P",$B95,$B$2,K$82,$B$3,$C$81,0)</f>
        <v>4.6206424924187104</v>
      </c>
      <c r="L95" s="1" cm="1">
        <f t="array" ref="L95">OptionPrice("P",$B95,$B$2,L$82,$B$3,$C$81,0)</f>
        <v>5.1245230755080371</v>
      </c>
      <c r="M95" s="1" cm="1">
        <f t="array" ref="M95">OptionPrice("P",$B95,$B$2,M$82,$B$3,$C$81,0)</f>
        <v>9.3278954741177387</v>
      </c>
      <c r="N95" s="1" cm="1">
        <f t="array" ref="N95">OptionPrice("P",$B95,$B$2,N$82,$B$3,$C$81,0)</f>
        <v>12.550532843273661</v>
      </c>
      <c r="O95" s="1" cm="1">
        <f t="array" ref="O95">OptionPrice("P",$B95,$B$2,O$82,$B$3,$C$81,0)</f>
        <v>15.187100718302645</v>
      </c>
      <c r="P95" s="1" cm="1">
        <f t="array" ref="P95">OptionPrice("P",$B95,$B$2,P$82,$B$3,$C$81,0)</f>
        <v>17.422893888565778</v>
      </c>
      <c r="Y95" s="136"/>
      <c r="Z95" s="14">
        <v>120</v>
      </c>
      <c r="AA95" s="1" cm="1">
        <f t="array" ref="AA95">OptionDelta("P",$Z95,$B$2,AA$82,$B$3,$AA$81,0)</f>
        <v>-2.3862270071094094E-2</v>
      </c>
      <c r="AB95" s="1" cm="1">
        <f t="array" ref="AB95">OptionDelta("P",$Z95,$B$2,AB$82,$B$3,$AA$81,0)</f>
        <v>-7.4801691829901373E-2</v>
      </c>
      <c r="AC95" s="1" cm="1">
        <f t="array" ref="AC95">OptionDelta("P",$Z95,$B$2,AC$82,$B$3,$AA$81,0)</f>
        <v>-0.11314146829123639</v>
      </c>
      <c r="AD95" s="1" cm="1">
        <f t="array" ref="AD95">OptionDelta("P",$Z95,$B$2,AD$82,$B$3,$AA$81,0)</f>
        <v>-0.14076936184194067</v>
      </c>
      <c r="AE95" s="1" cm="1">
        <f t="array" ref="AE95">OptionDelta("P",$Z95,$B$2,AE$82,$B$3,$AA$81,0)</f>
        <v>-0.16130507751855228</v>
      </c>
      <c r="AF95" s="1" cm="1">
        <f t="array" ref="AF95">OptionDelta("P",$Z95,$B$2,AF$82,$B$3,$AA$81,0)</f>
        <v>-0.17706804981193724</v>
      </c>
      <c r="AG95" s="1" cm="1">
        <f t="array" ref="AG95">OptionDelta("P",$Z95,$B$2,AG$82,$B$3,$AA$81,0)</f>
        <v>-0.18949083797813837</v>
      </c>
      <c r="AH95" s="1" cm="1">
        <f t="array" ref="AH95">OptionDelta("P",$Z95,$B$2,AH$82,$B$3,$AA$81,0)</f>
        <v>-0.19948822940550293</v>
      </c>
      <c r="AI95" s="1" cm="1">
        <f t="array" ref="AI95">OptionDelta("P",$Z95,$B$2,AI$82,$B$3,$AA$81,0)</f>
        <v>-0.20766842830901577</v>
      </c>
      <c r="AJ95" s="1" cm="1">
        <f t="array" ref="AJ95">OptionDelta("P",$Z95,$B$2,AJ$82,$B$3,$AA$81,0)</f>
        <v>-0.21445103070189353</v>
      </c>
      <c r="AK95" s="1" cm="1">
        <f t="array" ref="AK95">OptionDelta("P",$Z95,$B$2,AK$82,$B$3,$AA$81,0)</f>
        <v>-0.245408953933274</v>
      </c>
      <c r="AL95" s="1" cm="1">
        <f t="array" ref="AL95">OptionDelta("P",$Z95,$B$2,AL$82,$B$3,$AA$81,0)</f>
        <v>-0.25193255955166927</v>
      </c>
      <c r="AM95" s="1" cm="1">
        <f t="array" ref="AM95">OptionDelta("P",$Z95,$B$2,AM$82,$B$3,$AA$81,0)</f>
        <v>-0.25125810561422335</v>
      </c>
      <c r="AN95" s="1" cm="1">
        <f t="array" ref="AN95">OptionDelta("P",$Z95,$B$2,AN$82,$B$3,$AA$81,0)</f>
        <v>-0.24770335266730614</v>
      </c>
      <c r="AW95" s="139"/>
      <c r="AX95" s="14">
        <v>120</v>
      </c>
      <c r="AY95" s="1" cm="1">
        <f t="array" ref="AY95">OptionTheta("P",$AX95,$B$2,AY$82,$B$3,$AY$81,0)</f>
        <v>-8.8462285648095614E-3</v>
      </c>
      <c r="AZ95" s="1" cm="1">
        <f t="array" ref="AZ95">OptionTheta("P",$AX95,$B$2,AZ$82,$B$3,$AY$81,0)</f>
        <v>-1.5839601740941497E-2</v>
      </c>
      <c r="BA95" s="1" cm="1">
        <f t="array" ref="BA95">OptionTheta("P",$AX95,$B$2,BA$82,$B$3,$AY$81,0)</f>
        <v>-1.767852509144039E-2</v>
      </c>
      <c r="BB95" s="1" cm="1">
        <f t="array" ref="BB95">OptionTheta("P",$AX95,$B$2,BB$82,$B$3,$AY$81,0)</f>
        <v>-1.7931552934909698E-2</v>
      </c>
      <c r="BC95" s="1" cm="1">
        <f t="array" ref="BC95">OptionTheta("P",$AX95,$B$2,BC$82,$B$3,$AY$81,0)</f>
        <v>-1.765520744772291E-2</v>
      </c>
      <c r="BD95" s="1" cm="1">
        <f t="array" ref="BD95">OptionTheta("P",$AX95,$B$2,BD$82,$B$3,$AY$81,0)</f>
        <v>-1.7197786619104271E-2</v>
      </c>
      <c r="BE95" s="1" cm="1">
        <f t="array" ref="BE95">OptionTheta("P",$AX95,$B$2,BE$82,$B$3,$AY$81,0)</f>
        <v>-1.6688925692270075E-2</v>
      </c>
      <c r="BF95" s="1" cm="1">
        <f t="array" ref="BF95">OptionTheta("P",$AX95,$B$2,BF$82,$B$3,$AY$81,0)</f>
        <v>-1.6180273840676138E-2</v>
      </c>
      <c r="BG95" s="1" cm="1">
        <f t="array" ref="BG95">OptionTheta("P",$AX95,$B$2,BG$82,$B$3,$AY$81,0)</f>
        <v>-1.5692573205020703E-2</v>
      </c>
      <c r="BH95" s="1" cm="1">
        <f t="array" ref="BH95">OptionTheta("P",$AX95,$B$2,BH$82,$B$3,$AY$81,0)</f>
        <v>-1.5233432069362835E-2</v>
      </c>
      <c r="BI95" s="1" cm="1">
        <f t="array" ref="BI95">OptionTheta("P",$AX95,$B$2,BI$82,$B$3,$AY$81,0)</f>
        <v>-1.2034433412501376E-2</v>
      </c>
      <c r="BJ95" s="1" cm="1">
        <f t="array" ref="BJ95">OptionTheta("P",$AX95,$B$2,BJ$82,$B$3,$AY$81,0)</f>
        <v>-1.0256823867313978E-2</v>
      </c>
      <c r="BK95" s="1" cm="1">
        <f t="array" ref="BK95">OptionTheta("P",$AX95,$B$2,BK$82,$B$3,$AY$81,0)</f>
        <v>-9.0985882404480273E-3</v>
      </c>
      <c r="BL95" s="1" cm="1">
        <f t="array" ref="BL95">OptionTheta("P",$AX95,$B$2,BL$82,$B$3,$AY$81,0)</f>
        <v>-8.2657215826439645E-3</v>
      </c>
      <c r="BU95" s="142"/>
      <c r="BV95" s="14">
        <v>120</v>
      </c>
      <c r="BW95" s="1" cm="1">
        <f t="array" ref="BW95">OptionGamma($BV95,$B$2,BW$82,$B$3,$BW$81,0)</f>
        <v>4.9370130845059279E-3</v>
      </c>
      <c r="BX95" s="1" cm="1">
        <f t="array" ref="BX95">OptionGamma($BV95,$B$2,BX$82,$B$3,$BW$81,0)</f>
        <v>8.7746917760978451E-3</v>
      </c>
      <c r="BY95" s="1" cm="1">
        <f t="array" ref="BY95">OptionGamma($BV95,$B$2,BY$82,$B$3,$BW$81,0)</f>
        <v>9.7303217208305603E-3</v>
      </c>
      <c r="BZ95" s="1" cm="1">
        <f t="array" ref="BZ95">OptionGamma($BV95,$B$2,BZ$82,$B$3,$BW$81,0)</f>
        <v>9.8121320272589463E-3</v>
      </c>
      <c r="CA95" s="1" cm="1">
        <f t="array" ref="CA95">OptionGamma($BV95,$B$2,CA$82,$B$3,$BW$81,0)</f>
        <v>9.6090347795308416E-3</v>
      </c>
      <c r="CB95" s="1" cm="1">
        <f t="array" ref="CB95">OptionGamma($BV95,$B$2,CB$82,$B$3,$BW$81,0)</f>
        <v>9.313082481780104E-3</v>
      </c>
      <c r="CC95" s="1" cm="1">
        <f t="array" ref="CC95">OptionGamma($BV95,$B$2,CC$82,$B$3,$BW$81,0)</f>
        <v>8.9946864621100828E-3</v>
      </c>
      <c r="CD95" s="1" cm="1">
        <f t="array" ref="CD95">OptionGamma($BV95,$B$2,CD$82,$B$3,$BW$81,0)</f>
        <v>8.6812461969082502E-3</v>
      </c>
      <c r="CE95" s="1" cm="1">
        <f t="array" ref="CE95">OptionGamma($BV95,$B$2,CE$82,$B$3,$BW$81,0)</f>
        <v>8.3833035199653554E-3</v>
      </c>
      <c r="CF95" s="1" cm="1">
        <f t="array" ref="CF95">OptionGamma($BV95,$B$2,CF$82,$B$3,$BW$81,0)</f>
        <v>8.1043460458643246E-3</v>
      </c>
      <c r="CG95" s="1" cm="1">
        <f t="array" ref="CG95">OptionGamma($BV95,$B$2,CG$82,$B$3,$BW$81,0)</f>
        <v>6.1802445927498402E-3</v>
      </c>
      <c r="CH95" s="1" cm="1">
        <f t="array" ref="CH95">OptionGamma($BV95,$B$2,CH$82,$B$3,$BW$81,0)</f>
        <v>5.1171548019673802E-3</v>
      </c>
      <c r="CI95" s="1" cm="1">
        <f t="array" ref="CI95">OptionGamma($BV95,$B$2,CI$82,$B$3,$BW$81,0)</f>
        <v>4.4253147744497462E-3</v>
      </c>
      <c r="CJ95" s="1" cm="1">
        <f t="array" ref="CJ95">OptionGamma($BV95,$B$2,CJ$82,$B$3,$BW$81,0)</f>
        <v>3.928264530213923E-3</v>
      </c>
      <c r="CS95" s="145"/>
      <c r="CT95" s="14">
        <v>120</v>
      </c>
      <c r="CU95" s="1" cm="1">
        <f t="array" ref="CU95">OptionVega($CT95,$B$2,CU$82,$B$3,$CU$81,0)</f>
        <v>2.1327896525065605E-2</v>
      </c>
      <c r="CV95" s="1" cm="1">
        <f t="array" ref="CV95">OptionVega($CT95,$B$2,CV$82,$B$3,$CU$81,0)</f>
        <v>7.5813336945485366E-2</v>
      </c>
      <c r="CW95" s="1" cm="1">
        <f t="array" ref="CW95">OptionVega($CT95,$B$2,CW$82,$B$3,$CU$81,0)</f>
        <v>0.12610496950196404</v>
      </c>
      <c r="CX95" s="1" cm="1">
        <f t="array" ref="CX95">OptionVega($CT95,$B$2,CX$82,$B$3,$CU$81,0)</f>
        <v>0.16955364143103457</v>
      </c>
      <c r="CY95" s="1" cm="1">
        <f t="array" ref="CY95">OptionVega($CT95,$B$2,CY$82,$B$3,$CU$81,0)</f>
        <v>0.20755515123786619</v>
      </c>
      <c r="CZ95" s="1" cm="1">
        <f t="array" ref="CZ95">OptionVega($CT95,$B$2,CZ$82,$B$3,$CU$81,0)</f>
        <v>0.24139509792774025</v>
      </c>
      <c r="DA95" s="1" cm="1">
        <f t="array" ref="DA95">OptionVega($CT95,$B$2,DA$82,$B$3,$CU$81,0)</f>
        <v>0.27199931861420884</v>
      </c>
      <c r="DB95" s="1" cm="1">
        <f t="array" ref="DB95">OptionVega($CT95,$B$2,DB$82,$B$3,$CU$81,0)</f>
        <v>0.30002386856514912</v>
      </c>
      <c r="DC95" s="1" cm="1">
        <f t="array" ref="DC95">OptionVega($CT95,$B$2,DC$82,$B$3,$CU$81,0)</f>
        <v>0.32594284085625297</v>
      </c>
      <c r="DD95" s="1" cm="1">
        <f t="array" ref="DD95">OptionVega($CT95,$B$2,DD$82,$B$3,$CU$81,0)</f>
        <v>0.3501077491813388</v>
      </c>
      <c r="DE95" s="1" cm="1">
        <f t="array" ref="DE95">OptionVega($CT95,$B$2,DE$82,$B$3,$CU$81,0)</f>
        <v>0.53397313281358616</v>
      </c>
      <c r="DF95" s="1" cm="1">
        <f t="array" ref="DF95">OptionVega($CT95,$B$2,DF$82,$B$3,$CU$81,0)</f>
        <v>0.66318326233497227</v>
      </c>
      <c r="DG95" s="1" cm="1">
        <f t="array" ref="DG95">OptionVega($CT95,$B$2,DG$82,$B$3,$CU$81,0)</f>
        <v>0.76469439302491615</v>
      </c>
      <c r="DH95" s="1" cm="1">
        <f t="array" ref="DH95">OptionVega($CT95,$B$2,DH$82,$B$3,$CU$81,0)</f>
        <v>0.84850513852620746</v>
      </c>
      <c r="DQ95" s="130"/>
      <c r="DR95" s="14">
        <v>120</v>
      </c>
      <c r="DS95" s="1" cm="1">
        <f t="array" ref="DS95">OptionRho("P",$DR95,$B$2,DS$82,$B$3,$DS$81,0)</f>
        <v>-2.9688947395648678E-3</v>
      </c>
      <c r="DT95" s="1" cm="1">
        <f t="array" ref="DT95">OptionRho("P",$DR95,$B$2,DT$82,$B$3,$DS$81,0)</f>
        <v>-1.9090872906448658E-2</v>
      </c>
      <c r="DU95" s="1" cm="1">
        <f t="array" ref="DU95">OptionRho("P",$DR95,$B$2,DU$82,$B$3,$DS$81,0)</f>
        <v>-4.4223954983262002E-2</v>
      </c>
      <c r="DV95" s="1" cm="1">
        <f t="array" ref="DV95">OptionRho("P",$DR95,$B$2,DV$82,$B$3,$DS$81,0)</f>
        <v>-7.4702107031297357E-2</v>
      </c>
      <c r="DW95" s="1" cm="1">
        <f t="array" ref="DW95">OptionRho("P",$DR95,$B$2,DW$82,$B$3,$DS$81,0)</f>
        <v>-0.1087480906414381</v>
      </c>
      <c r="DX95" s="1" cm="1">
        <f t="array" ref="DX95">OptionRho("P",$DR95,$B$2,DX$82,$B$3,$DS$81,0)</f>
        <v>-0.14538880066773127</v>
      </c>
      <c r="DY95" s="1" cm="1">
        <f t="array" ref="DY95">OptionRho("P",$DR95,$B$2,DY$82,$B$3,$DS$81,0)</f>
        <v>-0.18403073516187135</v>
      </c>
      <c r="DZ95" s="1" cm="1">
        <f t="array" ref="DZ95">OptionRho("P",$DR95,$B$2,DZ$82,$B$3,$DS$81,0)</f>
        <v>-0.2242819330001953</v>
      </c>
      <c r="EA95" s="1" cm="1">
        <f t="array" ref="EA95">OptionRho("P",$DR95,$B$2,EA$82,$B$3,$DS$81,0)</f>
        <v>-0.26586768500550545</v>
      </c>
      <c r="EB95" s="1" cm="1">
        <f t="array" ref="EB95">OptionRho("P",$DR95,$B$2,EB$82,$B$3,$DS$81,0)</f>
        <v>-0.30858646759735259</v>
      </c>
      <c r="EC95" s="1" cm="1">
        <f t="array" ref="EC95">OptionRho("P",$DR95,$B$2,EC$82,$B$3,$DS$81,0)</f>
        <v>-0.77553939892221246</v>
      </c>
      <c r="ED95" s="1" cm="1">
        <f t="array" ref="ED95">OptionRho("P",$DR95,$B$2,ED$82,$B$3,$DS$81,0)</f>
        <v>-1.283473199684219</v>
      </c>
      <c r="EE95" s="1" cm="1">
        <f t="array" ref="EE95">OptionRho("P",$DR95,$B$2,EE$82,$B$3,$DS$81,0)</f>
        <v>-1.8135229356803779</v>
      </c>
      <c r="EF95" s="1" cm="1">
        <f t="array" ref="EF95">OptionRho("P",$DR95,$B$2,EF$82,$B$3,$DS$81,0)</f>
        <v>-2.3573648104321254</v>
      </c>
    </row>
    <row r="96" spans="1:136" x14ac:dyDescent="0.2">
      <c r="A96" s="133"/>
      <c r="B96" s="14">
        <v>125</v>
      </c>
      <c r="C96" s="1" cm="1">
        <f t="array" ref="C96">OptionPrice("P",$B96,$B$2,C$82,$B$3,$C$81,0)</f>
        <v>3.2224062436847611E-2</v>
      </c>
      <c r="D96" s="1" cm="1">
        <f t="array" ref="D96">OptionPrice("P",$B96,$B$2,D$82,$B$3,$C$81,0)</f>
        <v>0.28850935851438297</v>
      </c>
      <c r="E96" s="1" cm="1">
        <f t="array" ref="E96">OptionPrice("P",$B96,$B$2,E$82,$B$3,$C$81,0)</f>
        <v>0.70688705862619905</v>
      </c>
      <c r="F96" s="1" cm="1">
        <f t="array" ref="F96">OptionPrice("P",$B96,$B$2,F$82,$B$3,$C$81,0)</f>
        <v>1.1910771205600295</v>
      </c>
      <c r="G96" s="1" cm="1">
        <f t="array" ref="G96">OptionPrice("P",$B96,$B$2,G$82,$B$3,$C$81,0)</f>
        <v>1.6974388665691347</v>
      </c>
      <c r="H96" s="1" cm="1">
        <f t="array" ref="H96">OptionPrice("P",$B96,$B$2,H$82,$B$3,$C$81,0)</f>
        <v>2.2065167492008229</v>
      </c>
      <c r="I96" s="1" cm="1">
        <f t="array" ref="I96">OptionPrice("P",$B96,$B$2,I$82,$B$3,$C$81,0)</f>
        <v>2.7093063785062057</v>
      </c>
      <c r="J96" s="1" cm="1">
        <f t="array" ref="J96">OptionPrice("P",$B96,$B$2,J$82,$B$3,$C$81,0)</f>
        <v>3.2016102807564408</v>
      </c>
      <c r="K96" s="1" cm="1">
        <f t="array" ref="K96">OptionPrice("P",$B96,$B$2,K$82,$B$3,$C$81,0)</f>
        <v>3.6815763583115064</v>
      </c>
      <c r="L96" s="1" cm="1">
        <f t="array" ref="L96">OptionPrice("P",$B96,$B$2,L$82,$B$3,$C$81,0)</f>
        <v>4.1485460871888584</v>
      </c>
      <c r="M96" s="1" cm="1">
        <f t="array" ref="M96">OptionPrice("P",$B96,$B$2,M$82,$B$3,$C$81,0)</f>
        <v>8.1753338962206925</v>
      </c>
      <c r="N96" s="1" cm="1">
        <f t="array" ref="N96">OptionPrice("P",$B96,$B$2,N$82,$B$3,$C$81,0)</f>
        <v>11.352838817514051</v>
      </c>
      <c r="O96" s="1" cm="1">
        <f t="array" ref="O96">OptionPrice("P",$B96,$B$2,O$82,$B$3,$C$81,0)</f>
        <v>13.984530238265997</v>
      </c>
      <c r="P96" s="1" cm="1">
        <f t="array" ref="P96">OptionPrice("P",$B96,$B$2,P$82,$B$3,$C$81,0)</f>
        <v>16.232132508476404</v>
      </c>
      <c r="Y96" s="136"/>
      <c r="Z96" s="14">
        <v>125</v>
      </c>
      <c r="AA96" s="1" cm="1">
        <f t="array" ref="AA96">OptionDelta("P",$Z96,$B$2,AA$82,$B$3,$AA$81,0)</f>
        <v>-7.9737541258025901E-3</v>
      </c>
      <c r="AB96" s="1" cm="1">
        <f t="array" ref="AB96">OptionDelta("P",$Z96,$B$2,AB$82,$B$3,$AA$81,0)</f>
        <v>-4.0474770416252692E-2</v>
      </c>
      <c r="AC96" s="1" cm="1">
        <f t="array" ref="AC96">OptionDelta("P",$Z96,$B$2,AC$82,$B$3,$AA$81,0)</f>
        <v>-7.236182589639506E-2</v>
      </c>
      <c r="AD96" s="1" cm="1">
        <f t="array" ref="AD96">OptionDelta("P",$Z96,$B$2,AD$82,$B$3,$AA$81,0)</f>
        <v>-9.8175116216428271E-2</v>
      </c>
      <c r="AE96" s="1" cm="1">
        <f t="array" ref="AE96">OptionDelta("P",$Z96,$B$2,AE$82,$B$3,$AA$81,0)</f>
        <v>-0.1186931376101773</v>
      </c>
      <c r="AF96" s="1" cm="1">
        <f t="array" ref="AF96">OptionDelta("P",$Z96,$B$2,AF$82,$B$3,$AA$81,0)</f>
        <v>-0.13517294858026196</v>
      </c>
      <c r="AG96" s="1" cm="1">
        <f t="array" ref="AG96">OptionDelta("P",$Z96,$B$2,AG$82,$B$3,$AA$81,0)</f>
        <v>-0.14861015340398076</v>
      </c>
      <c r="AH96" s="1" cm="1">
        <f t="array" ref="AH96">OptionDelta("P",$Z96,$B$2,AH$82,$B$3,$AA$81,0)</f>
        <v>-0.15972585603915745</v>
      </c>
      <c r="AI96" s="1" cm="1">
        <f t="array" ref="AI96">OptionDelta("P",$Z96,$B$2,AI$82,$B$3,$AA$81,0)</f>
        <v>-0.16903849174838326</v>
      </c>
      <c r="AJ96" s="1" cm="1">
        <f t="array" ref="AJ96">OptionDelta("P",$Z96,$B$2,AJ$82,$B$3,$AA$81,0)</f>
        <v>-0.17692558288666238</v>
      </c>
      <c r="AK96" s="1" cm="1">
        <f t="array" ref="AK96">OptionDelta("P",$Z96,$B$2,AK$82,$B$3,$AA$81,0)</f>
        <v>-0.21616027879298261</v>
      </c>
      <c r="AL96" s="1" cm="1">
        <f t="array" ref="AL96">OptionDelta("P",$Z96,$B$2,AL$82,$B$3,$AA$81,0)</f>
        <v>-0.22753702816334076</v>
      </c>
      <c r="AM96" s="1" cm="1">
        <f t="array" ref="AM96">OptionDelta("P",$Z96,$B$2,AM$82,$B$3,$AA$81,0)</f>
        <v>-0.23008328807271095</v>
      </c>
      <c r="AN96" s="1" cm="1">
        <f t="array" ref="AN96">OptionDelta("P",$Z96,$B$2,AN$82,$B$3,$AA$81,0)</f>
        <v>-0.22886540770586983</v>
      </c>
      <c r="AW96" s="139"/>
      <c r="AX96" s="14">
        <v>125</v>
      </c>
      <c r="AY96" s="1" cm="1">
        <f t="array" ref="AY96">OptionTheta("P",$AX96,$B$2,AY$82,$B$3,$AY$81,0)</f>
        <v>-3.5786580739720843E-3</v>
      </c>
      <c r="AZ96" s="1" cm="1">
        <f t="array" ref="AZ96">OptionTheta("P",$AX96,$B$2,AZ$82,$B$3,$AY$81,0)</f>
        <v>-1.014032119671531E-2</v>
      </c>
      <c r="BA96" s="1" cm="1">
        <f t="array" ref="BA96">OptionTheta("P",$AX96,$B$2,BA$82,$B$3,$AY$81,0)</f>
        <v>-1.3184887648883667E-2</v>
      </c>
      <c r="BB96" s="1" cm="1">
        <f t="array" ref="BB96">OptionTheta("P",$AX96,$B$2,BB$82,$B$3,$AY$81,0)</f>
        <v>-1.4432600615470369E-2</v>
      </c>
      <c r="BC96" s="1" cm="1">
        <f t="array" ref="BC96">OptionTheta("P",$AX96,$B$2,BC$82,$B$3,$AY$81,0)</f>
        <v>-1.4873655776512916E-2</v>
      </c>
      <c r="BD96" s="1" cm="1">
        <f t="array" ref="BD96">OptionTheta("P",$AX96,$B$2,BD$82,$B$3,$AY$81,0)</f>
        <v>-1.4934929953222837E-2</v>
      </c>
      <c r="BE96" s="1" cm="1">
        <f t="array" ref="BE96">OptionTheta("P",$AX96,$B$2,BE$82,$B$3,$AY$81,0)</f>
        <v>-1.4810120409906823E-2</v>
      </c>
      <c r="BF96" s="1" cm="1">
        <f t="array" ref="BF96">OptionTheta("P",$AX96,$B$2,BF$82,$B$3,$AY$81,0)</f>
        <v>-1.4593239843257905E-2</v>
      </c>
      <c r="BG96" s="1" cm="1">
        <f t="array" ref="BG96">OptionTheta("P",$AX96,$B$2,BG$82,$B$3,$AY$81,0)</f>
        <v>-1.4332479374002487E-2</v>
      </c>
      <c r="BH96" s="1" cm="1">
        <f t="array" ref="BH96">OptionTheta("P",$AX96,$B$2,BH$82,$B$3,$AY$81,0)</f>
        <v>-1.4053526942902156E-2</v>
      </c>
      <c r="BI96" s="1" cm="1">
        <f t="array" ref="BI96">OptionTheta("P",$AX96,$B$2,BI$82,$B$3,$AY$81,0)</f>
        <v>-1.1610945415607522E-2</v>
      </c>
      <c r="BJ96" s="1" cm="1">
        <f t="array" ref="BJ96">OptionTheta("P",$AX96,$B$2,BJ$82,$B$3,$AY$81,0)</f>
        <v>-1.0041722702133398E-2</v>
      </c>
      <c r="BK96" s="1" cm="1">
        <f t="array" ref="BK96">OptionTheta("P",$AX96,$B$2,BK$82,$B$3,$AY$81,0)</f>
        <v>-8.9718548046599372E-3</v>
      </c>
      <c r="BL96" s="1" cm="1">
        <f t="array" ref="BL96">OptionTheta("P",$AX96,$B$2,BL$82,$B$3,$AY$81,0)</f>
        <v>-8.1849934471671798E-3</v>
      </c>
      <c r="BU96" s="142"/>
      <c r="BV96" s="14">
        <v>125</v>
      </c>
      <c r="BW96" s="1" cm="1">
        <f t="array" ref="BW96">OptionGamma($BV96,$B$2,BW$82,$B$3,$BW$81,0)</f>
        <v>1.8430873083992024E-3</v>
      </c>
      <c r="BX96" s="1" cm="1">
        <f t="array" ref="BX96">OptionGamma($BV96,$B$2,BX$82,$B$3,$BW$81,0)</f>
        <v>5.1878950118337827E-3</v>
      </c>
      <c r="BY96" s="1" cm="1">
        <f t="array" ref="BY96">OptionGamma($BV96,$B$2,BY$82,$B$3,$BW$81,0)</f>
        <v>6.7057249264153357E-3</v>
      </c>
      <c r="BZ96" s="1" cm="1">
        <f t="array" ref="BZ96">OptionGamma($BV96,$B$2,BZ$82,$B$3,$BW$81,0)</f>
        <v>7.3006500382870035E-3</v>
      </c>
      <c r="CA96" s="1" cm="1">
        <f t="array" ref="CA96">OptionGamma($BV96,$B$2,CA$82,$B$3,$BW$81,0)</f>
        <v>7.4859286012427398E-3</v>
      </c>
      <c r="CB96" s="1" cm="1">
        <f t="array" ref="CB96">OptionGamma($BV96,$B$2,CB$82,$B$3,$BW$81,0)</f>
        <v>7.4811990466972442E-3</v>
      </c>
      <c r="CC96" s="1" cm="1">
        <f t="array" ref="CC96">OptionGamma($BV96,$B$2,CC$82,$B$3,$BW$81,0)</f>
        <v>7.3853698760191324E-3</v>
      </c>
      <c r="CD96" s="1" cm="1">
        <f t="array" ref="CD96">OptionGamma($BV96,$B$2,CD$82,$B$3,$BW$81,0)</f>
        <v>7.2460218594597326E-3</v>
      </c>
      <c r="CE96" s="1" cm="1">
        <f t="array" ref="CE96">OptionGamma($BV96,$B$2,CE$82,$B$3,$BW$81,0)</f>
        <v>7.0872762215001793E-3</v>
      </c>
      <c r="CF96" s="1" cm="1">
        <f t="array" ref="CF96">OptionGamma($BV96,$B$2,CF$82,$B$3,$BW$81,0)</f>
        <v>6.9218060724324567E-3</v>
      </c>
      <c r="CG96" s="1" cm="1">
        <f t="array" ref="CG96">OptionGamma($BV96,$B$2,CG$82,$B$3,$BW$81,0)</f>
        <v>5.5268144202571534E-3</v>
      </c>
      <c r="CH96" s="1" cm="1">
        <f t="array" ref="CH96">OptionGamma($BV96,$B$2,CH$82,$B$3,$BW$81,0)</f>
        <v>4.6467969605679992E-3</v>
      </c>
      <c r="CI96" s="1" cm="1">
        <f t="array" ref="CI96">OptionGamma($BV96,$B$2,CI$82,$B$3,$BW$81,0)</f>
        <v>4.0494614630788676E-3</v>
      </c>
      <c r="CJ96" s="1" cm="1">
        <f t="array" ref="CJ96">OptionGamma($BV96,$B$2,CJ$82,$B$3,$BW$81,0)</f>
        <v>3.6111922111984628E-3</v>
      </c>
      <c r="CS96" s="145"/>
      <c r="CT96" s="14">
        <v>125</v>
      </c>
      <c r="CU96" s="1" cm="1">
        <f t="array" ref="CU96">OptionVega($CT96,$B$2,CU$82,$B$3,$CU$81,0)</f>
        <v>8.6394717581212612E-3</v>
      </c>
      <c r="CV96" s="1" cm="1">
        <f t="array" ref="CV96">OptionVega($CT96,$B$2,CV$82,$B$3,$CU$81,0)</f>
        <v>4.8636515735941716E-2</v>
      </c>
      <c r="CW96" s="1" cm="1">
        <f t="array" ref="CW96">OptionVega($CT96,$B$2,CW$82,$B$3,$CU$81,0)</f>
        <v>9.4299256777715626E-2</v>
      </c>
      <c r="CX96" s="1" cm="1">
        <f t="array" ref="CX96">OptionVega($CT96,$B$2,CX$82,$B$3,$CU$81,0)</f>
        <v>0.13688718821788132</v>
      </c>
      <c r="CY96" s="1" cm="1">
        <f t="array" ref="CY96">OptionVega($CT96,$B$2,CY$82,$B$3,$CU$81,0)</f>
        <v>0.17545145159162673</v>
      </c>
      <c r="CZ96" s="1" cm="1">
        <f t="array" ref="CZ96">OptionVega($CT96,$B$2,CZ$82,$B$3,$CU$81,0)</f>
        <v>0.21040872318836001</v>
      </c>
      <c r="DA96" s="1" cm="1">
        <f t="array" ref="DA96">OptionVega($CT96,$B$2,DA$82,$B$3,$CU$81,0)</f>
        <v>0.24233244905687776</v>
      </c>
      <c r="DB96" s="1" cm="1">
        <f t="array" ref="DB96">OptionVega($CT96,$B$2,DB$82,$B$3,$CU$81,0)</f>
        <v>0.27172581972973997</v>
      </c>
      <c r="DC96" s="1" cm="1">
        <f t="array" ref="DC96">OptionVega($CT96,$B$2,DC$82,$B$3,$CU$81,0)</f>
        <v>0.29899446559453879</v>
      </c>
      <c r="DD96" s="1" cm="1">
        <f t="array" ref="DD96">OptionVega($CT96,$B$2,DD$82,$B$3,$CU$81,0)</f>
        <v>0.3244596596452714</v>
      </c>
      <c r="DE96" s="1" cm="1">
        <f t="array" ref="DE96">OptionVega($CT96,$B$2,DE$82,$B$3,$CU$81,0)</f>
        <v>0.51813885189910813</v>
      </c>
      <c r="DF96" s="1" cm="1">
        <f t="array" ref="DF96">OptionVega($CT96,$B$2,DF$82,$B$3,$CU$81,0)</f>
        <v>0.65345582257987467</v>
      </c>
      <c r="DG96" s="1" cm="1">
        <f t="array" ref="DG96">OptionVega($CT96,$B$2,DG$82,$B$3,$CU$81,0)</f>
        <v>0.75927402432728763</v>
      </c>
      <c r="DH96" s="1" cm="1">
        <f t="array" ref="DH96">OptionVega($CT96,$B$2,DH$82,$B$3,$CU$81,0)</f>
        <v>0.84637317449963978</v>
      </c>
      <c r="DQ96" s="130"/>
      <c r="DR96" s="14">
        <v>125</v>
      </c>
      <c r="DS96" s="1" cm="1">
        <f t="array" ref="DS96">OptionRho("P",$DR96,$B$2,DS$82,$B$3,$DS$81,0)</f>
        <v>-1.0289433281621665E-3</v>
      </c>
      <c r="DT96" s="1" cm="1">
        <f t="array" ref="DT96">OptionRho("P",$DR96,$B$2,DT$82,$B$3,$DS$81,0)</f>
        <v>-1.0695711321091922E-2</v>
      </c>
      <c r="DU96" s="1" cm="1">
        <f t="array" ref="DU96">OptionRho("P",$DR96,$B$2,DU$82,$B$3,$DS$81,0)</f>
        <v>-2.9256345887026764E-2</v>
      </c>
      <c r="DV96" s="1" cm="1">
        <f t="array" ref="DV96">OptionRho("P",$DR96,$B$2,DV$82,$B$3,$DS$81,0)</f>
        <v>-5.3851866590454225E-2</v>
      </c>
      <c r="DW96" s="1" cm="1">
        <f t="array" ref="DW96">OptionRho("P",$DR96,$B$2,DW$82,$B$3,$DS$81,0)</f>
        <v>-8.2670405339206526E-2</v>
      </c>
      <c r="DX96" s="1" cm="1">
        <f t="array" ref="DX96">OptionRho("P",$DR96,$B$2,DX$82,$B$3,$DS$81,0)</f>
        <v>-0.11461881193040134</v>
      </c>
      <c r="DY96" s="1" cm="1">
        <f t="array" ref="DY96">OptionRho("P",$DR96,$B$2,DY$82,$B$3,$DS$81,0)</f>
        <v>-0.14899902887802657</v>
      </c>
      <c r="DZ96" s="1" cm="1">
        <f t="array" ref="DZ96">OptionRho("P",$DR96,$B$2,DZ$82,$B$3,$DS$81,0)</f>
        <v>-0.18533873828520897</v>
      </c>
      <c r="EA96" s="1" cm="1">
        <f t="array" ref="EA96">OptionRho("P",$DR96,$B$2,EA$82,$B$3,$DS$81,0)</f>
        <v>-0.22330249044173475</v>
      </c>
      <c r="EB96" s="1" cm="1">
        <f t="array" ref="EB96">OptionRho("P",$DR96,$B$2,EB$82,$B$3,$DS$81,0)</f>
        <v>-0.26264243948021648</v>
      </c>
      <c r="EC96" s="1" cm="1">
        <f t="array" ref="EC96">OptionRho("P",$DR96,$B$2,EC$82,$B$3,$DS$81,0)</f>
        <v>-0.70390737490687028</v>
      </c>
      <c r="ED96" s="1" cm="1">
        <f t="array" ref="ED96">OptionRho("P",$DR96,$B$2,ED$82,$B$3,$DS$81,0)</f>
        <v>-1.1938490201379495</v>
      </c>
      <c r="EE96" s="1" cm="1">
        <f t="array" ref="EE96">OptionRho("P",$DR96,$B$2,EE$82,$B$3,$DS$81,0)</f>
        <v>-1.7097976498941947</v>
      </c>
      <c r="EF96" s="1" cm="1">
        <f t="array" ref="EF96">OptionRho("P",$DR96,$B$2,EF$82,$B$3,$DS$81,0)</f>
        <v>-2.2420154235855065</v>
      </c>
    </row>
    <row r="97" spans="1:136" x14ac:dyDescent="0.2">
      <c r="A97" s="133"/>
      <c r="B97" s="14">
        <v>130</v>
      </c>
      <c r="C97" s="1" cm="1">
        <f t="array" ref="C97">OptionPrice("P",$B97,$B$2,C$82,$B$3,$C$81,0)</f>
        <v>8.9048770618881945E-3</v>
      </c>
      <c r="D97" s="1" cm="1">
        <f t="array" ref="D97">OptionPrice("P",$B97,$B$2,D$82,$B$3,$C$81,0)</f>
        <v>0.14014482223445457</v>
      </c>
      <c r="E97" s="1" cm="1">
        <f t="array" ref="E97">OptionPrice("P",$B97,$B$2,E$82,$B$3,$C$81,0)</f>
        <v>0.41863828861361796</v>
      </c>
      <c r="F97" s="1" cm="1">
        <f t="array" ref="F97">OptionPrice("P",$B97,$B$2,F$82,$B$3,$C$81,0)</f>
        <v>0.78245922697174919</v>
      </c>
      <c r="G97" s="1" cm="1">
        <f t="array" ref="G97">OptionPrice("P",$B97,$B$2,G$82,$B$3,$C$81,0)</f>
        <v>1.1896995156485204</v>
      </c>
      <c r="H97" s="1" cm="1">
        <f t="array" ref="H97">OptionPrice("P",$B97,$B$2,H$82,$B$3,$C$81,0)</f>
        <v>1.6172638592946953</v>
      </c>
      <c r="I97" s="1" cm="1">
        <f t="array" ref="I97">OptionPrice("P",$B97,$B$2,I$82,$B$3,$C$81,0)</f>
        <v>2.0524302807328461</v>
      </c>
      <c r="J97" s="1" cm="1">
        <f t="array" ref="J97">OptionPrice("P",$B97,$B$2,J$82,$B$3,$C$81,0)</f>
        <v>2.4880296567206202</v>
      </c>
      <c r="K97" s="1" cm="1">
        <f t="array" ref="K97">OptionPrice("P",$B97,$B$2,K$82,$B$3,$C$81,0)</f>
        <v>2.9199527208618008</v>
      </c>
      <c r="L97" s="1" cm="1">
        <f t="array" ref="L97">OptionPrice("P",$B97,$B$2,L$82,$B$3,$C$81,0)</f>
        <v>3.3458373518378473</v>
      </c>
      <c r="M97" s="1" cm="1">
        <f t="array" ref="M97">OptionPrice("P",$B97,$B$2,M$82,$B$3,$C$81,0)</f>
        <v>7.1610423626880078</v>
      </c>
      <c r="N97" s="1" cm="1">
        <f t="array" ref="N97">OptionPrice("P",$B97,$B$2,N$82,$B$3,$C$81,0)</f>
        <v>10.271387061679363</v>
      </c>
      <c r="O97" s="1" cm="1">
        <f t="array" ref="O97">OptionPrice("P",$B97,$B$2,O$82,$B$3,$C$81,0)</f>
        <v>12.883256065783158</v>
      </c>
      <c r="P97" s="1" cm="1">
        <f t="array" ref="P97">OptionPrice("P",$B97,$B$2,P$82,$B$3,$C$81,0)</f>
        <v>15.131702974633818</v>
      </c>
      <c r="Y97" s="136"/>
      <c r="Z97" s="14">
        <v>130</v>
      </c>
      <c r="AA97" s="1" cm="1">
        <f t="array" ref="AA97">OptionDelta("P",$Z97,$B$2,AA$82,$B$3,$AA$81,0)</f>
        <v>-2.3748452032597012E-3</v>
      </c>
      <c r="AB97" s="1" cm="1">
        <f t="array" ref="AB97">OptionDelta("P",$Z97,$B$2,AB$82,$B$3,$AA$81,0)</f>
        <v>-2.0798132697888772E-2</v>
      </c>
      <c r="AC97" s="1" cm="1">
        <f t="array" ref="AC97">OptionDelta("P",$Z97,$B$2,AC$82,$B$3,$AA$81,0)</f>
        <v>-4.4837567406159407E-2</v>
      </c>
      <c r="AD97" s="1" cm="1">
        <f t="array" ref="AD97">OptionDelta("P",$Z97,$B$2,AD$82,$B$3,$AA$81,0)</f>
        <v>-6.6971680787246357E-2</v>
      </c>
      <c r="AE97" s="1" cm="1">
        <f t="array" ref="AE97">OptionDelta("P",$Z97,$B$2,AE$82,$B$3,$AA$81,0)</f>
        <v>-8.5901509738383175E-2</v>
      </c>
      <c r="AF97" s="1" cm="1">
        <f t="array" ref="AF97">OptionDelta("P",$Z97,$B$2,AF$82,$B$3,$AA$81,0)</f>
        <v>-0.10185624547043504</v>
      </c>
      <c r="AG97" s="1" cm="1">
        <f t="array" ref="AG97">OptionDelta("P",$Z97,$B$2,AG$82,$B$3,$AA$81,0)</f>
        <v>-0.1153277701028006</v>
      </c>
      <c r="AH97" s="1" cm="1">
        <f t="array" ref="AH97">OptionDelta("P",$Z97,$B$2,AH$82,$B$3,$AA$81,0)</f>
        <v>-0.12677851771428283</v>
      </c>
      <c r="AI97" s="1" cm="1">
        <f t="array" ref="AI97">OptionDelta("P",$Z97,$B$2,AI$82,$B$3,$AA$81,0)</f>
        <v>-0.13658767823312523</v>
      </c>
      <c r="AJ97" s="1" cm="1">
        <f t="array" ref="AJ97">OptionDelta("P",$Z97,$B$2,AJ$82,$B$3,$AA$81,0)</f>
        <v>-0.14505487619059876</v>
      </c>
      <c r="AK97" s="1" cm="1">
        <f t="array" ref="AK97">OptionDelta("P",$Z97,$B$2,AK$82,$B$3,$AA$81,0)</f>
        <v>-0.19006114648737371</v>
      </c>
      <c r="AL97" s="1" cm="1">
        <f t="array" ref="AL97">OptionDelta("P",$Z97,$B$2,AL$82,$B$3,$AA$81,0)</f>
        <v>-0.20540674368816236</v>
      </c>
      <c r="AM97" s="1" cm="1">
        <f t="array" ref="AM97">OptionDelta("P",$Z97,$B$2,AM$82,$B$3,$AA$81,0)</f>
        <v>-0.21071568645830396</v>
      </c>
      <c r="AN97" s="1" cm="1">
        <f t="array" ref="AN97">OptionDelta("P",$Z97,$B$2,AN$82,$B$3,$AA$81,0)</f>
        <v>-0.21154980187022532</v>
      </c>
      <c r="AW97" s="139"/>
      <c r="AX97" s="14">
        <v>130</v>
      </c>
      <c r="AY97" s="1" cm="1">
        <f t="array" ref="AY97">OptionTheta("P",$AX97,$B$2,AY$82,$B$3,$AY$81,0)</f>
        <v>-1.260330268284699E-3</v>
      </c>
      <c r="AZ97" s="1" cm="1">
        <f t="array" ref="AZ97">OptionTheta("P",$AX97,$B$2,AZ$82,$B$3,$AY$81,0)</f>
        <v>-6.0570414062779705E-3</v>
      </c>
      <c r="BA97" s="1" cm="1">
        <f t="array" ref="BA97">OptionTheta("P",$AX97,$B$2,BA$82,$B$3,$AY$81,0)</f>
        <v>-9.3897588759763555E-3</v>
      </c>
      <c r="BB97" s="1" cm="1">
        <f t="array" ref="BB97">OptionTheta("P",$AX97,$B$2,BB$82,$B$3,$AY$81,0)</f>
        <v>-1.1221383021929375E-2</v>
      </c>
      <c r="BC97" s="1" cm="1">
        <f t="array" ref="BC97">OptionTheta("P",$AX97,$B$2,BC$82,$B$3,$AY$81,0)</f>
        <v>-1.2188659696609502E-2</v>
      </c>
      <c r="BD97" s="1" cm="1">
        <f t="array" ref="BD97">OptionTheta("P",$AX97,$B$2,BD$82,$B$3,$AY$81,0)</f>
        <v>-1.2674767689475161E-2</v>
      </c>
      <c r="BE97" s="1" cm="1">
        <f t="array" ref="BE97">OptionTheta("P",$AX97,$B$2,BE$82,$B$3,$AY$81,0)</f>
        <v>-1.288644175555032E-2</v>
      </c>
      <c r="BF97" s="1" cm="1">
        <f t="array" ref="BF97">OptionTheta("P",$AX97,$B$2,BF$82,$B$3,$AY$81,0)</f>
        <v>-1.293720288686831E-2</v>
      </c>
      <c r="BG97" s="1" cm="1">
        <f t="array" ref="BG97">OptionTheta("P",$AX97,$B$2,BG$82,$B$3,$AY$81,0)</f>
        <v>-1.2891700006954084E-2</v>
      </c>
      <c r="BH97" s="1" cm="1">
        <f t="array" ref="BH97">OptionTheta("P",$AX97,$B$2,BH$82,$B$3,$AY$81,0)</f>
        <v>-1.2788088843435075E-2</v>
      </c>
      <c r="BI97" s="1" cm="1">
        <f t="array" ref="BI97">OptionTheta("P",$AX97,$B$2,BI$82,$B$3,$AY$81,0)</f>
        <v>-1.1126499754201312E-2</v>
      </c>
      <c r="BJ97" s="1" cm="1">
        <f t="array" ref="BJ97">OptionTheta("P",$AX97,$B$2,BJ$82,$B$3,$AY$81,0)</f>
        <v>-9.7871013704636245E-3</v>
      </c>
      <c r="BK97" s="1" cm="1">
        <f t="array" ref="BK97">OptionTheta("P",$AX97,$B$2,BK$82,$B$3,$AY$81,0)</f>
        <v>-8.8173807012703626E-3</v>
      </c>
      <c r="BL97" s="1" cm="1">
        <f t="array" ref="BL97">OptionTheta("P",$AX97,$B$2,BL$82,$B$3,$AY$81,0)</f>
        <v>-8.0835654200644563E-3</v>
      </c>
      <c r="BU97" s="142"/>
      <c r="BV97" s="14">
        <v>130</v>
      </c>
      <c r="BW97" s="1" cm="1">
        <f t="array" ref="BW97">OptionGamma($BV97,$B$2,BW$82,$B$3,$BW$81,0)</f>
        <v>6.0071558236562614E-4</v>
      </c>
      <c r="BX97" s="1" cm="1">
        <f t="array" ref="BX97">OptionGamma($BV97,$B$2,BX$82,$B$3,$BW$81,0)</f>
        <v>2.8696661309163176E-3</v>
      </c>
      <c r="BY97" s="1" cm="1">
        <f t="array" ref="BY97">OptionGamma($BV97,$B$2,BY$82,$B$3,$BW$81,0)</f>
        <v>4.4244401962093699E-3</v>
      </c>
      <c r="BZ97" s="1" cm="1">
        <f t="array" ref="BZ97">OptionGamma($BV97,$B$2,BZ$82,$B$3,$BW$81,0)</f>
        <v>5.2609033868653314E-3</v>
      </c>
      <c r="CA97" s="1" cm="1">
        <f t="array" ref="CA97">OptionGamma($BV97,$B$2,CA$82,$B$3,$BW$81,0)</f>
        <v>5.6874317310270693E-3</v>
      </c>
      <c r="CB97" s="1" cm="1">
        <f t="array" ref="CB97">OptionGamma($BV97,$B$2,CB$82,$B$3,$BW$81,0)</f>
        <v>5.8878427994134399E-3</v>
      </c>
      <c r="CC97" s="1" cm="1">
        <f t="array" ref="CC97">OptionGamma($BV97,$B$2,CC$82,$B$3,$BW$81,0)</f>
        <v>5.9606848610583791E-3</v>
      </c>
      <c r="CD97" s="1" cm="1">
        <f t="array" ref="CD97">OptionGamma($BV97,$B$2,CD$82,$B$3,$BW$81,0)</f>
        <v>5.9597458042224315E-3</v>
      </c>
      <c r="CE97" s="1" cm="1">
        <f t="array" ref="CE97">OptionGamma($BV97,$B$2,CE$82,$B$3,$BW$81,0)</f>
        <v>5.91545955769436E-3</v>
      </c>
      <c r="CF97" s="1" cm="1">
        <f t="array" ref="CF97">OptionGamma($BV97,$B$2,CF$82,$B$3,$BW$81,0)</f>
        <v>5.8456577452828994E-3</v>
      </c>
      <c r="CG97" s="1" cm="1">
        <f t="array" ref="CG97">OptionGamma($BV97,$B$2,CG$82,$B$3,$BW$81,0)</f>
        <v>4.9210815203458436E-3</v>
      </c>
      <c r="CH97" s="1" cm="1">
        <f t="array" ref="CH97">OptionGamma($BV97,$B$2,CH$82,$B$3,$BW$81,0)</f>
        <v>4.2111102732515695E-3</v>
      </c>
      <c r="CI97" s="1" cm="1">
        <f t="array" ref="CI97">OptionGamma($BV97,$B$2,CI$82,$B$3,$BW$81,0)</f>
        <v>3.7022761379487913E-3</v>
      </c>
      <c r="CJ97" s="1" cm="1">
        <f t="array" ref="CJ97">OptionGamma($BV97,$B$2,CJ$82,$B$3,$BW$81,0)</f>
        <v>3.3190921842812561E-3</v>
      </c>
      <c r="CS97" s="145"/>
      <c r="CT97" s="14">
        <v>130</v>
      </c>
      <c r="CU97" s="1" cm="1">
        <f t="array" ref="CU97">OptionVega($CT97,$B$2,CU$82,$B$3,$CU$81,0)</f>
        <v>3.0456280025937246E-3</v>
      </c>
      <c r="CV97" s="1" cm="1">
        <f t="array" ref="CV97">OptionVega($CT97,$B$2,CV$82,$B$3,$CU$81,0)</f>
        <v>2.909841456749146E-2</v>
      </c>
      <c r="CW97" s="1" cm="1">
        <f t="array" ref="CW97">OptionVega($CT97,$B$2,CW$82,$B$3,$CU$81,0)</f>
        <v>6.729573538434451E-2</v>
      </c>
      <c r="CX97" s="1" cm="1">
        <f t="array" ref="CX97">OptionVega($CT97,$B$2,CX$82,$B$3,$CU$81,0)</f>
        <v>0.10669112068562892</v>
      </c>
      <c r="CY97" s="1" cm="1">
        <f t="array" ref="CY97">OptionVega($CT97,$B$2,CY$82,$B$3,$CU$81,0)</f>
        <v>0.1441763943815362</v>
      </c>
      <c r="CZ97" s="1" cm="1">
        <f t="array" ref="CZ97">OptionVega($CT97,$B$2,CZ$82,$B$3,$CU$81,0)</f>
        <v>0.17910817795815687</v>
      </c>
      <c r="DA97" s="1" cm="1">
        <f t="array" ref="DA97">OptionVega($CT97,$B$2,DA$82,$B$3,$CU$81,0)</f>
        <v>0.21154470571896189</v>
      </c>
      <c r="DB97" s="1" cm="1">
        <f t="array" ref="DB97">OptionVega($CT97,$B$2,DB$82,$B$3,$CU$81,0)</f>
        <v>0.24172728981926181</v>
      </c>
      <c r="DC97" s="1" cm="1">
        <f t="array" ref="DC97">OptionVega($CT97,$B$2,DC$82,$B$3,$CU$81,0)</f>
        <v>0.26992241961759361</v>
      </c>
      <c r="DD97" s="1" cm="1">
        <f t="array" ref="DD97">OptionVega($CT97,$B$2,DD$82,$B$3,$CU$81,0)</f>
        <v>0.29637484768584299</v>
      </c>
      <c r="DE97" s="1" cm="1">
        <f t="array" ref="DE97">OptionVega($CT97,$B$2,DE$82,$B$3,$CU$81,0)</f>
        <v>0.49899766616306857</v>
      </c>
      <c r="DF97" s="1" cm="1">
        <f t="array" ref="DF97">OptionVega($CT97,$B$2,DF$82,$B$3,$CU$81,0)</f>
        <v>0.64050987256156355</v>
      </c>
      <c r="DG97" s="1" cm="1">
        <f t="array" ref="DG97">OptionVega($CT97,$B$2,DG$82,$B$3,$CU$81,0)</f>
        <v>0.7508216007760149</v>
      </c>
      <c r="DH97" s="1" cm="1">
        <f t="array" ref="DH97">OptionVega($CT97,$B$2,DH$82,$B$3,$CU$81,0)</f>
        <v>0.84138986871529853</v>
      </c>
      <c r="DQ97" s="130"/>
      <c r="DR97" s="14">
        <v>130</v>
      </c>
      <c r="DS97" s="1" cm="1">
        <f t="array" ref="DS97">OptionRho("P",$DR97,$B$2,DS$82,$B$3,$DS$81,0)</f>
        <v>-3.1763475348564217E-4</v>
      </c>
      <c r="DT97" s="1" cm="1">
        <f t="array" ref="DT97">OptionRho("P",$DR97,$B$2,DT$82,$B$3,$DS$81,0)</f>
        <v>-5.6878041459199804E-3</v>
      </c>
      <c r="DU97" s="1" cm="1">
        <f t="array" ref="DU97">OptionRho("P",$DR97,$B$2,DU$82,$B$3,$DS$81,0)</f>
        <v>-1.8742566154242985E-2</v>
      </c>
      <c r="DV97" s="1" cm="1">
        <f t="array" ref="DV97">OptionRho("P",$DR97,$B$2,DV$82,$B$3,$DS$81,0)</f>
        <v>-3.7955110917255099E-2</v>
      </c>
      <c r="DW97" s="1" cm="1">
        <f t="array" ref="DW97">OptionRho("P",$DR97,$B$2,DW$82,$B$3,$DS$81,0)</f>
        <v>-6.1784478908191644E-2</v>
      </c>
      <c r="DX97" s="1" cm="1">
        <f t="array" ref="DX97">OptionRho("P",$DR97,$B$2,DX$82,$B$3,$DS$81,0)</f>
        <v>-8.9151454622707488E-2</v>
      </c>
      <c r="DY97" s="1" cm="1">
        <f t="array" ref="DY97">OptionRho("P",$DR97,$B$2,DY$82,$B$3,$DS$81,0)</f>
        <v>-0.1193152827586785</v>
      </c>
      <c r="DZ97" s="1" cm="1">
        <f t="array" ref="DZ97">OptionRho("P",$DR97,$B$2,DZ$82,$B$3,$DS$81,0)</f>
        <v>-0.15175389567661918</v>
      </c>
      <c r="EA97" s="1" cm="1">
        <f t="array" ref="EA97">OptionRho("P",$DR97,$B$2,EA$82,$B$3,$DS$81,0)</f>
        <v>-0.18608715802051268</v>
      </c>
      <c r="EB97" s="1" cm="1">
        <f t="array" ref="EB97">OptionRho("P",$DR97,$B$2,EB$82,$B$3,$DS$81,0)</f>
        <v>-0.22202971256615692</v>
      </c>
      <c r="EC97" s="1" cm="1">
        <f t="array" ref="EC97">OptionRho("P",$DR97,$B$2,EC$82,$B$3,$DS$81,0)</f>
        <v>-0.63737982812093175</v>
      </c>
      <c r="ED97" s="1" cm="1">
        <f t="array" ref="ED97">OptionRho("P",$DR97,$B$2,ED$82,$B$3,$DS$81,0)</f>
        <v>-1.1092279122342144</v>
      </c>
      <c r="EE97" s="1" cm="1">
        <f t="array" ref="EE97">OptionRho("P",$DR97,$B$2,EE$82,$B$3,$DS$81,0)</f>
        <v>-1.6110518122145063</v>
      </c>
      <c r="EF97" s="1" cm="1">
        <f t="array" ref="EF97">OptionRho("P",$DR97,$B$2,EF$82,$B$3,$DS$81,0)</f>
        <v>-2.1316588608881553</v>
      </c>
    </row>
    <row r="98" spans="1:136" x14ac:dyDescent="0.2">
      <c r="A98" s="133"/>
      <c r="B98" s="15">
        <v>135</v>
      </c>
      <c r="C98" s="1" cm="1">
        <f t="array" ref="C98">OptionPrice("P",$B98,$B$2,C$82,$B$3,$C$81,0)</f>
        <v>2.2452991025169039E-3</v>
      </c>
      <c r="D98" s="1" cm="1">
        <f t="array" ref="D98">OptionPrice("P",$B98,$B$2,D$82,$B$3,$C$81,0)</f>
        <v>6.5491815203214454E-2</v>
      </c>
      <c r="E98" s="1" cm="1">
        <f t="array" ref="E98">OptionPrice("P",$B98,$B$2,E$82,$B$3,$C$81,0)</f>
        <v>0.24239595415544546</v>
      </c>
      <c r="F98" s="1" cm="1">
        <f t="array" ref="F98">OptionPrice("P",$B98,$B$2,F$82,$B$3,$C$81,0)</f>
        <v>0.50633841945918512</v>
      </c>
      <c r="G98" s="1" cm="1">
        <f t="array" ref="G98">OptionPrice("P",$B98,$B$2,G$82,$B$3,$C$81,0)</f>
        <v>0.8248549458489407</v>
      </c>
      <c r="H98" s="1" cm="1">
        <f t="array" ref="H98">OptionPrice("P",$B98,$B$2,H$82,$B$3,$C$81,0)</f>
        <v>1.17574603815949</v>
      </c>
      <c r="I98" s="1" cm="1">
        <f t="array" ref="I98">OptionPrice("P",$B98,$B$2,I$82,$B$3,$C$81,0)</f>
        <v>1.5449971689005846</v>
      </c>
      <c r="J98" s="1" cm="1">
        <f t="array" ref="J98">OptionPrice("P",$B98,$B$2,J$82,$B$3,$C$81,0)</f>
        <v>1.923790211643885</v>
      </c>
      <c r="K98" s="1" cm="1">
        <f t="array" ref="K98">OptionPrice("P",$B98,$B$2,K$82,$B$3,$C$81,0)</f>
        <v>2.3065069094494017</v>
      </c>
      <c r="L98" s="1" cm="1">
        <f t="array" ref="L98">OptionPrice("P",$B98,$B$2,L$82,$B$3,$C$81,0)</f>
        <v>2.6895198098144153</v>
      </c>
      <c r="M98" s="1" cm="1">
        <f t="array" ref="M98">OptionPrice("P",$B98,$B$2,M$82,$B$3,$C$81,0)</f>
        <v>6.2698828141917851</v>
      </c>
      <c r="N98" s="1" cm="1">
        <f t="array" ref="N98">OptionPrice("P",$B98,$B$2,N$82,$B$3,$C$81,0)</f>
        <v>9.2952850391804951</v>
      </c>
      <c r="O98" s="1" cm="1">
        <f t="array" ref="O98">OptionPrice("P",$B98,$B$2,O$82,$B$3,$C$81,0)</f>
        <v>11.87459625174975</v>
      </c>
      <c r="P98" s="1" cm="1">
        <f t="array" ref="P98">OptionPrice("P",$B98,$B$2,P$82,$B$3,$C$81,0)</f>
        <v>14.11429969854143</v>
      </c>
      <c r="Y98" s="136"/>
      <c r="Z98" s="15">
        <v>135</v>
      </c>
      <c r="AA98" s="1" cm="1">
        <f t="array" ref="AA98">OptionDelta("P",$Z98,$B$2,AA$82,$B$3,$AA$81,0)</f>
        <v>-6.3792946107255055E-4</v>
      </c>
      <c r="AB98" s="1" cm="1">
        <f t="array" ref="AB98">OptionDelta("P",$Z98,$B$2,AB$82,$B$3,$AA$81,0)</f>
        <v>-1.0201945596281514E-2</v>
      </c>
      <c r="AC98" s="1" cm="1">
        <f t="array" ref="AC98">OptionDelta("P",$Z98,$B$2,AC$82,$B$3,$AA$81,0)</f>
        <v>-2.7002641924538051E-2</v>
      </c>
      <c r="AD98" s="1" cm="1">
        <f t="array" ref="AD98">OptionDelta("P",$Z98,$B$2,AD$82,$B$3,$AA$81,0)</f>
        <v>-4.4787839514464522E-2</v>
      </c>
      <c r="AE98" s="1" cm="1">
        <f t="array" ref="AE98">OptionDelta("P",$Z98,$B$2,AE$82,$B$3,$AA$81,0)</f>
        <v>-6.1252647423470141E-2</v>
      </c>
      <c r="AF98" s="1" cm="1">
        <f t="array" ref="AF98">OptionDelta("P",$Z98,$B$2,AF$82,$B$3,$AA$81,0)</f>
        <v>-7.5864077548471465E-2</v>
      </c>
      <c r="AG98" s="1" cm="1">
        <f t="array" ref="AG98">OptionDelta("P",$Z98,$B$2,AG$82,$B$3,$AA$81,0)</f>
        <v>-8.8663185428034641E-2</v>
      </c>
      <c r="AH98" s="1" cm="1">
        <f t="array" ref="AH98">OptionDelta("P",$Z98,$B$2,AH$82,$B$3,$AA$81,0)</f>
        <v>-9.9850813935310367E-2</v>
      </c>
      <c r="AI98" s="1" cm="1">
        <f t="array" ref="AI98">OptionDelta("P",$Z98,$B$2,AI$82,$B$3,$AA$81,0)</f>
        <v>-0.10965117703705984</v>
      </c>
      <c r="AJ98" s="1" cm="1">
        <f t="array" ref="AJ98">OptionDelta("P",$Z98,$B$2,AJ$82,$B$3,$AA$81,0)</f>
        <v>-0.11826948842735363</v>
      </c>
      <c r="AK98" s="1" cm="1">
        <f t="array" ref="AK98">OptionDelta("P",$Z98,$B$2,AK$82,$B$3,$AA$81,0)</f>
        <v>-0.16686556750780079</v>
      </c>
      <c r="AL98" s="1" cm="1">
        <f t="array" ref="AL98">OptionDelta("P",$Z98,$B$2,AL$82,$B$3,$AA$81,0)</f>
        <v>-0.18536836561406411</v>
      </c>
      <c r="AM98" s="1" cm="1">
        <f t="array" ref="AM98">OptionDelta("P",$Z98,$B$2,AM$82,$B$3,$AA$81,0)</f>
        <v>-0.19301457050780468</v>
      </c>
      <c r="AN98" s="1" cm="1">
        <f t="array" ref="AN98">OptionDelta("P",$Z98,$B$2,AN$82,$B$3,$AA$81,0)</f>
        <v>-0.19563532516962057</v>
      </c>
      <c r="AW98" s="139"/>
      <c r="AX98" s="15">
        <v>135</v>
      </c>
      <c r="AY98" s="1" cm="1">
        <f t="array" ref="AY98">OptionTheta("P",$AX98,$B$2,AY$82,$B$3,$AY$81,0)</f>
        <v>-3.9297144098692465E-4</v>
      </c>
      <c r="AZ98" s="1" cm="1">
        <f t="array" ref="AZ98">OptionTheta("P",$AX98,$B$2,AZ$82,$B$3,$AY$81,0)</f>
        <v>-3.4040675739607398E-3</v>
      </c>
      <c r="BA98" s="1" cm="1">
        <f t="array" ref="BA98">OptionTheta("P",$AX98,$B$2,BA$82,$B$3,$AY$81,0)</f>
        <v>-6.4206607150103252E-3</v>
      </c>
      <c r="BB98" s="1" cm="1">
        <f t="array" ref="BB98">OptionTheta("P",$AX98,$B$2,BB$82,$B$3,$AY$81,0)</f>
        <v>-8.4627172880202932E-3</v>
      </c>
      <c r="BC98" s="1" cm="1">
        <f t="array" ref="BC98">OptionTheta("P",$AX98,$B$2,BC$82,$B$3,$AY$81,0)</f>
        <v>-9.7478059178200769E-3</v>
      </c>
      <c r="BD98" s="1" cm="1">
        <f t="array" ref="BD98">OptionTheta("P",$AX98,$B$2,BD$82,$B$3,$AY$81,0)</f>
        <v>-1.0540425442422924E-2</v>
      </c>
      <c r="BE98" s="1" cm="1">
        <f t="array" ref="BE98">OptionTheta("P",$AX98,$B$2,BE$82,$B$3,$AY$81,0)</f>
        <v>-1.1019268116335419E-2</v>
      </c>
      <c r="BF98" s="1" cm="1">
        <f t="array" ref="BF98">OptionTheta("P",$AX98,$B$2,BF$82,$B$3,$AY$81,0)</f>
        <v>-1.1295950059962642E-2</v>
      </c>
      <c r="BG98" s="1" cm="1">
        <f t="array" ref="BG98">OptionTheta("P",$AX98,$B$2,BG$82,$B$3,$AY$81,0)</f>
        <v>-1.1440121530180779E-2</v>
      </c>
      <c r="BH98" s="1" cm="1">
        <f t="array" ref="BH98">OptionTheta("P",$AX98,$B$2,BH$82,$B$3,$AY$81,0)</f>
        <v>-1.1496032371718238E-2</v>
      </c>
      <c r="BI98" s="1" cm="1">
        <f t="array" ref="BI98">OptionTheta("P",$AX98,$B$2,BI$82,$B$3,$AY$81,0)</f>
        <v>-1.0598123784426526E-2</v>
      </c>
      <c r="BJ98" s="1" cm="1">
        <f t="array" ref="BJ98">OptionTheta("P",$AX98,$B$2,BJ$82,$B$3,$AY$81,0)</f>
        <v>-9.5008824301983392E-3</v>
      </c>
      <c r="BK98" s="1" cm="1">
        <f t="array" ref="BK98">OptionTheta("P",$AX98,$B$2,BK$82,$B$3,$AY$81,0)</f>
        <v>-8.6397689609062026E-3</v>
      </c>
      <c r="BL98" s="1" cm="1">
        <f t="array" ref="BL98">OptionTheta("P",$AX98,$B$2,BL$82,$B$3,$AY$81,0)</f>
        <v>-7.9644680195849089E-3</v>
      </c>
      <c r="BU98" s="142"/>
      <c r="BV98" s="15">
        <v>135</v>
      </c>
      <c r="BW98" s="1" cm="1">
        <f t="array" ref="BW98">OptionGamma($BV98,$B$2,BW$82,$B$3,$BW$81,0)</f>
        <v>1.7381608681207663E-4</v>
      </c>
      <c r="BX98" s="1" cm="1">
        <f t="array" ref="BX98">OptionGamma($BV98,$B$2,BX$82,$B$3,$BW$81,0)</f>
        <v>1.4974023713320017E-3</v>
      </c>
      <c r="BY98" s="1" cm="1">
        <f t="array" ref="BY98">OptionGamma($BV98,$B$2,BY$82,$B$3,$BW$81,0)</f>
        <v>2.8101370337925168E-3</v>
      </c>
      <c r="BZ98" s="1" cm="1">
        <f t="array" ref="BZ98">OptionGamma($BV98,$B$2,BZ$82,$B$3,$BW$81,0)</f>
        <v>3.6864683342030654E-3</v>
      </c>
      <c r="CA98" s="1" cm="1">
        <f t="array" ref="CA98">OptionGamma($BV98,$B$2,CA$82,$B$3,$BW$81,0)</f>
        <v>4.2274159872265253E-3</v>
      </c>
      <c r="CB98" s="1" cm="1">
        <f t="array" ref="CB98">OptionGamma($BV98,$B$2,CB$82,$B$3,$BW$81,0)</f>
        <v>4.5518443181372789E-3</v>
      </c>
      <c r="CC98" s="1" cm="1">
        <f t="array" ref="CC98">OptionGamma($BV98,$B$2,CC$82,$B$3,$BW$81,0)</f>
        <v>4.7393843504899566E-3</v>
      </c>
      <c r="CD98" s="1" cm="1">
        <f t="array" ref="CD98">OptionGamma($BV98,$B$2,CD$82,$B$3,$BW$81,0)</f>
        <v>4.8394882133299885E-3</v>
      </c>
      <c r="CE98" s="1" cm="1">
        <f t="array" ref="CE98">OptionGamma($BV98,$B$2,CE$82,$B$3,$BW$81,0)</f>
        <v>4.8828534679731259E-3</v>
      </c>
      <c r="CF98" s="1" cm="1">
        <f t="array" ref="CF98">OptionGamma($BV98,$B$2,CF$82,$B$3,$BW$81,0)</f>
        <v>4.8888801197403868E-3</v>
      </c>
      <c r="CG98" s="1" cm="1">
        <f t="array" ref="CG98">OptionGamma($BV98,$B$2,CG$82,$B$3,$BW$81,0)</f>
        <v>4.3656123603575472E-3</v>
      </c>
      <c r="CH98" s="1" cm="1">
        <f t="array" ref="CH98">OptionGamma($BV98,$B$2,CH$82,$B$3,$BW$81,0)</f>
        <v>3.8099337821083405E-3</v>
      </c>
      <c r="CI98" s="1" cm="1">
        <f t="array" ref="CI98">OptionGamma($BV98,$B$2,CI$82,$B$3,$BW$81,0)</f>
        <v>3.3826551294348179E-3</v>
      </c>
      <c r="CJ98" s="1" cm="1">
        <f t="array" ref="CJ98">OptionGamma($BV98,$B$2,CJ$82,$B$3,$BW$81,0)</f>
        <v>3.0504863785204566E-3</v>
      </c>
      <c r="CS98" s="145"/>
      <c r="CT98" s="15">
        <v>135</v>
      </c>
      <c r="CU98" s="1" cm="1">
        <f t="array" ref="CU98">OptionVega($CT98,$B$2,CU$82,$B$3,$CU$81,0)</f>
        <v>9.503394546450289E-4</v>
      </c>
      <c r="CV98" s="1" cm="1">
        <f t="array" ref="CV98">OptionVega($CT98,$B$2,CV$82,$B$3,$CU$81,0)</f>
        <v>1.6374094930515438E-2</v>
      </c>
      <c r="CW98" s="1" cm="1">
        <f t="array" ref="CW98">OptionVega($CT98,$B$2,CW$82,$B$3,$CU$81,0)</f>
        <v>4.6093272696781748E-2</v>
      </c>
      <c r="CX98" s="1" cm="1">
        <f t="array" ref="CX98">OptionVega($CT98,$B$2,CX$82,$B$3,$CU$81,0)</f>
        <v>8.062306246902104E-2</v>
      </c>
      <c r="CY98" s="1" cm="1">
        <f t="array" ref="CY98">OptionVega($CT98,$B$2,CY$82,$B$3,$CU$81,0)</f>
        <v>0.11556698455080515</v>
      </c>
      <c r="CZ98" s="1" cm="1">
        <f t="array" ref="CZ98">OptionVega($CT98,$B$2,CZ$82,$B$3,$CU$81,0)</f>
        <v>0.14932325285649345</v>
      </c>
      <c r="DA98" s="1" cm="1">
        <f t="array" ref="DA98">OptionVega($CT98,$B$2,DA$82,$B$3,$CU$81,0)</f>
        <v>0.18138808755412689</v>
      </c>
      <c r="DB98" s="1" cm="1">
        <f t="array" ref="DB98">OptionVega($CT98,$B$2,DB$82,$B$3,$CU$81,0)</f>
        <v>0.2116792144510537</v>
      </c>
      <c r="DC98" s="1" cm="1">
        <f t="array" ref="DC98">OptionVega($CT98,$B$2,DC$82,$B$3,$CU$81,0)</f>
        <v>0.24027301202528756</v>
      </c>
      <c r="DD98" s="1" cm="1">
        <f t="array" ref="DD98">OptionVega($CT98,$B$2,DD$82,$B$3,$CU$81,0)</f>
        <v>0.26729952054680567</v>
      </c>
      <c r="DE98" s="1" cm="1">
        <f t="array" ref="DE98">OptionVega($CT98,$B$2,DE$82,$B$3,$CU$81,0)</f>
        <v>0.47737971160509779</v>
      </c>
      <c r="DF98" s="1" cm="1">
        <f t="array" ref="DF98">OptionVega($CT98,$B$2,DF$82,$B$3,$CU$81,0)</f>
        <v>0.62492438861032051</v>
      </c>
      <c r="DG98" s="1" cm="1">
        <f t="array" ref="DG98">OptionVega($CT98,$B$2,DG$82,$B$3,$CU$81,0)</f>
        <v>0.73978667680739474</v>
      </c>
      <c r="DH98" s="1" cm="1">
        <f t="array" ref="DH98">OptionVega($CT98,$B$2,DH$82,$B$3,$CU$81,0)</f>
        <v>0.83392671372802984</v>
      </c>
      <c r="DQ98" s="130"/>
      <c r="DR98" s="15">
        <v>135</v>
      </c>
      <c r="DS98" s="1" cm="1">
        <f t="array" ref="DS98">OptionRho("P",$DR98,$B$2,DS$82,$B$3,$DS$81,0)</f>
        <v>-8.8365776347318313E-5</v>
      </c>
      <c r="DT98" s="1" cm="1">
        <f t="array" ref="DT98">OptionRho("P",$DR98,$B$2,DT$82,$B$3,$DS$81,0)</f>
        <v>-2.8855089414024254E-3</v>
      </c>
      <c r="DU98" s="1" cm="1">
        <f t="array" ref="DU98">OptionRho("P",$DR98,$B$2,DU$82,$B$3,$DS$81,0)</f>
        <v>-1.1663257841904279E-2</v>
      </c>
      <c r="DV98" s="1" cm="1">
        <f t="array" ref="DV98">OptionRho("P",$DR98,$B$2,DV$82,$B$3,$DS$81,0)</f>
        <v>-2.6210787015647562E-2</v>
      </c>
      <c r="DW98" s="1" cm="1">
        <f t="array" ref="DW98">OptionRho("P",$DR98,$B$2,DW$82,$B$3,$DS$81,0)</f>
        <v>-4.5469811740087018E-2</v>
      </c>
      <c r="DX98" s="1" cm="1">
        <f t="array" ref="DX98">OptionRho("P",$DR98,$B$2,DX$82,$B$3,$DS$81,0)</f>
        <v>-6.8504379043218822E-2</v>
      </c>
      <c r="DY98" s="1" cm="1">
        <f t="array" ref="DY98">OptionRho("P",$DR98,$B$2,DY$82,$B$3,$DS$81,0)</f>
        <v>-9.4601690411796877E-2</v>
      </c>
      <c r="DZ98" s="1" cm="1">
        <f t="array" ref="DZ98">OptionRho("P",$DR98,$B$2,DZ$82,$B$3,$DS$81,0)</f>
        <v>-0.12322920074328625</v>
      </c>
      <c r="EA98" s="1" cm="1">
        <f t="array" ref="EA98">OptionRho("P",$DR98,$B$2,EA$82,$B$3,$DS$81,0)</f>
        <v>-0.15398474228507228</v>
      </c>
      <c r="EB98" s="1" cm="1">
        <f t="array" ref="EB98">OptionRho("P",$DR98,$B$2,EB$82,$B$3,$DS$81,0)</f>
        <v>-0.18655900747507159</v>
      </c>
      <c r="EC98" s="1" cm="1">
        <f t="array" ref="EC98">OptionRho("P",$DR98,$B$2,EC$82,$B$3,$DS$81,0)</f>
        <v>-0.57593468855489771</v>
      </c>
      <c r="ED98" s="1" cm="1">
        <f t="array" ref="ED98">OptionRho("P",$DR98,$B$2,ED$82,$B$3,$DS$81,0)</f>
        <v>-1.0296004319123739</v>
      </c>
      <c r="EE98" s="1" cm="1">
        <f t="array" ref="EE98">OptionRho("P",$DR98,$B$2,EE$82,$B$3,$DS$81,0)</f>
        <v>-1.517262530812135</v>
      </c>
      <c r="EF98" s="1" cm="1">
        <f t="array" ref="EF98">OptionRho("P",$DR98,$B$2,EF$82,$B$3,$DS$81,0)</f>
        <v>-2.026253429822011</v>
      </c>
    </row>
    <row r="99" spans="1:136" x14ac:dyDescent="0.2">
      <c r="A99" s="133"/>
      <c r="B99" s="6" t="s">
        <v>2</v>
      </c>
      <c r="C99" s="9">
        <v>0.1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8"/>
      <c r="Y99" s="136"/>
      <c r="Z99" s="18" t="s">
        <v>2</v>
      </c>
      <c r="AA99" s="21">
        <v>0.1</v>
      </c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20"/>
      <c r="AW99" s="139"/>
      <c r="AX99" s="22" t="s">
        <v>2</v>
      </c>
      <c r="AY99" s="25">
        <v>0.1</v>
      </c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4"/>
      <c r="BU99" s="142"/>
      <c r="BV99" s="26" t="s">
        <v>2</v>
      </c>
      <c r="BW99" s="29">
        <v>0.1</v>
      </c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8"/>
      <c r="CS99" s="145"/>
      <c r="CT99" s="30" t="s">
        <v>2</v>
      </c>
      <c r="CU99" s="33">
        <v>0.1</v>
      </c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2"/>
      <c r="DQ99" s="130"/>
      <c r="DR99" s="34" t="s">
        <v>2</v>
      </c>
      <c r="DS99" s="37">
        <v>0.1</v>
      </c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6"/>
    </row>
    <row r="100" spans="1:136" x14ac:dyDescent="0.2">
      <c r="A100" s="133"/>
      <c r="B100" s="5"/>
      <c r="C100" s="10">
        <v>0.1</v>
      </c>
      <c r="D100" s="11">
        <v>0.2</v>
      </c>
      <c r="E100" s="11">
        <v>0.3</v>
      </c>
      <c r="F100" s="11">
        <v>0.4</v>
      </c>
      <c r="G100" s="11">
        <v>0.5</v>
      </c>
      <c r="H100" s="11">
        <v>0.6</v>
      </c>
      <c r="I100" s="11">
        <v>0.7</v>
      </c>
      <c r="J100" s="11">
        <v>0.8</v>
      </c>
      <c r="K100" s="11">
        <v>0.9</v>
      </c>
      <c r="L100" s="11">
        <v>1</v>
      </c>
      <c r="M100" s="11">
        <v>2</v>
      </c>
      <c r="N100" s="11">
        <v>3</v>
      </c>
      <c r="O100" s="11">
        <v>4</v>
      </c>
      <c r="P100" s="12">
        <v>5</v>
      </c>
      <c r="Y100" s="136"/>
      <c r="Z100" s="5"/>
      <c r="AA100" s="10">
        <v>0.1</v>
      </c>
      <c r="AB100" s="11">
        <v>0.2</v>
      </c>
      <c r="AC100" s="11">
        <v>0.3</v>
      </c>
      <c r="AD100" s="11">
        <v>0.4</v>
      </c>
      <c r="AE100" s="11">
        <v>0.5</v>
      </c>
      <c r="AF100" s="11">
        <v>0.6</v>
      </c>
      <c r="AG100" s="11">
        <v>0.7</v>
      </c>
      <c r="AH100" s="11">
        <v>0.8</v>
      </c>
      <c r="AI100" s="11">
        <v>0.9</v>
      </c>
      <c r="AJ100" s="11">
        <v>1</v>
      </c>
      <c r="AK100" s="11">
        <v>2</v>
      </c>
      <c r="AL100" s="11">
        <v>3</v>
      </c>
      <c r="AM100" s="11">
        <v>4</v>
      </c>
      <c r="AN100" s="12">
        <v>5</v>
      </c>
      <c r="AW100" s="139"/>
      <c r="AX100" s="5"/>
      <c r="AY100" s="10">
        <v>0.1</v>
      </c>
      <c r="AZ100" s="11">
        <v>0.2</v>
      </c>
      <c r="BA100" s="11">
        <v>0.3</v>
      </c>
      <c r="BB100" s="11">
        <v>0.4</v>
      </c>
      <c r="BC100" s="11">
        <v>0.5</v>
      </c>
      <c r="BD100" s="11">
        <v>0.6</v>
      </c>
      <c r="BE100" s="11">
        <v>0.7</v>
      </c>
      <c r="BF100" s="11">
        <v>0.8</v>
      </c>
      <c r="BG100" s="11">
        <v>0.9</v>
      </c>
      <c r="BH100" s="11">
        <v>1</v>
      </c>
      <c r="BI100" s="11">
        <v>2</v>
      </c>
      <c r="BJ100" s="11">
        <v>3</v>
      </c>
      <c r="BK100" s="11">
        <v>4</v>
      </c>
      <c r="BL100" s="12">
        <v>5</v>
      </c>
      <c r="BU100" s="142"/>
      <c r="BV100" s="5"/>
      <c r="BW100" s="10">
        <v>0.1</v>
      </c>
      <c r="BX100" s="11">
        <v>0.2</v>
      </c>
      <c r="BY100" s="11">
        <v>0.3</v>
      </c>
      <c r="BZ100" s="11">
        <v>0.4</v>
      </c>
      <c r="CA100" s="11">
        <v>0.5</v>
      </c>
      <c r="CB100" s="11">
        <v>0.6</v>
      </c>
      <c r="CC100" s="11">
        <v>0.7</v>
      </c>
      <c r="CD100" s="11">
        <v>0.8</v>
      </c>
      <c r="CE100" s="11">
        <v>0.9</v>
      </c>
      <c r="CF100" s="11">
        <v>1</v>
      </c>
      <c r="CG100" s="11">
        <v>2</v>
      </c>
      <c r="CH100" s="11">
        <v>3</v>
      </c>
      <c r="CI100" s="11">
        <v>4</v>
      </c>
      <c r="CJ100" s="12">
        <v>5</v>
      </c>
      <c r="CS100" s="145"/>
      <c r="CT100" s="5"/>
      <c r="CU100" s="10">
        <v>0.1</v>
      </c>
      <c r="CV100" s="11">
        <v>0.2</v>
      </c>
      <c r="CW100" s="11">
        <v>0.3</v>
      </c>
      <c r="CX100" s="11">
        <v>0.4</v>
      </c>
      <c r="CY100" s="11">
        <v>0.5</v>
      </c>
      <c r="CZ100" s="11">
        <v>0.6</v>
      </c>
      <c r="DA100" s="11">
        <v>0.7</v>
      </c>
      <c r="DB100" s="11">
        <v>0.8</v>
      </c>
      <c r="DC100" s="11">
        <v>0.9</v>
      </c>
      <c r="DD100" s="11">
        <v>1</v>
      </c>
      <c r="DE100" s="11">
        <v>2</v>
      </c>
      <c r="DF100" s="11">
        <v>3</v>
      </c>
      <c r="DG100" s="11">
        <v>4</v>
      </c>
      <c r="DH100" s="12">
        <v>5</v>
      </c>
      <c r="DQ100" s="130"/>
      <c r="DR100" s="5"/>
      <c r="DS100" s="10">
        <v>0.1</v>
      </c>
      <c r="DT100" s="11">
        <v>0.2</v>
      </c>
      <c r="DU100" s="11">
        <v>0.3</v>
      </c>
      <c r="DV100" s="11">
        <v>0.4</v>
      </c>
      <c r="DW100" s="11">
        <v>0.5</v>
      </c>
      <c r="DX100" s="11">
        <v>0.6</v>
      </c>
      <c r="DY100" s="11">
        <v>0.7</v>
      </c>
      <c r="DZ100" s="11">
        <v>0.8</v>
      </c>
      <c r="EA100" s="11">
        <v>0.9</v>
      </c>
      <c r="EB100" s="11">
        <v>1</v>
      </c>
      <c r="EC100" s="11">
        <v>2</v>
      </c>
      <c r="ED100" s="11">
        <v>3</v>
      </c>
      <c r="EE100" s="11">
        <v>4</v>
      </c>
      <c r="EF100" s="12">
        <v>5</v>
      </c>
    </row>
    <row r="101" spans="1:136" x14ac:dyDescent="0.2">
      <c r="A101" s="133"/>
      <c r="B101" s="13">
        <v>60</v>
      </c>
      <c r="C101" s="1" cm="1">
        <f t="array" ref="C101">OptionPrice("P",$B101,$B$2,C$100,$B$3,$C$99,0)</f>
        <v>39.900049983337496</v>
      </c>
      <c r="D101" s="1" cm="1">
        <f t="array" ref="D101">OptionPrice("P",$B101,$B$2,D$100,$B$3,$C$99,0)</f>
        <v>39.800199866733308</v>
      </c>
      <c r="E101" s="1" cm="1">
        <f t="array" ref="E101">OptionPrice("P",$B101,$B$2,E$100,$B$3,$C$99,0)</f>
        <v>39.700449550337297</v>
      </c>
      <c r="F101" s="1" cm="1">
        <f t="array" ref="F101">OptionPrice("P",$B101,$B$2,F$100,$B$3,$C$99,0)</f>
        <v>39.600798934399151</v>
      </c>
      <c r="G101" s="1" cm="1">
        <f t="array" ref="G101">OptionPrice("P",$B101,$B$2,G$100,$B$3,$C$99,0)</f>
        <v>39.50124791926855</v>
      </c>
      <c r="H101" s="1" cm="1">
        <f t="array" ref="H101">OptionPrice("P",$B101,$B$2,H$100,$B$3,$C$99,0)</f>
        <v>39.401796405424967</v>
      </c>
      <c r="I101" s="1" cm="1">
        <f t="array" ref="I101">OptionPrice("P",$B101,$B$2,I$100,$B$3,$C$99,0)</f>
        <v>39.302444294202189</v>
      </c>
      <c r="J101" s="1" cm="1">
        <f t="array" ref="J101">OptionPrice("P",$B101,$B$2,J$100,$B$3,$C$99,0)</f>
        <v>39.20319149465741</v>
      </c>
      <c r="K101" s="1" cm="1">
        <f t="array" ref="K101">OptionPrice("P",$B101,$B$2,K$100,$B$3,$C$99,0)</f>
        <v>39.104037956730181</v>
      </c>
      <c r="L101" s="1" cm="1">
        <f t="array" ref="L101">OptionPrice("P",$B101,$B$2,L$100,$B$3,$C$99,0)</f>
        <v>39.004983768646966</v>
      </c>
      <c r="M101" s="1" cm="1">
        <f t="array" ref="M101">OptionPrice("P",$B101,$B$2,M$100,$B$3,$C$99,0)</f>
        <v>38.020578236828797</v>
      </c>
      <c r="N101" s="1" cm="1">
        <f t="array" ref="N101">OptionPrice("P",$B101,$B$2,N$100,$B$3,$C$99,0)</f>
        <v>37.055417178443342</v>
      </c>
      <c r="O101" s="1" cm="1">
        <f t="array" ref="O101">OptionPrice("P",$B101,$B$2,O$100,$B$3,$C$99,0)</f>
        <v>36.126141798687854</v>
      </c>
      <c r="P101" s="1" cm="1">
        <f t="array" ref="P101">OptionPrice("P",$B101,$B$2,P$100,$B$3,$C$99,0)</f>
        <v>35.244001359256181</v>
      </c>
      <c r="Y101" s="136"/>
      <c r="Z101" s="13">
        <v>60</v>
      </c>
      <c r="AA101" s="1" cm="1">
        <f t="array" ref="AA101">OptionDelta("P",$Z101,$B$2,AA$100,$B$3,$AA$99,0)</f>
        <v>-1</v>
      </c>
      <c r="AB101" s="1" cm="1">
        <f t="array" ref="AB101">OptionDelta("P",$Z101,$B$2,AB$100,$B$3,$AA$99,0)</f>
        <v>-1</v>
      </c>
      <c r="AC101" s="1" cm="1">
        <f t="array" ref="AC101">OptionDelta("P",$Z101,$B$2,AC$100,$B$3,$AA$99,0)</f>
        <v>-1</v>
      </c>
      <c r="AD101" s="1" cm="1">
        <f t="array" ref="AD101">OptionDelta("P",$Z101,$B$2,AD$100,$B$3,$AA$99,0)</f>
        <v>-0.99999999999999933</v>
      </c>
      <c r="AE101" s="1" cm="1">
        <f t="array" ref="AE101">OptionDelta("P",$Z101,$B$2,AE$100,$B$3,$AA$99,0)</f>
        <v>-0.99999999999945288</v>
      </c>
      <c r="AF101" s="1" cm="1">
        <f t="array" ref="AF101">OptionDelta("P",$Z101,$B$2,AF$100,$B$3,$AA$99,0)</f>
        <v>-0.99999999995369315</v>
      </c>
      <c r="AG101" s="1" cm="1">
        <f t="array" ref="AG101">OptionDelta("P",$Z101,$B$2,AG$100,$B$3,$AA$99,0)</f>
        <v>-0.9999999988845516</v>
      </c>
      <c r="AH101" s="1" cm="1">
        <f t="array" ref="AH101">OptionDelta("P",$Z101,$B$2,AH$100,$B$3,$AA$99,0)</f>
        <v>-0.99999998776771981</v>
      </c>
      <c r="AI101" s="1" cm="1">
        <f t="array" ref="AI101">OptionDelta("P",$Z101,$B$2,AI$100,$B$3,$AA$99,0)</f>
        <v>-0.99999992069449628</v>
      </c>
      <c r="AJ101" s="1" cm="1">
        <f t="array" ref="AJ101">OptionDelta("P",$Z101,$B$2,AJ$100,$B$3,$AA$99,0)</f>
        <v>-0.99999964435644462</v>
      </c>
      <c r="AK101" s="1" cm="1">
        <f t="array" ref="AK101">OptionDelta("P",$Z101,$B$2,AK$100,$B$3,$AA$99,0)</f>
        <v>-0.99966300984690104</v>
      </c>
      <c r="AL101" s="1" cm="1">
        <f t="array" ref="AL101">OptionDelta("P",$Z101,$B$2,AL$100,$B$3,$AA$99,0)</f>
        <v>-0.99642145828700812</v>
      </c>
      <c r="AM101" s="1" cm="1">
        <f t="array" ref="AM101">OptionDelta("P",$Z101,$B$2,AM$100,$B$3,$AA$99,0)</f>
        <v>-0.98790594541152554</v>
      </c>
      <c r="AN101" s="1" cm="1">
        <f t="array" ref="AN101">OptionDelta("P",$Z101,$B$2,AN$100,$B$3,$AA$99,0)</f>
        <v>-0.974356553225038</v>
      </c>
      <c r="AW101" s="139"/>
      <c r="AX101" s="13">
        <v>60</v>
      </c>
      <c r="AY101" s="1" cm="1">
        <f t="array" ref="AY101">OptionTheta("P",$AX101,$B$2,AY$100,$B$3,$AY$99,0)</f>
        <v>-2.73698767077637E-3</v>
      </c>
      <c r="AZ101" s="1" cm="1">
        <f t="array" ref="AZ101">OptionTheta("P",$AX101,$B$2,AZ$100,$B$3,$AY$99,0)</f>
        <v>-2.7342520511433781E-3</v>
      </c>
      <c r="BA101" s="1" cm="1">
        <f t="array" ref="BA101">OptionTheta("P",$AX101,$B$2,BA$100,$B$3,$AY$99,0)</f>
        <v>-2.7315191657626657E-3</v>
      </c>
      <c r="BB101" s="1" cm="1">
        <f t="array" ref="BB101">OptionTheta("P",$AX101,$B$2,BB$100,$B$3,$AY$99,0)</f>
        <v>-2.7287890119014209E-3</v>
      </c>
      <c r="BC101" s="1" cm="1">
        <f t="array" ref="BC101">OptionTheta("P",$AX101,$B$2,BC$100,$B$3,$AY$99,0)</f>
        <v>-2.7260615868745057E-3</v>
      </c>
      <c r="BD101" s="1" cm="1">
        <f t="array" ref="BD101">OptionTheta("P",$AX101,$B$2,BD$100,$B$3,$AY$99,0)</f>
        <v>-2.7233368909996259E-3</v>
      </c>
      <c r="BE101" s="1" cm="1">
        <f t="array" ref="BE101">OptionTheta("P",$AX101,$B$2,BE$100,$B$3,$AY$99,0)</f>
        <v>-2.7206149776070731E-3</v>
      </c>
      <c r="BF101" s="1" cm="1">
        <f t="array" ref="BF101">OptionTheta("P",$AX101,$B$2,BF$100,$B$3,$AY$99,0)</f>
        <v>-2.7178962832038623E-3</v>
      </c>
      <c r="BG101" s="1" cm="1">
        <f t="array" ref="BG101">OptionTheta("P",$AX101,$B$2,BG$100,$B$3,$AY$99,0)</f>
        <v>-2.7151827165353341E-3</v>
      </c>
      <c r="BH101" s="1" cm="1">
        <f t="array" ref="BH101">OptionTheta("P",$AX101,$B$2,BH$100,$B$3,$AY$99,0)</f>
        <v>-2.712479766764721E-3</v>
      </c>
      <c r="BI101" s="1" cm="1">
        <f t="array" ref="BI101">OptionTheta("P",$AX101,$B$2,BI$100,$B$3,$AY$99,0)</f>
        <v>-2.6921039972956596E-3</v>
      </c>
      <c r="BJ101" s="1" cm="1">
        <f t="array" ref="BJ101">OptionTheta("P",$AX101,$B$2,BJ$100,$B$3,$AY$99,0)</f>
        <v>-2.7040475676147493E-3</v>
      </c>
      <c r="BK101" s="1" cm="1">
        <f t="array" ref="BK101">OptionTheta("P",$AX101,$B$2,BK$100,$B$3,$AY$99,0)</f>
        <v>-2.7429421886364762E-3</v>
      </c>
      <c r="BL101" s="1" cm="1">
        <f t="array" ref="BL101">OptionTheta("P",$AX101,$B$2,BL$100,$B$3,$AY$99,0)</f>
        <v>-2.7867219272449694E-3</v>
      </c>
      <c r="BU101" s="142"/>
      <c r="BV101" s="13">
        <v>60</v>
      </c>
      <c r="BW101" s="1" cm="1">
        <f t="array" ref="BW101">OptionGamma($BV101,$B$2,BW$100,$B$3,$BW$99,0)</f>
        <v>9.8181668070309793E-58</v>
      </c>
      <c r="BX101" s="1" cm="1">
        <f t="array" ref="BX101">OptionGamma($BV101,$B$2,BX$100,$B$3,$BW$99,0)</f>
        <v>1.4877614568192042E-29</v>
      </c>
      <c r="BY101" s="1" cm="1">
        <f t="array" ref="BY101">OptionGamma($BV101,$B$2,BY$100,$B$3,$BW$99,0)</f>
        <v>3.3715886606540406E-20</v>
      </c>
      <c r="BZ101" s="1" cm="1">
        <f t="array" ref="BZ101">OptionGamma($BV101,$B$2,BZ$100,$B$3,$BW$99,0)</f>
        <v>1.5374265651823462E-15</v>
      </c>
      <c r="CA101" s="1" cm="1">
        <f t="array" ref="CA101">OptionGamma($BV101,$B$2,CA$100,$B$3,$BW$99,0)</f>
        <v>9.3540877738932821E-13</v>
      </c>
      <c r="CB101" s="1" cm="1">
        <f t="array" ref="CB101">OptionGamma($BV101,$B$2,CB$100,$B$3,$BW$99,0)</f>
        <v>6.6022100125859387E-11</v>
      </c>
      <c r="CC101" s="1" cm="1">
        <f t="array" ref="CC101">OptionGamma($BV101,$B$2,CC$100,$B$3,$BW$99,0)</f>
        <v>1.3641015888556874E-9</v>
      </c>
      <c r="CD101" s="1" cm="1">
        <f t="array" ref="CD101">OptionGamma($BV101,$B$2,CD$100,$B$3,$BW$99,0)</f>
        <v>1.309790020055326E-8</v>
      </c>
      <c r="CE101" s="1" cm="1">
        <f t="array" ref="CE101">OptionGamma($BV101,$B$2,CE$100,$B$3,$BW$99,0)</f>
        <v>7.5530633187758507E-8</v>
      </c>
      <c r="CF101" s="1" cm="1">
        <f t="array" ref="CF101">OptionGamma($BV101,$B$2,CF$100,$B$3,$BW$99,0)</f>
        <v>3.0503159925846777E-7</v>
      </c>
      <c r="CG101" s="1" cm="1">
        <f t="array" ref="CG101">OptionGamma($BV101,$B$2,CG$100,$B$3,$BW$99,0)</f>
        <v>1.4524281869372614E-4</v>
      </c>
      <c r="CH101" s="1" cm="1">
        <f t="array" ref="CH101">OptionGamma($BV101,$B$2,CH$100,$B$3,$BW$99,0)</f>
        <v>1.0316841901525141E-3</v>
      </c>
      <c r="CI101" s="1" cm="1">
        <f t="array" ref="CI101">OptionGamma($BV101,$B$2,CI$100,$B$3,$BW$99,0)</f>
        <v>2.6204952010288863E-3</v>
      </c>
      <c r="CJ101" s="1" cm="1">
        <f t="array" ref="CJ101">OptionGamma($BV101,$B$2,CJ$100,$B$3,$BW$99,0)</f>
        <v>4.4499754398238511E-3</v>
      </c>
      <c r="CS101" s="145"/>
      <c r="CT101" s="13">
        <v>60</v>
      </c>
      <c r="CU101" s="1" cm="1">
        <f t="array" ref="CU101">OptionVega($CT101,$B$2,CU$100,$B$3,$CU$99,0)</f>
        <v>3.5345400505311531E-58</v>
      </c>
      <c r="CV101" s="1" cm="1">
        <f t="array" ref="CV101">OptionVega($CT101,$B$2,CV$100,$B$3,$CU$99,0)</f>
        <v>1.0711882489098268E-29</v>
      </c>
      <c r="CW101" s="1" cm="1">
        <f t="array" ref="CW101">OptionVega($CT101,$B$2,CW$100,$B$3,$CU$99,0)</f>
        <v>3.6413157535063633E-20</v>
      </c>
      <c r="CX101" s="1" cm="1">
        <f t="array" ref="CX101">OptionVega($CT101,$B$2,CX$100,$B$3,$CU$99,0)</f>
        <v>2.2138942538625791E-15</v>
      </c>
      <c r="CY101" s="1" cm="1">
        <f t="array" ref="CY101">OptionVega($CT101,$B$2,CY$100,$B$3,$CU$99,0)</f>
        <v>1.6837357993007909E-12</v>
      </c>
      <c r="CZ101" s="1" cm="1">
        <f t="array" ref="CZ101">OptionVega($CT101,$B$2,CZ$100,$B$3,$CU$99,0)</f>
        <v>1.4260773627185629E-10</v>
      </c>
      <c r="DA101" s="1" cm="1">
        <f t="array" ref="DA101">OptionVega($CT101,$B$2,DA$100,$B$3,$CU$99,0)</f>
        <v>3.4375360039163326E-9</v>
      </c>
      <c r="DB101" s="1" cm="1">
        <f t="array" ref="DB101">OptionVega($CT101,$B$2,DB$100,$B$3,$CU$99,0)</f>
        <v>3.7721952577593385E-8</v>
      </c>
      <c r="DC101" s="1" cm="1">
        <f t="array" ref="DC101">OptionVega($CT101,$B$2,DC$100,$B$3,$CU$99,0)</f>
        <v>2.4471925152833756E-7</v>
      </c>
      <c r="DD101" s="1" cm="1">
        <f t="array" ref="DD101">OptionVega($CT101,$B$2,DD$100,$B$3,$CU$99,0)</f>
        <v>1.0981137573304838E-6</v>
      </c>
      <c r="DE101" s="1" cm="1">
        <f t="array" ref="DE101">OptionVega($CT101,$B$2,DE$100,$B$3,$CU$99,0)</f>
        <v>1.0457482945948283E-3</v>
      </c>
      <c r="DF101" s="1" cm="1">
        <f t="array" ref="DF101">OptionVega($CT101,$B$2,DF$100,$B$3,$CU$99,0)</f>
        <v>1.1142189253647152E-2</v>
      </c>
      <c r="DG101" s="1" cm="1">
        <f t="array" ref="DG101">OptionVega($CT101,$B$2,DG$100,$B$3,$CU$99,0)</f>
        <v>3.7735130894815956E-2</v>
      </c>
      <c r="DH101" s="1" cm="1">
        <f t="array" ref="DH101">OptionVega($CT101,$B$2,DH$100,$B$3,$CU$99,0)</f>
        <v>8.0099557916829336E-2</v>
      </c>
      <c r="DQ101" s="130"/>
      <c r="DR101" s="13">
        <v>60</v>
      </c>
      <c r="DS101" s="1" cm="1">
        <f t="array" ref="DS101">OptionRho("P",$DR101,$B$2,DS$100,$B$3,$DS$99,0)</f>
        <v>-9.9900049983337513E-2</v>
      </c>
      <c r="DT101" s="1" cm="1">
        <f t="array" ref="DT101">OptionRho("P",$DR101,$B$2,DT$100,$B$3,$DS$99,0)</f>
        <v>-0.19960039973346663</v>
      </c>
      <c r="DU101" s="1" cm="1">
        <f t="array" ref="DU101">OptionRho("P",$DR101,$B$2,DU$100,$B$3,$DS$99,0)</f>
        <v>-0.2991013486510119</v>
      </c>
      <c r="DV101" s="1" cm="1">
        <f t="array" ref="DV101">OptionRho("P",$DR101,$B$2,DV$100,$B$3,$DS$99,0)</f>
        <v>-0.39840319573759647</v>
      </c>
      <c r="DW101" s="1" cm="1">
        <f t="array" ref="DW101">OptionRho("P",$DR101,$B$2,DW$100,$B$3,$DS$99,0)</f>
        <v>-0.49750623959617862</v>
      </c>
      <c r="DX101" s="1" cm="1">
        <f t="array" ref="DX101">OptionRho("P",$DR101,$B$2,DX$100,$B$3,$DS$99,0)</f>
        <v>-0.59641077841587931</v>
      </c>
      <c r="DY101" s="1" cm="1">
        <f t="array" ref="DY101">OptionRho("P",$DR101,$B$2,DY$100,$B$3,$DS$99,0)</f>
        <v>-0.69511710959092698</v>
      </c>
      <c r="DZ101" s="1" cm="1">
        <f t="array" ref="DZ101">OptionRho("P",$DR101,$B$2,DZ$100,$B$3,$DS$99,0)</f>
        <v>-0.79362552608576487</v>
      </c>
      <c r="EA101" s="1" cm="1">
        <f t="array" ref="EA101">OptionRho("P",$DR101,$B$2,EA$100,$B$3,$DS$99,0)</f>
        <v>-0.89193629878559966</v>
      </c>
      <c r="EB101" s="1" cm="1">
        <f t="array" ref="EB101">OptionRho("P",$DR101,$B$2,EB$100,$B$3,$DS$99,0)</f>
        <v>-0.99004962430033649</v>
      </c>
      <c r="EC101" s="1" cm="1">
        <f t="array" ref="EC101">OptionRho("P",$DR101,$B$2,EC$100,$B$3,$DS$99,0)</f>
        <v>-1.9600071765528573</v>
      </c>
      <c r="ED101" s="1" cm="1">
        <f t="array" ref="ED101">OptionRho("P",$DR101,$B$2,ED$100,$B$3,$DS$99,0)</f>
        <v>-2.9052211402699148</v>
      </c>
      <c r="EE101" s="1" cm="1">
        <f t="array" ref="EE101">OptionRho("P",$DR101,$B$2,EE$100,$B$3,$DS$99,0)</f>
        <v>-3.8160199409351754</v>
      </c>
      <c r="EF101" s="1" cm="1">
        <f t="array" ref="EF101">OptionRho("P",$DR101,$B$2,EF$100,$B$3,$DS$99,0)</f>
        <v>-4.6852697276379232</v>
      </c>
    </row>
    <row r="102" spans="1:136" x14ac:dyDescent="0.2">
      <c r="A102" s="133"/>
      <c r="B102" s="14">
        <v>65</v>
      </c>
      <c r="C102" s="1" cm="1">
        <f t="array" ref="C102">OptionPrice("P",$B102,$B$2,C$100,$B$3,$C$99,0)</f>
        <v>34.900049983337496</v>
      </c>
      <c r="D102" s="1" cm="1">
        <f t="array" ref="D102">OptionPrice("P",$B102,$B$2,D$100,$B$3,$C$99,0)</f>
        <v>34.800199866733308</v>
      </c>
      <c r="E102" s="1" cm="1">
        <f t="array" ref="E102">OptionPrice("P",$B102,$B$2,E$100,$B$3,$C$99,0)</f>
        <v>34.700449550337297</v>
      </c>
      <c r="F102" s="1" cm="1">
        <f t="array" ref="F102">OptionPrice("P",$B102,$B$2,F$100,$B$3,$C$99,0)</f>
        <v>34.60079893440458</v>
      </c>
      <c r="G102" s="1" cm="1">
        <f t="array" ref="G102">OptionPrice("P",$B102,$B$2,G$100,$B$3,$C$99,0)</f>
        <v>34.501247920044065</v>
      </c>
      <c r="H102" s="1" cm="1">
        <f t="array" ref="H102">OptionPrice("P",$B102,$B$2,H$100,$B$3,$C$99,0)</f>
        <v>34.40179642763438</v>
      </c>
      <c r="I102" s="1" cm="1">
        <f t="array" ref="I102">OptionPrice("P",$B102,$B$2,I$100,$B$3,$C$99,0)</f>
        <v>34.302444545984486</v>
      </c>
      <c r="J102" s="1" cm="1">
        <f t="array" ref="J102">OptionPrice("P",$B102,$B$2,J$100,$B$3,$C$99,0)</f>
        <v>34.203193086012533</v>
      </c>
      <c r="K102" s="1" cm="1">
        <f t="array" ref="K102">OptionPrice("P",$B102,$B$2,K$100,$B$3,$C$99,0)</f>
        <v>34.104044746291706</v>
      </c>
      <c r="L102" s="1" cm="1">
        <f t="array" ref="L102">OptionPrice("P",$B102,$B$2,L$100,$B$3,$C$99,0)</f>
        <v>34.005005716558728</v>
      </c>
      <c r="M102" s="1" cm="1">
        <f t="array" ref="M102">OptionPrice("P",$B102,$B$2,M$100,$B$3,$C$99,0)</f>
        <v>33.025871278562192</v>
      </c>
      <c r="N102" s="1" cm="1">
        <f t="array" ref="N102">OptionPrice("P",$B102,$B$2,N$100,$B$3,$C$99,0)</f>
        <v>32.092759145354833</v>
      </c>
      <c r="O102" s="1" cm="1">
        <f t="array" ref="O102">OptionPrice("P",$B102,$B$2,O$100,$B$3,$C$99,0)</f>
        <v>31.230055497527921</v>
      </c>
      <c r="P102" s="1" cm="1">
        <f t="array" ref="P102">OptionPrice("P",$B102,$B$2,P$100,$B$3,$C$99,0)</f>
        <v>30.440719274471597</v>
      </c>
      <c r="Y102" s="136"/>
      <c r="Z102" s="14">
        <v>65</v>
      </c>
      <c r="AA102" s="1" cm="1">
        <f t="array" ref="AA102">OptionDelta("P",$Z102,$B$2,AA$100,$B$3,$AA$99,0)</f>
        <v>-1</v>
      </c>
      <c r="AB102" s="1" cm="1">
        <f t="array" ref="AB102">OptionDelta("P",$Z102,$B$2,AB$100,$B$3,$AA$99,0)</f>
        <v>-1</v>
      </c>
      <c r="AC102" s="1" cm="1">
        <f t="array" ref="AC102">OptionDelta("P",$Z102,$B$2,AC$100,$B$3,$AA$99,0)</f>
        <v>-0.99999999999999645</v>
      </c>
      <c r="AD102" s="1" cm="1">
        <f t="array" ref="AD102">OptionDelta("P",$Z102,$B$2,AD$100,$B$3,$AA$99,0)</f>
        <v>-0.99999999999068701</v>
      </c>
      <c r="AE102" s="1" cm="1">
        <f t="array" ref="AE102">OptionDelta("P",$Z102,$B$2,AE$100,$B$3,$AA$99,0)</f>
        <v>-0.99999999892549984</v>
      </c>
      <c r="AF102" s="1" cm="1">
        <f t="array" ref="AF102">OptionDelta("P",$Z102,$B$2,AF$100,$B$3,$AA$99,0)</f>
        <v>-0.99999997412552788</v>
      </c>
      <c r="AG102" s="1" cm="1">
        <f t="array" ref="AG102">OptionDelta("P",$Z102,$B$2,AG$100,$B$3,$AA$99,0)</f>
        <v>-0.99999974609953168</v>
      </c>
      <c r="AH102" s="1" cm="1">
        <f t="array" ref="AH102">OptionDelta("P",$Z102,$B$2,AH$100,$B$3,$AA$99,0)</f>
        <v>-0.99999858049035051</v>
      </c>
      <c r="AI102" s="1" cm="1">
        <f t="array" ref="AI102">OptionDelta("P",$Z102,$B$2,AI$100,$B$3,$AA$99,0)</f>
        <v>-0.99999455112734237</v>
      </c>
      <c r="AJ102" s="1" cm="1">
        <f t="array" ref="AJ102">OptionDelta("P",$Z102,$B$2,AJ$100,$B$3,$AA$99,0)</f>
        <v>-0.99998393569273369</v>
      </c>
      <c r="AK102" s="1" cm="1">
        <f t="array" ref="AK102">OptionDelta("P",$Z102,$B$2,AK$100,$B$3,$AA$99,0)</f>
        <v>-0.99770126854070174</v>
      </c>
      <c r="AL102" s="1" cm="1">
        <f t="array" ref="AL102">OptionDelta("P",$Z102,$B$2,AL$100,$B$3,$AA$99,0)</f>
        <v>-0.98703700934248551</v>
      </c>
      <c r="AM102" s="1" cm="1">
        <f t="array" ref="AM102">OptionDelta("P",$Z102,$B$2,AM$100,$B$3,$AA$99,0)</f>
        <v>-0.96812430920432424</v>
      </c>
      <c r="AN102" s="1" cm="1">
        <f t="array" ref="AN102">OptionDelta("P",$Z102,$B$2,AN$100,$B$3,$AA$99,0)</f>
        <v>-0.94420754055435308</v>
      </c>
      <c r="AW102" s="139"/>
      <c r="AX102" s="14">
        <v>65</v>
      </c>
      <c r="AY102" s="1" cm="1">
        <f t="array" ref="AY102">OptionTheta("P",$AX102,$B$2,AY$100,$B$3,$AY$99,0)</f>
        <v>-2.73698767077637E-3</v>
      </c>
      <c r="AZ102" s="1" cm="1">
        <f t="array" ref="AZ102">OptionTheta("P",$AX102,$B$2,AZ$100,$B$3,$AY$99,0)</f>
        <v>-2.7342520511433781E-3</v>
      </c>
      <c r="BA102" s="1" cm="1">
        <f t="array" ref="BA102">OptionTheta("P",$AX102,$B$2,BA$100,$B$3,$AY$99,0)</f>
        <v>-2.7315191657631154E-3</v>
      </c>
      <c r="BB102" s="1" cm="1">
        <f t="array" ref="BB102">OptionTheta("P",$AX102,$B$2,BB$100,$B$3,$AY$99,0)</f>
        <v>-2.7287890127842629E-3</v>
      </c>
      <c r="BC102" s="1" cm="1">
        <f t="array" ref="BC102">OptionTheta("P",$AX102,$B$2,BC$100,$B$3,$AY$99,0)</f>
        <v>-2.7260616680807848E-3</v>
      </c>
      <c r="BD102" s="1" cm="1">
        <f t="array" ref="BD102">OptionTheta("P",$AX102,$B$2,BD$100,$B$3,$AY$99,0)</f>
        <v>-2.7233385133613461E-3</v>
      </c>
      <c r="BE102" s="1" cm="1">
        <f t="array" ref="BE102">OptionTheta("P",$AX102,$B$2,BE$100,$B$3,$AY$99,0)</f>
        <v>-2.7206285425015416E-3</v>
      </c>
      <c r="BF102" s="1" cm="1">
        <f t="array" ref="BF102">OptionTheta("P",$AX102,$B$2,BF$100,$B$3,$AY$99,0)</f>
        <v>-2.7179621285705084E-3</v>
      </c>
      <c r="BG102" s="1" cm="1">
        <f t="array" ref="BG102">OptionTheta("P",$AX102,$B$2,BG$100,$B$3,$AY$99,0)</f>
        <v>-2.715405208618018E-3</v>
      </c>
      <c r="BH102" s="1" cm="1">
        <f t="array" ref="BH102">OptionTheta("P",$AX102,$B$2,BH$100,$B$3,$AY$99,0)</f>
        <v>-2.7130632791541234E-3</v>
      </c>
      <c r="BI102" s="1" cm="1">
        <f t="array" ref="BI102">OptionTheta("P",$AX102,$B$2,BI$100,$B$3,$AY$99,0)</f>
        <v>-2.7268365043512494E-3</v>
      </c>
      <c r="BJ102" s="1" cm="1">
        <f t="array" ref="BJ102">OptionTheta("P",$AX102,$B$2,BJ$100,$B$3,$AY$99,0)</f>
        <v>-2.8086565557321821E-3</v>
      </c>
      <c r="BK102" s="1" cm="1">
        <f t="array" ref="BK102">OptionTheta("P",$AX102,$B$2,BK$100,$B$3,$AY$99,0)</f>
        <v>-2.8981941782055378E-3</v>
      </c>
      <c r="BL102" s="1" cm="1">
        <f t="array" ref="BL102">OptionTheta("P",$AX102,$B$2,BL$100,$B$3,$AY$99,0)</f>
        <v>-2.9634589770544742E-3</v>
      </c>
      <c r="BU102" s="142"/>
      <c r="BV102" s="14">
        <v>65</v>
      </c>
      <c r="BW102" s="1" cm="1">
        <f t="array" ref="BW102">OptionGamma($BV102,$B$2,BW$100,$B$3,$BW$99,0)</f>
        <v>1.867554133449226E-41</v>
      </c>
      <c r="BX102" s="1" cm="1">
        <f t="array" ref="BX102">OptionGamma($BV102,$B$2,BX$100,$B$3,$BW$99,0)</f>
        <v>1.8565304082520428E-21</v>
      </c>
      <c r="BY102" s="1" cm="1">
        <f t="array" ref="BY102">OptionGamma($BV102,$B$2,BY$100,$B$3,$BW$99,0)</f>
        <v>7.8761142092032735E-15</v>
      </c>
      <c r="BZ102" s="1" cm="1">
        <f t="array" ref="BZ102">OptionGamma($BV102,$B$2,BZ$100,$B$3,$BW$99,0)</f>
        <v>1.5539109604002787E-11</v>
      </c>
      <c r="CA102" s="1" cm="1">
        <f t="array" ref="CA102">OptionGamma($BV102,$B$2,CA$100,$B$3,$BW$99,0)</f>
        <v>1.4365666725428593E-9</v>
      </c>
      <c r="CB102" s="1" cm="1">
        <f t="array" ref="CB102">OptionGamma($BV102,$B$2,CB$100,$B$3,$BW$99,0)</f>
        <v>2.8871903156587544E-8</v>
      </c>
      <c r="CC102" s="1" cm="1">
        <f t="array" ref="CC102">OptionGamma($BV102,$B$2,CC$100,$B$3,$BW$99,0)</f>
        <v>2.4319945667214557E-7</v>
      </c>
      <c r="CD102" s="1" cm="1">
        <f t="array" ref="CD102">OptionGamma($BV102,$B$2,CD$100,$B$3,$BW$99,0)</f>
        <v>1.191420089105155E-6</v>
      </c>
      <c r="CE102" s="1" cm="1">
        <f t="array" ref="CE102">OptionGamma($BV102,$B$2,CE$100,$B$3,$BW$99,0)</f>
        <v>4.070790527191798E-6</v>
      </c>
      <c r="CF102" s="1" cm="1">
        <f t="array" ref="CF102">OptionGamma($BV102,$B$2,CF$100,$B$3,$BW$99,0)</f>
        <v>1.0815693509621757E-5</v>
      </c>
      <c r="CG102" s="1" cm="1">
        <f t="array" ref="CG102">OptionGamma($BV102,$B$2,CG$100,$B$3,$BW$99,0)</f>
        <v>7.8252244975754123E-4</v>
      </c>
      <c r="CH102" s="1" cm="1">
        <f t="array" ref="CH102">OptionGamma($BV102,$B$2,CH$100,$B$3,$BW$99,0)</f>
        <v>2.966058949873731E-3</v>
      </c>
      <c r="CI102" s="1" cm="1">
        <f t="array" ref="CI102">OptionGamma($BV102,$B$2,CI$100,$B$3,$BW$99,0)</f>
        <v>5.5034091875470386E-3</v>
      </c>
      <c r="CJ102" s="1" cm="1">
        <f t="array" ref="CJ102">OptionGamma($BV102,$B$2,CJ$100,$B$3,$BW$99,0)</f>
        <v>7.7406121902881767E-3</v>
      </c>
      <c r="CS102" s="145"/>
      <c r="CT102" s="14">
        <v>65</v>
      </c>
      <c r="CU102" s="1" cm="1">
        <f t="array" ref="CU102">OptionVega($CT102,$B$2,CU$100,$B$3,$CU$99,0)</f>
        <v>7.8904162138229814E-42</v>
      </c>
      <c r="CV102" s="1" cm="1">
        <f t="array" ref="CV102">OptionVega($CT102,$B$2,CV$100,$B$3,$CU$99,0)</f>
        <v>1.5687681949729765E-21</v>
      </c>
      <c r="CW102" s="1" cm="1">
        <f t="array" ref="CW102">OptionVega($CT102,$B$2,CW$100,$B$3,$CU$99,0)</f>
        <v>9.9829747601651493E-15</v>
      </c>
      <c r="CX102" s="1" cm="1">
        <f t="array" ref="CX102">OptionVega($CT102,$B$2,CX$100,$B$3,$CU$99,0)</f>
        <v>2.6261095230764715E-11</v>
      </c>
      <c r="CY102" s="1" cm="1">
        <f t="array" ref="CY102">OptionVega($CT102,$B$2,CY$100,$B$3,$CU$99,0)</f>
        <v>3.0347470957467911E-9</v>
      </c>
      <c r="CZ102" s="1" cm="1">
        <f t="array" ref="CZ102">OptionVega($CT102,$B$2,CZ$100,$B$3,$CU$99,0)</f>
        <v>7.3190274501949445E-8</v>
      </c>
      <c r="DA102" s="1" cm="1">
        <f t="array" ref="DA102">OptionVega($CT102,$B$2,DA$100,$B$3,$CU$99,0)</f>
        <v>7.1926239310787059E-7</v>
      </c>
      <c r="DB102" s="1" cm="1">
        <f t="array" ref="DB102">OptionVega($CT102,$B$2,DB$100,$B$3,$CU$99,0)</f>
        <v>4.026999901175424E-6</v>
      </c>
      <c r="DC102" s="1" cm="1">
        <f t="array" ref="DC102">OptionVega($CT102,$B$2,DC$100,$B$3,$CU$99,0)</f>
        <v>1.5479180979646812E-5</v>
      </c>
      <c r="DD102" s="1" cm="1">
        <f t="array" ref="DD102">OptionVega($CT102,$B$2,DD$100,$B$3,$CU$99,0)</f>
        <v>4.569630507815192E-5</v>
      </c>
      <c r="DE102" s="1" cm="1">
        <f t="array" ref="DE102">OptionVega($CT102,$B$2,DE$100,$B$3,$CU$99,0)</f>
        <v>6.612314700451225E-3</v>
      </c>
      <c r="DF102" s="1" cm="1">
        <f t="array" ref="DF102">OptionVega($CT102,$B$2,DF$100,$B$3,$CU$99,0)</f>
        <v>3.7594797189649538E-2</v>
      </c>
      <c r="DG102" s="1" cm="1">
        <f t="array" ref="DG102">OptionVega($CT102,$B$2,DG$100,$B$3,$CU$99,0)</f>
        <v>9.3007615269544958E-2</v>
      </c>
      <c r="DH102" s="1" cm="1">
        <f t="array" ref="DH102">OptionVega($CT102,$B$2,DH$100,$B$3,$CU$99,0)</f>
        <v>0.16352043251983775</v>
      </c>
      <c r="DQ102" s="130"/>
      <c r="DR102" s="14">
        <v>65</v>
      </c>
      <c r="DS102" s="1" cm="1">
        <f t="array" ref="DS102">OptionRho("P",$DR102,$B$2,DS$100,$B$3,$DS$99,0)</f>
        <v>-9.9900049983337513E-2</v>
      </c>
      <c r="DT102" s="1" cm="1">
        <f t="array" ref="DT102">OptionRho("P",$DR102,$B$2,DT$100,$B$3,$DS$99,0)</f>
        <v>-0.19960039973346663</v>
      </c>
      <c r="DU102" s="1" cm="1">
        <f t="array" ref="DU102">OptionRho("P",$DR102,$B$2,DU$100,$B$3,$DS$99,0)</f>
        <v>-0.29910134865101118</v>
      </c>
      <c r="DV102" s="1" cm="1">
        <f t="array" ref="DV102">OptionRho("P",$DR102,$B$2,DV$100,$B$3,$DS$99,0)</f>
        <v>-0.398403195735197</v>
      </c>
      <c r="DW102" s="1" cm="1">
        <f t="array" ref="DW102">OptionRho("P",$DR102,$B$2,DW$100,$B$3,$DS$99,0)</f>
        <v>-0.49750623925100773</v>
      </c>
      <c r="DX102" s="1" cm="1">
        <f t="array" ref="DX102">OptionRho("P",$DR102,$B$2,DX$100,$B$3,$DS$99,0)</f>
        <v>-0.59641076847476215</v>
      </c>
      <c r="DY102" s="1" cm="1">
        <f t="array" ref="DY102">OptionRho("P",$DR102,$B$2,DY$100,$B$3,$DS$99,0)</f>
        <v>-0.69511699629717827</v>
      </c>
      <c r="DZ102" s="1" cm="1">
        <f t="array" ref="DZ102">OptionRho("P",$DR102,$B$2,DZ$100,$B$3,$DS$99,0)</f>
        <v>-0.79362480654308265</v>
      </c>
      <c r="EA102" s="1" cm="1">
        <f t="array" ref="EA102">OptionRho("P",$DR102,$B$2,EA$100,$B$3,$DS$99,0)</f>
        <v>-0.89193321512612056</v>
      </c>
      <c r="EB102" s="1" cm="1">
        <f t="array" ref="EB102">OptionRho("P",$DR102,$B$2,EB$100,$B$3,$DS$99,0)</f>
        <v>-0.99003961536586427</v>
      </c>
      <c r="EC102" s="1" cm="1">
        <f t="array" ref="EC102">OptionRho("P",$DR102,$B$2,EC$100,$B$3,$DS$99,0)</f>
        <v>-1.957529074674156</v>
      </c>
      <c r="ED102" s="1" cm="1">
        <f t="array" ref="ED102">OptionRho("P",$DR102,$B$2,ED$100,$B$3,$DS$99,0)</f>
        <v>-2.8875049425784916</v>
      </c>
      <c r="EE102" s="1" cm="1">
        <f t="array" ref="EE102">OptionRho("P",$DR102,$B$2,EE$100,$B$3,$DS$99,0)</f>
        <v>-3.76632542383236</v>
      </c>
      <c r="EF102" s="1" cm="1">
        <f t="array" ref="EF102">OptionRho("P",$DR102,$B$2,EF$100,$B$3,$DS$99,0)</f>
        <v>-4.5907104705252273</v>
      </c>
    </row>
    <row r="103" spans="1:136" x14ac:dyDescent="0.2">
      <c r="A103" s="133"/>
      <c r="B103" s="14">
        <v>70</v>
      </c>
      <c r="C103" s="1" cm="1">
        <f t="array" ref="C103">OptionPrice("P",$B103,$B$2,C$100,$B$3,$C$99,0)</f>
        <v>29.900049983337496</v>
      </c>
      <c r="D103" s="1" cm="1">
        <f t="array" ref="D103">OptionPrice("P",$B103,$B$2,D$100,$B$3,$C$99,0)</f>
        <v>29.800199866733323</v>
      </c>
      <c r="E103" s="1" cm="1">
        <f t="array" ref="E103">OptionPrice("P",$B103,$B$2,E$100,$B$3,$C$99,0)</f>
        <v>29.700449550373449</v>
      </c>
      <c r="F103" s="1" cm="1">
        <f t="array" ref="F103">OptionPrice("P",$B103,$B$2,F$100,$B$3,$C$99,0)</f>
        <v>29.600798945378827</v>
      </c>
      <c r="G103" s="1" cm="1">
        <f t="array" ref="G103">OptionPrice("P",$B103,$B$2,G$100,$B$3,$C$99,0)</f>
        <v>29.501248282724944</v>
      </c>
      <c r="H103" s="1" cm="1">
        <f t="array" ref="H103">OptionPrice("P",$B103,$B$2,H$100,$B$3,$C$99,0)</f>
        <v>29.401800327871101</v>
      </c>
      <c r="I103" s="1" cm="1">
        <f t="array" ref="I103">OptionPrice("P",$B103,$B$2,I$100,$B$3,$C$99,0)</f>
        <v>29.302466447330232</v>
      </c>
      <c r="J103" s="1" cm="1">
        <f t="array" ref="J103">OptionPrice("P",$B103,$B$2,J$100,$B$3,$C$99,0)</f>
        <v>29.203274600426724</v>
      </c>
      <c r="K103" s="1" cm="1">
        <f t="array" ref="K103">OptionPrice("P",$B103,$B$2,K$100,$B$3,$C$99,0)</f>
        <v>29.104274598109797</v>
      </c>
      <c r="L103" s="1" cm="1">
        <f t="array" ref="L103">OptionPrice("P",$B103,$B$2,L$100,$B$3,$C$99,0)</f>
        <v>29.005538173326173</v>
      </c>
      <c r="M103" s="1" cm="1">
        <f t="array" ref="M103">OptionPrice("P",$B103,$B$2,M$100,$B$3,$C$99,0)</f>
        <v>28.05357432037323</v>
      </c>
      <c r="N103" s="1" cm="1">
        <f t="array" ref="N103">OptionPrice("P",$B103,$B$2,N$100,$B$3,$C$99,0)</f>
        <v>27.207694244613236</v>
      </c>
      <c r="O103" s="1" cm="1">
        <f t="array" ref="O103">OptionPrice("P",$B103,$B$2,O$100,$B$3,$C$99,0)</f>
        <v>26.473897808727827</v>
      </c>
      <c r="P103" s="1" cm="1">
        <f t="array" ref="P103">OptionPrice("P",$B103,$B$2,P$100,$B$3,$C$99,0)</f>
        <v>25.832012483304851</v>
      </c>
      <c r="Y103" s="136"/>
      <c r="Z103" s="14">
        <v>70</v>
      </c>
      <c r="AA103" s="1" cm="1">
        <f t="array" ref="AA103">OptionDelta("P",$Z103,$B$2,AA$100,$B$3,$AA$99,0)</f>
        <v>-1</v>
      </c>
      <c r="AB103" s="1" cm="1">
        <f t="array" ref="AB103">OptionDelta("P",$Z103,$B$2,AB$100,$B$3,$AA$99,0)</f>
        <v>-0.99999999999999867</v>
      </c>
      <c r="AC103" s="1" cm="1">
        <f t="array" ref="AC103">OptionDelta("P",$Z103,$B$2,AC$100,$B$3,$AA$99,0)</f>
        <v>-0.99999999993611632</v>
      </c>
      <c r="AD103" s="1" cm="1">
        <f t="array" ref="AD103">OptionDelta("P",$Z103,$B$2,AD$100,$B$3,$AA$99,0)</f>
        <v>-0.99999998527351153</v>
      </c>
      <c r="AE103" s="1" cm="1">
        <f t="array" ref="AE103">OptionDelta("P",$Z103,$B$2,AE$100,$B$3,$AA$99,0)</f>
        <v>-0.99999960552141942</v>
      </c>
      <c r="AF103" s="1" cm="1">
        <f t="array" ref="AF103">OptionDelta("P",$Z103,$B$2,AF$100,$B$3,$AA$99,0)</f>
        <v>-0.99999641307660381</v>
      </c>
      <c r="AG103" s="1" cm="1">
        <f t="array" ref="AG103">OptionDelta("P",$Z103,$B$2,AG$100,$B$3,$AA$99,0)</f>
        <v>-0.9999824507459707</v>
      </c>
      <c r="AH103" s="1" cm="1">
        <f t="array" ref="AH103">OptionDelta("P",$Z103,$B$2,AH$100,$B$3,$AA$99,0)</f>
        <v>-0.99994179911634218</v>
      </c>
      <c r="AI103" s="1" cm="1">
        <f t="array" ref="AI103">OptionDelta("P",$Z103,$B$2,AI$100,$B$3,$AA$99,0)</f>
        <v>-0.99985120076411815</v>
      </c>
      <c r="AJ103" s="1" cm="1">
        <f t="array" ref="AJ103">OptionDelta("P",$Z103,$B$2,AJ$100,$B$3,$AA$99,0)</f>
        <v>-0.99968313211324389</v>
      </c>
      <c r="AK103" s="1" cm="1">
        <f t="array" ref="AK103">OptionDelta("P",$Z103,$B$2,AK$100,$B$3,$AA$99,0)</f>
        <v>-0.98955428078343977</v>
      </c>
      <c r="AL103" s="1" cm="1">
        <f t="array" ref="AL103">OptionDelta("P",$Z103,$B$2,AL$100,$B$3,$AA$99,0)</f>
        <v>-0.96402672107027587</v>
      </c>
      <c r="AM103" s="1" cm="1">
        <f t="array" ref="AM103">OptionDelta("P",$Z103,$B$2,AM$100,$B$3,$AA$99,0)</f>
        <v>-0.93101255988538445</v>
      </c>
      <c r="AN103" s="1" cm="1">
        <f t="array" ref="AN103">OptionDelta("P",$Z103,$B$2,AN$100,$B$3,$AA$99,0)</f>
        <v>-0.89610914829245725</v>
      </c>
      <c r="AW103" s="139"/>
      <c r="AX103" s="14">
        <v>70</v>
      </c>
      <c r="AY103" s="1" cm="1">
        <f t="array" ref="AY103">OptionTheta("P",$AX103,$B$2,AY$100,$B$3,$AY$99,0)</f>
        <v>-2.73698767077637E-3</v>
      </c>
      <c r="AZ103" s="1" cm="1">
        <f t="array" ref="AZ103">OptionTheta("P",$AX103,$B$2,AZ$100,$B$3,$AY$99,0)</f>
        <v>-2.7342520511436002E-3</v>
      </c>
      <c r="BA103" s="1" cm="1">
        <f t="array" ref="BA103">OptionTheta("P",$AX103,$B$2,BA$100,$B$3,$AY$99,0)</f>
        <v>-2.7315191729987563E-3</v>
      </c>
      <c r="BB103" s="1" cm="1">
        <f t="array" ref="BB103">OptionTheta("P",$AX103,$B$2,BB$100,$B$3,$AY$99,0)</f>
        <v>-2.7287902599513634E-3</v>
      </c>
      <c r="BC103" s="1" cm="1">
        <f t="array" ref="BC103">OptionTheta("P",$AX103,$B$2,BC$100,$B$3,$AY$99,0)</f>
        <v>-2.7260882651801901E-3</v>
      </c>
      <c r="BD103" s="1" cm="1">
        <f t="array" ref="BD103">OptionTheta("P",$AX103,$B$2,BD$100,$B$3,$AY$99,0)</f>
        <v>-2.7235385143496793E-3</v>
      </c>
      <c r="BE103" s="1" cm="1">
        <f t="array" ref="BE103">OptionTheta("P",$AX103,$B$2,BE$100,$B$3,$AY$99,0)</f>
        <v>-2.7214581889580163E-3</v>
      </c>
      <c r="BF103" s="1" cm="1">
        <f t="array" ref="BF103">OptionTheta("P",$AX103,$B$2,BF$100,$B$3,$AY$99,0)</f>
        <v>-2.7203359718856132E-3</v>
      </c>
      <c r="BG103" s="1" cm="1">
        <f t="array" ref="BG103">OptionTheta("P",$AX103,$B$2,BG$100,$B$3,$AY$99,0)</f>
        <v>-2.7207091492843453E-3</v>
      </c>
      <c r="BH103" s="1" cm="1">
        <f t="array" ref="BH103">OptionTheta("P",$AX103,$B$2,BH$100,$B$3,$AY$99,0)</f>
        <v>-2.7230329546798007E-3</v>
      </c>
      <c r="BI103" s="1" cm="1">
        <f t="array" ref="BI103">OptionTheta("P",$AX103,$B$2,BI$100,$B$3,$AY$99,0)</f>
        <v>-2.8540863321004678E-3</v>
      </c>
      <c r="BJ103" s="1" cm="1">
        <f t="array" ref="BJ103">OptionTheta("P",$AX103,$B$2,BJ$100,$B$3,$AY$99,0)</f>
        <v>-3.0317493551521644E-3</v>
      </c>
      <c r="BK103" s="1" cm="1">
        <f t="array" ref="BK103">OptionTheta("P",$AX103,$B$2,BK$100,$B$3,$AY$99,0)</f>
        <v>-3.1473831290580409E-3</v>
      </c>
      <c r="BL103" s="1" cm="1">
        <f t="array" ref="BL103">OptionTheta("P",$AX103,$B$2,BL$100,$B$3,$AY$99,0)</f>
        <v>-3.2000899253721671E-3</v>
      </c>
      <c r="BU103" s="142"/>
      <c r="BV103" s="14">
        <v>70</v>
      </c>
      <c r="BW103" s="1" cm="1">
        <f t="array" ref="BW103">OptionGamma($BV103,$B$2,BW$100,$B$3,$BW$99,0)</f>
        <v>7.2920970083606921E-29</v>
      </c>
      <c r="BX103" s="1" cm="1">
        <f t="array" ref="BX103">OptionGamma($BV103,$B$2,BX$100,$B$3,$BW$99,0)</f>
        <v>3.3439581371571196E-15</v>
      </c>
      <c r="BY103" s="1" cm="1">
        <f t="array" ref="BY103">OptionGamma($BV103,$B$2,BY$100,$B$3,$BW$99,0)</f>
        <v>1.0961347486332762E-10</v>
      </c>
      <c r="BZ103" s="1" cm="1">
        <f t="array" ref="BZ103">OptionGamma($BV103,$B$2,BZ$100,$B$3,$BW$99,0)</f>
        <v>1.9009673521623235E-8</v>
      </c>
      <c r="CA103" s="1" cm="1">
        <f t="array" ref="CA103">OptionGamma($BV103,$B$2,CA$100,$B$3,$BW$99,0)</f>
        <v>4.0857545005606393E-7</v>
      </c>
      <c r="CB103" s="1" cm="1">
        <f t="array" ref="CB103">OptionGamma($BV103,$B$2,CB$100,$B$3,$BW$99,0)</f>
        <v>3.1047063387496907E-6</v>
      </c>
      <c r="CC103" s="1" cm="1">
        <f t="array" ref="CC103">OptionGamma($BV103,$B$2,CC$100,$B$3,$BW$99,0)</f>
        <v>1.3055468334454289E-5</v>
      </c>
      <c r="CD103" s="1" cm="1">
        <f t="array" ref="CD103">OptionGamma($BV103,$B$2,CD$100,$B$3,$BW$99,0)</f>
        <v>3.7984667450688666E-5</v>
      </c>
      <c r="CE103" s="1" cm="1">
        <f t="array" ref="CE103">OptionGamma($BV103,$B$2,CE$100,$B$3,$BW$99,0)</f>
        <v>8.6540937665519212E-5</v>
      </c>
      <c r="CF103" s="1" cm="1">
        <f t="array" ref="CF103">OptionGamma($BV103,$B$2,CF$100,$B$3,$BW$99,0)</f>
        <v>1.6626343859570762E-4</v>
      </c>
      <c r="CG103" s="1" cm="1">
        <f t="array" ref="CG103">OptionGamma($BV103,$B$2,CG$100,$B$3,$BW$99,0)</f>
        <v>2.7966437332461501E-3</v>
      </c>
      <c r="CH103" s="1" cm="1">
        <f t="array" ref="CH103">OptionGamma($BV103,$B$2,CH$100,$B$3,$BW$99,0)</f>
        <v>6.5180762218454997E-3</v>
      </c>
      <c r="CI103" s="1" cm="1">
        <f t="array" ref="CI103">OptionGamma($BV103,$B$2,CI$100,$B$3,$BW$99,0)</f>
        <v>9.4835539632301003E-3</v>
      </c>
      <c r="CJ103" s="1" cm="1">
        <f t="array" ref="CJ103">OptionGamma($BV103,$B$2,CJ$100,$B$3,$BW$99,0)</f>
        <v>1.1528012005023357E-2</v>
      </c>
      <c r="CS103" s="145"/>
      <c r="CT103" s="14">
        <v>70</v>
      </c>
      <c r="CU103" s="1" cm="1">
        <f t="array" ref="CU103">OptionVega($CT103,$B$2,CU$100,$B$3,$CU$99,0)</f>
        <v>3.5731275340967404E-29</v>
      </c>
      <c r="CV103" s="1" cm="1">
        <f t="array" ref="CV103">OptionVega($CT103,$B$2,CV$100,$B$3,$CU$99,0)</f>
        <v>3.2770789744139775E-15</v>
      </c>
      <c r="CW103" s="1" cm="1">
        <f t="array" ref="CW103">OptionVega($CT103,$B$2,CW$100,$B$3,$CU$99,0)</f>
        <v>1.6113180804909157E-10</v>
      </c>
      <c r="CX103" s="1" cm="1">
        <f t="array" ref="CX103">OptionVega($CT103,$B$2,CX$100,$B$3,$CU$99,0)</f>
        <v>3.7258960102381551E-8</v>
      </c>
      <c r="CY103" s="1" cm="1">
        <f t="array" ref="CY103">OptionVega($CT103,$B$2,CY$100,$B$3,$CU$99,0)</f>
        <v>1.0010098526373569E-6</v>
      </c>
      <c r="CZ103" s="1" cm="1">
        <f t="array" ref="CZ103">OptionVega($CT103,$B$2,CZ$100,$B$3,$CU$99,0)</f>
        <v>9.1278366359240927E-6</v>
      </c>
      <c r="DA103" s="1" cm="1">
        <f t="array" ref="DA103">OptionVega($CT103,$B$2,DA$100,$B$3,$CU$99,0)</f>
        <v>4.478025638717822E-5</v>
      </c>
      <c r="DB103" s="1" cm="1">
        <f t="array" ref="DB103">OptionVega($CT103,$B$2,DB$100,$B$3,$CU$99,0)</f>
        <v>1.4889989640669957E-4</v>
      </c>
      <c r="DC103" s="1" cm="1">
        <f t="array" ref="DC103">OptionVega($CT103,$B$2,DC$100,$B$3,$CU$99,0)</f>
        <v>3.8164553510493981E-4</v>
      </c>
      <c r="DD103" s="1" cm="1">
        <f t="array" ref="DD103">OptionVega($CT103,$B$2,DD$100,$B$3,$CU$99,0)</f>
        <v>8.1469084911896749E-4</v>
      </c>
      <c r="DE103" s="1" cm="1">
        <f t="array" ref="DE103">OptionVega($CT103,$B$2,DE$100,$B$3,$CU$99,0)</f>
        <v>2.740710858581228E-2</v>
      </c>
      <c r="DF103" s="1" cm="1">
        <f t="array" ref="DF103">OptionVega($CT103,$B$2,DF$100,$B$3,$CU$99,0)</f>
        <v>9.581572046112885E-2</v>
      </c>
      <c r="DG103" s="1" cm="1">
        <f t="array" ref="DG103">OptionVega($CT103,$B$2,DG$100,$B$3,$CU$99,0)</f>
        <v>0.18587765767931</v>
      </c>
      <c r="DH103" s="1" cm="1">
        <f t="array" ref="DH103">OptionVega($CT103,$B$2,DH$100,$B$3,$CU$99,0)</f>
        <v>0.28243629412307231</v>
      </c>
      <c r="DQ103" s="130"/>
      <c r="DR103" s="14">
        <v>70</v>
      </c>
      <c r="DS103" s="1" cm="1">
        <f t="array" ref="DS103">OptionRho("P",$DR103,$B$2,DS$100,$B$3,$DS$99,0)</f>
        <v>-9.9900049983337513E-2</v>
      </c>
      <c r="DT103" s="1" cm="1">
        <f t="array" ref="DT103">OptionRho("P",$DR103,$B$2,DT$100,$B$3,$DS$99,0)</f>
        <v>-0.19960039973346647</v>
      </c>
      <c r="DU103" s="1" cm="1">
        <f t="array" ref="DU103">OptionRho("P",$DR103,$B$2,DU$100,$B$3,$DS$99,0)</f>
        <v>-0.29910134863770477</v>
      </c>
      <c r="DV103" s="1" cm="1">
        <f t="array" ref="DV103">OptionRho("P",$DR103,$B$2,DV$100,$B$3,$DS$99,0)</f>
        <v>-0.39840319165809857</v>
      </c>
      <c r="DW103" s="1" cm="1">
        <f t="array" ref="DW103">OptionRho("P",$DR103,$B$2,DW$100,$B$3,$DS$99,0)</f>
        <v>-0.4975061033461215</v>
      </c>
      <c r="DX103" s="1" cm="1">
        <f t="array" ref="DX103">OptionRho("P",$DR103,$B$2,DX$100,$B$3,$DS$99,0)</f>
        <v>-0.59640929545940014</v>
      </c>
      <c r="DY103" s="1" cm="1">
        <f t="array" ref="DY103">OptionRho("P",$DR103,$B$2,DY$100,$B$3,$DS$99,0)</f>
        <v>-0.69510866599683718</v>
      </c>
      <c r="DZ103" s="1" cm="1">
        <f t="array" ref="DZ103">OptionRho("P",$DR103,$B$2,DZ$100,$B$3,$DS$99,0)</f>
        <v>-0.79359360430856551</v>
      </c>
      <c r="EA103" s="1" cm="1">
        <f t="array" ref="EA103">OptionRho("P",$DR103,$B$2,EA$100,$B$3,$DS$99,0)</f>
        <v>-0.89184472786438262</v>
      </c>
      <c r="EB103" s="1" cm="1">
        <f t="array" ref="EB103">OptionRho("P",$DR103,$B$2,EB$100,$B$3,$DS$99,0)</f>
        <v>-0.98983357421253249</v>
      </c>
      <c r="EC103" s="1" cm="1">
        <f t="array" ref="EC103">OptionRho("P",$DR103,$B$2,EC$100,$B$3,$DS$99,0)</f>
        <v>-1.9464474795042803</v>
      </c>
      <c r="ED103" s="1" cm="1">
        <f t="array" ref="ED103">OptionRho("P",$DR103,$B$2,ED$100,$B$3,$DS$99,0)</f>
        <v>-2.8406869415859761</v>
      </c>
      <c r="EE103" s="1" cm="1">
        <f t="array" ref="EE103">OptionRho("P",$DR103,$B$2,EE$100,$B$3,$DS$99,0)</f>
        <v>-3.6657910800281894</v>
      </c>
      <c r="EF103" s="1" cm="1">
        <f t="array" ref="EF103">OptionRho("P",$DR103,$B$2,EF$100,$B$3,$DS$99,0)</f>
        <v>-4.4279826431888436</v>
      </c>
    </row>
    <row r="104" spans="1:136" x14ac:dyDescent="0.2">
      <c r="A104" s="133"/>
      <c r="B104" s="14">
        <v>75</v>
      </c>
      <c r="C104" s="1" cm="1">
        <f t="array" ref="C104">OptionPrice("P",$B104,$B$2,C$100,$B$3,$C$99,0)</f>
        <v>24.900049983337496</v>
      </c>
      <c r="D104" s="1" cm="1">
        <f t="array" ref="D104">OptionPrice("P",$B104,$B$2,D$100,$B$3,$C$99,0)</f>
        <v>24.800199866781938</v>
      </c>
      <c r="E104" s="1" cm="1">
        <f t="array" ref="E104">OptionPrice("P",$B104,$B$2,E$100,$B$3,$C$99,0)</f>
        <v>24.700449636498817</v>
      </c>
      <c r="F104" s="1" cm="1">
        <f t="array" ref="F104">OptionPrice("P",$B104,$B$2,F$100,$B$3,$C$99,0)</f>
        <v>24.600803007807414</v>
      </c>
      <c r="G104" s="1" cm="1">
        <f t="array" ref="G104">OptionPrice("P",$B104,$B$2,G$100,$B$3,$C$99,0)</f>
        <v>24.501291982164716</v>
      </c>
      <c r="H104" s="1" cm="1">
        <f t="array" ref="H104">OptionPrice("P",$B104,$B$2,H$100,$B$3,$C$99,0)</f>
        <v>24.402021601956605</v>
      </c>
      <c r="I104" s="1" cm="1">
        <f t="array" ref="I104">OptionPrice("P",$B104,$B$2,I$100,$B$3,$C$99,0)</f>
        <v>24.303188985115256</v>
      </c>
      <c r="J104" s="1" cm="1">
        <f t="array" ref="J104">OptionPrice("P",$B104,$B$2,J$100,$B$3,$C$99,0)</f>
        <v>24.20505947333362</v>
      </c>
      <c r="K104" s="1" cm="1">
        <f t="array" ref="K104">OptionPrice("P",$B104,$B$2,K$100,$B$3,$C$99,0)</f>
        <v>24.107924279522408</v>
      </c>
      <c r="L104" s="1" cm="1">
        <f t="array" ref="L104">OptionPrice("P",$B104,$B$2,L$100,$B$3,$C$99,0)</f>
        <v>24.012063242061373</v>
      </c>
      <c r="M104" s="1" cm="1">
        <f t="array" ref="M104">OptionPrice("P",$B104,$B$2,M$100,$B$3,$C$99,0)</f>
        <v>23.156172131639678</v>
      </c>
      <c r="N104" s="1" cm="1">
        <f t="array" ref="N104">OptionPrice("P",$B104,$B$2,N$100,$B$3,$C$99,0)</f>
        <v>22.488667302132569</v>
      </c>
      <c r="O104" s="1" cm="1">
        <f t="array" ref="O104">OptionPrice("P",$B104,$B$2,O$100,$B$3,$C$99,0)</f>
        <v>21.955792964078057</v>
      </c>
      <c r="P104" s="1" cm="1">
        <f t="array" ref="P104">OptionPrice("P",$B104,$B$2,P$100,$B$3,$C$99,0)</f>
        <v>21.511121181629328</v>
      </c>
      <c r="Y104" s="136"/>
      <c r="Z104" s="14">
        <v>75</v>
      </c>
      <c r="AA104" s="1" cm="1">
        <f t="array" ref="AA104">OptionDelta("P",$Z104,$B$2,AA$100,$B$3,$AA$99,0)</f>
        <v>-1</v>
      </c>
      <c r="AB104" s="1" cm="1">
        <f t="array" ref="AB104">OptionDelta("P",$Z104,$B$2,AB$100,$B$3,$AA$99,0)</f>
        <v>-0.99999999990278976</v>
      </c>
      <c r="AC104" s="1" cm="1">
        <f t="array" ref="AC104">OptionDelta("P",$Z104,$B$2,AC$100,$B$3,$AA$99,0)</f>
        <v>-0.99999988306170484</v>
      </c>
      <c r="AD104" s="1" cm="1">
        <f t="array" ref="AD104">OptionDelta("P",$Z104,$B$2,AD$100,$B$3,$AA$99,0)</f>
        <v>-0.9999957815132362</v>
      </c>
      <c r="AE104" s="1" cm="1">
        <f t="array" ref="AE104">OptionDelta("P",$Z104,$B$2,AE$100,$B$3,$AA$99,0)</f>
        <v>-0.99996289573776764</v>
      </c>
      <c r="AF104" s="1" cm="1">
        <f t="array" ref="AF104">OptionDelta("P",$Z104,$B$2,AF$100,$B$3,$AA$99,0)</f>
        <v>-0.99983952143013566</v>
      </c>
      <c r="AG104" s="1" cm="1">
        <f t="array" ref="AG104">OptionDelta("P",$Z104,$B$2,AG$100,$B$3,$AA$99,0)</f>
        <v>-0.99953842815149707</v>
      </c>
      <c r="AH104" s="1" cm="1">
        <f t="array" ref="AH104">OptionDelta("P",$Z104,$B$2,AH$100,$B$3,$AA$99,0)</f>
        <v>-0.99897268285935592</v>
      </c>
      <c r="AI104" s="1" cm="1">
        <f t="array" ref="AI104">OptionDelta("P",$Z104,$B$2,AI$100,$B$3,$AA$99,0)</f>
        <v>-0.99807460447904706</v>
      </c>
      <c r="AJ104" s="1" cm="1">
        <f t="array" ref="AJ104">OptionDelta("P",$Z104,$B$2,AJ$100,$B$3,$AA$99,0)</f>
        <v>-0.99680261138352733</v>
      </c>
      <c r="AK104" s="1" cm="1">
        <f t="array" ref="AK104">OptionDelta("P",$Z104,$B$2,AK$100,$B$3,$AA$99,0)</f>
        <v>-0.9657791379984273</v>
      </c>
      <c r="AL104" s="1" cm="1">
        <f t="array" ref="AL104">OptionDelta("P",$Z104,$B$2,AL$100,$B$3,$AA$99,0)</f>
        <v>-0.91941174103204293</v>
      </c>
      <c r="AM104" s="1" cm="1">
        <f t="array" ref="AM104">OptionDelta("P",$Z104,$B$2,AM$100,$B$3,$AA$99,0)</f>
        <v>-0.87252541543240303</v>
      </c>
      <c r="AN104" s="1" cm="1">
        <f t="array" ref="AN104">OptionDelta("P",$Z104,$B$2,AN$100,$B$3,$AA$99,0)</f>
        <v>-0.82923414186780242</v>
      </c>
      <c r="AW104" s="139"/>
      <c r="AX104" s="14">
        <v>75</v>
      </c>
      <c r="AY104" s="1" cm="1">
        <f t="array" ref="AY104">OptionTheta("P",$AX104,$B$2,AY$100,$B$3,$AY$99,0)</f>
        <v>-2.73698767077637E-3</v>
      </c>
      <c r="AZ104" s="1" cm="1">
        <f t="array" ref="AZ104">OptionTheta("P",$AX104,$B$2,AZ$100,$B$3,$AY$99,0)</f>
        <v>-2.734252065496396E-3</v>
      </c>
      <c r="BA104" s="1" cm="1">
        <f t="array" ref="BA104">OptionTheta("P",$AX104,$B$2,BA$100,$B$3,$AY$99,0)</f>
        <v>-2.7315306657575921E-3</v>
      </c>
      <c r="BB104" s="1" cm="1">
        <f t="array" ref="BB104">OptionTheta("P",$AX104,$B$2,BB$100,$B$3,$AY$99,0)</f>
        <v>-2.7290997877292104E-3</v>
      </c>
      <c r="BC104" s="1" cm="1">
        <f t="array" ref="BC104">OptionTheta("P",$AX104,$B$2,BC$100,$B$3,$AY$99,0)</f>
        <v>-2.7282452869613416E-3</v>
      </c>
      <c r="BD104" s="1" cm="1">
        <f t="array" ref="BD104">OptionTheta("P",$AX104,$B$2,BD$100,$B$3,$AY$99,0)</f>
        <v>-2.7311947500195991E-3</v>
      </c>
      <c r="BE104" s="1" cm="1">
        <f t="array" ref="BE104">OptionTheta("P",$AX104,$B$2,BE$100,$B$3,$AY$99,0)</f>
        <v>-2.7399523379779754E-3</v>
      </c>
      <c r="BF104" s="1" cm="1">
        <f t="array" ref="BF104">OptionTheta("P",$AX104,$B$2,BF$100,$B$3,$AY$99,0)</f>
        <v>-2.7554808947100468E-3</v>
      </c>
      <c r="BG104" s="1" cm="1">
        <f t="array" ref="BG104">OptionTheta("P",$AX104,$B$2,BG$100,$B$3,$AY$99,0)</f>
        <v>-2.7776616035858834E-3</v>
      </c>
      <c r="BH104" s="1" cm="1">
        <f t="array" ref="BH104">OptionTheta("P",$AX104,$B$2,BH$100,$B$3,$AY$99,0)</f>
        <v>-2.8056387774978834E-3</v>
      </c>
      <c r="BI104" s="1" cm="1">
        <f t="array" ref="BI104">OptionTheta("P",$AX104,$B$2,BI$100,$B$3,$AY$99,0)</f>
        <v>-3.169959948114785E-3</v>
      </c>
      <c r="BJ104" s="1" cm="1">
        <f t="array" ref="BJ104">OptionTheta("P",$AX104,$B$2,BJ$100,$B$3,$AY$99,0)</f>
        <v>-3.3920666018836514E-3</v>
      </c>
      <c r="BK104" s="1" cm="1">
        <f t="array" ref="BK104">OptionTheta("P",$AX104,$B$2,BK$100,$B$3,$AY$99,0)</f>
        <v>-3.4664028593379107E-3</v>
      </c>
      <c r="BL104" s="1" cm="1">
        <f t="array" ref="BL104">OptionTheta("P",$AX104,$B$2,BL$100,$B$3,$AY$99,0)</f>
        <v>-3.4592988373949168E-3</v>
      </c>
      <c r="BU104" s="142"/>
      <c r="BV104" s="14">
        <v>75</v>
      </c>
      <c r="BW104" s="1" cm="1">
        <f t="array" ref="BW104">OptionGamma($BV104,$B$2,BW$100,$B$3,$BW$99,0)</f>
        <v>2.7634460319906583E-19</v>
      </c>
      <c r="BX104" s="1" cm="1">
        <f t="array" ref="BX104">OptionGamma($BV104,$B$2,BX$100,$B$3,$BW$99,0)</f>
        <v>1.8884525527510619E-10</v>
      </c>
      <c r="BY104" s="1" cm="1">
        <f t="array" ref="BY104">OptionGamma($BV104,$B$2,BY$100,$B$3,$BW$99,0)</f>
        <v>1.5233209793360453E-7</v>
      </c>
      <c r="BZ104" s="1" cm="1">
        <f t="array" ref="BZ104">OptionGamma($BV104,$B$2,BZ$100,$B$3,$BW$99,0)</f>
        <v>4.1442242901485517E-6</v>
      </c>
      <c r="CA104" s="1" cm="1">
        <f t="array" ref="CA104">OptionGamma($BV104,$B$2,CA$100,$B$3,$BW$99,0)</f>
        <v>2.9313355232607553E-5</v>
      </c>
      <c r="CB104" s="1" cm="1">
        <f t="array" ref="CB104">OptionGamma($BV104,$B$2,CB$100,$B$3,$BW$99,0)</f>
        <v>1.0617694808839046E-4</v>
      </c>
      <c r="CC104" s="1" cm="1">
        <f t="array" ref="CC104">OptionGamma($BV104,$B$2,CC$100,$B$3,$BW$99,0)</f>
        <v>2.630006185665992E-4</v>
      </c>
      <c r="CD104" s="1" cm="1">
        <f t="array" ref="CD104">OptionGamma($BV104,$B$2,CD$100,$B$3,$BW$99,0)</f>
        <v>5.1450381124671068E-4</v>
      </c>
      <c r="CE104" s="1" cm="1">
        <f t="array" ref="CE104">OptionGamma($BV104,$B$2,CE$100,$B$3,$BW$99,0)</f>
        <v>8.6084583659867776E-4</v>
      </c>
      <c r="CF104" s="1" cm="1">
        <f t="array" ref="CF104">OptionGamma($BV104,$B$2,CF$100,$B$3,$BW$99,0)</f>
        <v>1.2919311227899846E-3</v>
      </c>
      <c r="CG104" s="1" cm="1">
        <f t="array" ref="CG104">OptionGamma($BV104,$B$2,CG$100,$B$3,$BW$99,0)</f>
        <v>7.1516197776597054E-3</v>
      </c>
      <c r="CH104" s="1" cm="1">
        <f t="array" ref="CH104">OptionGamma($BV104,$B$2,CH$100,$B$3,$BW$99,0)</f>
        <v>1.150786954283289E-2</v>
      </c>
      <c r="CI104" s="1" cm="1">
        <f t="array" ref="CI104">OptionGamma($BV104,$B$2,CI$100,$B$3,$BW$99,0)</f>
        <v>1.3912357420204602E-2</v>
      </c>
      <c r="CJ104" s="1" cm="1">
        <f t="array" ref="CJ104">OptionGamma($BV104,$B$2,CJ$100,$B$3,$BW$99,0)</f>
        <v>1.5132702486471092E-2</v>
      </c>
      <c r="CS104" s="145"/>
      <c r="CT104" s="14">
        <v>75</v>
      </c>
      <c r="CU104" s="1" cm="1">
        <f t="array" ref="CU104">OptionVega($CT104,$B$2,CU$100,$B$3,$CU$99,0)</f>
        <v>1.5544383929947457E-19</v>
      </c>
      <c r="CV104" s="1" cm="1">
        <f t="array" ref="CV104">OptionVega($CT104,$B$2,CV$100,$B$3,$CU$99,0)</f>
        <v>2.1245091218449448E-10</v>
      </c>
      <c r="CW104" s="1" cm="1">
        <f t="array" ref="CW104">OptionVega($CT104,$B$2,CW$100,$B$3,$CU$99,0)</f>
        <v>2.5706041526295764E-7</v>
      </c>
      <c r="CX104" s="1" cm="1">
        <f t="array" ref="CX104">OptionVega($CT104,$B$2,CX$100,$B$3,$CU$99,0)</f>
        <v>9.3245046528342434E-6</v>
      </c>
      <c r="CY104" s="1" cm="1">
        <f t="array" ref="CY104">OptionVega($CT104,$B$2,CY$100,$B$3,$CU$99,0)</f>
        <v>8.2443811591708765E-5</v>
      </c>
      <c r="CZ104" s="1" cm="1">
        <f t="array" ref="CZ104">OptionVega($CT104,$B$2,CZ$100,$B$3,$CU$99,0)</f>
        <v>3.5834719979831788E-4</v>
      </c>
      <c r="DA104" s="1" cm="1">
        <f t="array" ref="DA104">OptionVega($CT104,$B$2,DA$100,$B$3,$CU$99,0)</f>
        <v>1.0355649356059843E-3</v>
      </c>
      <c r="DB104" s="1" cm="1">
        <f t="array" ref="DB104">OptionVega($CT104,$B$2,DB$100,$B$3,$CU$99,0)</f>
        <v>2.3152671506101981E-3</v>
      </c>
      <c r="DC104" s="1" cm="1">
        <f t="array" ref="DC104">OptionVega($CT104,$B$2,DC$100,$B$3,$CU$99,0)</f>
        <v>4.3580320477808058E-3</v>
      </c>
      <c r="DD104" s="1" cm="1">
        <f t="array" ref="DD104">OptionVega($CT104,$B$2,DD$100,$B$3,$CU$99,0)</f>
        <v>7.267112565693663E-3</v>
      </c>
      <c r="DE104" s="1" cm="1">
        <f t="array" ref="DE104">OptionVega($CT104,$B$2,DE$100,$B$3,$CU$99,0)</f>
        <v>8.0455722498671708E-2</v>
      </c>
      <c r="DF104" s="1" cm="1">
        <f t="array" ref="DF104">OptionVega($CT104,$B$2,DF$100,$B$3,$CU$99,0)</f>
        <v>0.19419529853530501</v>
      </c>
      <c r="DG104" s="1" cm="1">
        <f t="array" ref="DG104">OptionVega($CT104,$B$2,DG$100,$B$3,$CU$99,0)</f>
        <v>0.31302804195460354</v>
      </c>
      <c r="DH104" s="1" cm="1">
        <f t="array" ref="DH104">OptionVega($CT104,$B$2,DH$100,$B$3,$CU$99,0)</f>
        <v>0.42560725743199956</v>
      </c>
      <c r="DQ104" s="130"/>
      <c r="DR104" s="14">
        <v>75</v>
      </c>
      <c r="DS104" s="1" cm="1">
        <f t="array" ref="DS104">OptionRho("P",$DR104,$B$2,DS$100,$B$3,$DS$99,0)</f>
        <v>-9.9900049983337513E-2</v>
      </c>
      <c r="DT104" s="1" cm="1">
        <f t="array" ref="DT104">OptionRho("P",$DR104,$B$2,DT$100,$B$3,$DS$99,0)</f>
        <v>-0.19960039971898239</v>
      </c>
      <c r="DU104" s="1" cm="1">
        <f t="array" ref="DU104">OptionRho("P",$DR104,$B$2,DU$100,$B$3,$DS$99,0)</f>
        <v>-0.29910132259838007</v>
      </c>
      <c r="DV104" s="1" cm="1">
        <f t="array" ref="DV104">OptionRho("P",$DR104,$B$2,DV$100,$B$3,$DS$99,0)</f>
        <v>-0.39840194648520061</v>
      </c>
      <c r="DW104" s="1" cm="1">
        <f t="array" ref="DW104">OptionRho("P",$DR104,$B$2,DW$100,$B$3,$DS$99,0)</f>
        <v>-0.49749254581248636</v>
      </c>
      <c r="DX104" s="1" cm="1">
        <f t="array" ref="DX104">OptionRho("P",$DR104,$B$2,DX$100,$B$3,$DS$99,0)</f>
        <v>-0.59633991425530064</v>
      </c>
      <c r="DY104" s="1" cm="1">
        <f t="array" ref="DY104">OptionRho("P",$DR104,$B$2,DY$100,$B$3,$DS$99,0)</f>
        <v>-0.69487999767534259</v>
      </c>
      <c r="DZ104" s="1" cm="1">
        <f t="array" ref="DZ104">OptionRho("P",$DR104,$B$2,DZ$100,$B$3,$DS$99,0)</f>
        <v>-0.79302408550228265</v>
      </c>
      <c r="EA104" s="1" cm="1">
        <f t="array" ref="EA104">OptionRho("P",$DR104,$B$2,EA$100,$B$3,$DS$99,0)</f>
        <v>-0.89067167653905843</v>
      </c>
      <c r="EB104" s="1" cm="1">
        <f t="array" ref="EB104">OptionRho("P",$DR104,$B$2,EB$100,$B$3,$DS$99,0)</f>
        <v>-0.98772259095825921</v>
      </c>
      <c r="EC104" s="1" cm="1">
        <f t="array" ref="EC104">OptionRho("P",$DR104,$B$2,EC$100,$B$3,$DS$99,0)</f>
        <v>-1.9117921496304346</v>
      </c>
      <c r="ED104" s="1" cm="1">
        <f t="array" ref="ED104">OptionRho("P",$DR104,$B$2,ED$100,$B$3,$DS$99,0)</f>
        <v>-2.7433364363860733</v>
      </c>
      <c r="EE104" s="1" cm="1">
        <f t="array" ref="EE104">OptionRho("P",$DR104,$B$2,EE$100,$B$3,$DS$99,0)</f>
        <v>-3.4958079648603313</v>
      </c>
      <c r="EF104" s="1" cm="1">
        <f t="array" ref="EF104">OptionRho("P",$DR104,$B$2,EF$100,$B$3,$DS$99,0)</f>
        <v>-4.1851840910857252</v>
      </c>
    </row>
    <row r="105" spans="1:136" x14ac:dyDescent="0.2">
      <c r="A105" s="133"/>
      <c r="B105" s="14">
        <v>80</v>
      </c>
      <c r="C105" s="1" cm="1">
        <f t="array" ref="C105">OptionPrice("P",$B105,$B$2,C$100,$B$3,$C$99,0)</f>
        <v>19.900049983337908</v>
      </c>
      <c r="D105" s="1" cm="1">
        <f t="array" ref="D105">OptionPrice("P",$B105,$B$2,D$100,$B$3,$C$99,0)</f>
        <v>19.800200153287605</v>
      </c>
      <c r="E105" s="1" cm="1">
        <f t="array" ref="E105">OptionPrice("P",$B105,$B$2,E$100,$B$3,$C$99,0)</f>
        <v>19.700481626911099</v>
      </c>
      <c r="F105" s="1" cm="1">
        <f t="array" ref="F105">OptionPrice("P",$B105,$B$2,F$100,$B$3,$C$99,0)</f>
        <v>19.60117808762962</v>
      </c>
      <c r="G105" s="1" cm="1">
        <f t="array" ref="G105">OptionPrice("P",$B105,$B$2,G$100,$B$3,$C$99,0)</f>
        <v>19.503026782481484</v>
      </c>
      <c r="H105" s="1" cm="1">
        <f t="array" ref="H105">OptionPrice("P",$B105,$B$2,H$100,$B$3,$C$99,0)</f>
        <v>19.406992103981736</v>
      </c>
      <c r="I105" s="1" cm="1">
        <f t="array" ref="I105">OptionPrice("P",$B105,$B$2,I$100,$B$3,$C$99,0)</f>
        <v>19.313943071931661</v>
      </c>
      <c r="J105" s="1" cm="1">
        <f t="array" ref="J105">OptionPrice("P",$B105,$B$2,J$100,$B$3,$C$99,0)</f>
        <v>19.224501864900489</v>
      </c>
      <c r="K105" s="1" cm="1">
        <f t="array" ref="K105">OptionPrice("P",$B105,$B$2,K$100,$B$3,$C$99,0)</f>
        <v>19.139032460534324</v>
      </c>
      <c r="L105" s="1" cm="1">
        <f t="array" ref="L105">OptionPrice("P",$B105,$B$2,L$100,$B$3,$C$99,0)</f>
        <v>19.057687820104235</v>
      </c>
      <c r="M105" s="1" cm="1">
        <f t="array" ref="M105">OptionPrice("P",$B105,$B$2,M$100,$B$3,$C$99,0)</f>
        <v>18.442685924128199</v>
      </c>
      <c r="N105" s="1" cm="1">
        <f t="array" ref="N105">OptionPrice("P",$B105,$B$2,N$100,$B$3,$C$99,0)</f>
        <v>18.058355105208648</v>
      </c>
      <c r="O105" s="1" cm="1">
        <f t="array" ref="O105">OptionPrice("P",$B105,$B$2,O$100,$B$3,$C$99,0)</f>
        <v>17.784517293614101</v>
      </c>
      <c r="P105" s="1" cm="1">
        <f t="array" ref="P105">OptionPrice("P",$B105,$B$2,P$100,$B$3,$C$99,0)</f>
        <v>17.566790647397397</v>
      </c>
      <c r="Y105" s="136"/>
      <c r="Z105" s="14">
        <v>80</v>
      </c>
      <c r="AA105" s="1" cm="1">
        <f t="array" ref="AA105">OptionDelta("P",$Z105,$B$2,AA$100,$B$3,$AA$99,0)</f>
        <v>-0.99999999999879974</v>
      </c>
      <c r="AB105" s="1" cm="1">
        <f t="array" ref="AB105">OptionDelta("P",$Z105,$B$2,AB$100,$B$3,$AA$99,0)</f>
        <v>-0.99999957290199704</v>
      </c>
      <c r="AC105" s="1" cm="1">
        <f t="array" ref="AC105">OptionDelta("P",$Z105,$B$2,AC$100,$B$3,$AA$99,0)</f>
        <v>-0.99996722240854641</v>
      </c>
      <c r="AD105" s="1" cm="1">
        <f t="array" ref="AD105">OptionDelta("P",$Z105,$B$2,AD$100,$B$3,$AA$99,0)</f>
        <v>-0.99970190412486359</v>
      </c>
      <c r="AE105" s="1" cm="1">
        <f t="array" ref="AE105">OptionDelta("P",$Z105,$B$2,AE$100,$B$3,$AA$99,0)</f>
        <v>-0.99885449850928076</v>
      </c>
      <c r="AF105" s="1" cm="1">
        <f t="array" ref="AF105">OptionDelta("P",$Z105,$B$2,AF$100,$B$3,$AA$99,0)</f>
        <v>-0.99715020541618327</v>
      </c>
      <c r="AG105" s="1" cm="1">
        <f t="array" ref="AG105">OptionDelta("P",$Z105,$B$2,AG$100,$B$3,$AA$99,0)</f>
        <v>-0.99448231126656217</v>
      </c>
      <c r="AH105" s="1" cm="1">
        <f t="array" ref="AH105">OptionDelta("P",$Z105,$B$2,AH$100,$B$3,$AA$99,0)</f>
        <v>-0.99087869452629052</v>
      </c>
      <c r="AI105" s="1" cm="1">
        <f t="array" ref="AI105">OptionDelta("P",$Z105,$B$2,AI$100,$B$3,$AA$99,0)</f>
        <v>-0.98644176377083581</v>
      </c>
      <c r="AJ105" s="1" cm="1">
        <f t="array" ref="AJ105">OptionDelta("P",$Z105,$B$2,AJ$100,$B$3,$AA$99,0)</f>
        <v>-0.98130296953188956</v>
      </c>
      <c r="AK105" s="1" cm="1">
        <f t="array" ref="AK105">OptionDelta("P",$Z105,$B$2,AK$100,$B$3,$AA$99,0)</f>
        <v>-0.91398831809174919</v>
      </c>
      <c r="AL105" s="1" cm="1">
        <f t="array" ref="AL105">OptionDelta("P",$Z105,$B$2,AL$100,$B$3,$AA$99,0)</f>
        <v>-0.84814553967118989</v>
      </c>
      <c r="AM105" s="1" cm="1">
        <f t="array" ref="AM105">OptionDelta("P",$Z105,$B$2,AM$100,$B$3,$AA$99,0)</f>
        <v>-0.79266920954781528</v>
      </c>
      <c r="AN105" s="1" cm="1">
        <f t="array" ref="AN105">OptionDelta("P",$Z105,$B$2,AN$100,$B$3,$AA$99,0)</f>
        <v>-0.74618038134057052</v>
      </c>
      <c r="AW105" s="139"/>
      <c r="AX105" s="14">
        <v>80</v>
      </c>
      <c r="AY105" s="1" cm="1">
        <f t="array" ref="AY105">OptionTheta("P",$AX105,$B$2,AY$100,$B$3,$AY$99,0)</f>
        <v>-2.7369876710710071E-3</v>
      </c>
      <c r="AZ105" s="1" cm="1">
        <f t="array" ref="AZ105">OptionTheta("P",$AX105,$B$2,AZ$100,$B$3,$AY$99,0)</f>
        <v>-2.7343046210602249E-3</v>
      </c>
      <c r="BA105" s="1" cm="1">
        <f t="array" ref="BA105">OptionTheta("P",$AX105,$B$2,BA$100,$B$3,$AY$99,0)</f>
        <v>-2.7342143492680654E-3</v>
      </c>
      <c r="BB105" s="1" cm="1">
        <f t="array" ref="BB105">OptionTheta("P",$AX105,$B$2,BB$100,$B$3,$AY$99,0)</f>
        <v>-2.7471985547859621E-3</v>
      </c>
      <c r="BC105" s="1" cm="1">
        <f t="array" ref="BC105">OptionTheta("P",$AX105,$B$2,BC$100,$B$3,$AY$99,0)</f>
        <v>-2.7827054016214595E-3</v>
      </c>
      <c r="BD105" s="1" cm="1">
        <f t="array" ref="BD105">OptionTheta("P",$AX105,$B$2,BD$100,$B$3,$AY$99,0)</f>
        <v>-2.8408178162669345E-3</v>
      </c>
      <c r="BE105" s="1" cm="1">
        <f t="array" ref="BE105">OptionTheta("P",$AX105,$B$2,BE$100,$B$3,$AY$99,0)</f>
        <v>-2.9155844108798468E-3</v>
      </c>
      <c r="BF105" s="1" cm="1">
        <f t="array" ref="BF105">OptionTheta("P",$AX105,$B$2,BF$100,$B$3,$AY$99,0)</f>
        <v>-2.9998130339343549E-3</v>
      </c>
      <c r="BG105" s="1" cm="1">
        <f t="array" ref="BG105">OptionTheta("P",$AX105,$B$2,BG$100,$B$3,$AY$99,0)</f>
        <v>-3.0874203674952001E-3</v>
      </c>
      <c r="BH105" s="1" cm="1">
        <f t="array" ref="BH105">OptionTheta("P",$AX105,$B$2,BH$100,$B$3,$AY$99,0)</f>
        <v>-3.1740176630987243E-3</v>
      </c>
      <c r="BI105" s="1" cm="1">
        <f t="array" ref="BI105">OptionTheta("P",$AX105,$B$2,BI$100,$B$3,$AY$99,0)</f>
        <v>-3.7251037780601966E-3</v>
      </c>
      <c r="BJ105" s="1" cm="1">
        <f t="array" ref="BJ105">OptionTheta("P",$AX105,$B$2,BJ$100,$B$3,$AY$99,0)</f>
        <v>-3.8410379455689472E-3</v>
      </c>
      <c r="BK105" s="1" cm="1">
        <f t="array" ref="BK105">OptionTheta("P",$AX105,$B$2,BK$100,$B$3,$AY$99,0)</f>
        <v>-3.791926868219179E-3</v>
      </c>
      <c r="BL105" s="1" cm="1">
        <f t="array" ref="BL105">OptionTheta("P",$AX105,$B$2,BL$100,$B$3,$AY$99,0)</f>
        <v>-3.6866736605664823E-3</v>
      </c>
      <c r="BU105" s="142"/>
      <c r="BV105" s="14">
        <v>80</v>
      </c>
      <c r="BW105" s="1" cm="1">
        <f t="array" ref="BW105">OptionGamma($BV105,$B$2,BW$100,$B$3,$BW$99,0)</f>
        <v>3.3905822708430664E-12</v>
      </c>
      <c r="BX105" s="1" cm="1">
        <f t="array" ref="BX105">OptionGamma($BV105,$B$2,BX$100,$B$3,$BW$99,0)</f>
        <v>6.1021351588952594E-7</v>
      </c>
      <c r="BY105" s="1" cm="1">
        <f t="array" ref="BY105">OptionGamma($BV105,$B$2,BY$100,$B$3,$BW$99,0)</f>
        <v>3.155135271549592E-5</v>
      </c>
      <c r="BZ105" s="1" cm="1">
        <f t="array" ref="BZ105">OptionGamma($BV105,$B$2,BZ$100,$B$3,$BW$99,0)</f>
        <v>2.1731776002153873E-4</v>
      </c>
      <c r="CA105" s="1" cm="1">
        <f t="array" ref="CA105">OptionGamma($BV105,$B$2,CA$100,$B$3,$BW$99,0)</f>
        <v>6.7417515498728662E-4</v>
      </c>
      <c r="CB105" s="1" cm="1">
        <f t="array" ref="CB105">OptionGamma($BV105,$B$2,CB$100,$B$3,$BW$99,0)</f>
        <v>1.4096380488958426E-3</v>
      </c>
      <c r="CC105" s="1" cm="1">
        <f t="array" ref="CC105">OptionGamma($BV105,$B$2,CC$100,$B$3,$BW$99,0)</f>
        <v>2.3582196949555514E-3</v>
      </c>
      <c r="CD105" s="1" cm="1">
        <f t="array" ref="CD105">OptionGamma($BV105,$B$2,CD$100,$B$3,$BW$99,0)</f>
        <v>3.4369932223750686E-3</v>
      </c>
      <c r="CE105" s="1" cm="1">
        <f t="array" ref="CE105">OptionGamma($BV105,$B$2,CE$100,$B$3,$BW$99,0)</f>
        <v>4.5738968285542487E-3</v>
      </c>
      <c r="CF105" s="1" cm="1">
        <f t="array" ref="CF105">OptionGamma($BV105,$B$2,CF$100,$B$3,$BW$99,0)</f>
        <v>5.7155372876400061E-3</v>
      </c>
      <c r="CG105" s="1" cm="1">
        <f t="array" ref="CG105">OptionGamma($BV105,$B$2,CG$100,$B$3,$BW$99,0)</f>
        <v>1.3876417664915321E-2</v>
      </c>
      <c r="CH105" s="1" cm="1">
        <f t="array" ref="CH105">OptionGamma($BV105,$B$2,CH$100,$B$3,$BW$99,0)</f>
        <v>1.6964964604488354E-2</v>
      </c>
      <c r="CI105" s="1" cm="1">
        <f t="array" ref="CI105">OptionGamma($BV105,$B$2,CI$100,$B$3,$BW$99,0)</f>
        <v>1.7877273947675215E-2</v>
      </c>
      <c r="CJ105" s="1" cm="1">
        <f t="array" ref="CJ105">OptionGamma($BV105,$B$2,CJ$100,$B$3,$BW$99,0)</f>
        <v>1.7906989830010489E-2</v>
      </c>
      <c r="CS105" s="145"/>
      <c r="CT105" s="14">
        <v>80</v>
      </c>
      <c r="CU105" s="1" cm="1">
        <f t="array" ref="CU105">OptionVega($CT105,$B$2,CU$100,$B$3,$CU$99,0)</f>
        <v>2.1699726533395634E-12</v>
      </c>
      <c r="CV105" s="1" cm="1">
        <f t="array" ref="CV105">OptionVega($CT105,$B$2,CV$100,$B$3,$CU$99,0)</f>
        <v>7.8107330033859321E-7</v>
      </c>
      <c r="CW105" s="1" cm="1">
        <f t="array" ref="CW105">OptionVega($CT105,$B$2,CW$100,$B$3,$CU$99,0)</f>
        <v>6.0578597213752167E-5</v>
      </c>
      <c r="CX105" s="1" cm="1">
        <f t="array" ref="CX105">OptionVega($CT105,$B$2,CX$100,$B$3,$CU$99,0)</f>
        <v>5.5633346565513934E-4</v>
      </c>
      <c r="CY105" s="1" cm="1">
        <f t="array" ref="CY105">OptionVega($CT105,$B$2,CY$100,$B$3,$CU$99,0)</f>
        <v>2.157360495959318E-3</v>
      </c>
      <c r="CZ105" s="1" cm="1">
        <f t="array" ref="CZ105">OptionVega($CT105,$B$2,CZ$100,$B$3,$CU$99,0)</f>
        <v>5.4130101077600381E-3</v>
      </c>
      <c r="DA105" s="1" cm="1">
        <f t="array" ref="DA105">OptionVega($CT105,$B$2,DA$100,$B$3,$CU$99,0)</f>
        <v>1.0564824233400874E-2</v>
      </c>
      <c r="DB105" s="1" cm="1">
        <f t="array" ref="DB105">OptionVega($CT105,$B$2,DB$100,$B$3,$CU$99,0)</f>
        <v>1.759740529856035E-2</v>
      </c>
      <c r="DC105" s="1" cm="1">
        <f t="array" ref="DC105">OptionVega($CT105,$B$2,DC$100,$B$3,$CU$99,0)</f>
        <v>2.6345645732472476E-2</v>
      </c>
      <c r="DD105" s="1" cm="1">
        <f t="array" ref="DD105">OptionVega($CT105,$B$2,DD$100,$B$3,$CU$99,0)</f>
        <v>3.6579438640896043E-2</v>
      </c>
      <c r="DE105" s="1" cm="1">
        <f t="array" ref="DE105">OptionVega($CT105,$B$2,DE$100,$B$3,$CU$99,0)</f>
        <v>0.1776181461109162</v>
      </c>
      <c r="DF105" s="1" cm="1">
        <f t="array" ref="DF105">OptionVega($CT105,$B$2,DF$100,$B$3,$CU$99,0)</f>
        <v>0.32572732040617636</v>
      </c>
      <c r="DG105" s="1" cm="1">
        <f t="array" ref="DG105">OptionVega($CT105,$B$2,DG$100,$B$3,$CU$99,0)</f>
        <v>0.45765821306048554</v>
      </c>
      <c r="DH105" s="1" cm="1">
        <f t="array" ref="DH105">OptionVega($CT105,$B$2,DH$100,$B$3,$CU$99,0)</f>
        <v>0.57302367456033576</v>
      </c>
      <c r="DQ105" s="130"/>
      <c r="DR105" s="14">
        <v>80</v>
      </c>
      <c r="DS105" s="1" cm="1">
        <f t="array" ref="DS105">OptionRho("P",$DR105,$B$2,DS$100,$B$3,$DS$99,0)</f>
        <v>-9.9900049983241909E-2</v>
      </c>
      <c r="DT105" s="1" cm="1">
        <f t="array" ref="DT105">OptionRho("P",$DR105,$B$2,DT$100,$B$3,$DS$99,0)</f>
        <v>-0.19960033197089475</v>
      </c>
      <c r="DU105" s="1" cm="1">
        <f t="array" ref="DU105">OptionRho("P",$DR105,$B$2,DU$100,$B$3,$DS$99,0)</f>
        <v>-0.29909357825878441</v>
      </c>
      <c r="DV105" s="1" cm="1">
        <f t="array" ref="DV105">OptionRho("P",$DR105,$B$2,DV$100,$B$3,$DS$99,0)</f>
        <v>-0.39830932167047484</v>
      </c>
      <c r="DW105" s="1" cm="1">
        <f t="array" ref="DW105">OptionRho("P",$DR105,$B$2,DW$100,$B$3,$DS$99,0)</f>
        <v>-0.49705693331611972</v>
      </c>
      <c r="DX105" s="1" cm="1">
        <f t="array" ref="DX105">OptionRho("P",$DR105,$B$2,DX$100,$B$3,$DS$99,0)</f>
        <v>-0.59507405122365842</v>
      </c>
      <c r="DY105" s="1" cm="1">
        <f t="array" ref="DY105">OptionRho("P",$DR105,$B$2,DY$100,$B$3,$DS$99,0)</f>
        <v>-0.69210769581279641</v>
      </c>
      <c r="DZ105" s="1" cm="1">
        <f t="array" ref="DZ105">OptionRho("P",$DR105,$B$2,DZ$100,$B$3,$DS$99,0)</f>
        <v>-0.78795837941602986</v>
      </c>
      <c r="EA105" s="1" cm="1">
        <f t="array" ref="EA105">OptionRho("P",$DR105,$B$2,EA$100,$B$3,$DS$99,0)</f>
        <v>-0.88248936205981077</v>
      </c>
      <c r="EB105" s="1" cm="1">
        <f t="array" ref="EB105">OptionRho("P",$DR105,$B$2,EB$100,$B$3,$DS$99,0)</f>
        <v>-0.97561925382655412</v>
      </c>
      <c r="EC105" s="1" cm="1">
        <f t="array" ref="EC105">OptionRho("P",$DR105,$B$2,EC$100,$B$3,$DS$99,0)</f>
        <v>-1.8312350274293627</v>
      </c>
      <c r="ED105" s="1" cm="1">
        <f t="array" ref="ED105">OptionRho("P",$DR105,$B$2,ED$100,$B$3,$DS$99,0)</f>
        <v>-2.5772999483671151</v>
      </c>
      <c r="EE105" s="1" cm="1">
        <f t="array" ref="EE105">OptionRho("P",$DR105,$B$2,EE$100,$B$3,$DS$99,0)</f>
        <v>-3.2479221622975731</v>
      </c>
      <c r="EF105" s="1" cm="1">
        <f t="array" ref="EF105">OptionRho("P",$DR105,$B$2,EF$100,$B$3,$DS$99,0)</f>
        <v>-3.8630610577321525</v>
      </c>
    </row>
    <row r="106" spans="1:136" x14ac:dyDescent="0.2">
      <c r="A106" s="133"/>
      <c r="B106" s="14">
        <v>85</v>
      </c>
      <c r="C106" s="1" cm="1">
        <f t="array" ref="C106">OptionPrice("P",$B106,$B$2,C$100,$B$3,$C$99,0)</f>
        <v>14.90005007030922</v>
      </c>
      <c r="D106" s="1" cm="1">
        <f t="array" ref="D106">OptionPrice("P",$B106,$B$2,D$100,$B$3,$C$99,0)</f>
        <v>14.800368076846695</v>
      </c>
      <c r="E106" s="1" cm="1">
        <f t="array" ref="E106">OptionPrice("P",$B106,$B$2,E$100,$B$3,$C$99,0)</f>
        <v>14.703065513701077</v>
      </c>
      <c r="F106" s="1" cm="1">
        <f t="array" ref="F106">OptionPrice("P",$B106,$B$2,F$100,$B$3,$C$99,0)</f>
        <v>14.612227508739991</v>
      </c>
      <c r="G106" s="1" cm="1">
        <f t="array" ref="G106">OptionPrice("P",$B106,$B$2,G$100,$B$3,$C$99,0)</f>
        <v>14.530599077148182</v>
      </c>
      <c r="H106" s="1" cm="1">
        <f t="array" ref="H106">OptionPrice("P",$B106,$B$2,H$100,$B$3,$C$99,0)</f>
        <v>14.458952519397272</v>
      </c>
      <c r="I106" s="1" cm="1">
        <f t="array" ref="I106">OptionPrice("P",$B106,$B$2,I$100,$B$3,$C$99,0)</f>
        <v>14.396883831751495</v>
      </c>
      <c r="J106" s="1" cm="1">
        <f t="array" ref="J106">OptionPrice("P",$B106,$B$2,J$100,$B$3,$C$99,0)</f>
        <v>14.343484734751669</v>
      </c>
      <c r="K106" s="1" cm="1">
        <f t="array" ref="K106">OptionPrice("P",$B106,$B$2,K$100,$B$3,$C$99,0)</f>
        <v>14.297707878030494</v>
      </c>
      <c r="L106" s="1" cm="1">
        <f t="array" ref="L106">OptionPrice("P",$B106,$B$2,L$100,$B$3,$C$99,0)</f>
        <v>14.258535302463784</v>
      </c>
      <c r="M106" s="1" cm="1">
        <f t="array" ref="M106">OptionPrice("P",$B106,$B$2,M$100,$B$3,$C$99,0)</f>
        <v>14.077873948522111</v>
      </c>
      <c r="N106" s="1" cm="1">
        <f t="array" ref="N106">OptionPrice("P",$B106,$B$2,N$100,$B$3,$C$99,0)</f>
        <v>14.050270391899851</v>
      </c>
      <c r="O106" s="1" cm="1">
        <f t="array" ref="O106">OptionPrice("P",$B106,$B$2,O$100,$B$3,$C$99,0)</f>
        <v>14.057496627067287</v>
      </c>
      <c r="P106" s="1" cm="1">
        <f t="array" ref="P106">OptionPrice("P",$B106,$B$2,P$100,$B$3,$C$99,0)</f>
        <v>14.067518800386694</v>
      </c>
      <c r="Y106" s="136"/>
      <c r="Z106" s="14">
        <v>85</v>
      </c>
      <c r="AA106" s="1" cm="1">
        <f t="array" ref="AA106">OptionDelta("P",$Z106,$B$2,AA$100,$B$3,$AA$99,0)</f>
        <v>-0.99999982272133159</v>
      </c>
      <c r="AB106" s="1" cm="1">
        <f t="array" ref="AB106">OptionDelta("P",$Z106,$B$2,AB$100,$B$3,$AA$99,0)</f>
        <v>-0.99981942099236665</v>
      </c>
      <c r="AC106" s="1" cm="1">
        <f t="array" ref="AC106">OptionDelta("P",$Z106,$B$2,AC$100,$B$3,$AA$99,0)</f>
        <v>-0.99804304196816829</v>
      </c>
      <c r="AD106" s="1" cm="1">
        <f t="array" ref="AD106">OptionDelta("P",$Z106,$B$2,AD$100,$B$3,$AA$99,0)</f>
        <v>-0.99333411575638086</v>
      </c>
      <c r="AE106" s="1" cm="1">
        <f t="array" ref="AE106">OptionDelta("P",$Z106,$B$2,AE$100,$B$3,$AA$99,0)</f>
        <v>-0.98582102812389361</v>
      </c>
      <c r="AF106" s="1" cm="1">
        <f t="array" ref="AF106">OptionDelta("P",$Z106,$B$2,AF$100,$B$3,$AA$99,0)</f>
        <v>-0.97625595044034874</v>
      </c>
      <c r="AG106" s="1" cm="1">
        <f t="array" ref="AG106">OptionDelta("P",$Z106,$B$2,AG$100,$B$3,$AA$99,0)</f>
        <v>-0.96538943258594301</v>
      </c>
      <c r="AH106" s="1" cm="1">
        <f t="array" ref="AH106">OptionDelta("P",$Z106,$B$2,AH$100,$B$3,$AA$99,0)</f>
        <v>-0.95379820378478741</v>
      </c>
      <c r="AI106" s="1" cm="1">
        <f t="array" ref="AI106">OptionDelta("P",$Z106,$B$2,AI$100,$B$3,$AA$99,0)</f>
        <v>-0.94188514642659571</v>
      </c>
      <c r="AJ106" s="1" cm="1">
        <f t="array" ref="AJ106">OptionDelta("P",$Z106,$B$2,AJ$100,$B$3,$AA$99,0)</f>
        <v>-0.92991917065856655</v>
      </c>
      <c r="AK106" s="1" cm="1">
        <f t="array" ref="AK106">OptionDelta("P",$Z106,$B$2,AK$100,$B$3,$AA$99,0)</f>
        <v>-0.82563366708758723</v>
      </c>
      <c r="AL106" s="1" cm="1">
        <f t="array" ref="AL106">OptionDelta("P",$Z106,$B$2,AL$100,$B$3,$AA$99,0)</f>
        <v>-0.75127132472481861</v>
      </c>
      <c r="AM106" s="1" cm="1">
        <f t="array" ref="AM106">OptionDelta("P",$Z106,$B$2,AM$100,$B$3,$AA$99,0)</f>
        <v>-0.69588255094248597</v>
      </c>
      <c r="AN106" s="1" cm="1">
        <f t="array" ref="AN106">OptionDelta("P",$Z106,$B$2,AN$100,$B$3,$AA$99,0)</f>
        <v>-0.65224792947554422</v>
      </c>
      <c r="AW106" s="139"/>
      <c r="AX106" s="14">
        <v>85</v>
      </c>
      <c r="AY106" s="1" cm="1">
        <f t="array" ref="AY106">OptionTheta("P",$AX106,$B$2,AY$100,$B$3,$AY$99,0)</f>
        <v>-2.7370216960127176E-3</v>
      </c>
      <c r="AZ106" s="1" cm="1">
        <f t="array" ref="AZ106">OptionTheta("P",$AX106,$B$2,AZ$100,$B$3,$AY$99,0)</f>
        <v>-2.7517708871585499E-3</v>
      </c>
      <c r="BA106" s="1" cm="1">
        <f t="array" ref="BA106">OptionTheta("P",$AX106,$B$2,BA$100,$B$3,$AY$99,0)</f>
        <v>-2.8591807263639432E-3</v>
      </c>
      <c r="BB106" s="1" cm="1">
        <f t="array" ref="BB106">OptionTheta("P",$AX106,$B$2,BB$100,$B$3,$AY$99,0)</f>
        <v>-3.0571750238875548E-3</v>
      </c>
      <c r="BC106" s="1" cm="1">
        <f t="array" ref="BC106">OptionTheta("P",$AX106,$B$2,BC$100,$B$3,$AY$99,0)</f>
        <v>-3.2879656550144675E-3</v>
      </c>
      <c r="BD106" s="1" cm="1">
        <f t="array" ref="BD106">OptionTheta("P",$AX106,$B$2,BD$100,$B$3,$AY$99,0)</f>
        <v>-3.5109530440748859E-3</v>
      </c>
      <c r="BE106" s="1" cm="1">
        <f t="array" ref="BE106">OptionTheta("P",$AX106,$B$2,BE$100,$B$3,$AY$99,0)</f>
        <v>-3.7081395256036184E-3</v>
      </c>
      <c r="BF106" s="1" cm="1">
        <f t="array" ref="BF106">OptionTheta("P",$AX106,$B$2,BF$100,$B$3,$AY$99,0)</f>
        <v>-3.8745262468563258E-3</v>
      </c>
      <c r="BG106" s="1" cm="1">
        <f t="array" ref="BG106">OptionTheta("P",$AX106,$B$2,BG$100,$B$3,$AY$99,0)</f>
        <v>-4.0110679269898175E-3</v>
      </c>
      <c r="BH106" s="1" cm="1">
        <f t="array" ref="BH106">OptionTheta("P",$AX106,$B$2,BH$100,$B$3,$AY$99,0)</f>
        <v>-4.1209921981078699E-3</v>
      </c>
      <c r="BI106" s="1" cm="1">
        <f t="array" ref="BI106">OptionTheta("P",$AX106,$B$2,BI$100,$B$3,$AY$99,0)</f>
        <v>-4.4258973013523578E-3</v>
      </c>
      <c r="BJ106" s="1" cm="1">
        <f t="array" ref="BJ106">OptionTheta("P",$AX106,$B$2,BJ$100,$B$3,$AY$99,0)</f>
        <v>-4.2649689615667447E-3</v>
      </c>
      <c r="BK106" s="1" cm="1">
        <f t="array" ref="BK106">OptionTheta("P",$AX106,$B$2,BK$100,$B$3,$AY$99,0)</f>
        <v>-4.0423521170447774E-3</v>
      </c>
      <c r="BL106" s="1" cm="1">
        <f t="array" ref="BL106">OptionTheta("P",$AX106,$B$2,BL$100,$B$3,$AY$99,0)</f>
        <v>-3.8285709694073655E-3</v>
      </c>
      <c r="BU106" s="142"/>
      <c r="BV106" s="14">
        <v>85</v>
      </c>
      <c r="BW106" s="1" cm="1">
        <f t="array" ref="BW106">OptionGamma($BV106,$B$2,BW$100,$B$3,$BW$99,0)</f>
        <v>3.4793158250122268E-7</v>
      </c>
      <c r="BX106" s="1" cm="1">
        <f t="array" ref="BX106">OptionGamma($BV106,$B$2,BX$100,$B$3,$BW$99,0)</f>
        <v>1.8120927891742718E-4</v>
      </c>
      <c r="BY106" s="1" cm="1">
        <f t="array" ref="BY106">OptionGamma($BV106,$B$2,BY$100,$B$3,$BW$99,0)</f>
        <v>1.3351896003566922E-3</v>
      </c>
      <c r="BZ106" s="1" cm="1">
        <f t="array" ref="BZ106">OptionGamma($BV106,$B$2,BZ$100,$B$3,$BW$99,0)</f>
        <v>3.4716293491663338E-3</v>
      </c>
      <c r="CA106" s="1" cm="1">
        <f t="array" ref="CA106">OptionGamma($BV106,$B$2,CA$100,$B$3,$BW$99,0)</f>
        <v>6.0028678035568004E-3</v>
      </c>
      <c r="CB106" s="1" cm="1">
        <f t="array" ref="CB106">OptionGamma($BV106,$B$2,CB$100,$B$3,$BW$99,0)</f>
        <v>8.5007827825346483E-3</v>
      </c>
      <c r="CC106" s="1" cm="1">
        <f t="array" ref="CC106">OptionGamma($BV106,$B$2,CC$100,$B$3,$BW$99,0)</f>
        <v>1.0765981199439559E-2</v>
      </c>
      <c r="CD106" s="1" cm="1">
        <f t="array" ref="CD106">OptionGamma($BV106,$B$2,CD$100,$B$3,$BW$99,0)</f>
        <v>1.2734636942227625E-2</v>
      </c>
      <c r="CE106" s="1" cm="1">
        <f t="array" ref="CE106">OptionGamma($BV106,$B$2,CE$100,$B$3,$BW$99,0)</f>
        <v>1.4407206646598534E-2</v>
      </c>
      <c r="CF106" s="1" cm="1">
        <f t="array" ref="CF106">OptionGamma($BV106,$B$2,CF$100,$B$3,$BW$99,0)</f>
        <v>1.5810256172317044E-2</v>
      </c>
      <c r="CG106" s="1" cm="1">
        <f t="array" ref="CG106">OptionGamma($BV106,$B$2,CG$100,$B$3,$BW$99,0)</f>
        <v>2.1394744871527756E-2</v>
      </c>
      <c r="CH106" s="1" cm="1">
        <f t="array" ref="CH106">OptionGamma($BV106,$B$2,CH$100,$B$3,$BW$99,0)</f>
        <v>2.152609940586208E-2</v>
      </c>
      <c r="CI106" s="1" cm="1">
        <f t="array" ref="CI106">OptionGamma($BV106,$B$2,CI$100,$B$3,$BW$99,0)</f>
        <v>2.0578086869191912E-2</v>
      </c>
      <c r="CJ106" s="1" cm="1">
        <f t="array" ref="CJ106">OptionGamma($BV106,$B$2,CJ$100,$B$3,$BW$99,0)</f>
        <v>1.9442006249843845E-2</v>
      </c>
      <c r="CS106" s="145"/>
      <c r="CT106" s="14">
        <v>85</v>
      </c>
      <c r="CU106" s="1" cm="1">
        <f t="array" ref="CU106">OptionVega($CT106,$B$2,CU$100,$B$3,$CU$99,0)</f>
        <v>2.513805683571334E-7</v>
      </c>
      <c r="CV106" s="1" cm="1">
        <f t="array" ref="CV106">OptionVega($CT106,$B$2,CV$100,$B$3,$CU$99,0)</f>
        <v>2.6184740803568228E-4</v>
      </c>
      <c r="CW106" s="1" cm="1">
        <f t="array" ref="CW106">OptionVega($CT106,$B$2,CW$100,$B$3,$CU$99,0)</f>
        <v>2.8940234587731301E-3</v>
      </c>
      <c r="CX106" s="1" cm="1">
        <f t="array" ref="CX106">OptionVega($CT106,$B$2,CX$100,$B$3,$CU$99,0)</f>
        <v>1.0033008819090706E-2</v>
      </c>
      <c r="CY106" s="1" cm="1">
        <f t="array" ref="CY106">OptionVega($CT106,$B$2,CY$100,$B$3,$CU$99,0)</f>
        <v>2.1685359940348946E-2</v>
      </c>
      <c r="CZ106" s="1" cm="1">
        <f t="array" ref="CZ106">OptionVega($CT106,$B$2,CZ$100,$B$3,$CU$99,0)</f>
        <v>3.6850893362287709E-2</v>
      </c>
      <c r="DA106" s="1" cm="1">
        <f t="array" ref="DA106">OptionVega($CT106,$B$2,DA$100,$B$3,$CU$99,0)</f>
        <v>5.4448949916165584E-2</v>
      </c>
      <c r="DB106" s="1" cm="1">
        <f t="array" ref="DB106">OptionVega($CT106,$B$2,DB$100,$B$3,$CU$99,0)</f>
        <v>7.3606201526075665E-2</v>
      </c>
      <c r="DC106" s="1" cm="1">
        <f t="array" ref="DC106">OptionVega($CT106,$B$2,DC$100,$B$3,$CU$99,0)</f>
        <v>9.368286121950696E-2</v>
      </c>
      <c r="DD106" s="1" cm="1">
        <f t="array" ref="DD106">OptionVega($CT106,$B$2,DD$100,$B$3,$CU$99,0)</f>
        <v>0.11422910084499065</v>
      </c>
      <c r="DE106" s="1" cm="1">
        <f t="array" ref="DE106">OptionVega($CT106,$B$2,DE$100,$B$3,$CU$99,0)</f>
        <v>0.30915406339357621</v>
      </c>
      <c r="DF106" s="1" cm="1">
        <f t="array" ref="DF106">OptionVega($CT106,$B$2,DF$100,$B$3,$CU$99,0)</f>
        <v>0.46657820462206062</v>
      </c>
      <c r="DG106" s="1" cm="1">
        <f t="array" ref="DG106">OptionVega($CT106,$B$2,DG$100,$B$3,$CU$99,0)</f>
        <v>0.5947067105196463</v>
      </c>
      <c r="DH106" s="1" cm="1">
        <f t="array" ref="DH106">OptionVega($CT106,$B$2,DH$100,$B$3,$CU$99,0)</f>
        <v>0.70234247577560904</v>
      </c>
      <c r="DQ106" s="130"/>
      <c r="DR106" s="14">
        <v>85</v>
      </c>
      <c r="DS106" s="1" cm="1">
        <f t="array" ref="DS106">OptionRho("P",$DR106,$B$2,DS$100,$B$3,$DS$99,0)</f>
        <v>-9.9900035001622409E-2</v>
      </c>
      <c r="DT106" s="1" cm="1">
        <f t="array" ref="DT106">OptionRho("P",$DR106,$B$2,DT$100,$B$3,$DS$99,0)</f>
        <v>-0.19957003772239573</v>
      </c>
      <c r="DU106" s="1" cm="1">
        <f t="array" ref="DU106">OptionRho("P",$DR106,$B$2,DU$100,$B$3,$DS$99,0)</f>
        <v>-0.29861017224298614</v>
      </c>
      <c r="DV106" s="1" cm="1">
        <f t="array" ref="DV106">OptionRho("P",$DR106,$B$2,DV$100,$B$3,$DS$99,0)</f>
        <v>-0.39618250939212946</v>
      </c>
      <c r="DW106" s="1" cm="1">
        <f t="array" ref="DW106">OptionRho("P",$DR106,$B$2,DW$100,$B$3,$DS$99,0)</f>
        <v>-0.49162693233839566</v>
      </c>
      <c r="DX106" s="1" cm="1">
        <f t="array" ref="DX106">OptionRho("P",$DR106,$B$2,DX$100,$B$3,$DS$99,0)</f>
        <v>-0.58464424984096153</v>
      </c>
      <c r="DY106" s="1" cm="1">
        <f t="array" ref="DY106">OptionRho("P",$DR106,$B$2,DY$100,$B$3,$DS$99,0)</f>
        <v>-0.67518489921089653</v>
      </c>
      <c r="DZ106" s="1" cm="1">
        <f t="array" ref="DZ106">OptionRho("P",$DR106,$B$2,DZ$100,$B$3,$DS$99,0)</f>
        <v>-0.76333065645166875</v>
      </c>
      <c r="EA106" s="1" cm="1">
        <f t="array" ref="EA106">OptionRho("P",$DR106,$B$2,EA$100,$B$3,$DS$99,0)</f>
        <v>-0.84922150791862017</v>
      </c>
      <c r="EB106" s="1" cm="1">
        <f t="array" ref="EB106">OptionRho("P",$DR106,$B$2,EB$100,$B$3,$DS$99,0)</f>
        <v>-0.93301664808441953</v>
      </c>
      <c r="EC106" s="1" cm="1">
        <f t="array" ref="EC106">OptionRho("P",$DR106,$B$2,EC$100,$B$3,$DS$99,0)</f>
        <v>-1.6851347130193406</v>
      </c>
      <c r="ED106" s="1" cm="1">
        <f t="array" ref="ED106">OptionRho("P",$DR106,$B$2,ED$100,$B$3,$DS$99,0)</f>
        <v>-2.3372499898052825</v>
      </c>
      <c r="EE106" s="1" cm="1">
        <f t="array" ref="EE106">OptionRho("P",$DR106,$B$2,EE$100,$B$3,$DS$99,0)</f>
        <v>-2.9283005382871439</v>
      </c>
      <c r="EF106" s="1" cm="1">
        <f t="array" ref="EF106">OptionRho("P",$DR106,$B$2,EF$100,$B$3,$DS$99,0)</f>
        <v>-3.4754296402903977</v>
      </c>
    </row>
    <row r="107" spans="1:136" x14ac:dyDescent="0.2">
      <c r="A107" s="133"/>
      <c r="B107" s="14">
        <v>90</v>
      </c>
      <c r="C107" s="1" cm="1">
        <f t="array" ref="C107">OptionPrice("P",$B107,$B$2,C$100,$B$3,$C$99,0)</f>
        <v>9.9004313129682515</v>
      </c>
      <c r="D107" s="1" cm="1">
        <f t="array" ref="D107">OptionPrice("P",$B107,$B$2,D$100,$B$3,$C$99,0)</f>
        <v>9.815213952050911</v>
      </c>
      <c r="E107" s="1" cm="1">
        <f t="array" ref="E107">OptionPrice("P",$B107,$B$2,E$100,$B$3,$C$99,0)</f>
        <v>9.7625969168822309</v>
      </c>
      <c r="F107" s="1" cm="1">
        <f t="array" ref="F107">OptionPrice("P",$B107,$B$2,F$100,$B$3,$C$99,0)</f>
        <v>9.7390537101389896</v>
      </c>
      <c r="G107" s="1" cm="1">
        <f t="array" ref="G107">OptionPrice("P",$B107,$B$2,G$100,$B$3,$C$99,0)</f>
        <v>9.7362560272149494</v>
      </c>
      <c r="H107" s="1" cm="1">
        <f t="array" ref="H107">OptionPrice("P",$B107,$B$2,H$100,$B$3,$C$99,0)</f>
        <v>9.747606681547353</v>
      </c>
      <c r="I107" s="1" cm="1">
        <f t="array" ref="I107">OptionPrice("P",$B107,$B$2,I$100,$B$3,$C$99,0)</f>
        <v>9.7685527677868009</v>
      </c>
      <c r="J107" s="1" cm="1">
        <f t="array" ref="J107">OptionPrice("P",$B107,$B$2,J$100,$B$3,$C$99,0)</f>
        <v>9.7960161022369192</v>
      </c>
      <c r="K107" s="1" cm="1">
        <f t="array" ref="K107">OptionPrice("P",$B107,$B$2,K$100,$B$3,$C$99,0)</f>
        <v>9.8278988717903246</v>
      </c>
      <c r="L107" s="1" cm="1">
        <f t="array" ref="L107">OptionPrice("P",$B107,$B$2,L$100,$B$3,$C$99,0)</f>
        <v>9.8627494259113462</v>
      </c>
      <c r="M107" s="1" cm="1">
        <f t="array" ref="M107">OptionPrice("P",$B107,$B$2,M$100,$B$3,$C$99,0)</f>
        <v>10.244281231183535</v>
      </c>
      <c r="N107" s="1" cm="1">
        <f t="array" ref="N107">OptionPrice("P",$B107,$B$2,N$100,$B$3,$C$99,0)</f>
        <v>10.576086885954084</v>
      </c>
      <c r="O107" s="1" cm="1">
        <f t="array" ref="O107">OptionPrice("P",$B107,$B$2,O$100,$B$3,$C$99,0)</f>
        <v>10.841383007448599</v>
      </c>
      <c r="P107" s="1" cm="1">
        <f t="array" ref="P107">OptionPrice("P",$B107,$B$2,P$100,$B$3,$C$99,0)</f>
        <v>11.051486832721032</v>
      </c>
      <c r="Y107" s="136"/>
      <c r="Z107" s="14">
        <v>90</v>
      </c>
      <c r="AA107" s="1" cm="1">
        <f t="array" ref="AA107">OptionDelta("P",$Z107,$B$2,AA$100,$B$3,$AA$99,0)</f>
        <v>-0.99948892482853091</v>
      </c>
      <c r="AB107" s="1" cm="1">
        <f t="array" ref="AB107">OptionDelta("P",$Z107,$B$2,AB$100,$B$3,$AA$99,0)</f>
        <v>-0.9889559860924052</v>
      </c>
      <c r="AC107" s="1" cm="1">
        <f t="array" ref="AC107">OptionDelta("P",$Z107,$B$2,AC$100,$B$3,$AA$99,0)</f>
        <v>-0.96722237353959195</v>
      </c>
      <c r="AD107" s="1" cm="1">
        <f t="array" ref="AD107">OptionDelta("P",$Z107,$B$2,AD$100,$B$3,$AA$99,0)</f>
        <v>-0.94191189201267966</v>
      </c>
      <c r="AE107" s="1" cm="1">
        <f t="array" ref="AE107">OptionDelta("P",$Z107,$B$2,AE$100,$B$3,$AA$99,0)</f>
        <v>-0.91681414086730562</v>
      </c>
      <c r="AF107" s="1" cm="1">
        <f t="array" ref="AF107">OptionDelta("P",$Z107,$B$2,AF$100,$B$3,$AA$99,0)</f>
        <v>-0.89325185776813143</v>
      </c>
      <c r="AG107" s="1" cm="1">
        <f t="array" ref="AG107">OptionDelta("P",$Z107,$B$2,AG$100,$B$3,$AA$99,0)</f>
        <v>-0.87156077913162922</v>
      </c>
      <c r="AH107" s="1" cm="1">
        <f t="array" ref="AH107">OptionDelta("P",$Z107,$B$2,AH$100,$B$3,$AA$99,0)</f>
        <v>-0.85171156569915274</v>
      </c>
      <c r="AI107" s="1" cm="1">
        <f t="array" ref="AI107">OptionDelta("P",$Z107,$B$2,AI$100,$B$3,$AA$99,0)</f>
        <v>-0.83355143322926772</v>
      </c>
      <c r="AJ107" s="1" cm="1">
        <f t="array" ref="AJ107">OptionDelta("P",$Z107,$B$2,AJ$100,$B$3,$AA$99,0)</f>
        <v>-0.81689759699323372</v>
      </c>
      <c r="AK107" s="1" cm="1">
        <f t="array" ref="AK107">OptionDelta("P",$Z107,$B$2,AK$100,$B$3,$AA$99,0)</f>
        <v>-0.70294143810382681</v>
      </c>
      <c r="AL107" s="1" cm="1">
        <f t="array" ref="AL107">OptionDelta("P",$Z107,$B$2,AL$100,$B$3,$AA$99,0)</f>
        <v>-0.6362644892772813</v>
      </c>
      <c r="AM107" s="1" cm="1">
        <f t="array" ref="AM107">OptionDelta("P",$Z107,$B$2,AM$100,$B$3,$AA$99,0)</f>
        <v>-0.5897113706196716</v>
      </c>
      <c r="AN107" s="1" cm="1">
        <f t="array" ref="AN107">OptionDelta("P",$Z107,$B$2,AN$100,$B$3,$AA$99,0)</f>
        <v>-0.55400095752449929</v>
      </c>
      <c r="AW107" s="139"/>
      <c r="AX107" s="14">
        <v>90</v>
      </c>
      <c r="AY107" s="1" cm="1">
        <f t="array" ref="AY107">OptionTheta("P",$AX107,$B$2,AY$100,$B$3,$AY$99,0)</f>
        <v>-2.8064446980760206E-3</v>
      </c>
      <c r="AZ107" s="1" cm="1">
        <f t="array" ref="AZ107">OptionTheta("P",$AX107,$B$2,AZ$100,$B$3,$AY$99,0)</f>
        <v>-3.5085848153074035E-3</v>
      </c>
      <c r="BA107" s="1" cm="1">
        <f t="array" ref="BA107">OptionTheta("P",$AX107,$B$2,BA$100,$B$3,$AY$99,0)</f>
        <v>-4.3003126555837372E-3</v>
      </c>
      <c r="BB107" s="1" cm="1">
        <f t="array" ref="BB107">OptionTheta("P",$AX107,$B$2,BB$100,$B$3,$AY$99,0)</f>
        <v>-4.8532213135850707E-3</v>
      </c>
      <c r="BC107" s="1" cm="1">
        <f t="array" ref="BC107">OptionTheta("P",$AX107,$B$2,BC$100,$B$3,$AY$99,0)</f>
        <v>-5.1969140806431662E-3</v>
      </c>
      <c r="BD107" s="1" cm="1">
        <f t="array" ref="BD107">OptionTheta("P",$AX107,$B$2,BD$100,$B$3,$AY$99,0)</f>
        <v>-5.3985070695501593E-3</v>
      </c>
      <c r="BE107" s="1" cm="1">
        <f t="array" ref="BE107">OptionTheta("P",$AX107,$B$2,BE$100,$B$3,$AY$99,0)</f>
        <v>-5.5079586689689907E-3</v>
      </c>
      <c r="BF107" s="1" cm="1">
        <f t="array" ref="BF107">OptionTheta("P",$AX107,$B$2,BF$100,$B$3,$AY$99,0)</f>
        <v>-5.5578122217441904E-3</v>
      </c>
      <c r="BG107" s="1" cm="1">
        <f t="array" ref="BG107">OptionTheta("P",$AX107,$B$2,BG$100,$B$3,$AY$99,0)</f>
        <v>-5.5688248322793409E-3</v>
      </c>
      <c r="BH107" s="1" cm="1">
        <f t="array" ref="BH107">OptionTheta("P",$AX107,$B$2,BH$100,$B$3,$AY$99,0)</f>
        <v>-5.5543353867594783E-3</v>
      </c>
      <c r="BI107" s="1" cm="1">
        <f t="array" ref="BI107">OptionTheta("P",$AX107,$B$2,BI$100,$B$3,$AY$99,0)</f>
        <v>-5.0314887739278885E-3</v>
      </c>
      <c r="BJ107" s="1" cm="1">
        <f t="array" ref="BJ107">OptionTheta("P",$AX107,$B$2,BJ$100,$B$3,$AY$99,0)</f>
        <v>-4.5310017663438258E-3</v>
      </c>
      <c r="BK107" s="1" cm="1">
        <f t="array" ref="BK107">OptionTheta("P",$AX107,$B$2,BK$100,$B$3,$AY$99,0)</f>
        <v>-4.1478959727764926E-3</v>
      </c>
      <c r="BL107" s="1" cm="1">
        <f t="array" ref="BL107">OptionTheta("P",$AX107,$B$2,BL$100,$B$3,$AY$99,0)</f>
        <v>-3.8482333519062771E-3</v>
      </c>
      <c r="BU107" s="142"/>
      <c r="BV107" s="14">
        <v>90</v>
      </c>
      <c r="BW107" s="1" cm="1">
        <f t="array" ref="BW107">OptionGamma($BV107,$B$2,BW$100,$B$3,$BW$99,0)</f>
        <v>6.3723381042931433E-4</v>
      </c>
      <c r="BX107" s="1" cm="1">
        <f t="array" ref="BX107">OptionGamma($BV107,$B$2,BX$100,$B$3,$BW$99,0)</f>
        <v>7.2202698909513228E-3</v>
      </c>
      <c r="BY107" s="1" cm="1">
        <f t="array" ref="BY107">OptionGamma($BV107,$B$2,BY$100,$B$3,$BW$99,0)</f>
        <v>1.4851555899595277E-2</v>
      </c>
      <c r="BZ107" s="1" cm="1">
        <f t="array" ref="BZ107">OptionGamma($BV107,$B$2,BZ$100,$B$3,$BW$99,0)</f>
        <v>2.0402828136932075E-2</v>
      </c>
      <c r="CA107" s="1" cm="1">
        <f t="array" ref="CA107">OptionGamma($BV107,$B$2,CA$100,$B$3,$BW$99,0)</f>
        <v>2.4058724750173604E-2</v>
      </c>
      <c r="CB107" s="1" cm="1">
        <f t="array" ref="CB107">OptionGamma($BV107,$B$2,CB$100,$B$3,$BW$99,0)</f>
        <v>2.6396354113062123E-2</v>
      </c>
      <c r="CC107" s="1" cm="1">
        <f t="array" ref="CC107">OptionGamma($BV107,$B$2,CC$100,$B$3,$BW$99,0)</f>
        <v>2.7859621858699932E-2</v>
      </c>
      <c r="CD107" s="1" cm="1">
        <f t="array" ref="CD107">OptionGamma($BV107,$B$2,CD$100,$B$3,$BW$99,0)</f>
        <v>2.8743231871235127E-2</v>
      </c>
      <c r="CE107" s="1" cm="1">
        <f t="array" ref="CE107">OptionGamma($BV107,$B$2,CE$100,$B$3,$BW$99,0)</f>
        <v>2.92381675347584E-2</v>
      </c>
      <c r="CF107" s="1" cm="1">
        <f t="array" ref="CF107">OptionGamma($BV107,$B$2,CF$100,$B$3,$BW$99,0)</f>
        <v>2.9469063817634214E-2</v>
      </c>
      <c r="CG107" s="1" cm="1">
        <f t="array" ref="CG107">OptionGamma($BV107,$B$2,CG$100,$B$3,$BW$99,0)</f>
        <v>2.7195143108108635E-2</v>
      </c>
      <c r="CH107" s="1" cm="1">
        <f t="array" ref="CH107">OptionGamma($BV107,$B$2,CH$100,$B$3,$BW$99,0)</f>
        <v>2.4084363839664259E-2</v>
      </c>
      <c r="CI107" s="1" cm="1">
        <f t="array" ref="CI107">OptionGamma($BV107,$B$2,CI$100,$B$3,$BW$99,0)</f>
        <v>2.1600690529166151E-2</v>
      </c>
      <c r="CJ107" s="1" cm="1">
        <f t="array" ref="CJ107">OptionGamma($BV107,$B$2,CJ$100,$B$3,$BW$99,0)</f>
        <v>1.9641714650531644E-2</v>
      </c>
      <c r="CS107" s="145"/>
      <c r="CT107" s="14">
        <v>90</v>
      </c>
      <c r="CU107" s="1" cm="1">
        <f t="array" ref="CU107">OptionVega($CT107,$B$2,CU$100,$B$3,$CU$99,0)</f>
        <v>5.1615938644774477E-4</v>
      </c>
      <c r="CV107" s="1" cm="1">
        <f t="array" ref="CV107">OptionVega($CT107,$B$2,CV$100,$B$3,$CU$99,0)</f>
        <v>1.1696837223341142E-2</v>
      </c>
      <c r="CW107" s="1" cm="1">
        <f t="array" ref="CW107">OptionVega($CT107,$B$2,CW$100,$B$3,$CU$99,0)</f>
        <v>3.6089280836016528E-2</v>
      </c>
      <c r="CX107" s="1" cm="1">
        <f t="array" ref="CX107">OptionVega($CT107,$B$2,CX$100,$B$3,$CU$99,0)</f>
        <v>6.6105163163659941E-2</v>
      </c>
      <c r="CY107" s="1" cm="1">
        <f t="array" ref="CY107">OptionVega($CT107,$B$2,CY$100,$B$3,$CU$99,0)</f>
        <v>9.7437835238203124E-2</v>
      </c>
      <c r="CZ107" s="1" cm="1">
        <f t="array" ref="CZ107">OptionVega($CT107,$B$2,CZ$100,$B$3,$CU$99,0)</f>
        <v>0.12828628098948194</v>
      </c>
      <c r="DA107" s="1" cm="1">
        <f t="array" ref="DA107">OptionVega($CT107,$B$2,DA$100,$B$3,$CU$99,0)</f>
        <v>0.15796405593882865</v>
      </c>
      <c r="DB107" s="1" cm="1">
        <f t="array" ref="DB107">OptionVega($CT107,$B$2,DB$100,$B$3,$CU$99,0)</f>
        <v>0.18625614252560363</v>
      </c>
      <c r="DC107" s="1" cm="1">
        <f t="array" ref="DC107">OptionVega($CT107,$B$2,DC$100,$B$3,$CU$99,0)</f>
        <v>0.21314624132838875</v>
      </c>
      <c r="DD107" s="1" cm="1">
        <f t="array" ref="DD107">OptionVega($CT107,$B$2,DD$100,$B$3,$CU$99,0)</f>
        <v>0.23869941692283714</v>
      </c>
      <c r="DE107" s="1" cm="1">
        <f t="array" ref="DE107">OptionVega($CT107,$B$2,DE$100,$B$3,$CU$99,0)</f>
        <v>0.44056131835135998</v>
      </c>
      <c r="DF107" s="1" cm="1">
        <f t="array" ref="DF107">OptionVega($CT107,$B$2,DF$100,$B$3,$CU$99,0)</f>
        <v>0.58525004130384151</v>
      </c>
      <c r="DG107" s="1" cm="1">
        <f t="array" ref="DG107">OptionVega($CT107,$B$2,DG$100,$B$3,$CU$99,0)</f>
        <v>0.69986237314498334</v>
      </c>
      <c r="DH107" s="1" cm="1">
        <f t="array" ref="DH107">OptionVega($CT107,$B$2,DH$100,$B$3,$CU$99,0)</f>
        <v>0.79548944334653171</v>
      </c>
      <c r="DQ107" s="130"/>
      <c r="DR107" s="14">
        <v>90</v>
      </c>
      <c r="DS107" s="1" cm="1">
        <f t="array" ref="DS107">OptionRho("P",$DR107,$B$2,DS$100,$B$3,$DS$99,0)</f>
        <v>-9.985443454753605E-2</v>
      </c>
      <c r="DT107" s="1" cm="1">
        <f t="array" ref="DT107">OptionRho("P",$DR107,$B$2,DT$100,$B$3,$DS$99,0)</f>
        <v>-0.19764250540073477</v>
      </c>
      <c r="DU107" s="1" cm="1">
        <f t="array" ref="DU107">OptionRho("P",$DR107,$B$2,DU$100,$B$3,$DS$99,0)</f>
        <v>-0.29043783160633652</v>
      </c>
      <c r="DV107" s="1" cm="1">
        <f t="array" ref="DV107">OptionRho("P",$DR107,$B$2,DV$100,$B$3,$DS$99,0)</f>
        <v>-0.37804449596512069</v>
      </c>
      <c r="DW107" s="1" cm="1">
        <f t="array" ref="DW107">OptionRho("P",$DR107,$B$2,DW$100,$B$3,$DS$99,0)</f>
        <v>-0.46124764352636227</v>
      </c>
      <c r="DX107" s="1" cm="1">
        <f t="array" ref="DX107">OptionRho("P",$DR107,$B$2,DX$100,$B$3,$DS$99,0)</f>
        <v>-0.54084164328407514</v>
      </c>
      <c r="DY107" s="1" cm="1">
        <f t="array" ref="DY107">OptionRho("P",$DR107,$B$2,DY$100,$B$3,$DS$99,0)</f>
        <v>-0.61746316022743397</v>
      </c>
      <c r="DZ107" s="1" cm="1">
        <f t="array" ref="DZ107">OptionRho("P",$DR107,$B$2,DZ$100,$B$3,$DS$99,0)</f>
        <v>-0.6916004561212854</v>
      </c>
      <c r="EA107" s="1" cm="1">
        <f t="array" ref="EA107">OptionRho("P",$DR107,$B$2,EA$100,$B$3,$DS$99,0)</f>
        <v>-0.76362775076181977</v>
      </c>
      <c r="EB107" s="1" cm="1">
        <f t="array" ref="EB107">OptionRho("P",$DR107,$B$2,EB$100,$B$3,$DS$99,0)</f>
        <v>-0.83383533155302392</v>
      </c>
      <c r="EC107" s="1" cm="1">
        <f t="array" ref="EC107">OptionRho("P",$DR107,$B$2,EC$100,$B$3,$DS$99,0)</f>
        <v>-1.470180213210559</v>
      </c>
      <c r="ED107" s="1" cm="1">
        <f t="array" ref="ED107">OptionRho("P",$DR107,$B$2,ED$100,$B$3,$DS$99,0)</f>
        <v>-2.035196727627282</v>
      </c>
      <c r="EE107" s="1" cm="1">
        <f t="array" ref="EE107">OptionRho("P",$DR107,$B$2,EE$100,$B$3,$DS$99,0)</f>
        <v>-2.5566162545287616</v>
      </c>
      <c r="EF107" s="1" cm="1">
        <f t="array" ref="EF107">OptionRho("P",$DR107,$B$2,EF$100,$B$3,$DS$99,0)</f>
        <v>-3.0455786504962985</v>
      </c>
    </row>
    <row r="108" spans="1:136" x14ac:dyDescent="0.2">
      <c r="A108" s="133"/>
      <c r="B108" s="14">
        <v>95</v>
      </c>
      <c r="C108" s="1" cm="1">
        <f t="array" ref="C108">OptionPrice("P",$B108,$B$2,C$100,$B$3,$C$99,0)</f>
        <v>4.9732781314775423</v>
      </c>
      <c r="D108" s="1" cm="1">
        <f t="array" ref="D108">OptionPrice("P",$B108,$B$2,D$100,$B$3,$C$99,0)</f>
        <v>5.0976417130508054</v>
      </c>
      <c r="E108" s="1" cm="1">
        <f t="array" ref="E108">OptionPrice("P",$B108,$B$2,E$100,$B$3,$C$99,0)</f>
        <v>5.253857755711465</v>
      </c>
      <c r="F108" s="1" cm="1">
        <f t="array" ref="F108">OptionPrice("P",$B108,$B$2,F$100,$B$3,$C$99,0)</f>
        <v>5.4106269034436139</v>
      </c>
      <c r="G108" s="1" cm="1">
        <f t="array" ref="G108">OptionPrice("P",$B108,$B$2,G$100,$B$3,$C$99,0)</f>
        <v>5.5607556785086985</v>
      </c>
      <c r="H108" s="1" cm="1">
        <f t="array" ref="H108">OptionPrice("P",$B108,$B$2,H$100,$B$3,$C$99,0)</f>
        <v>5.7027195027466462</v>
      </c>
      <c r="I108" s="1" cm="1">
        <f t="array" ref="I108">OptionPrice("P",$B108,$B$2,I$100,$B$3,$C$99,0)</f>
        <v>5.8365967206621008</v>
      </c>
      <c r="J108" s="1" cm="1">
        <f t="array" ref="J108">OptionPrice("P",$B108,$B$2,J$100,$B$3,$C$99,0)</f>
        <v>5.9629337779394049</v>
      </c>
      <c r="K108" s="1" cm="1">
        <f t="array" ref="K108">OptionPrice("P",$B108,$B$2,K$100,$B$3,$C$99,0)</f>
        <v>6.0823821658704915</v>
      </c>
      <c r="L108" s="1" cm="1">
        <f t="array" ref="L108">OptionPrice("P",$B108,$B$2,L$100,$B$3,$C$99,0)</f>
        <v>6.1955761539432217</v>
      </c>
      <c r="M108" s="1" cm="1">
        <f t="array" ref="M108">OptionPrice("P",$B108,$B$2,M$100,$B$3,$C$99,0)</f>
        <v>7.0828061686837387</v>
      </c>
      <c r="N108" s="1" cm="1">
        <f t="array" ref="N108">OptionPrice("P",$B108,$B$2,N$100,$B$3,$C$99,0)</f>
        <v>7.6989055078314124</v>
      </c>
      <c r="O108" s="1" cm="1">
        <f t="array" ref="O108">OptionPrice("P",$B108,$B$2,O$100,$B$3,$C$99,0)</f>
        <v>8.1618217984656312</v>
      </c>
      <c r="P108" s="1" cm="1">
        <f t="array" ref="P108">OptionPrice("P",$B108,$B$2,P$100,$B$3,$C$99,0)</f>
        <v>8.52405160290769</v>
      </c>
      <c r="Y108" s="136"/>
      <c r="Z108" s="14">
        <v>95</v>
      </c>
      <c r="AA108" s="1" cm="1">
        <f t="array" ref="AA108">OptionDelta("P",$Z108,$B$2,AA$100,$B$3,$AA$99,0)</f>
        <v>-0.94232585548392311</v>
      </c>
      <c r="AB108" s="1" cm="1">
        <f t="array" ref="AB108">OptionDelta("P",$Z108,$B$2,AB$100,$B$3,$AA$99,0)</f>
        <v>-0.85990016135422198</v>
      </c>
      <c r="AC108" s="1" cm="1">
        <f t="array" ref="AC108">OptionDelta("P",$Z108,$B$2,AC$100,$B$3,$AA$99,0)</f>
        <v>-0.80353746475916554</v>
      </c>
      <c r="AD108" s="1" cm="1">
        <f t="array" ref="AD108">OptionDelta("P",$Z108,$B$2,AD$100,$B$3,$AA$99,0)</f>
        <v>-0.76305059187866298</v>
      </c>
      <c r="AE108" s="1" cm="1">
        <f t="array" ref="AE108">OptionDelta("P",$Z108,$B$2,AE$100,$B$3,$AA$99,0)</f>
        <v>-0.73215074084786935</v>
      </c>
      <c r="AF108" s="1" cm="1">
        <f t="array" ref="AF108">OptionDelta("P",$Z108,$B$2,AF$100,$B$3,$AA$99,0)</f>
        <v>-0.70746843461389441</v>
      </c>
      <c r="AG108" s="1" cm="1">
        <f t="array" ref="AG108">OptionDelta("P",$Z108,$B$2,AG$100,$B$3,$AA$99,0)</f>
        <v>-0.68707388235667555</v>
      </c>
      <c r="AH108" s="1" cm="1">
        <f t="array" ref="AH108">OptionDelta("P",$Z108,$B$2,AH$100,$B$3,$AA$99,0)</f>
        <v>-0.66978239987143284</v>
      </c>
      <c r="AI108" s="1" cm="1">
        <f t="array" ref="AI108">OptionDelta("P",$Z108,$B$2,AI$100,$B$3,$AA$99,0)</f>
        <v>-0.65482358809332131</v>
      </c>
      <c r="AJ108" s="1" cm="1">
        <f t="array" ref="AJ108">OptionDelta("P",$Z108,$B$2,AJ$100,$B$3,$AA$99,0)</f>
        <v>-0.64167251171171547</v>
      </c>
      <c r="AK108" s="1" cm="1">
        <f t="array" ref="AK108">OptionDelta("P",$Z108,$B$2,AK$100,$B$3,$AA$99,0)</f>
        <v>-0.55984108777794528</v>
      </c>
      <c r="AL108" s="1" cm="1">
        <f t="array" ref="AL108">OptionDelta("P",$Z108,$B$2,AL$100,$B$3,$AA$99,0)</f>
        <v>-0.51449212049483484</v>
      </c>
      <c r="AM108" s="1" cm="1">
        <f t="array" ref="AM108">OptionDelta("P",$Z108,$B$2,AM$100,$B$3,$AA$99,0)</f>
        <v>-0.48263811916107868</v>
      </c>
      <c r="AN108" s="1" cm="1">
        <f t="array" ref="AN108">OptionDelta("P",$Z108,$B$2,AN$100,$B$3,$AA$99,0)</f>
        <v>-0.45778339645558364</v>
      </c>
      <c r="AW108" s="139"/>
      <c r="AX108" s="14">
        <v>95</v>
      </c>
      <c r="AY108" s="1" cm="1">
        <f t="array" ref="AY108">OptionTheta("P",$AX108,$B$2,AY$100,$B$3,$AY$99,0)</f>
        <v>-7.3413816057933271E-3</v>
      </c>
      <c r="AZ108" s="1" cm="1">
        <f t="array" ref="AZ108">OptionTheta("P",$AX108,$B$2,AZ$100,$B$3,$AY$99,0)</f>
        <v>-8.8577699445328267E-3</v>
      </c>
      <c r="BA108" s="1" cm="1">
        <f t="array" ref="BA108">OptionTheta("P",$AX108,$B$2,BA$100,$B$3,$AY$99,0)</f>
        <v>-8.8158683681505284E-3</v>
      </c>
      <c r="BB108" s="1" cm="1">
        <f t="array" ref="BB108">OptionTheta("P",$AX108,$B$2,BB$100,$B$3,$AY$99,0)</f>
        <v>-8.4862859949359614E-3</v>
      </c>
      <c r="BC108" s="1" cm="1">
        <f t="array" ref="BC108">OptionTheta("P",$AX108,$B$2,BC$100,$B$3,$AY$99,0)</f>
        <v>-8.1188111257314861E-3</v>
      </c>
      <c r="BD108" s="1" cm="1">
        <f t="array" ref="BD108">OptionTheta("P",$AX108,$B$2,BD$100,$B$3,$AY$99,0)</f>
        <v>-7.7718925264083031E-3</v>
      </c>
      <c r="BE108" s="1" cm="1">
        <f t="array" ref="BE108">OptionTheta("P",$AX108,$B$2,BE$100,$B$3,$AY$99,0)</f>
        <v>-7.4580329361991545E-3</v>
      </c>
      <c r="BF108" s="1" cm="1">
        <f t="array" ref="BF108">OptionTheta("P",$AX108,$B$2,BF$100,$B$3,$AY$99,0)</f>
        <v>-7.1772051124682698E-3</v>
      </c>
      <c r="BG108" s="1" cm="1">
        <f t="array" ref="BG108">OptionTheta("P",$AX108,$B$2,BG$100,$B$3,$AY$99,0)</f>
        <v>-6.926049659169529E-3</v>
      </c>
      <c r="BH108" s="1" cm="1">
        <f t="array" ref="BH108">OptionTheta("P",$AX108,$B$2,BH$100,$B$3,$AY$99,0)</f>
        <v>-6.7006523159261174E-3</v>
      </c>
      <c r="BI108" s="1" cm="1">
        <f t="array" ref="BI108">OptionTheta("P",$AX108,$B$2,BI$100,$B$3,$AY$99,0)</f>
        <v>-5.2808893975487461E-3</v>
      </c>
      <c r="BJ108" s="1" cm="1">
        <f t="array" ref="BJ108">OptionTheta("P",$AX108,$B$2,BJ$100,$B$3,$AY$99,0)</f>
        <v>-4.5454778916671421E-3</v>
      </c>
      <c r="BK108" s="1" cm="1">
        <f t="array" ref="BK108">OptionTheta("P",$AX108,$B$2,BK$100,$B$3,$AY$99,0)</f>
        <v>-4.0731916382695703E-3</v>
      </c>
      <c r="BL108" s="1" cm="1">
        <f t="array" ref="BL108">OptionTheta("P",$AX108,$B$2,BL$100,$B$3,$AY$99,0)</f>
        <v>-3.7338199183929621E-3</v>
      </c>
      <c r="BU108" s="142"/>
      <c r="BV108" s="14">
        <v>95</v>
      </c>
      <c r="BW108" s="1" cm="1">
        <f t="array" ref="BW108">OptionGamma($BV108,$B$2,BW$100,$B$3,$BW$99,0)</f>
        <v>3.8441261874572009E-2</v>
      </c>
      <c r="BX108" s="1" cm="1">
        <f t="array" ref="BX108">OptionGamma($BV108,$B$2,BX$100,$B$3,$BW$99,0)</f>
        <v>5.2414503254015789E-2</v>
      </c>
      <c r="BY108" s="1" cm="1">
        <f t="array" ref="BY108">OptionGamma($BV108,$B$2,BY$100,$B$3,$BW$99,0)</f>
        <v>5.3227540948401569E-2</v>
      </c>
      <c r="BZ108" s="1" cm="1">
        <f t="array" ref="BZ108">OptionGamma($BV108,$B$2,BZ$100,$B$3,$BW$99,0)</f>
        <v>5.1379281037838447E-2</v>
      </c>
      <c r="CA108" s="1" cm="1">
        <f t="array" ref="CA108">OptionGamma($BV108,$B$2,CA$100,$B$3,$BW$99,0)</f>
        <v>4.9024161779533067E-2</v>
      </c>
      <c r="CB108" s="1" cm="1">
        <f t="array" ref="CB108">OptionGamma($BV108,$B$2,CB$100,$B$3,$BW$99,0)</f>
        <v>4.6706228570157653E-2</v>
      </c>
      <c r="CC108" s="1" cm="1">
        <f t="array" ref="CC108">OptionGamma($BV108,$B$2,CC$100,$B$3,$BW$99,0)</f>
        <v>4.4567221413124178E-2</v>
      </c>
      <c r="CD108" s="1" cm="1">
        <f t="array" ref="CD108">OptionGamma($BV108,$B$2,CD$100,$B$3,$BW$99,0)</f>
        <v>4.2631739576590874E-2</v>
      </c>
      <c r="CE108" s="1" cm="1">
        <f t="array" ref="CE108">OptionGamma($BV108,$B$2,CE$100,$B$3,$BW$99,0)</f>
        <v>4.0888684659269078E-2</v>
      </c>
      <c r="CF108" s="1" cm="1">
        <f t="array" ref="CF108">OptionGamma($BV108,$B$2,CF$100,$B$3,$BW$99,0)</f>
        <v>3.9317306319057527E-2</v>
      </c>
      <c r="CG108" s="1" cm="1">
        <f t="array" ref="CG108">OptionGamma($BV108,$B$2,CG$100,$B$3,$BW$99,0)</f>
        <v>2.9359502161316497E-2</v>
      </c>
      <c r="CH108" s="1" cm="1">
        <f t="array" ref="CH108">OptionGamma($BV108,$B$2,CH$100,$B$3,$BW$99,0)</f>
        <v>2.4229204673908024E-2</v>
      </c>
      <c r="CI108" s="1" cm="1">
        <f t="array" ref="CI108">OptionGamma($BV108,$B$2,CI$100,$B$3,$BW$99,0)</f>
        <v>2.0977075164115507E-2</v>
      </c>
      <c r="CJ108" s="1" cm="1">
        <f t="array" ref="CJ108">OptionGamma($BV108,$B$2,CJ$100,$B$3,$BW$99,0)</f>
        <v>1.8675003380643759E-2</v>
      </c>
      <c r="CS108" s="145"/>
      <c r="CT108" s="14">
        <v>95</v>
      </c>
      <c r="CU108" s="1" cm="1">
        <f t="array" ref="CU108">OptionVega($CT108,$B$2,CU$100,$B$3,$CU$99,0)</f>
        <v>3.4693238841801248E-2</v>
      </c>
      <c r="CV108" s="1" cm="1">
        <f t="array" ref="CV108">OptionVega($CT108,$B$2,CV$100,$B$3,$CU$99,0)</f>
        <v>9.4608178373498497E-2</v>
      </c>
      <c r="CW108" s="1" cm="1">
        <f t="array" ref="CW108">OptionVega($CT108,$B$2,CW$100,$B$3,$CU$99,0)</f>
        <v>0.14411356711779724</v>
      </c>
      <c r="CX108" s="1" cm="1">
        <f t="array" ref="CX108">OptionVega($CT108,$B$2,CX$100,$B$3,$CU$99,0)</f>
        <v>0.18547920454659683</v>
      </c>
      <c r="CY108" s="1" cm="1">
        <f t="array" ref="CY108">OptionVega($CT108,$B$2,CY$100,$B$3,$CU$99,0)</f>
        <v>0.22122153003014303</v>
      </c>
      <c r="CZ108" s="1" cm="1">
        <f t="array" ref="CZ108">OptionVega($CT108,$B$2,CZ$100,$B$3,$CU$99,0)</f>
        <v>0.25291422770740374</v>
      </c>
      <c r="DA108" s="1" cm="1">
        <f t="array" ref="DA108">OptionVega($CT108,$B$2,DA$100,$B$3,$CU$99,0)</f>
        <v>0.28155342127741206</v>
      </c>
      <c r="DB108" s="1" cm="1">
        <f t="array" ref="DB108">OptionVega($CT108,$B$2,DB$100,$B$3,$CU$99,0)</f>
        <v>0.30780115974298611</v>
      </c>
      <c r="DC108" s="1" cm="1">
        <f t="array" ref="DC108">OptionVega($CT108,$B$2,DC$100,$B$3,$CU$99,0)</f>
        <v>0.33211834114491318</v>
      </c>
      <c r="DD108" s="1" cm="1">
        <f t="array" ref="DD108">OptionVega($CT108,$B$2,DD$100,$B$3,$CU$99,0)</f>
        <v>0.35483868952949421</v>
      </c>
      <c r="DE108" s="1" cm="1">
        <f t="array" ref="DE108">OptionVega($CT108,$B$2,DE$100,$B$3,$CU$99,0)</f>
        <v>0.52993901401176291</v>
      </c>
      <c r="DF108" s="1" cm="1">
        <f t="array" ref="DF108">OptionVega($CT108,$B$2,DF$100,$B$3,$CU$99,0)</f>
        <v>0.65600571654605966</v>
      </c>
      <c r="DG108" s="1" cm="1">
        <f t="array" ref="DG108">OptionVega($CT108,$B$2,DG$100,$B$3,$CU$99,0)</f>
        <v>0.75727241342456986</v>
      </c>
      <c r="DH108" s="1" cm="1">
        <f t="array" ref="DH108">OptionVega($CT108,$B$2,DH$100,$B$3,$CU$99,0)</f>
        <v>0.84270952755154982</v>
      </c>
      <c r="DQ108" s="130"/>
      <c r="DR108" s="14">
        <v>95</v>
      </c>
      <c r="DS108" s="1" cm="1">
        <f t="array" ref="DS108">OptionRho("P",$DR108,$B$2,DS$100,$B$3,$DS$99,0)</f>
        <v>-9.449423440245025E-2</v>
      </c>
      <c r="DT108" s="1" cm="1">
        <f t="array" ref="DT108">OptionRho("P",$DR108,$B$2,DT$100,$B$3,$DS$99,0)</f>
        <v>-0.17357631408340382</v>
      </c>
      <c r="DU108" s="1" cm="1">
        <f t="array" ref="DU108">OptionRho("P",$DR108,$B$2,DU$100,$B$3,$DS$99,0)</f>
        <v>-0.24476975072349658</v>
      </c>
      <c r="DV108" s="1" cm="1">
        <f t="array" ref="DV108">OptionRho("P",$DR108,$B$2,DV$100,$B$3,$DS$99,0)</f>
        <v>-0.31160173252766643</v>
      </c>
      <c r="DW108" s="1" cm="1">
        <f t="array" ref="DW108">OptionRho("P",$DR108,$B$2,DW$100,$B$3,$DS$99,0)</f>
        <v>-0.37557538029528142</v>
      </c>
      <c r="DX108" s="1" cm="1">
        <f t="array" ref="DX108">OptionRho("P",$DR108,$B$2,DX$100,$B$3,$DS$99,0)</f>
        <v>-0.43747332474639966</v>
      </c>
      <c r="DY108" s="1" cm="1">
        <f t="array" ref="DY108">OptionRho("P",$DR108,$B$2,DY$100,$B$3,$DS$99,0)</f>
        <v>-0.49776030881182393</v>
      </c>
      <c r="DZ108" s="1" cm="1">
        <f t="array" ref="DZ108">OptionRho("P",$DR108,$B$2,DZ$100,$B$3,$DS$99,0)</f>
        <v>-0.55673809412580422</v>
      </c>
      <c r="EA108" s="1" cm="1">
        <f t="array" ref="EA108">OptionRho("P",$DR108,$B$2,EA$100,$B$3,$DS$99,0)</f>
        <v>-0.61461560731262421</v>
      </c>
      <c r="EB108" s="1" cm="1">
        <f t="array" ref="EB108">OptionRho("P",$DR108,$B$2,EB$100,$B$3,$DS$99,0)</f>
        <v>-0.67154464766556188</v>
      </c>
      <c r="EC108" s="1" cm="1">
        <f t="array" ref="EC108">OptionRho("P",$DR108,$B$2,EC$100,$B$3,$DS$99,0)</f>
        <v>-1.2053541901517708</v>
      </c>
      <c r="ED108" s="1" cm="1">
        <f t="array" ref="ED108">OptionRho("P",$DR108,$B$2,ED$100,$B$3,$DS$99,0)</f>
        <v>-1.6972697086452215</v>
      </c>
      <c r="EE108" s="1" cm="1">
        <f t="array" ref="EE108">OptionRho("P",$DR108,$B$2,EE$100,$B$3,$DS$99,0)</f>
        <v>-2.1604977247507242</v>
      </c>
      <c r="EF108" s="1" cm="1">
        <f t="array" ref="EF108">OptionRho("P",$DR108,$B$2,EF$100,$B$3,$DS$99,0)</f>
        <v>-2.6006737133094067</v>
      </c>
    </row>
    <row r="109" spans="1:136" x14ac:dyDescent="0.2">
      <c r="A109" s="133"/>
      <c r="B109" s="14">
        <v>100</v>
      </c>
      <c r="C109" s="1" cm="1">
        <f t="array" ref="C109">OptionPrice("P",$B109,$B$2,C$100,$B$3,$C$99,0)</f>
        <v>1.2115385843137503</v>
      </c>
      <c r="D109" s="1" cm="1">
        <f t="array" ref="D109">OptionPrice("P",$B109,$B$2,D$100,$B$3,$C$99,0)</f>
        <v>1.6840747895758739</v>
      </c>
      <c r="E109" s="1" cm="1">
        <f t="array" ref="E109">OptionPrice("P",$B109,$B$2,E$100,$B$3,$C$99,0)</f>
        <v>2.0350468937264381</v>
      </c>
      <c r="F109" s="1" cm="1">
        <f t="array" ref="F109">OptionPrice("P",$B109,$B$2,F$100,$B$3,$C$99,0)</f>
        <v>2.3231081730828365</v>
      </c>
      <c r="G109" s="1" cm="1">
        <f t="array" ref="G109">OptionPrice("P",$B109,$B$2,G$100,$B$3,$C$99,0)</f>
        <v>2.5709784284952093</v>
      </c>
      <c r="H109" s="1" cm="1">
        <f t="array" ref="H109">OptionPrice("P",$B109,$B$2,H$100,$B$3,$C$99,0)</f>
        <v>2.7903102028376949</v>
      </c>
      <c r="I109" s="1" cm="1">
        <f t="array" ref="I109">OptionPrice("P",$B109,$B$2,I$100,$B$3,$C$99,0)</f>
        <v>2.9880258896325955</v>
      </c>
      <c r="J109" s="1" cm="1">
        <f t="array" ref="J109">OptionPrice("P",$B109,$B$2,J$100,$B$3,$C$99,0)</f>
        <v>3.1686359638941752</v>
      </c>
      <c r="K109" s="1" cm="1">
        <f t="array" ref="K109">OptionPrice("P",$B109,$B$2,K$100,$B$3,$C$99,0)</f>
        <v>3.3352735121579542</v>
      </c>
      <c r="L109" s="1" cm="1">
        <f t="array" ref="L109">OptionPrice("P",$B109,$B$2,L$100,$B$3,$C$99,0)</f>
        <v>3.4902197839388904</v>
      </c>
      <c r="M109" s="1" cm="1">
        <f t="array" ref="M109">OptionPrice("P",$B109,$B$2,M$100,$B$3,$C$99,0)</f>
        <v>4.6469453442902662</v>
      </c>
      <c r="N109" s="1" cm="1">
        <f t="array" ref="N109">OptionPrice("P",$B109,$B$2,N$100,$B$3,$C$99,0)</f>
        <v>5.4230218669612142</v>
      </c>
      <c r="O109" s="1" cm="1">
        <f t="array" ref="O109">OptionPrice("P",$B109,$B$2,O$100,$B$3,$C$99,0)</f>
        <v>6.0039976325067599</v>
      </c>
      <c r="P109" s="1" cm="1">
        <f t="array" ref="P109">OptionPrice("P",$B109,$B$2,P$100,$B$3,$C$99,0)</f>
        <v>6.461731546526984</v>
      </c>
      <c r="Y109" s="136"/>
      <c r="Z109" s="14">
        <v>100</v>
      </c>
      <c r="AA109" s="1" cm="1">
        <f t="array" ref="AA109">OptionDelta("P",$Z109,$B$2,AA$100,$B$3,$AA$99,0)</f>
        <v>-0.48108360000070371</v>
      </c>
      <c r="AB109" s="1" cm="1">
        <f t="array" ref="AB109">OptionDelta("P",$Z109,$B$2,AB$100,$B$3,$AA$99,0)</f>
        <v>-0.4732581961130774</v>
      </c>
      <c r="AC109" s="1" cm="1">
        <f t="array" ref="AC109">OptionDelta("P",$Z109,$B$2,AC$100,$B$3,$AA$99,0)</f>
        <v>-0.46726038328732289</v>
      </c>
      <c r="AD109" s="1" cm="1">
        <f t="array" ref="AD109">OptionDelta("P",$Z109,$B$2,AD$100,$B$3,$AA$99,0)</f>
        <v>-0.46220970609333534</v>
      </c>
      <c r="AE109" s="1" cm="1">
        <f t="array" ref="AE109">OptionDelta("P",$Z109,$B$2,AE$100,$B$3,$AA$99,0)</f>
        <v>-0.45776498668838594</v>
      </c>
      <c r="AF109" s="1" cm="1">
        <f t="array" ref="AF109">OptionDelta("P",$Z109,$B$2,AF$100,$B$3,$AA$99,0)</f>
        <v>-0.45375117893531969</v>
      </c>
      <c r="AG109" s="1" cm="1">
        <f t="array" ref="AG109">OptionDelta("P",$Z109,$B$2,AG$100,$B$3,$AA$99,0)</f>
        <v>-0.45006425675703965</v>
      </c>
      <c r="AH109" s="1" cm="1">
        <f t="array" ref="AH109">OptionDelta("P",$Z109,$B$2,AH$100,$B$3,$AA$99,0)</f>
        <v>-0.44663641507110596</v>
      </c>
      <c r="AI109" s="1" cm="1">
        <f t="array" ref="AI109">OptionDelta("P",$Z109,$B$2,AI$100,$B$3,$AA$99,0)</f>
        <v>-0.44342053804454018</v>
      </c>
      <c r="AJ109" s="1" cm="1">
        <f t="array" ref="AJ109">OptionDelta("P",$Z109,$B$2,AJ$100,$B$3,$AA$99,0)</f>
        <v>-0.4403823076297575</v>
      </c>
      <c r="AK109" s="1" cm="1">
        <f t="array" ref="AK109">OptionDelta("P",$Z109,$B$2,AK$100,$B$3,$AA$99,0)</f>
        <v>-0.41600201428631822</v>
      </c>
      <c r="AL109" s="1" cm="1">
        <f t="array" ref="AL109">OptionDelta("P",$Z109,$B$2,AL$100,$B$3,$AA$99,0)</f>
        <v>-0.39750608598211912</v>
      </c>
      <c r="AM109" s="1" cm="1">
        <f t="array" ref="AM109">OptionDelta("P",$Z109,$B$2,AM$100,$B$3,$AA$99,0)</f>
        <v>-0.38208857781104733</v>
      </c>
      <c r="AN109" s="1" cm="1">
        <f t="array" ref="AN109">OptionDelta("P",$Z109,$B$2,AN$100,$B$3,$AA$99,0)</f>
        <v>-0.36865783860820911</v>
      </c>
      <c r="AW109" s="139"/>
      <c r="AX109" s="14">
        <v>100</v>
      </c>
      <c r="AY109" s="1" cm="1">
        <f t="array" ref="AY109">OptionTheta("P",$AX109,$B$2,AY$100,$B$3,$AY$99,0)</f>
        <v>-1.8613528687271508E-2</v>
      </c>
      <c r="AZ109" s="1" cm="1">
        <f t="array" ref="AZ109">OptionTheta("P",$AX109,$B$2,AZ$100,$B$3,$AY$99,0)</f>
        <v>-1.3535300871054708E-2</v>
      </c>
      <c r="BA109" s="1" cm="1">
        <f t="array" ref="BA109">OptionTheta("P",$AX109,$B$2,BA$100,$B$3,$AY$99,0)</f>
        <v>-1.1279913705174775E-2</v>
      </c>
      <c r="BB109" s="1" cm="1">
        <f t="array" ref="BB109">OptionTheta("P",$AX109,$B$2,BB$100,$B$3,$AY$99,0)</f>
        <v>-9.9320430286650076E-3</v>
      </c>
      <c r="BC109" s="1" cm="1">
        <f t="array" ref="BC109">OptionTheta("P",$AX109,$B$2,BC$100,$B$3,$AY$99,0)</f>
        <v>-9.0098613736766114E-3</v>
      </c>
      <c r="BD109" s="1" cm="1">
        <f t="array" ref="BD109">OptionTheta("P",$AX109,$B$2,BD$100,$B$3,$AY$99,0)</f>
        <v>-8.3273748556538536E-3</v>
      </c>
      <c r="BE109" s="1" cm="1">
        <f t="array" ref="BE109">OptionTheta("P",$AX109,$B$2,BE$100,$B$3,$AY$99,0)</f>
        <v>-7.795559758367398E-3</v>
      </c>
      <c r="BF109" s="1" cm="1">
        <f t="array" ref="BF109">OptionTheta("P",$AX109,$B$2,BF$100,$B$3,$AY$99,0)</f>
        <v>-7.3657440397873865E-3</v>
      </c>
      <c r="BG109" s="1" cm="1">
        <f t="array" ref="BG109">OptionTheta("P",$AX109,$B$2,BG$100,$B$3,$AY$99,0)</f>
        <v>-7.0087731230611891E-3</v>
      </c>
      <c r="BH109" s="1" cm="1">
        <f t="array" ref="BH109">OptionTheta("P",$AX109,$B$2,BH$100,$B$3,$AY$99,0)</f>
        <v>-6.7059757808454546E-3</v>
      </c>
      <c r="BI109" s="1" cm="1">
        <f t="array" ref="BI109">OptionTheta("P",$AX109,$B$2,BI$100,$B$3,$AY$99,0)</f>
        <v>-5.0453811672404123E-3</v>
      </c>
      <c r="BJ109" s="1" cm="1">
        <f t="array" ref="BJ109">OptionTheta("P",$AX109,$B$2,BJ$100,$B$3,$AY$99,0)</f>
        <v>-4.2881204377178345E-3</v>
      </c>
      <c r="BK109" s="1" cm="1">
        <f t="array" ref="BK109">OptionTheta("P",$AX109,$B$2,BK$100,$B$3,$AY$99,0)</f>
        <v>-3.8235564185956855E-3</v>
      </c>
      <c r="BL109" s="1" cm="1">
        <f t="array" ref="BL109">OptionTheta("P",$AX109,$B$2,BL$100,$B$3,$AY$99,0)</f>
        <v>-3.497380542704891E-3</v>
      </c>
      <c r="BU109" s="142"/>
      <c r="BV109" s="14">
        <v>100</v>
      </c>
      <c r="BW109" s="1" cm="1">
        <f t="array" ref="BW109">OptionGamma($BV109,$B$2,BW$100,$B$3,$BW$99,0)</f>
        <v>0.12601477970020517</v>
      </c>
      <c r="BX109" s="1" cm="1">
        <f t="array" ref="BX109">OptionGamma($BV109,$B$2,BX$100,$B$3,$BW$99,0)</f>
        <v>8.900571747852265E-2</v>
      </c>
      <c r="BY109" s="1" cm="1">
        <f t="array" ref="BY109">OptionGamma($BV109,$B$2,BY$100,$B$3,$BW$99,0)</f>
        <v>7.2591153003284115E-2</v>
      </c>
      <c r="BZ109" s="1" cm="1">
        <f t="array" ref="BZ109">OptionGamma($BV109,$B$2,BZ$100,$B$3,$BW$99,0)</f>
        <v>6.2795098352771264E-2</v>
      </c>
      <c r="CA109" s="1" cm="1">
        <f t="array" ref="CA109">OptionGamma($BV109,$B$2,CA$100,$B$3,$BW$99,0)</f>
        <v>5.6102492608372502E-2</v>
      </c>
      <c r="CB109" s="1" cm="1">
        <f t="array" ref="CB109">OptionGamma($BV109,$B$2,CB$100,$B$3,$BW$99,0)</f>
        <v>5.1156750826999192E-2</v>
      </c>
      <c r="CC109" s="1" cm="1">
        <f t="array" ref="CC109">OptionGamma($BV109,$B$2,CC$100,$B$3,$BW$99,0)</f>
        <v>4.7308695923014683E-2</v>
      </c>
      <c r="CD109" s="1" cm="1">
        <f t="array" ref="CD109">OptionGamma($BV109,$B$2,CD$100,$B$3,$BW$99,0)</f>
        <v>4.4203475996246966E-2</v>
      </c>
      <c r="CE109" s="1" cm="1">
        <f t="array" ref="CE109">OptionGamma($BV109,$B$2,CE$100,$B$3,$BW$99,0)</f>
        <v>4.1628578335024279E-2</v>
      </c>
      <c r="CF109" s="1" cm="1">
        <f t="array" ref="CF109">OptionGamma($BV109,$B$2,CF$100,$B$3,$BW$99,0)</f>
        <v>3.9447933090788895E-2</v>
      </c>
      <c r="CG109" s="1" cm="1">
        <f t="array" ref="CG109">OptionGamma($BV109,$B$2,CG$100,$B$3,$BW$99,0)</f>
        <v>2.7581853166270594E-2</v>
      </c>
      <c r="CH109" s="1" cm="1">
        <f t="array" ref="CH109">OptionGamma($BV109,$B$2,CH$100,$B$3,$BW$99,0)</f>
        <v>2.226855310230557E-2</v>
      </c>
      <c r="CI109" s="1" cm="1">
        <f t="array" ref="CI109">OptionGamma($BV109,$B$2,CI$100,$B$3,$BW$99,0)</f>
        <v>1.9069390773026208E-2</v>
      </c>
      <c r="CJ109" s="1" cm="1">
        <f t="array" ref="CJ109">OptionGamma($BV109,$B$2,CJ$100,$B$3,$BW$99,0)</f>
        <v>1.6865374880276125E-2</v>
      </c>
      <c r="CS109" s="145"/>
      <c r="CT109" s="14">
        <v>100</v>
      </c>
      <c r="CU109" s="1" cm="1">
        <f t="array" ref="CU109">OptionVega($CT109,$B$2,CU$100,$B$3,$CU$99,0)</f>
        <v>0.12601477970020519</v>
      </c>
      <c r="CV109" s="1" cm="1">
        <f t="array" ref="CV109">OptionVega($CT109,$B$2,CV$100,$B$3,$CU$99,0)</f>
        <v>0.1780114349570453</v>
      </c>
      <c r="CW109" s="1" cm="1">
        <f t="array" ref="CW109">OptionVega($CT109,$B$2,CW$100,$B$3,$CU$99,0)</f>
        <v>0.21777345900985232</v>
      </c>
      <c r="CX109" s="1" cm="1">
        <f t="array" ref="CX109">OptionVega($CT109,$B$2,CX$100,$B$3,$CU$99,0)</f>
        <v>0.25118039341108511</v>
      </c>
      <c r="CY109" s="1" cm="1">
        <f t="array" ref="CY109">OptionVega($CT109,$B$2,CY$100,$B$3,$CU$99,0)</f>
        <v>0.28051246304186261</v>
      </c>
      <c r="CZ109" s="1" cm="1">
        <f t="array" ref="CZ109">OptionVega($CT109,$B$2,CZ$100,$B$3,$CU$99,0)</f>
        <v>0.30694050496199521</v>
      </c>
      <c r="DA109" s="1" cm="1">
        <f t="array" ref="DA109">OptionVega($CT109,$B$2,DA$100,$B$3,$CU$99,0)</f>
        <v>0.3311608714611029</v>
      </c>
      <c r="DB109" s="1" cm="1">
        <f t="array" ref="DB109">OptionVega($CT109,$B$2,DB$100,$B$3,$CU$99,0)</f>
        <v>0.35362780796997573</v>
      </c>
      <c r="DC109" s="1" cm="1">
        <f t="array" ref="DC109">OptionVega($CT109,$B$2,DC$100,$B$3,$CU$99,0)</f>
        <v>0.37465720501521849</v>
      </c>
      <c r="DD109" s="1" cm="1">
        <f t="array" ref="DD109">OptionVega($CT109,$B$2,DD$100,$B$3,$CU$99,0)</f>
        <v>0.39447933090788895</v>
      </c>
      <c r="DE109" s="1" cm="1">
        <f t="array" ref="DE109">OptionVega($CT109,$B$2,DE$100,$B$3,$CU$99,0)</f>
        <v>0.55163706332541196</v>
      </c>
      <c r="DF109" s="1" cm="1">
        <f t="array" ref="DF109">OptionVega($CT109,$B$2,DF$100,$B$3,$CU$99,0)</f>
        <v>0.66805659306916709</v>
      </c>
      <c r="DG109" s="1" cm="1">
        <f t="array" ref="DG109">OptionVega($CT109,$B$2,DG$100,$B$3,$CU$99,0)</f>
        <v>0.76277563092104828</v>
      </c>
      <c r="DH109" s="1" cm="1">
        <f t="array" ref="DH109">OptionVega($CT109,$B$2,DH$100,$B$3,$CU$99,0)</f>
        <v>0.84326874401380636</v>
      </c>
      <c r="DQ109" s="130"/>
      <c r="DR109" s="14">
        <v>100</v>
      </c>
      <c r="DS109" s="1" cm="1">
        <f t="array" ref="DS109">OptionRho("P",$DR109,$B$2,DS$100,$B$3,$DS$99,0)</f>
        <v>-4.9319898584384125E-2</v>
      </c>
      <c r="DT109" s="1" cm="1">
        <f t="array" ref="DT109">OptionRho("P",$DR109,$B$2,DT$100,$B$3,$DS$99,0)</f>
        <v>-9.8019788801767246E-2</v>
      </c>
      <c r="DU109" s="1" cm="1">
        <f t="array" ref="DU109">OptionRho("P",$DR109,$B$2,DU$100,$B$3,$DS$99,0)</f>
        <v>-0.14628325566737618</v>
      </c>
      <c r="DV109" s="1" cm="1">
        <f t="array" ref="DV109">OptionRho("P",$DR109,$B$2,DV$100,$B$3,$DS$99,0)</f>
        <v>-0.19417631512966549</v>
      </c>
      <c r="DW109" s="1" cm="1">
        <f t="array" ref="DW109">OptionRho("P",$DR109,$B$2,DW$100,$B$3,$DS$99,0)</f>
        <v>-0.24173738548666898</v>
      </c>
      <c r="DX109" s="1" cm="1">
        <f t="array" ref="DX109">OptionRho("P",$DR109,$B$2,DX$100,$B$3,$DS$99,0)</f>
        <v>-0.28899256857821798</v>
      </c>
      <c r="DY109" s="1" cm="1">
        <f t="array" ref="DY109">OptionRho("P",$DR109,$B$2,DY$100,$B$3,$DS$99,0)</f>
        <v>-0.3359611609573559</v>
      </c>
      <c r="DZ109" s="1" cm="1">
        <f t="array" ref="DZ109">OptionRho("P",$DR109,$B$2,DZ$100,$B$3,$DS$99,0)</f>
        <v>-0.3826582197680381</v>
      </c>
      <c r="EA109" s="1" cm="1">
        <f t="array" ref="EA109">OptionRho("P",$DR109,$B$2,EA$100,$B$3,$DS$99,0)</f>
        <v>-0.42909594584950789</v>
      </c>
      <c r="EB109" s="1" cm="1">
        <f t="array" ref="EB109">OptionRho("P",$DR109,$B$2,EB$100,$B$3,$DS$99,0)</f>
        <v>-0.47528450546914641</v>
      </c>
      <c r="EC109" s="1" cm="1">
        <f t="array" ref="EC109">OptionRho("P",$DR109,$B$2,EC$100,$B$3,$DS$99,0)</f>
        <v>-0.92494293545844164</v>
      </c>
      <c r="ED109" s="1" cm="1">
        <f t="array" ref="ED109">OptionRho("P",$DR109,$B$2,ED$100,$B$3,$DS$99,0)</f>
        <v>-1.3552089139551935</v>
      </c>
      <c r="EE109" s="1" cm="1">
        <f t="array" ref="EE109">OptionRho("P",$DR109,$B$2,EE$100,$B$3,$DS$99,0)</f>
        <v>-1.7685142165444596</v>
      </c>
      <c r="EF109" s="1" cm="1">
        <f t="array" ref="EF109">OptionRho("P",$DR109,$B$2,EF$100,$B$3,$DS$99,0)</f>
        <v>-2.1663757703673947</v>
      </c>
    </row>
    <row r="110" spans="1:136" x14ac:dyDescent="0.2">
      <c r="A110" s="133"/>
      <c r="B110" s="14">
        <v>105</v>
      </c>
      <c r="C110" s="1" cm="1">
        <f t="array" ref="C110">OptionPrice("P",$B110,$B$2,C$100,$B$3,$C$99,0)</f>
        <v>7.9911170021057742E-2</v>
      </c>
      <c r="D110" s="1" cm="1">
        <f t="array" ref="D110">OptionPrice("P",$B110,$B$2,D$100,$B$3,$C$99,0)</f>
        <v>0.29254460544719052</v>
      </c>
      <c r="E110" s="1" cm="1">
        <f t="array" ref="E110">OptionPrice("P",$B110,$B$2,E$100,$B$3,$C$99,0)</f>
        <v>0.51723960074409447</v>
      </c>
      <c r="F110" s="1" cm="1">
        <f t="array" ref="F110">OptionPrice("P",$B110,$B$2,F$100,$B$3,$C$99,0)</f>
        <v>0.7308456922069837</v>
      </c>
      <c r="G110" s="1" cm="1">
        <f t="array" ref="G110">OptionPrice("P",$B110,$B$2,G$100,$B$3,$C$99,0)</f>
        <v>0.93026945051922638</v>
      </c>
      <c r="H110" s="1" cm="1">
        <f t="array" ref="H110">OptionPrice("P",$B110,$B$2,H$100,$B$3,$C$99,0)</f>
        <v>1.1162138534921979</v>
      </c>
      <c r="I110" s="1" cm="1">
        <f t="array" ref="I110">OptionPrice("P",$B110,$B$2,I$100,$B$3,$C$99,0)</f>
        <v>1.2900954135228453</v>
      </c>
      <c r="J110" s="1" cm="1">
        <f t="array" ref="J110">OptionPrice("P",$B110,$B$2,J$100,$B$3,$C$99,0)</f>
        <v>1.453329242170831</v>
      </c>
      <c r="K110" s="1" cm="1">
        <f t="array" ref="K110">OptionPrice("P",$B110,$B$2,K$100,$B$3,$C$99,0)</f>
        <v>1.6071648310885749</v>
      </c>
      <c r="L110" s="1" cm="1">
        <f t="array" ref="L110">OptionPrice("P",$B110,$B$2,L$100,$B$3,$C$99,0)</f>
        <v>1.7526672505894005</v>
      </c>
      <c r="M110" s="1" cm="1">
        <f t="array" ref="M110">OptionPrice("P",$B110,$B$2,M$100,$B$3,$C$99,0)</f>
        <v>2.8947417180033668</v>
      </c>
      <c r="N110" s="1" cm="1">
        <f t="array" ref="N110">OptionPrice("P",$B110,$B$2,N$100,$B$3,$C$99,0)</f>
        <v>3.7010051887767723</v>
      </c>
      <c r="O110" s="1" cm="1">
        <f t="array" ref="O110">OptionPrice("P",$B110,$B$2,O$100,$B$3,$C$99,0)</f>
        <v>4.3212923502649225</v>
      </c>
      <c r="P110" s="1" cm="1">
        <f t="array" ref="P110">OptionPrice("P",$B110,$B$2,P$100,$B$3,$C$99,0)</f>
        <v>4.8200543922540575</v>
      </c>
      <c r="Y110" s="136"/>
      <c r="Z110" s="14">
        <v>105</v>
      </c>
      <c r="AA110" s="1" cm="1">
        <f t="array" ref="AA110">OptionDelta("P",$Z110,$B$2,AA$100,$B$3,$AA$99,0)</f>
        <v>-5.5881951625111226E-2</v>
      </c>
      <c r="AB110" s="1" cm="1">
        <f t="array" ref="AB110">OptionDelta("P",$Z110,$B$2,AB$100,$B$3,$AA$99,0)</f>
        <v>-0.12341910750431651</v>
      </c>
      <c r="AC110" s="1" cm="1">
        <f t="array" ref="AC110">OptionDelta("P",$Z110,$B$2,AC$100,$B$3,$AA$99,0)</f>
        <v>-0.16529135445498921</v>
      </c>
      <c r="AD110" s="1" cm="1">
        <f t="array" ref="AD110">OptionDelta("P",$Z110,$B$2,AD$100,$B$3,$AA$99,0)</f>
        <v>-0.19316048645017747</v>
      </c>
      <c r="AE110" s="1" cm="1">
        <f t="array" ref="AE110">OptionDelta("P",$Z110,$B$2,AE$100,$B$3,$AA$99,0)</f>
        <v>-0.21299766973229939</v>
      </c>
      <c r="AF110" s="1" cm="1">
        <f t="array" ref="AF110">OptionDelta("P",$Z110,$B$2,AF$100,$B$3,$AA$99,0)</f>
        <v>-0.22781322631362888</v>
      </c>
      <c r="AG110" s="1" cm="1">
        <f t="array" ref="AG110">OptionDelta("P",$Z110,$B$2,AG$100,$B$3,$AA$99,0)</f>
        <v>-0.23926991749476589</v>
      </c>
      <c r="AH110" s="1" cm="1">
        <f t="array" ref="AH110">OptionDelta("P",$Z110,$B$2,AH$100,$B$3,$AA$99,0)</f>
        <v>-0.24836156369458307</v>
      </c>
      <c r="AI110" s="1" cm="1">
        <f t="array" ref="AI110">OptionDelta("P",$Z110,$B$2,AI$100,$B$3,$AA$99,0)</f>
        <v>-0.25572036656605568</v>
      </c>
      <c r="AJ110" s="1" cm="1">
        <f t="array" ref="AJ110">OptionDelta("P",$Z110,$B$2,AJ$100,$B$3,$AA$99,0)</f>
        <v>-0.26176885450951881</v>
      </c>
      <c r="AK110" s="1" cm="1">
        <f t="array" ref="AK110">OptionDelta("P",$Z110,$B$2,AK$100,$B$3,$AA$99,0)</f>
        <v>-0.28871910308263193</v>
      </c>
      <c r="AL110" s="1" cm="1">
        <f t="array" ref="AL110">OptionDelta("P",$Z110,$B$2,AL$100,$B$3,$AA$99,0)</f>
        <v>-0.29408226876632038</v>
      </c>
      <c r="AM110" s="1" cm="1">
        <f t="array" ref="AM110">OptionDelta("P",$Z110,$B$2,AM$100,$B$3,$AA$99,0)</f>
        <v>-0.29323765778258948</v>
      </c>
      <c r="AN110" s="1" cm="1">
        <f t="array" ref="AN110">OptionDelta("P",$Z110,$B$2,AN$100,$B$3,$AA$99,0)</f>
        <v>-0.28992410745836317</v>
      </c>
      <c r="AW110" s="139"/>
      <c r="AX110" s="14">
        <v>105</v>
      </c>
      <c r="AY110" s="1" cm="1">
        <f t="array" ref="AY110">OptionTheta("P",$AX110,$B$2,AY$100,$B$3,$AY$99,0)</f>
        <v>-5.28671161381895E-3</v>
      </c>
      <c r="AZ110" s="1" cm="1">
        <f t="array" ref="AZ110">OptionTheta("P",$AX110,$B$2,AZ$100,$B$3,$AY$99,0)</f>
        <v>-6.9251593069232708E-3</v>
      </c>
      <c r="BA110" s="1" cm="1">
        <f t="array" ref="BA110">OptionTheta("P",$AX110,$B$2,BA$100,$B$3,$AY$99,0)</f>
        <v>-7.0158802893989939E-3</v>
      </c>
      <c r="BB110" s="1" cm="1">
        <f t="array" ref="BB110">OptionTheta("P",$AX110,$B$2,BB$100,$B$3,$AY$99,0)</f>
        <v>-6.8098735559710766E-3</v>
      </c>
      <c r="BC110" s="1" cm="1">
        <f t="array" ref="BC110">OptionTheta("P",$AX110,$B$2,BC$100,$B$3,$AY$99,0)</f>
        <v>-6.5495022852776526E-3</v>
      </c>
      <c r="BD110" s="1" cm="1">
        <f t="array" ref="BD110">OptionTheta("P",$AX110,$B$2,BD$100,$B$3,$AY$99,0)</f>
        <v>-6.2942570196484939E-3</v>
      </c>
      <c r="BE110" s="1" cm="1">
        <f t="array" ref="BE110">OptionTheta("P",$AX110,$B$2,BE$100,$B$3,$AY$99,0)</f>
        <v>-6.0591974140506467E-3</v>
      </c>
      <c r="BF110" s="1" cm="1">
        <f t="array" ref="BF110">OptionTheta("P",$AX110,$B$2,BF$100,$B$3,$AY$99,0)</f>
        <v>-5.8467062441086631E-3</v>
      </c>
      <c r="BG110" s="1" cm="1">
        <f t="array" ref="BG110">OptionTheta("P",$AX110,$B$2,BG$100,$B$3,$AY$99,0)</f>
        <v>-5.6553897400189153E-3</v>
      </c>
      <c r="BH110" s="1" cm="1">
        <f t="array" ref="BH110">OptionTheta("P",$AX110,$B$2,BH$100,$B$3,$AY$99,0)</f>
        <v>-5.4828780270799286E-3</v>
      </c>
      <c r="BI110" s="1" cm="1">
        <f t="array" ref="BI110">OptionTheta("P",$AX110,$B$2,BI$100,$B$3,$AY$99,0)</f>
        <v>-4.3841128502539331E-3</v>
      </c>
      <c r="BJ110" s="1" cm="1">
        <f t="array" ref="BJ110">OptionTheta("P",$AX110,$B$2,BJ$100,$B$3,$AY$99,0)</f>
        <v>-3.8085597151187585E-3</v>
      </c>
      <c r="BK110" s="1" cm="1">
        <f t="array" ref="BK110">OptionTheta("P",$AX110,$B$2,BK$100,$B$3,$AY$99,0)</f>
        <v>-3.4365031423985058E-3</v>
      </c>
      <c r="BL110" s="1" cm="1">
        <f t="array" ref="BL110">OptionTheta("P",$AX110,$B$2,BL$100,$B$3,$AY$99,0)</f>
        <v>-3.1676935576461958E-3</v>
      </c>
      <c r="BU110" s="142"/>
      <c r="BV110" s="14">
        <v>105</v>
      </c>
      <c r="BW110" s="1" cm="1">
        <f t="array" ref="BW110">OptionGamma($BV110,$B$2,BW$100,$B$3,$BW$99,0)</f>
        <v>3.3926069444668278E-2</v>
      </c>
      <c r="BX110" s="1" cm="1">
        <f t="array" ref="BX110">OptionGamma($BV110,$B$2,BX$100,$B$3,$BW$99,0)</f>
        <v>4.3449753071981671E-2</v>
      </c>
      <c r="BY110" s="1" cm="1">
        <f t="array" ref="BY110">OptionGamma($BV110,$B$2,BY$100,$B$3,$BW$99,0)</f>
        <v>4.3212117686085315E-2</v>
      </c>
      <c r="BZ110" s="1" cm="1">
        <f t="array" ref="BZ110">OptionGamma($BV110,$B$2,BZ$100,$B$3,$BW$99,0)</f>
        <v>4.1278492158452362E-2</v>
      </c>
      <c r="CA110" s="1" cm="1">
        <f t="array" ref="CA110">OptionGamma($BV110,$B$2,CA$100,$B$3,$BW$99,0)</f>
        <v>3.9140464152421513E-2</v>
      </c>
      <c r="CB110" s="1" cm="1">
        <f t="array" ref="CB110">OptionGamma($BV110,$B$2,CB$100,$B$3,$BW$99,0)</f>
        <v>3.7134472308525492E-2</v>
      </c>
      <c r="CC110" s="1" cm="1">
        <f t="array" ref="CC110">OptionGamma($BV110,$B$2,CC$100,$B$3,$BW$99,0)</f>
        <v>3.5328302741473985E-2</v>
      </c>
      <c r="CD110" s="1" cm="1">
        <f t="array" ref="CD110">OptionGamma($BV110,$B$2,CD$100,$B$3,$BW$99,0)</f>
        <v>3.3718545937390321E-2</v>
      </c>
      <c r="CE110" s="1" cm="1">
        <f t="array" ref="CE110">OptionGamma($BV110,$B$2,CE$100,$B$3,$BW$99,0)</f>
        <v>3.2283704705699037E-2</v>
      </c>
      <c r="CF110" s="1" cm="1">
        <f t="array" ref="CF110">OptionGamma($BV110,$B$2,CF$100,$B$3,$BW$99,0)</f>
        <v>3.0999845988993836E-2</v>
      </c>
      <c r="CG110" s="1" cm="1">
        <f t="array" ref="CG110">OptionGamma($BV110,$B$2,CG$100,$B$3,$BW$99,0)</f>
        <v>2.3004058320651034E-2</v>
      </c>
      <c r="CH110" s="1" cm="1">
        <f t="array" ref="CH110">OptionGamma($BV110,$B$2,CH$100,$B$3,$BW$99,0)</f>
        <v>1.8944723118837964E-2</v>
      </c>
      <c r="CI110" s="1" cm="1">
        <f t="array" ref="CI110">OptionGamma($BV110,$B$2,CI$100,$B$3,$BW$99,0)</f>
        <v>1.6384783361470954E-2</v>
      </c>
      <c r="CJ110" s="1" cm="1">
        <f t="array" ref="CJ110">OptionGamma($BV110,$B$2,CJ$100,$B$3,$BW$99,0)</f>
        <v>1.4577547243302307E-2</v>
      </c>
      <c r="CS110" s="145"/>
      <c r="CT110" s="14">
        <v>105</v>
      </c>
      <c r="CU110" s="1" cm="1">
        <f t="array" ref="CU110">OptionVega($CT110,$B$2,CU$100,$B$3,$CU$99,0)</f>
        <v>3.7403491562746784E-2</v>
      </c>
      <c r="CV110" s="1" cm="1">
        <f t="array" ref="CV110">OptionVega($CT110,$B$2,CV$100,$B$3,$CU$99,0)</f>
        <v>9.5806705523719587E-2</v>
      </c>
      <c r="CW110" s="1" cm="1">
        <f t="array" ref="CW110">OptionVega($CT110,$B$2,CW$100,$B$3,$CU$99,0)</f>
        <v>0.14292407924672715</v>
      </c>
      <c r="CX110" s="1" cm="1">
        <f t="array" ref="CX110">OptionVega($CT110,$B$2,CX$100,$B$3,$CU$99,0)</f>
        <v>0.18203815041877494</v>
      </c>
      <c r="CY110" s="1" cm="1">
        <f t="array" ref="CY110">OptionVega($CT110,$B$2,CY$100,$B$3,$CU$99,0)</f>
        <v>0.21576180864022365</v>
      </c>
      <c r="CZ110" s="1" cm="1">
        <f t="array" ref="CZ110">OptionVega($CT110,$B$2,CZ$100,$B$3,$CU$99,0)</f>
        <v>0.2456445343208962</v>
      </c>
      <c r="DA110" s="1" cm="1">
        <f t="array" ref="DA110">OptionVega($CT110,$B$2,DA$100,$B$3,$CU$99,0)</f>
        <v>0.27264617640732552</v>
      </c>
      <c r="DB110" s="1" cm="1">
        <f t="array" ref="DB110">OptionVega($CT110,$B$2,DB$100,$B$3,$CU$99,0)</f>
        <v>0.29739757516778265</v>
      </c>
      <c r="DC110" s="1" cm="1">
        <f t="array" ref="DC110">OptionVega($CT110,$B$2,DC$100,$B$3,$CU$99,0)</f>
        <v>0.32033505994229872</v>
      </c>
      <c r="DD110" s="1" cm="1">
        <f t="array" ref="DD110">OptionVega($CT110,$B$2,DD$100,$B$3,$CU$99,0)</f>
        <v>0.34177330202865708</v>
      </c>
      <c r="DE110" s="1" cm="1">
        <f t="array" ref="DE110">OptionVega($CT110,$B$2,DE$100,$B$3,$CU$99,0)</f>
        <v>0.5072394859703554</v>
      </c>
      <c r="DF110" s="1" cm="1">
        <f t="array" ref="DF110">OptionVega($CT110,$B$2,DF$100,$B$3,$CU$99,0)</f>
        <v>0.62659671715556564</v>
      </c>
      <c r="DG110" s="1" cm="1">
        <f t="array" ref="DG110">OptionVega($CT110,$B$2,DG$100,$B$3,$CU$99,0)</f>
        <v>0.72256894624086909</v>
      </c>
      <c r="DH110" s="1" cm="1">
        <f t="array" ref="DH110">OptionVega($CT110,$B$2,DH$100,$B$3,$CU$99,0)</f>
        <v>0.80358729178703991</v>
      </c>
      <c r="DQ110" s="130"/>
      <c r="DR110" s="14">
        <v>105</v>
      </c>
      <c r="DS110" s="1" cm="1">
        <f t="array" ref="DS110">OptionRho("P",$DR110,$B$2,DS$100,$B$3,$DS$99,0)</f>
        <v>-5.9475160906577321E-3</v>
      </c>
      <c r="DT110" s="1" cm="1">
        <f t="array" ref="DT110">OptionRho("P",$DR110,$B$2,DT$100,$B$3,$DS$99,0)</f>
        <v>-2.6503101786800827E-2</v>
      </c>
      <c r="DU110" s="1" cm="1">
        <f t="array" ref="DU110">OptionRho("P",$DR110,$B$2,DU$100,$B$3,$DS$99,0)</f>
        <v>-5.3618495455553854E-2</v>
      </c>
      <c r="DV110" s="1" cm="1">
        <f t="array" ref="DV110">OptionRho("P",$DR110,$B$2,DV$100,$B$3,$DS$99,0)</f>
        <v>-8.4050787077902478E-2</v>
      </c>
      <c r="DW110" s="1" cm="1">
        <f t="array" ref="DW110">OptionRho("P",$DR110,$B$2,DW$100,$B$3,$DS$99,0)</f>
        <v>-0.11647512386205333</v>
      </c>
      <c r="DX110" s="1" cm="1">
        <f t="array" ref="DX110">OptionRho("P",$DR110,$B$2,DX$100,$B$3,$DS$99,0)</f>
        <v>-0.15021961569853939</v>
      </c>
      <c r="DY110" s="1" cm="1">
        <f t="array" ref="DY110">OptionRho("P",$DR110,$B$2,DY$100,$B$3,$DS$99,0)</f>
        <v>-0.18489405725331284</v>
      </c>
      <c r="DZ110" s="1" cm="1">
        <f t="array" ref="DZ110">OptionRho("P",$DR110,$B$2,DZ$100,$B$3,$DS$99,0)</f>
        <v>-0.22025034744081637</v>
      </c>
      <c r="EA110" s="1" cm="1">
        <f t="array" ref="EA110">OptionRho("P",$DR110,$B$2,EA$100,$B$3,$DS$99,0)</f>
        <v>-0.25612022988471977</v>
      </c>
      <c r="EB110" s="1" cm="1">
        <f t="array" ref="EB110">OptionRho("P",$DR110,$B$2,EB$100,$B$3,$DS$99,0)</f>
        <v>-0.29238396974088876</v>
      </c>
      <c r="EC110" s="1" cm="1">
        <f t="array" ref="EC110">OptionRho("P",$DR110,$B$2,EC$100,$B$3,$DS$99,0)</f>
        <v>-0.66420495083359443</v>
      </c>
      <c r="ED110" s="1" cm="1">
        <f t="array" ref="ED110">OptionRho("P",$DR110,$B$2,ED$100,$B$3,$DS$99,0)</f>
        <v>-1.0373893022772123</v>
      </c>
      <c r="EE110" s="1" cm="1">
        <f t="array" ref="EE110">OptionRho("P",$DR110,$B$2,EE$100,$B$3,$DS$99,0)</f>
        <v>-1.4044498566974728</v>
      </c>
      <c r="EF110" s="1" cm="1">
        <f t="array" ref="EF110">OptionRho("P",$DR110,$B$2,EF$100,$B$3,$DS$99,0)</f>
        <v>-1.7631042837691091</v>
      </c>
    </row>
    <row r="111" spans="1:136" x14ac:dyDescent="0.2">
      <c r="A111" s="133"/>
      <c r="B111" s="14">
        <v>110</v>
      </c>
      <c r="C111" s="1" cm="1">
        <f t="array" ref="C111">OptionPrice("P",$B111,$B$2,C$100,$B$3,$C$99,0)</f>
        <v>1.0772747415579292E-3</v>
      </c>
      <c r="D111" s="1" cm="1">
        <f t="array" ref="D111">OptionPrice("P",$B111,$B$2,D$100,$B$3,$C$99,0)</f>
        <v>2.4511950560876183E-2</v>
      </c>
      <c r="E111" s="1" cm="1">
        <f t="array" ref="E111">OptionPrice("P",$B111,$B$2,E$100,$B$3,$C$99,0)</f>
        <v>8.2919396124375044E-2</v>
      </c>
      <c r="F111" s="1" cm="1">
        <f t="array" ref="F111">OptionPrice("P",$B111,$B$2,F$100,$B$3,$C$99,0)</f>
        <v>0.1649308463215382</v>
      </c>
      <c r="G111" s="1" cm="1">
        <f t="array" ref="G111">OptionPrice("P",$B111,$B$2,G$100,$B$3,$C$99,0)</f>
        <v>0.26022159736075601</v>
      </c>
      <c r="H111" s="1" cm="1">
        <f t="array" ref="H111">OptionPrice("P",$B111,$B$2,H$100,$B$3,$C$99,0)</f>
        <v>0.3624169658256946</v>
      </c>
      <c r="I111" s="1" cm="1">
        <f t="array" ref="I111">OptionPrice("P",$B111,$B$2,I$100,$B$3,$C$99,0)</f>
        <v>0.46775608939689484</v>
      </c>
      <c r="J111" s="1" cm="1">
        <f t="array" ref="J111">OptionPrice("P",$B111,$B$2,J$100,$B$3,$C$99,0)</f>
        <v>0.57400638938037751</v>
      </c>
      <c r="K111" s="1" cm="1">
        <f t="array" ref="K111">OptionPrice("P",$B111,$B$2,K$100,$B$3,$C$99,0)</f>
        <v>0.67982644260731284</v>
      </c>
      <c r="L111" s="1" cm="1">
        <f t="array" ref="L111">OptionPrice("P",$B111,$B$2,L$100,$B$3,$C$99,0)</f>
        <v>0.78440558736307153</v>
      </c>
      <c r="M111" s="1" cm="1">
        <f t="array" ref="M111">OptionPrice("P",$B111,$B$2,M$100,$B$3,$C$99,0)</f>
        <v>1.7153686339891649</v>
      </c>
      <c r="N111" s="1" cm="1">
        <f t="array" ref="N111">OptionPrice("P",$B111,$B$2,N$100,$B$3,$C$99,0)</f>
        <v>2.4515032336468963</v>
      </c>
      <c r="O111" s="1" cm="1">
        <f t="array" ref="O111">OptionPrice("P",$B111,$B$2,O$100,$B$3,$C$99,0)</f>
        <v>3.0476219457362177</v>
      </c>
      <c r="P111" s="1" cm="1">
        <f t="array" ref="P111">OptionPrice("P",$B111,$B$2,P$100,$B$3,$C$99,0)</f>
        <v>3.5425039039279334</v>
      </c>
      <c r="Y111" s="136"/>
      <c r="Z111" s="14">
        <v>110</v>
      </c>
      <c r="AA111" s="1" cm="1">
        <f t="array" ref="AA111">OptionDelta("P",$Z111,$B$2,AA$100,$B$3,$AA$99,0)</f>
        <v>-1.1014982272458118E-3</v>
      </c>
      <c r="AB111" s="1" cm="1">
        <f t="array" ref="AB111">OptionDelta("P",$Z111,$B$2,AB$100,$B$3,$AA$99,0)</f>
        <v>-1.3964492157249486E-2</v>
      </c>
      <c r="AC111" s="1" cm="1">
        <f t="array" ref="AC111">OptionDelta("P",$Z111,$B$2,AC$100,$B$3,$AA$99,0)</f>
        <v>-3.420654138486845E-2</v>
      </c>
      <c r="AD111" s="1" cm="1">
        <f t="array" ref="AD111">OptionDelta("P",$Z111,$B$2,AD$100,$B$3,$AA$99,0)</f>
        <v>-5.4593883865311277E-2</v>
      </c>
      <c r="AE111" s="1" cm="1">
        <f t="array" ref="AE111">OptionDelta("P",$Z111,$B$2,AE$100,$B$3,$AA$99,0)</f>
        <v>-7.2979321151961596E-2</v>
      </c>
      <c r="AF111" s="1" cm="1">
        <f t="array" ref="AF111">OptionDelta("P",$Z111,$B$2,AF$100,$B$3,$AA$99,0)</f>
        <v>-8.9048323051647005E-2</v>
      </c>
      <c r="AG111" s="1" cm="1">
        <f t="array" ref="AG111">OptionDelta("P",$Z111,$B$2,AG$100,$B$3,$AA$99,0)</f>
        <v>-0.1029941893437627</v>
      </c>
      <c r="AH111" s="1" cm="1">
        <f t="array" ref="AH111">OptionDelta("P",$Z111,$B$2,AH$100,$B$3,$AA$99,0)</f>
        <v>-0.11511544953316066</v>
      </c>
      <c r="AI111" s="1" cm="1">
        <f t="array" ref="AI111">OptionDelta("P",$Z111,$B$2,AI$100,$B$3,$AA$99,0)</f>
        <v>-0.12569907598544605</v>
      </c>
      <c r="AJ111" s="1" cm="1">
        <f t="array" ref="AJ111">OptionDelta("P",$Z111,$B$2,AJ$100,$B$3,$AA$99,0)</f>
        <v>-0.13499148005453798</v>
      </c>
      <c r="AK111" s="1" cm="1">
        <f t="array" ref="AK111">OptionDelta("P",$Z111,$B$2,AK$100,$B$3,$AA$99,0)</f>
        <v>-0.18778807755388893</v>
      </c>
      <c r="AL111" s="1" cm="1">
        <f t="array" ref="AL111">OptionDelta("P",$Z111,$B$2,AL$100,$B$3,$AA$99,0)</f>
        <v>-0.20894675405446184</v>
      </c>
      <c r="AM111" s="1" cm="1">
        <f t="array" ref="AM111">OptionDelta("P",$Z111,$B$2,AM$100,$B$3,$AA$99,0)</f>
        <v>-0.21871189000521374</v>
      </c>
      <c r="AN111" s="1" cm="1">
        <f t="array" ref="AN111">OptionDelta("P",$Z111,$B$2,AN$100,$B$3,$AA$99,0)</f>
        <v>-0.22313437909788203</v>
      </c>
      <c r="AW111" s="139"/>
      <c r="AX111" s="14">
        <v>110</v>
      </c>
      <c r="AY111" s="1" cm="1">
        <f t="array" ref="AY111">OptionTheta("P",$AX111,$B$2,AY$100,$B$3,$AY$99,0)</f>
        <v>-1.7866856816921807E-4</v>
      </c>
      <c r="AZ111" s="1" cm="1">
        <f t="array" ref="AZ111">OptionTheta("P",$AX111,$B$2,AZ$100,$B$3,$AY$99,0)</f>
        <v>-1.242566770828095E-3</v>
      </c>
      <c r="BA111" s="1" cm="1">
        <f t="array" ref="BA111">OptionTheta("P",$AX111,$B$2,BA$100,$B$3,$AY$99,0)</f>
        <v>-2.1914855478367195E-3</v>
      </c>
      <c r="BB111" s="1" cm="1">
        <f t="array" ref="BB111">OptionTheta("P",$AX111,$B$2,BB$100,$B$3,$AY$99,0)</f>
        <v>-2.8039443543389827E-3</v>
      </c>
      <c r="BC111" s="1" cm="1">
        <f t="array" ref="BC111">OptionTheta("P",$AX111,$B$2,BC$100,$B$3,$AY$99,0)</f>
        <v>-3.1813257718998891E-3</v>
      </c>
      <c r="BD111" s="1" cm="1">
        <f t="array" ref="BD111">OptionTheta("P",$AX111,$B$2,BD$100,$B$3,$AY$99,0)</f>
        <v>-3.4124581149754807E-3</v>
      </c>
      <c r="BE111" s="1" cm="1">
        <f t="array" ref="BE111">OptionTheta("P",$AX111,$B$2,BE$100,$B$3,$AY$99,0)</f>
        <v>-3.5526377886615358E-3</v>
      </c>
      <c r="BF111" s="1" cm="1">
        <f t="array" ref="BF111">OptionTheta("P",$AX111,$B$2,BF$100,$B$3,$AY$99,0)</f>
        <v>-3.6350443417054452E-3</v>
      </c>
      <c r="BG111" s="1" cm="1">
        <f t="array" ref="BG111">OptionTheta("P",$AX111,$B$2,BG$100,$B$3,$AY$99,0)</f>
        <v>-3.6798913102443712E-3</v>
      </c>
      <c r="BH111" s="1" cm="1">
        <f t="array" ref="BH111">OptionTheta("P",$AX111,$B$2,BH$100,$B$3,$AY$99,0)</f>
        <v>-3.6998210749482688E-3</v>
      </c>
      <c r="BI111" s="1" cm="1">
        <f t="array" ref="BI111">OptionTheta("P",$AX111,$B$2,BI$100,$B$3,$AY$99,0)</f>
        <v>-3.4835525872255889E-3</v>
      </c>
      <c r="BJ111" s="1" cm="1">
        <f t="array" ref="BJ111">OptionTheta("P",$AX111,$B$2,BJ$100,$B$3,$AY$99,0)</f>
        <v>-3.1967541018698806E-3</v>
      </c>
      <c r="BK111" s="1" cm="1">
        <f t="array" ref="BK111">OptionTheta("P",$AX111,$B$2,BK$100,$B$3,$AY$99,0)</f>
        <v>-2.9659550633546199E-3</v>
      </c>
      <c r="BL111" s="1" cm="1">
        <f t="array" ref="BL111">OptionTheta("P",$AX111,$B$2,BL$100,$B$3,$AY$99,0)</f>
        <v>-2.7810392997567501E-3</v>
      </c>
      <c r="BU111" s="142"/>
      <c r="BV111" s="14">
        <v>110</v>
      </c>
      <c r="BW111" s="1" cm="1">
        <f t="array" ref="BW111">OptionGamma($BV111,$B$2,BW$100,$B$3,$BW$99,0)</f>
        <v>1.0577125055269182E-3</v>
      </c>
      <c r="BX111" s="1" cm="1">
        <f t="array" ref="BX111">OptionGamma($BV111,$B$2,BX$100,$B$3,$BW$99,0)</f>
        <v>7.2385257929532482E-3</v>
      </c>
      <c r="BY111" s="1" cm="1">
        <f t="array" ref="BY111">OptionGamma($BV111,$B$2,BY$100,$B$3,$BW$99,0)</f>
        <v>1.2585716288856257E-2</v>
      </c>
      <c r="BZ111" s="1" cm="1">
        <f t="array" ref="BZ111">OptionGamma($BV111,$B$2,BZ$100,$B$3,$BW$99,0)</f>
        <v>1.5896481134192911E-2</v>
      </c>
      <c r="CA111" s="1" cm="1">
        <f t="array" ref="CA111">OptionGamma($BV111,$B$2,CA$100,$B$3,$BW$99,0)</f>
        <v>1.7823213843019738E-2</v>
      </c>
      <c r="CB111" s="1" cm="1">
        <f t="array" ref="CB111">OptionGamma($BV111,$B$2,CB$100,$B$3,$BW$99,0)</f>
        <v>1.8908593172743498E-2</v>
      </c>
      <c r="CC111" s="1" cm="1">
        <f t="array" ref="CC111">OptionGamma($BV111,$B$2,CC$100,$B$3,$BW$99,0)</f>
        <v>1.9483332622964505E-2</v>
      </c>
      <c r="CD111" s="1" cm="1">
        <f t="array" ref="CD111">OptionGamma($BV111,$B$2,CD$100,$B$3,$BW$99,0)</f>
        <v>1.9742547542846399E-2</v>
      </c>
      <c r="CE111" s="1" cm="1">
        <f t="array" ref="CE111">OptionGamma($BV111,$B$2,CE$100,$B$3,$BW$99,0)</f>
        <v>1.9803191408745976E-2</v>
      </c>
      <c r="CF111" s="1" cm="1">
        <f t="array" ref="CF111">OptionGamma($BV111,$B$2,CF$100,$B$3,$BW$99,0)</f>
        <v>1.9737190221859435E-2</v>
      </c>
      <c r="CG111" s="1" cm="1">
        <f t="array" ref="CG111">OptionGamma($BV111,$B$2,CG$100,$B$3,$BW$99,0)</f>
        <v>1.7318613598151577E-2</v>
      </c>
      <c r="CH111" s="1" cm="1">
        <f t="array" ref="CH111">OptionGamma($BV111,$B$2,CH$100,$B$3,$BW$99,0)</f>
        <v>1.5081963394812057E-2</v>
      </c>
      <c r="CI111" s="1" cm="1">
        <f t="array" ref="CI111">OptionGamma($BV111,$B$2,CI$100,$B$3,$BW$99,0)</f>
        <v>1.3413459498534529E-2</v>
      </c>
      <c r="CJ111" s="1" cm="1">
        <f t="array" ref="CJ111">OptionGamma($BV111,$B$2,CJ$100,$B$3,$BW$99,0)</f>
        <v>1.2135644435772964E-2</v>
      </c>
      <c r="CS111" s="145"/>
      <c r="CT111" s="14">
        <v>110</v>
      </c>
      <c r="CU111" s="1" cm="1">
        <f t="array" ref="CU111">OptionVega($CT111,$B$2,CU$100,$B$3,$CU$99,0)</f>
        <v>1.2798321316875715E-3</v>
      </c>
      <c r="CV111" s="1" cm="1">
        <f t="array" ref="CV111">OptionVega($CT111,$B$2,CV$100,$B$3,$CU$99,0)</f>
        <v>1.751723241894686E-2</v>
      </c>
      <c r="CW111" s="1" cm="1">
        <f t="array" ref="CW111">OptionVega($CT111,$B$2,CW$100,$B$3,$CU$99,0)</f>
        <v>4.5686150128548215E-2</v>
      </c>
      <c r="CX111" s="1" cm="1">
        <f t="array" ref="CX111">OptionVega($CT111,$B$2,CX$100,$B$3,$CU$99,0)</f>
        <v>7.6938968689493709E-2</v>
      </c>
      <c r="CY111" s="1" cm="1">
        <f t="array" ref="CY111">OptionVega($CT111,$B$2,CY$100,$B$3,$CU$99,0)</f>
        <v>0.10783044375026946</v>
      </c>
      <c r="CZ111" s="1" cm="1">
        <f t="array" ref="CZ111">OptionVega($CT111,$B$2,CZ$100,$B$3,$CU$99,0)</f>
        <v>0.13727638643411783</v>
      </c>
      <c r="DA111" s="1" cm="1">
        <f t="array" ref="DA111">OptionVega($CT111,$B$2,DA$100,$B$3,$CU$99,0)</f>
        <v>0.16502382731650939</v>
      </c>
      <c r="DB111" s="1" cm="1">
        <f t="array" ref="DB111">OptionVega($CT111,$B$2,DB$100,$B$3,$CU$99,0)</f>
        <v>0.19110786021475312</v>
      </c>
      <c r="DC111" s="1" cm="1">
        <f t="array" ref="DC111">OptionVega($CT111,$B$2,DC$100,$B$3,$CU$99,0)</f>
        <v>0.21565675444124369</v>
      </c>
      <c r="DD111" s="1" cm="1">
        <f t="array" ref="DD111">OptionVega($CT111,$B$2,DD$100,$B$3,$CU$99,0)</f>
        <v>0.23882000168449918</v>
      </c>
      <c r="DE111" s="1" cm="1">
        <f t="array" ref="DE111">OptionVega($CT111,$B$2,DE$100,$B$3,$CU$99,0)</f>
        <v>0.41911044907526829</v>
      </c>
      <c r="DF111" s="1" cm="1">
        <f t="array" ref="DF111">OptionVega($CT111,$B$2,DF$100,$B$3,$CU$99,0)</f>
        <v>0.54747527123167761</v>
      </c>
      <c r="DG111" s="1" cm="1">
        <f t="array" ref="DG111">OptionVega($CT111,$B$2,DG$100,$B$3,$CU$99,0)</f>
        <v>0.64921143972907125</v>
      </c>
      <c r="DH111" s="1" cm="1">
        <f t="array" ref="DH111">OptionVega($CT111,$B$2,DH$100,$B$3,$CU$99,0)</f>
        <v>0.73420648836426439</v>
      </c>
      <c r="DQ111" s="130"/>
      <c r="DR111" s="14">
        <v>110</v>
      </c>
      <c r="DS111" s="1" cm="1">
        <f t="array" ref="DS111">OptionRho("P",$DR111,$B$2,DS$100,$B$3,$DS$99,0)</f>
        <v>-1.2224207973860371E-4</v>
      </c>
      <c r="DT111" s="1" cm="1">
        <f t="array" ref="DT111">OptionRho("P",$DR111,$B$2,DT$100,$B$3,$DS$99,0)</f>
        <v>-3.1212121757166339E-3</v>
      </c>
      <c r="DU111" s="1" cm="1">
        <f t="array" ref="DU111">OptionRho("P",$DR111,$B$2,DU$100,$B$3,$DS$99,0)</f>
        <v>-1.1536916845379729E-2</v>
      </c>
      <c r="DV111" s="1" cm="1">
        <f t="array" ref="DV111">OptionRho("P",$DR111,$B$2,DV$100,$B$3,$DS$99,0)</f>
        <v>-2.4681032286023089E-2</v>
      </c>
      <c r="DW111" s="1" cm="1">
        <f t="array" ref="DW111">OptionRho("P",$DR111,$B$2,DW$100,$B$3,$DS$99,0)</f>
        <v>-4.1439734620382668E-2</v>
      </c>
      <c r="DX111" s="1" cm="1">
        <f t="array" ref="DX111">OptionRho("P",$DR111,$B$2,DX$100,$B$3,$DS$99,0)</f>
        <v>-6.0946395009041206E-2</v>
      </c>
      <c r="DY111" s="1" cm="1">
        <f t="array" ref="DY111">OptionRho("P",$DR111,$B$2,DY$100,$B$3,$DS$99,0)</f>
        <v>-8.2579818420475543E-2</v>
      </c>
      <c r="DZ111" s="1" cm="1">
        <f t="array" ref="DZ111">OptionRho("P",$DR111,$B$2,DZ$100,$B$3,$DS$99,0)</f>
        <v>-0.10589364670422449</v>
      </c>
      <c r="EA111" s="1" cm="1">
        <f t="array" ref="EA111">OptionRho("P",$DR111,$B$2,EA$100,$B$3,$DS$99,0)</f>
        <v>-0.13056052320905745</v>
      </c>
      <c r="EB111" s="1" cm="1">
        <f t="array" ref="EB111">OptionRho("P",$DR111,$B$2,EB$100,$B$3,$DS$99,0)</f>
        <v>-0.15633468393362246</v>
      </c>
      <c r="EC111" s="1" cm="1">
        <f t="array" ref="EC111">OptionRho("P",$DR111,$B$2,EC$100,$B$3,$DS$99,0)</f>
        <v>-0.44744114329833878</v>
      </c>
      <c r="ED111" s="1" cm="1">
        <f t="array" ref="ED111">OptionRho("P",$DR111,$B$2,ED$100,$B$3,$DS$99,0)</f>
        <v>-0.76306938538913072</v>
      </c>
      <c r="EE111" s="1" cm="1">
        <f t="array" ref="EE111">OptionRho("P",$DR111,$B$2,EE$100,$B$3,$DS$99,0)</f>
        <v>-1.0842371938523891</v>
      </c>
      <c r="EF111" s="1" cm="1">
        <f t="array" ref="EF111">OptionRho("P",$DR111,$B$2,EF$100,$B$3,$DS$99,0)</f>
        <v>-1.4043642802347476</v>
      </c>
    </row>
    <row r="112" spans="1:136" x14ac:dyDescent="0.2">
      <c r="A112" s="133"/>
      <c r="B112" s="14">
        <v>115</v>
      </c>
      <c r="C112" s="1" cm="1">
        <f t="array" ref="C112">OptionPrice("P",$B112,$B$2,C$100,$B$3,$C$99,0)</f>
        <v>2.9829422782984717E-6</v>
      </c>
      <c r="D112" s="1" cm="1">
        <f t="array" ref="D112">OptionPrice("P",$B112,$B$2,D$100,$B$3,$C$99,0)</f>
        <v>9.917680794726963E-4</v>
      </c>
      <c r="E112" s="1" cm="1">
        <f t="array" ref="E112">OptionPrice("P",$B112,$B$2,E$100,$B$3,$C$99,0)</f>
        <v>8.4077460028033069E-3</v>
      </c>
      <c r="F112" s="1" cm="1">
        <f t="array" ref="F112">OptionPrice("P",$B112,$B$2,F$100,$B$3,$C$99,0)</f>
        <v>2.6798907596761179E-2</v>
      </c>
      <c r="G112" s="1" cm="1">
        <f t="array" ref="G112">OptionPrice("P",$B112,$B$2,G$100,$B$3,$C$99,0)</f>
        <v>5.6507255614942853E-2</v>
      </c>
      <c r="H112" s="1" cm="1">
        <f t="array" ref="H112">OptionPrice("P",$B112,$B$2,H$100,$B$3,$C$99,0)</f>
        <v>9.5918374514022187E-2</v>
      </c>
      <c r="I112" s="1" cm="1">
        <f t="array" ref="I112">OptionPrice("P",$B112,$B$2,I$100,$B$3,$C$99,0)</f>
        <v>0.14303584082750653</v>
      </c>
      <c r="J112" s="1" cm="1">
        <f t="array" ref="J112">OptionPrice("P",$B112,$B$2,J$100,$B$3,$C$99,0)</f>
        <v>0.19605014269072374</v>
      </c>
      <c r="K112" s="1" cm="1">
        <f t="array" ref="K112">OptionPrice("P",$B112,$B$2,K$100,$B$3,$C$99,0)</f>
        <v>0.25347386505244174</v>
      </c>
      <c r="L112" s="1" cm="1">
        <f t="array" ref="L112">OptionPrice("P",$B112,$B$2,L$100,$B$3,$C$99,0)</f>
        <v>0.31412987073168885</v>
      </c>
      <c r="M112" s="1" cm="1">
        <f t="array" ref="M112">OptionPrice("P",$B112,$B$2,M$100,$B$3,$C$99,0)</f>
        <v>0.96966101332405152</v>
      </c>
      <c r="N112" s="1" cm="1">
        <f t="array" ref="N112">OptionPrice("P",$B112,$B$2,N$100,$B$3,$C$99,0)</f>
        <v>1.5793278310736518</v>
      </c>
      <c r="O112" s="1" cm="1">
        <f t="array" ref="O112">OptionPrice("P",$B112,$B$2,O$100,$B$3,$C$99,0)</f>
        <v>2.1094927008309092</v>
      </c>
      <c r="P112" s="1" cm="1">
        <f t="array" ref="P112">OptionPrice("P",$B112,$B$2,P$100,$B$3,$C$99,0)</f>
        <v>2.568537642548133</v>
      </c>
      <c r="Y112" s="136"/>
      <c r="Z112" s="14">
        <v>115</v>
      </c>
      <c r="AA112" s="1" cm="1">
        <f t="array" ref="AA112">OptionDelta("P",$Z112,$B$2,AA$100,$B$3,$AA$99,0)</f>
        <v>-3.964449127424885E-6</v>
      </c>
      <c r="AB112" s="1" cm="1">
        <f t="array" ref="AB112">OptionDelta("P",$Z112,$B$2,AB$100,$B$3,$AA$99,0)</f>
        <v>-7.0583548483338365E-4</v>
      </c>
      <c r="AC112" s="1" cm="1">
        <f t="array" ref="AC112">OptionDelta("P",$Z112,$B$2,AC$100,$B$3,$AA$99,0)</f>
        <v>-4.22113045457706E-3</v>
      </c>
      <c r="AD112" s="1" cm="1">
        <f t="array" ref="AD112">OptionDelta("P",$Z112,$B$2,AD$100,$B$3,$AA$99,0)</f>
        <v>-1.0591727709338028E-2</v>
      </c>
      <c r="AE112" s="1" cm="1">
        <f t="array" ref="AE112">OptionDelta("P",$Z112,$B$2,AE$100,$B$3,$AA$99,0)</f>
        <v>-1.8643924359551423E-2</v>
      </c>
      <c r="AF112" s="1" cm="1">
        <f t="array" ref="AF112">OptionDelta("P",$Z112,$B$2,AF$100,$B$3,$AA$99,0)</f>
        <v>-2.7396855446360169E-2</v>
      </c>
      <c r="AG112" s="1" cm="1">
        <f t="array" ref="AG112">OptionDelta("P",$Z112,$B$2,AG$100,$B$3,$AA$99,0)</f>
        <v>-3.6249348015701011E-2</v>
      </c>
      <c r="AH112" s="1" cm="1">
        <f t="array" ref="AH112">OptionDelta("P",$Z112,$B$2,AH$100,$B$3,$AA$99,0)</f>
        <v>-4.4871958417935009E-2</v>
      </c>
      <c r="AI112" s="1" cm="1">
        <f t="array" ref="AI112">OptionDelta("P",$Z112,$B$2,AI$100,$B$3,$AA$99,0)</f>
        <v>-5.3098771928445476E-2</v>
      </c>
      <c r="AJ112" s="1" cm="1">
        <f t="array" ref="AJ112">OptionDelta("P",$Z112,$B$2,AJ$100,$B$3,$AA$99,0)</f>
        <v>-6.08569760408737E-2</v>
      </c>
      <c r="AK112" s="1" cm="1">
        <f t="array" ref="AK112">OptionDelta("P",$Z112,$B$2,AK$100,$B$3,$AA$99,0)</f>
        <v>-0.11499236256428202</v>
      </c>
      <c r="AL112" s="1" cm="1">
        <f t="array" ref="AL112">OptionDelta("P",$Z112,$B$2,AL$100,$B$3,$AA$99,0)</f>
        <v>-0.14304833986221999</v>
      </c>
      <c r="AM112" s="1" cm="1">
        <f t="array" ref="AM112">OptionDelta("P",$Z112,$B$2,AM$100,$B$3,$AA$99,0)</f>
        <v>-0.15894344022156293</v>
      </c>
      <c r="AN112" s="1" cm="1">
        <f t="array" ref="AN112">OptionDelta("P",$Z112,$B$2,AN$100,$B$3,$AA$99,0)</f>
        <v>-0.16841574919746671</v>
      </c>
      <c r="AW112" s="139"/>
      <c r="AX112" s="14">
        <v>115</v>
      </c>
      <c r="AY112" s="1" cm="1">
        <f t="array" ref="AY112">OptionTheta("P",$AX112,$B$2,AY$100,$B$3,$AY$99,0)</f>
        <v>-9.3541088387066068E-7</v>
      </c>
      <c r="AZ112" s="1" cm="1">
        <f t="array" ref="AZ112">OptionTheta("P",$AX112,$B$2,AZ$100,$B$3,$AY$99,0)</f>
        <v>-8.8337350130216708E-5</v>
      </c>
      <c r="BA112" s="1" cm="1">
        <f t="array" ref="BA112">OptionTheta("P",$AX112,$B$2,BA$100,$B$3,$AY$99,0)</f>
        <v>-3.7108017532474157E-4</v>
      </c>
      <c r="BB112" s="1" cm="1">
        <f t="array" ref="BB112">OptionTheta("P",$AX112,$B$2,BB$100,$B$3,$AY$99,0)</f>
        <v>-7.3209341400207325E-4</v>
      </c>
      <c r="BC112" s="1" cm="1">
        <f t="array" ref="BC112">OptionTheta("P",$AX112,$B$2,BC$100,$B$3,$AY$99,0)</f>
        <v>-1.0765042035154636E-3</v>
      </c>
      <c r="BD112" s="1" cm="1">
        <f t="array" ref="BD112">OptionTheta("P",$AX112,$B$2,BD$100,$B$3,$AY$99,0)</f>
        <v>-1.3721452322052454E-3</v>
      </c>
      <c r="BE112" s="1" cm="1">
        <f t="array" ref="BE112">OptionTheta("P",$AX112,$B$2,BE$100,$B$3,$AY$99,0)</f>
        <v>-1.6154776136525215E-3</v>
      </c>
      <c r="BF112" s="1" cm="1">
        <f t="array" ref="BF112">OptionTheta("P",$AX112,$B$2,BF$100,$B$3,$AY$99,0)</f>
        <v>-1.8123905415308981E-3</v>
      </c>
      <c r="BG112" s="1" cm="1">
        <f t="array" ref="BG112">OptionTheta("P",$AX112,$B$2,BG$100,$B$3,$AY$99,0)</f>
        <v>-1.9707462028578145E-3</v>
      </c>
      <c r="BH112" s="1" cm="1">
        <f t="array" ref="BH112">OptionTheta("P",$AX112,$B$2,BH$100,$B$3,$AY$99,0)</f>
        <v>-2.0978836528987299E-3</v>
      </c>
      <c r="BI112" s="1" cm="1">
        <f t="array" ref="BI112">OptionTheta("P",$AX112,$B$2,BI$100,$B$3,$AY$99,0)</f>
        <v>-2.5509442911510727E-3</v>
      </c>
      <c r="BJ112" s="1" cm="1">
        <f t="array" ref="BJ112">OptionTheta("P",$AX112,$B$2,BJ$100,$B$3,$AY$99,0)</f>
        <v>-2.5481223319059488E-3</v>
      </c>
      <c r="BK112" s="1" cm="1">
        <f t="array" ref="BK112">OptionTheta("P",$AX112,$B$2,BK$100,$B$3,$AY$99,0)</f>
        <v>-2.4667774209421972E-3</v>
      </c>
      <c r="BL112" s="1" cm="1">
        <f t="array" ref="BL112">OptionTheta("P",$AX112,$B$2,BL$100,$B$3,$AY$99,0)</f>
        <v>-2.3731101900968526E-3</v>
      </c>
      <c r="BU112" s="142"/>
      <c r="BV112" s="14">
        <v>115</v>
      </c>
      <c r="BW112" s="1" cm="1">
        <f t="array" ref="BW112">OptionGamma($BV112,$B$2,BW$100,$B$3,$BW$99,0)</f>
        <v>5.0939285700327113E-6</v>
      </c>
      <c r="BX112" s="1" cm="1">
        <f t="array" ref="BX112">OptionGamma($BV112,$B$2,BX$100,$B$3,$BW$99,0)</f>
        <v>4.751834300064429E-4</v>
      </c>
      <c r="BY112" s="1" cm="1">
        <f t="array" ref="BY112">OptionGamma($BV112,$B$2,BY$100,$B$3,$BW$99,0)</f>
        <v>1.9736239926009679E-3</v>
      </c>
      <c r="BZ112" s="1" cm="1">
        <f t="array" ref="BZ112">OptionGamma($BV112,$B$2,BZ$100,$B$3,$BW$99,0)</f>
        <v>3.8527882067153165E-3</v>
      </c>
      <c r="CA112" s="1" cm="1">
        <f t="array" ref="CA112">OptionGamma($BV112,$B$2,CA$100,$B$3,$BW$99,0)</f>
        <v>5.6093527215653792E-3</v>
      </c>
      <c r="CB112" s="1" cm="1">
        <f t="array" ref="CB112">OptionGamma($BV112,$B$2,CB$100,$B$3,$BW$99,0)</f>
        <v>7.0830615084530833E-3</v>
      </c>
      <c r="CC112" s="1" cm="1">
        <f t="array" ref="CC112">OptionGamma($BV112,$B$2,CC$100,$B$3,$BW$99,0)</f>
        <v>8.2651375479295131E-3</v>
      </c>
      <c r="CD112" s="1" cm="1">
        <f t="array" ref="CD112">OptionGamma($BV112,$B$2,CD$100,$B$3,$BW$99,0)</f>
        <v>9.19409140342148E-3</v>
      </c>
      <c r="CE112" s="1" cm="1">
        <f t="array" ref="CE112">OptionGamma($BV112,$B$2,CE$100,$B$3,$BW$99,0)</f>
        <v>9.9164315716425769E-3</v>
      </c>
      <c r="CF112" s="1" cm="1">
        <f t="array" ref="CF112">OptionGamma($BV112,$B$2,CF$100,$B$3,$BW$99,0)</f>
        <v>1.0474112849205517E-2</v>
      </c>
      <c r="CG112" s="1" cm="1">
        <f t="array" ref="CG112">OptionGamma($BV112,$B$2,CG$100,$B$3,$BW$99,0)</f>
        <v>1.193431892911874E-2</v>
      </c>
      <c r="CH112" s="1" cm="1">
        <f t="array" ref="CH112">OptionGamma($BV112,$B$2,CH$100,$B$3,$BW$99,0)</f>
        <v>1.1338612960202372E-2</v>
      </c>
      <c r="CI112" s="1" cm="1">
        <f t="array" ref="CI112">OptionGamma($BV112,$B$2,CI$100,$B$3,$BW$99,0)</f>
        <v>1.053298866360371E-2</v>
      </c>
      <c r="CJ112" s="1" cm="1">
        <f t="array" ref="CJ112">OptionGamma($BV112,$B$2,CJ$100,$B$3,$BW$99,0)</f>
        <v>9.7818031211006871E-3</v>
      </c>
      <c r="CS112" s="145"/>
      <c r="CT112" s="14">
        <v>115</v>
      </c>
      <c r="CU112" s="1" cm="1">
        <f t="array" ref="CU112">OptionVega($CT112,$B$2,CU$100,$B$3,$CU$99,0)</f>
        <v>6.7367205338682622E-6</v>
      </c>
      <c r="CV112" s="1" cm="1">
        <f t="array" ref="CV112">OptionVega($CT112,$B$2,CV$100,$B$3,$CU$99,0)</f>
        <v>1.2568601723670415E-3</v>
      </c>
      <c r="CW112" s="1" cm="1">
        <f t="array" ref="CW112">OptionVega($CT112,$B$2,CW$100,$B$3,$CU$99,0)</f>
        <v>7.8303531906443406E-3</v>
      </c>
      <c r="CX112" s="1" cm="1">
        <f t="array" ref="CX112">OptionVega($CT112,$B$2,CX$100,$B$3,$CU$99,0)</f>
        <v>2.0381249613524031E-2</v>
      </c>
      <c r="CY112" s="1" cm="1">
        <f t="array" ref="CY112">OptionVega($CT112,$B$2,CY$100,$B$3,$CU$99,0)</f>
        <v>3.709184487135108E-2</v>
      </c>
      <c r="CZ112" s="1" cm="1">
        <f t="array" ref="CZ112">OptionVega($CT112,$B$2,CZ$100,$B$3,$CU$99,0)</f>
        <v>5.6204093069575231E-2</v>
      </c>
      <c r="DA112" s="1" cm="1">
        <f t="array" ref="DA112">OptionVega($CT112,$B$2,DA$100,$B$3,$CU$99,0)</f>
        <v>7.6514510849957487E-2</v>
      </c>
      <c r="DB112" s="1" cm="1">
        <f t="array" ref="DB112">OptionVega($CT112,$B$2,DB$100,$B$3,$CU$99,0)</f>
        <v>9.727348704819927E-2</v>
      </c>
      <c r="DC112" s="1" cm="1">
        <f t="array" ref="DC112">OptionVega($CT112,$B$2,DC$100,$B$3,$CU$99,0)</f>
        <v>0.11803032678147582</v>
      </c>
      <c r="DD112" s="1" cm="1">
        <f t="array" ref="DD112">OptionVega($CT112,$B$2,DD$100,$B$3,$CU$99,0)</f>
        <v>0.13852014243074298</v>
      </c>
      <c r="DE112" s="1" cm="1">
        <f t="array" ref="DE112">OptionVega($CT112,$B$2,DE$100,$B$3,$CU$99,0)</f>
        <v>0.31566273567519076</v>
      </c>
      <c r="DF112" s="1" cm="1">
        <f t="array" ref="DF112">OptionVega($CT112,$B$2,DF$100,$B$3,$CU$99,0)</f>
        <v>0.4498594691960292</v>
      </c>
      <c r="DG112" s="1" cm="1">
        <f t="array" ref="DG112">OptionVega($CT112,$B$2,DG$100,$B$3,$CU$99,0)</f>
        <v>0.55719510030463637</v>
      </c>
      <c r="DH112" s="1" cm="1">
        <f t="array" ref="DH112">OptionVega($CT112,$B$2,DH$100,$B$3,$CU$99,0)</f>
        <v>0.6468217313827832</v>
      </c>
      <c r="DQ112" s="130"/>
      <c r="DR112" s="14">
        <v>115</v>
      </c>
      <c r="DS112" s="1" cm="1">
        <f t="array" ref="DS112">OptionRho("P",$DR112,$B$2,DS$100,$B$3,$DS$99,0)</f>
        <v>-4.5889459193781019E-7</v>
      </c>
      <c r="DT112" s="1" cm="1">
        <f t="array" ref="DT112">OptionRho("P",$DR112,$B$2,DT$100,$B$3,$DS$99,0)</f>
        <v>-1.6432569767061279E-4</v>
      </c>
      <c r="DU112" s="1" cm="1">
        <f t="array" ref="DU112">OptionRho("P",$DR112,$B$2,DU$100,$B$3,$DS$99,0)</f>
        <v>-1.4815132448374967E-3</v>
      </c>
      <c r="DV112" s="1" cm="1">
        <f t="array" ref="DV112">OptionRho("P",$DR112,$B$2,DV$100,$B$3,$DS$99,0)</f>
        <v>-4.979390376682576E-3</v>
      </c>
      <c r="DW112" s="1" cm="1">
        <f t="array" ref="DW112">OptionRho("P",$DR112,$B$2,DW$100,$B$3,$DS$99,0)</f>
        <v>-1.1002792784816771E-2</v>
      </c>
      <c r="DX112" s="1" cm="1">
        <f t="array" ref="DX112">OptionRho("P",$DR112,$B$2,DX$100,$B$3,$DS$99,0)</f>
        <v>-1.9479340505072669E-2</v>
      </c>
      <c r="DY112" s="1" cm="1">
        <f t="array" ref="DY112">OptionRho("P",$DR112,$B$2,DY$100,$B$3,$DS$99,0)</f>
        <v>-3.018197603843184E-2</v>
      </c>
      <c r="DZ112" s="1" cm="1">
        <f t="array" ref="DZ112">OptionRho("P",$DR112,$B$2,DZ$100,$B$3,$DS$99,0)</f>
        <v>-4.2850602886025969E-2</v>
      </c>
      <c r="EA112" s="1" cm="1">
        <f t="array" ref="EA112">OptionRho("P",$DR112,$B$2,EA$100,$B$3,$DS$99,0)</f>
        <v>-5.723849373141307E-2</v>
      </c>
      <c r="EB112" s="1" cm="1">
        <f t="array" ref="EB112">OptionRho("P",$DR112,$B$2,EB$100,$B$3,$DS$99,0)</f>
        <v>-7.312682115432162E-2</v>
      </c>
      <c r="EC112" s="1" cm="1">
        <f t="array" ref="EC112">OptionRho("P",$DR112,$B$2,EC$100,$B$3,$DS$99,0)</f>
        <v>-0.28387565416432975</v>
      </c>
      <c r="ED112" s="1" cm="1">
        <f t="array" ref="ED112">OptionRho("P",$DR112,$B$2,ED$100,$B$3,$DS$99,0)</f>
        <v>-0.54089660745686829</v>
      </c>
      <c r="EE112" s="1" cm="1">
        <f t="array" ref="EE112">OptionRho("P",$DR112,$B$2,EE$100,$B$3,$DS$99,0)</f>
        <v>-0.81551953305242597</v>
      </c>
      <c r="EF112" s="1" cm="1">
        <f t="array" ref="EF112">OptionRho("P",$DR112,$B$2,EF$100,$B$3,$DS$99,0)</f>
        <v>-1.0968174400128408</v>
      </c>
    </row>
    <row r="113" spans="1:136" x14ac:dyDescent="0.2">
      <c r="A113" s="133"/>
      <c r="B113" s="14">
        <v>120</v>
      </c>
      <c r="C113" s="1" cm="1">
        <f t="array" ref="C113">OptionPrice("P",$B113,$B$2,C$100,$B$3,$C$99,0)</f>
        <v>1.9090813380794334E-9</v>
      </c>
      <c r="D113" s="1" cm="1">
        <f t="array" ref="D113">OptionPrice("P",$B113,$B$2,D$100,$B$3,$C$99,0)</f>
        <v>2.0260487684788629E-5</v>
      </c>
      <c r="E113" s="1" cm="1">
        <f t="array" ref="E113">OptionPrice("P",$B113,$B$2,E$100,$B$3,$C$99,0)</f>
        <v>5.5333929210071853E-4</v>
      </c>
      <c r="F113" s="1" cm="1">
        <f t="array" ref="F113">OptionPrice("P",$B113,$B$2,F$100,$B$3,$C$99,0)</f>
        <v>3.1921467491421163E-3</v>
      </c>
      <c r="G113" s="1" cm="1">
        <f t="array" ref="G113">OptionPrice("P",$B113,$B$2,G$100,$B$3,$C$99,0)</f>
        <v>9.657847451463919E-3</v>
      </c>
      <c r="H113" s="1" cm="1">
        <f t="array" ref="H113">OptionPrice("P",$B113,$B$2,H$100,$B$3,$C$99,0)</f>
        <v>2.0926506745643558E-2</v>
      </c>
      <c r="I113" s="1" cm="1">
        <f t="array" ref="I113">OptionPrice("P",$B113,$B$2,I$100,$B$3,$C$99,0)</f>
        <v>3.7240257843432767E-2</v>
      </c>
      <c r="J113" s="1" cm="1">
        <f t="array" ref="J113">OptionPrice("P",$B113,$B$2,J$100,$B$3,$C$99,0)</f>
        <v>5.8382989360118875E-2</v>
      </c>
      <c r="K113" s="1" cm="1">
        <f t="array" ref="K113">OptionPrice("P",$B113,$B$2,K$100,$B$3,$C$99,0)</f>
        <v>8.3912381449362528E-2</v>
      </c>
      <c r="L113" s="1" cm="1">
        <f t="array" ref="L113">OptionPrice("P",$B113,$B$2,L$100,$B$3,$C$99,0)</f>
        <v>0.11330349605475254</v>
      </c>
      <c r="M113" s="1" cm="1">
        <f t="array" ref="M113">OptionPrice("P",$B113,$B$2,M$100,$B$3,$C$99,0)</f>
        <v>0.52459623121660925</v>
      </c>
      <c r="N113" s="1" cm="1">
        <f t="array" ref="N113">OptionPrice("P",$B113,$B$2,N$100,$B$3,$C$99,0)</f>
        <v>0.99172013427496708</v>
      </c>
      <c r="O113" s="1" cm="1">
        <f t="array" ref="O113">OptionPrice("P",$B113,$B$2,O$100,$B$3,$C$99,0)</f>
        <v>1.4353810965419846</v>
      </c>
      <c r="P113" s="1" cm="1">
        <f t="array" ref="P113">OptionPrice("P",$B113,$B$2,P$100,$B$3,$C$99,0)</f>
        <v>1.8396246475864722</v>
      </c>
      <c r="Y113" s="136"/>
      <c r="Z113" s="14">
        <v>120</v>
      </c>
      <c r="AA113" s="1" cm="1">
        <f t="array" ref="AA113">OptionDelta("P",$Z113,$B$2,AA$100,$B$3,$AA$99,0)</f>
        <v>-3.0691061914112083E-9</v>
      </c>
      <c r="AB113" s="1" cm="1">
        <f t="array" ref="AB113">OptionDelta("P",$Z113,$B$2,AB$100,$B$3,$AA$99,0)</f>
        <v>-1.7071243458399721E-5</v>
      </c>
      <c r="AC113" s="1" cm="1">
        <f t="array" ref="AC113">OptionDelta("P",$Z113,$B$2,AC$100,$B$3,$AA$99,0)</f>
        <v>-3.2376867290062616E-4</v>
      </c>
      <c r="AD113" s="1" cm="1">
        <f t="array" ref="AD113">OptionDelta("P",$Z113,$B$2,AD$100,$B$3,$AA$99,0)</f>
        <v>-1.4524545858777271E-3</v>
      </c>
      <c r="AE113" s="1" cm="1">
        <f t="array" ref="AE113">OptionDelta("P",$Z113,$B$2,AE$100,$B$3,$AA$99,0)</f>
        <v>-3.6321125620839556E-3</v>
      </c>
      <c r="AF113" s="1" cm="1">
        <f t="array" ref="AF113">OptionDelta("P",$Z113,$B$2,AF$100,$B$3,$AA$99,0)</f>
        <v>-6.7565841192067655E-3</v>
      </c>
      <c r="AG113" s="1" cm="1">
        <f t="array" ref="AG113">OptionDelta("P",$Z113,$B$2,AG$100,$B$3,$AA$99,0)</f>
        <v>-1.0592855898519771E-2</v>
      </c>
      <c r="AH113" s="1" cm="1">
        <f t="array" ref="AH113">OptionDelta("P",$Z113,$B$2,AH$100,$B$3,$AA$99,0)</f>
        <v>-1.4905931616100987E-2</v>
      </c>
      <c r="AI113" s="1" cm="1">
        <f t="array" ref="AI113">OptionDelta("P",$Z113,$B$2,AI$100,$B$3,$AA$99,0)</f>
        <v>-1.9502200944108816E-2</v>
      </c>
      <c r="AJ113" s="1" cm="1">
        <f t="array" ref="AJ113">OptionDelta("P",$Z113,$B$2,AJ$100,$B$3,$AA$99,0)</f>
        <v>-2.4235503765815403E-2</v>
      </c>
      <c r="AK113" s="1" cm="1">
        <f t="array" ref="AK113">OptionDelta("P",$Z113,$B$2,AK$100,$B$3,$AA$99,0)</f>
        <v>-6.6633805759227727E-2</v>
      </c>
      <c r="AL113" s="1" cm="1">
        <f t="array" ref="AL113">OptionDelta("P",$Z113,$B$2,AL$100,$B$3,$AA$99,0)</f>
        <v>-9.468558585603748E-2</v>
      </c>
      <c r="AM113" s="1" cm="1">
        <f t="array" ref="AM113">OptionDelta("P",$Z113,$B$2,AM$100,$B$3,$AA$99,0)</f>
        <v>-0.11283127675234184</v>
      </c>
      <c r="AN113" s="1" cm="1">
        <f t="array" ref="AN113">OptionDelta("P",$Z113,$B$2,AN$100,$B$3,$AA$99,0)</f>
        <v>-0.12491199749354731</v>
      </c>
      <c r="AW113" s="139"/>
      <c r="AX113" s="14">
        <v>120</v>
      </c>
      <c r="AY113" s="1" cm="1">
        <f t="array" ref="AY113">OptionTheta("P",$AX113,$B$2,AY$100,$B$3,$AY$99,0)</f>
        <v>-9.6356189969112054E-10</v>
      </c>
      <c r="AZ113" s="1" cm="1">
        <f t="array" ref="AZ113">OptionTheta("P",$AX113,$B$2,AZ$100,$B$3,$AY$99,0)</f>
        <v>-2.7944210346146551E-6</v>
      </c>
      <c r="BA113" s="1" cm="1">
        <f t="array" ref="BA113">OptionTheta("P",$AX113,$B$2,BA$100,$B$3,$AY$99,0)</f>
        <v>-3.6716145388371676E-5</v>
      </c>
      <c r="BB113" s="1" cm="1">
        <f t="array" ref="BB113">OptionTheta("P",$AX113,$B$2,BB$100,$B$3,$AY$99,0)</f>
        <v>-1.2801884230967088E-4</v>
      </c>
      <c r="BC113" s="1" cm="1">
        <f t="array" ref="BC113">OptionTheta("P",$AX113,$B$2,BC$100,$B$3,$AY$99,0)</f>
        <v>-2.6480027846940464E-4</v>
      </c>
      <c r="BD113" s="1" cm="1">
        <f t="array" ref="BD113">OptionTheta("P",$AX113,$B$2,BD$100,$B$3,$AY$99,0)</f>
        <v>-4.2360929301408969E-4</v>
      </c>
      <c r="BE113" s="1" cm="1">
        <f t="array" ref="BE113">OptionTheta("P",$AX113,$B$2,BE$100,$B$3,$AY$99,0)</f>
        <v>-5.8646693394867546E-4</v>
      </c>
      <c r="BF113" s="1" cm="1">
        <f t="array" ref="BF113">OptionTheta("P",$AX113,$B$2,BF$100,$B$3,$AY$99,0)</f>
        <v>-7.4285847889004003E-4</v>
      </c>
      <c r="BG113" s="1" cm="1">
        <f t="array" ref="BG113">OptionTheta("P",$AX113,$B$2,BG$100,$B$3,$AY$99,0)</f>
        <v>-8.8762385724964164E-4</v>
      </c>
      <c r="BH113" s="1" cm="1">
        <f t="array" ref="BH113">OptionTheta("P",$AX113,$B$2,BH$100,$B$3,$AY$99,0)</f>
        <v>-1.0188095546439728E-3</v>
      </c>
      <c r="BI113" s="1" cm="1">
        <f t="array" ref="BI113">OptionTheta("P",$AX113,$B$2,BI$100,$B$3,$AY$99,0)</f>
        <v>-1.7358881513894816E-3</v>
      </c>
      <c r="BJ113" s="1" cm="1">
        <f t="array" ref="BJ113">OptionTheta("P",$AX113,$B$2,BJ$100,$B$3,$AY$99,0)</f>
        <v>-1.9386536381491458E-3</v>
      </c>
      <c r="BK113" s="1" cm="1">
        <f t="array" ref="BK113">OptionTheta("P",$AX113,$B$2,BK$100,$B$3,$AY$99,0)</f>
        <v>-1.9841435842851804E-3</v>
      </c>
      <c r="BL113" s="1" cm="1">
        <f t="array" ref="BL113">OptionTheta("P",$AX113,$B$2,BL$100,$B$3,$AY$99,0)</f>
        <v>-1.9736491476758482E-3</v>
      </c>
      <c r="BU113" s="142"/>
      <c r="BV113" s="14">
        <v>120</v>
      </c>
      <c r="BW113" s="1" cm="1">
        <f t="array" ref="BW113">OptionGamma($BV113,$B$2,BW$100,$B$3,$BW$99,0)</f>
        <v>4.8333065983836828E-9</v>
      </c>
      <c r="BX113" s="1" cm="1">
        <f t="array" ref="BX113">OptionGamma($BV113,$B$2,BX$100,$B$3,$BW$99,0)</f>
        <v>1.3878827508435486E-5</v>
      </c>
      <c r="BY113" s="1" cm="1">
        <f t="array" ref="BY113">OptionGamma($BV113,$B$2,BY$100,$B$3,$BW$99,0)</f>
        <v>1.8065746203269184E-4</v>
      </c>
      <c r="BZ113" s="1" cm="1">
        <f t="array" ref="BZ113">OptionGamma($BV113,$B$2,BZ$100,$B$3,$BW$99,0)</f>
        <v>6.2433347878451597E-4</v>
      </c>
      <c r="CA113" s="1" cm="1">
        <f t="array" ref="CA113">OptionGamma($BV113,$B$2,CA$100,$B$3,$BW$99,0)</f>
        <v>1.2805137235044073E-3</v>
      </c>
      <c r="CB113" s="1" cm="1">
        <f t="array" ref="CB113">OptionGamma($BV113,$B$2,CB$100,$B$3,$BW$99,0)</f>
        <v>2.0319475824949751E-3</v>
      </c>
      <c r="CC113" s="1" cm="1">
        <f t="array" ref="CC113">OptionGamma($BV113,$B$2,CC$100,$B$3,$BW$99,0)</f>
        <v>2.7913416838140047E-3</v>
      </c>
      <c r="CD113" s="1" cm="1">
        <f t="array" ref="CD113">OptionGamma($BV113,$B$2,CD$100,$B$3,$BW$99,0)</f>
        <v>3.5093388466936421E-3</v>
      </c>
      <c r="CE113" s="1" cm="1">
        <f t="array" ref="CE113">OptionGamma($BV113,$B$2,CE$100,$B$3,$BW$99,0)</f>
        <v>4.1630686520652081E-3</v>
      </c>
      <c r="CF113" s="1" cm="1">
        <f t="array" ref="CF113">OptionGamma($BV113,$B$2,CF$100,$B$3,$BW$99,0)</f>
        <v>4.7451367772989453E-3</v>
      </c>
      <c r="CG113" s="1" cm="1">
        <f t="array" ref="CG113">OptionGamma($BV113,$B$2,CG$100,$B$3,$BW$99,0)</f>
        <v>7.6165645282489083E-3</v>
      </c>
      <c r="CH113" s="1" cm="1">
        <f t="array" ref="CH113">OptionGamma($BV113,$B$2,CH$100,$B$3,$BW$99,0)</f>
        <v>8.1120649104783824E-3</v>
      </c>
      <c r="CI113" s="1" cm="1">
        <f t="array" ref="CI113">OptionGamma($BV113,$B$2,CI$100,$B$3,$BW$99,0)</f>
        <v>7.978625905498065E-3</v>
      </c>
      <c r="CJ113" s="1" cm="1">
        <f t="array" ref="CJ113">OptionGamma($BV113,$B$2,CJ$100,$B$3,$BW$99,0)</f>
        <v>7.6679346587994893E-3</v>
      </c>
      <c r="CS113" s="145"/>
      <c r="CT113" s="14">
        <v>120</v>
      </c>
      <c r="CU113" s="1" cm="1">
        <f t="array" ref="CU113">OptionVega($CT113,$B$2,CU$100,$B$3,$CU$99,0)</f>
        <v>6.9599615016725039E-9</v>
      </c>
      <c r="CV113" s="1" cm="1">
        <f t="array" ref="CV113">OptionVega($CT113,$B$2,CV$100,$B$3,$CU$99,0)</f>
        <v>3.9971023224294193E-5</v>
      </c>
      <c r="CW113" s="1" cm="1">
        <f t="array" ref="CW113">OptionVega($CT113,$B$2,CW$100,$B$3,$CU$99,0)</f>
        <v>7.8044023598122878E-4</v>
      </c>
      <c r="CX113" s="1" cm="1">
        <f t="array" ref="CX113">OptionVega($CT113,$B$2,CX$100,$B$3,$CU$99,0)</f>
        <v>3.5961608377988127E-3</v>
      </c>
      <c r="CY113" s="1" cm="1">
        <f t="array" ref="CY113">OptionVega($CT113,$B$2,CY$100,$B$3,$CU$99,0)</f>
        <v>9.2196988092317338E-3</v>
      </c>
      <c r="CZ113" s="1" cm="1">
        <f t="array" ref="CZ113">OptionVega($CT113,$B$2,CZ$100,$B$3,$CU$99,0)</f>
        <v>1.7556027112756587E-2</v>
      </c>
      <c r="DA113" s="1" cm="1">
        <f t="array" ref="DA113">OptionVega($CT113,$B$2,DA$100,$B$3,$CU$99,0)</f>
        <v>2.8136724172845171E-2</v>
      </c>
      <c r="DB113" s="1" cm="1">
        <f t="array" ref="DB113">OptionVega($CT113,$B$2,DB$100,$B$3,$CU$99,0)</f>
        <v>4.042758351391075E-2</v>
      </c>
      <c r="DC113" s="1" cm="1">
        <f t="array" ref="DC113">OptionVega($CT113,$B$2,DC$100,$B$3,$CU$99,0)</f>
        <v>5.3953369730765095E-2</v>
      </c>
      <c r="DD113" s="1" cm="1">
        <f t="array" ref="DD113">OptionVega($CT113,$B$2,DD$100,$B$3,$CU$99,0)</f>
        <v>6.8329969593104806E-2</v>
      </c>
      <c r="DE113" s="1" cm="1">
        <f t="array" ref="DE113">OptionVega($CT113,$B$2,DE$100,$B$3,$CU$99,0)</f>
        <v>0.21935705841356859</v>
      </c>
      <c r="DF113" s="1" cm="1">
        <f t="array" ref="DF113">OptionVega($CT113,$B$2,DF$100,$B$3,$CU$99,0)</f>
        <v>0.35044120413266605</v>
      </c>
      <c r="DG113" s="1" cm="1">
        <f t="array" ref="DG113">OptionVega($CT113,$B$2,DG$100,$B$3,$CU$99,0)</f>
        <v>0.45956885215668852</v>
      </c>
      <c r="DH113" s="1" cm="1">
        <f t="array" ref="DH113">OptionVega($CT113,$B$2,DH$100,$B$3,$CU$99,0)</f>
        <v>0.55209129543356328</v>
      </c>
      <c r="DQ113" s="130"/>
      <c r="DR113" s="14">
        <v>120</v>
      </c>
      <c r="DS113" s="1" cm="1">
        <f t="array" ref="DS113">OptionRho("P",$DR113,$B$2,DS$100,$B$3,$DS$99,0)</f>
        <v>-3.7020183036337435E-10</v>
      </c>
      <c r="DT113" s="1" cm="1">
        <f t="array" ref="DT113">OptionRho("P",$DR113,$B$2,DT$100,$B$3,$DS$99,0)</f>
        <v>-4.1376194053987772E-6</v>
      </c>
      <c r="DU113" s="1" cm="1">
        <f t="array" ref="DU113">OptionRho("P",$DR113,$B$2,DU$100,$B$3,$DS$99,0)</f>
        <v>-1.1821674012055364E-4</v>
      </c>
      <c r="DV113" s="1" cm="1">
        <f t="array" ref="DV113">OptionRho("P",$DR113,$B$2,DV$100,$B$3,$DS$99,0)</f>
        <v>-7.0994678821788618E-4</v>
      </c>
      <c r="DW113" s="1" cm="1">
        <f t="array" ref="DW113">OptionRho("P",$DR113,$B$2,DW$100,$B$3,$DS$99,0)</f>
        <v>-2.2275567745076771E-3</v>
      </c>
      <c r="DX113" s="1" cm="1">
        <f t="array" ref="DX113">OptionRho("P",$DR113,$B$2,DX$100,$B$3,$DS$99,0)</f>
        <v>-4.9902996063027043E-3</v>
      </c>
      <c r="DY113" s="1" cm="1">
        <f t="array" ref="DY113">OptionRho("P",$DR113,$B$2,DY$100,$B$3,$DS$99,0)</f>
        <v>-9.1586807596607048E-3</v>
      </c>
      <c r="DZ113" s="1" cm="1">
        <f t="array" ref="DZ113">OptionRho("P",$DR113,$B$2,DZ$100,$B$3,$DS$99,0)</f>
        <v>-1.4776758266337878E-2</v>
      </c>
      <c r="EA113" s="1" cm="1">
        <f t="array" ref="EA113">OptionRho("P",$DR113,$B$2,EA$100,$B$3,$DS$99,0)</f>
        <v>-2.181758845268179E-2</v>
      </c>
      <c r="EB113" s="1" cm="1">
        <f t="array" ref="EB113">OptionRho("P",$DR113,$B$2,EB$100,$B$3,$DS$99,0)</f>
        <v>-3.0215639479526008E-2</v>
      </c>
      <c r="EC113" s="1" cm="1">
        <f t="array" ref="EC113">OptionRho("P",$DR113,$B$2,EC$100,$B$3,$DS$99,0)</f>
        <v>-0.17041305844647878</v>
      </c>
      <c r="ED113" s="1" cm="1">
        <f t="array" ref="ED113">OptionRho("P",$DR113,$B$2,ED$100,$B$3,$DS$99,0)</f>
        <v>-0.37061971310998387</v>
      </c>
      <c r="EE113" s="1" cm="1">
        <f t="array" ref="EE113">OptionRho("P",$DR113,$B$2,EE$100,$B$3,$DS$99,0)</f>
        <v>-0.5990053722729205</v>
      </c>
      <c r="EF113" s="1" cm="1">
        <f t="array" ref="EF113">OptionRho("P",$DR113,$B$2,EF$100,$B$3,$DS$99,0)</f>
        <v>-0.84145321734060718</v>
      </c>
    </row>
    <row r="114" spans="1:136" x14ac:dyDescent="0.2">
      <c r="A114" s="133"/>
      <c r="B114" s="14">
        <v>125</v>
      </c>
      <c r="C114" s="1" cm="1">
        <f t="array" ref="C114">OptionPrice("P",$B114,$B$2,C$100,$B$3,$C$99,0)</f>
        <v>3.2671288943246999E-13</v>
      </c>
      <c r="D114" s="1" cm="1">
        <f t="array" ref="D114">OptionPrice("P",$B114,$B$2,D$100,$B$3,$C$99,0)</f>
        <v>2.2193086465835179E-7</v>
      </c>
      <c r="E114" s="1" cm="1">
        <f t="array" ref="E114">OptionPrice("P",$B114,$B$2,E$100,$B$3,$C$99,0)</f>
        <v>2.4490079642041935E-5</v>
      </c>
      <c r="F114" s="1" cm="1">
        <f t="array" ref="F114">OptionPrice("P",$B114,$B$2,F$100,$B$3,$C$99,0)</f>
        <v>2.8563010230608921E-4</v>
      </c>
      <c r="G114" s="1" cm="1">
        <f t="array" ref="G114">OptionPrice("P",$B114,$B$2,G$100,$B$3,$C$99,0)</f>
        <v>1.3232544527960743E-3</v>
      </c>
      <c r="H114" s="1" cm="1">
        <f t="array" ref="H114">OptionPrice("P",$B114,$B$2,H$100,$B$3,$C$99,0)</f>
        <v>3.8188231235884718E-3</v>
      </c>
      <c r="I114" s="1" cm="1">
        <f t="array" ref="I114">OptionPrice("P",$B114,$B$2,I$100,$B$3,$C$99,0)</f>
        <v>8.3551928914935014E-3</v>
      </c>
      <c r="J114" s="1" cm="1">
        <f t="array" ref="J114">OptionPrice("P",$B114,$B$2,J$100,$B$3,$C$99,0)</f>
        <v>1.5315082594449025E-2</v>
      </c>
      <c r="K114" s="1" cm="1">
        <f t="array" ref="K114">OptionPrice("P",$B114,$B$2,K$100,$B$3,$C$99,0)</f>
        <v>2.4884698853695708E-2</v>
      </c>
      <c r="L114" s="1" cm="1">
        <f t="array" ref="L114">OptionPrice("P",$B114,$B$2,L$100,$B$3,$C$99,0)</f>
        <v>3.7097334911136315E-2</v>
      </c>
      <c r="M114" s="1" cm="1">
        <f t="array" ref="M114">OptionPrice("P",$B114,$B$2,M$100,$B$3,$C$99,0)</f>
        <v>0.27258165320895511</v>
      </c>
      <c r="N114" s="1" cm="1">
        <f t="array" ref="N114">OptionPrice("P",$B114,$B$2,N$100,$B$3,$C$99,0)</f>
        <v>0.6083347284584697</v>
      </c>
      <c r="O114" s="1" cm="1">
        <f t="array" ref="O114">OptionPrice("P",$B114,$B$2,O$100,$B$3,$C$99,0)</f>
        <v>0.96164849673740171</v>
      </c>
      <c r="P114" s="1" cm="1">
        <f t="array" ref="P114">OptionPrice("P",$B114,$B$2,P$100,$B$3,$C$99,0)</f>
        <v>1.303069557416265</v>
      </c>
      <c r="Y114" s="136"/>
      <c r="Z114" s="14">
        <v>125</v>
      </c>
      <c r="AA114" s="1" cm="1">
        <f t="array" ref="AA114">OptionDelta("P",$Z114,$B$2,AA$100,$B$3,$AA$99,0)</f>
        <v>-6.0662586065518553E-13</v>
      </c>
      <c r="AB114" s="1" cm="1">
        <f t="array" ref="AB114">OptionDelta("P",$Z114,$B$2,AB$100,$B$3,$AA$99,0)</f>
        <v>-2.132604316473774E-7</v>
      </c>
      <c r="AC114" s="1" cm="1">
        <f t="array" ref="AC114">OptionDelta("P",$Z114,$B$2,AC$100,$B$3,$AA$99,0)</f>
        <v>-1.6180389819542285E-5</v>
      </c>
      <c r="AD114" s="1" cm="1">
        <f t="array" ref="AD114">OptionDelta("P",$Z114,$B$2,AD$100,$B$3,$AA$99,0)</f>
        <v>-1.4555918115333188E-4</v>
      </c>
      <c r="AE114" s="1" cm="1">
        <f t="array" ref="AE114">OptionDelta("P",$Z114,$B$2,AE$100,$B$3,$AA$99,0)</f>
        <v>-5.5355097682452392E-4</v>
      </c>
      <c r="AF114" s="1" cm="1">
        <f t="array" ref="AF114">OptionDelta("P",$Z114,$B$2,AF$100,$B$3,$AA$99,0)</f>
        <v>-1.3634308405563456E-3</v>
      </c>
      <c r="AG114" s="1" cm="1">
        <f t="array" ref="AG114">OptionDelta("P",$Z114,$B$2,AG$100,$B$3,$AA$99,0)</f>
        <v>-2.6145206848648961E-3</v>
      </c>
      <c r="AH114" s="1" cm="1">
        <f t="array" ref="AH114">OptionDelta("P",$Z114,$B$2,AH$100,$B$3,$AA$99,0)</f>
        <v>-4.2820091080512102E-3</v>
      </c>
      <c r="AI114" s="1" cm="1">
        <f t="array" ref="AI114">OptionDelta("P",$Z114,$B$2,AI$100,$B$3,$AA$99,0)</f>
        <v>-6.3077661675613461E-3</v>
      </c>
      <c r="AJ114" s="1" cm="1">
        <f t="array" ref="AJ114">OptionDelta("P",$Z114,$B$2,AJ$100,$B$3,$AA$99,0)</f>
        <v>-8.6226549586319035E-3</v>
      </c>
      <c r="AK114" s="1" cm="1">
        <f t="array" ref="AK114">OptionDelta("P",$Z114,$B$2,AK$100,$B$3,$AA$99,0)</f>
        <v>-3.6727340119913188E-2</v>
      </c>
      <c r="AL114" s="1" cm="1">
        <f t="array" ref="AL114">OptionDelta("P",$Z114,$B$2,AL$100,$B$3,$AA$99,0)</f>
        <v>-6.07957993015249E-2</v>
      </c>
      <c r="AM114" s="1" cm="1">
        <f t="array" ref="AM114">OptionDelta("P",$Z114,$B$2,AM$100,$B$3,$AA$99,0)</f>
        <v>-7.8429078701002797E-2</v>
      </c>
      <c r="AN114" s="1" cm="1">
        <f t="array" ref="AN114">OptionDelta("P",$Z114,$B$2,AN$100,$B$3,$AA$99,0)</f>
        <v>-9.1210373067739825E-2</v>
      </c>
      <c r="AW114" s="139"/>
      <c r="AX114" s="14">
        <v>125</v>
      </c>
      <c r="AY114" s="1" cm="1">
        <f t="array" ref="AY114">OptionTheta("P",$AX114,$B$2,AY$100,$B$3,$AY$99,0)</f>
        <v>-2.3989157086074879E-13</v>
      </c>
      <c r="AZ114" s="1" cm="1">
        <f t="array" ref="AZ114">OptionTheta("P",$AX114,$B$2,AZ$100,$B$3,$AY$99,0)</f>
        <v>-4.3534961246708805E-8</v>
      </c>
      <c r="BA114" s="1" cm="1">
        <f t="array" ref="BA114">OptionTheta("P",$AX114,$B$2,BA$100,$B$3,$AY$99,0)</f>
        <v>-2.2690000481848128E-6</v>
      </c>
      <c r="BB114" s="1" cm="1">
        <f t="array" ref="BB114">OptionTheta("P",$AX114,$B$2,BB$100,$B$3,$AY$99,0)</f>
        <v>-1.5748328586345411E-5</v>
      </c>
      <c r="BC114" s="1" cm="1">
        <f t="array" ref="BC114">OptionTheta("P",$AX114,$B$2,BC$100,$B$3,$AY$99,0)</f>
        <v>-4.9216589680090514E-5</v>
      </c>
      <c r="BD114" s="1" cm="1">
        <f t="array" ref="BD114">OptionTheta("P",$AX114,$B$2,BD$100,$B$3,$AY$99,0)</f>
        <v>-1.0364167351688986E-4</v>
      </c>
      <c r="BE114" s="1" cm="1">
        <f t="array" ref="BE114">OptionTheta("P",$AX114,$B$2,BE$100,$B$3,$AY$99,0)</f>
        <v>-1.7458116979687108E-4</v>
      </c>
      <c r="BF114" s="1" cm="1">
        <f t="array" ref="BF114">OptionTheta("P",$AX114,$B$2,BF$100,$B$3,$AY$99,0)</f>
        <v>-2.5614435261317849E-4</v>
      </c>
      <c r="BG114" s="1" cm="1">
        <f t="array" ref="BG114">OptionTheta("P",$AX114,$B$2,BG$100,$B$3,$AY$99,0)</f>
        <v>-3.4308305070952663E-4</v>
      </c>
      <c r="BH114" s="1" cm="1">
        <f t="array" ref="BH114">OptionTheta("P",$AX114,$B$2,BH$100,$B$3,$AY$99,0)</f>
        <v>-4.3141656605749342E-4</v>
      </c>
      <c r="BI114" s="1" cm="1">
        <f t="array" ref="BI114">OptionTheta("P",$AX114,$B$2,BI$100,$B$3,$AY$99,0)</f>
        <v>-1.1064966682296248E-3</v>
      </c>
      <c r="BJ114" s="1" cm="1">
        <f t="array" ref="BJ114">OptionTheta("P",$AX114,$B$2,BJ$100,$B$3,$AY$99,0)</f>
        <v>-1.4147429870860072E-3</v>
      </c>
      <c r="BK114" s="1" cm="1">
        <f t="array" ref="BK114">OptionTheta("P",$AX114,$B$2,BK$100,$B$3,$AY$99,0)</f>
        <v>-1.5487973874085288E-3</v>
      </c>
      <c r="BL114" s="1" cm="1">
        <f t="array" ref="BL114">OptionTheta("P",$AX114,$B$2,BL$100,$B$3,$AY$99,0)</f>
        <v>-1.6040071275537143E-3</v>
      </c>
      <c r="BU114" s="142"/>
      <c r="BV114" s="14">
        <v>125</v>
      </c>
      <c r="BW114" s="1" cm="1">
        <f t="array" ref="BW114">OptionGamma($BV114,$B$2,BW$100,$B$3,$BW$99,0)</f>
        <v>1.1110259985098475E-12</v>
      </c>
      <c r="BX114" s="1" cm="1">
        <f t="array" ref="BX114">OptionGamma($BV114,$B$2,BX$100,$B$3,$BW$99,0)</f>
        <v>1.9995476488667826E-7</v>
      </c>
      <c r="BY114" s="1" cm="1">
        <f t="array" ref="BY114">OptionGamma($BV114,$B$2,BY$100,$B$3,$BW$99,0)</f>
        <v>1.0338747257813658E-5</v>
      </c>
      <c r="BZ114" s="1" cm="1">
        <f t="array" ref="BZ114">OptionGamma($BV114,$B$2,BZ$100,$B$3,$BW$99,0)</f>
        <v>7.1210683603857566E-5</v>
      </c>
      <c r="CA114" s="1" cm="1">
        <f t="array" ref="CA114">OptionGamma($BV114,$B$2,CA$100,$B$3,$BW$99,0)</f>
        <v>2.2091371478623331E-4</v>
      </c>
      <c r="CB114" s="1" cm="1">
        <f t="array" ref="CB114">OptionGamma($BV114,$B$2,CB$100,$B$3,$BW$99,0)</f>
        <v>4.6191019586218834E-4</v>
      </c>
      <c r="CC114" s="1" cm="1">
        <f t="array" ref="CC114">OptionGamma($BV114,$B$2,CC$100,$B$3,$BW$99,0)</f>
        <v>7.7274142964303314E-4</v>
      </c>
      <c r="CD114" s="1" cm="1">
        <f t="array" ref="CD114">OptionGamma($BV114,$B$2,CD$100,$B$3,$BW$99,0)</f>
        <v>1.1262339391078598E-3</v>
      </c>
      <c r="CE114" s="1" cm="1">
        <f t="array" ref="CE114">OptionGamma($BV114,$B$2,CE$100,$B$3,$BW$99,0)</f>
        <v>1.4987745127806541E-3</v>
      </c>
      <c r="CF114" s="1" cm="1">
        <f t="array" ref="CF114">OptionGamma($BV114,$B$2,CF$100,$B$3,$BW$99,0)</f>
        <v>1.8728672584138741E-3</v>
      </c>
      <c r="CG114" s="1" cm="1">
        <f t="array" ref="CG114">OptionGamma($BV114,$B$2,CG$100,$B$3,$BW$99,0)</f>
        <v>4.5470245404394486E-3</v>
      </c>
      <c r="CH114" s="1" cm="1">
        <f t="array" ref="CH114">OptionGamma($BV114,$B$2,CH$100,$B$3,$BW$99,0)</f>
        <v>5.5590796015987437E-3</v>
      </c>
      <c r="CI114" s="1" cm="1">
        <f t="array" ref="CI114">OptionGamma($BV114,$B$2,CI$100,$B$3,$BW$99,0)</f>
        <v>5.8580251271742132E-3</v>
      </c>
      <c r="CJ114" s="1" cm="1">
        <f t="array" ref="CJ114">OptionGamma($BV114,$B$2,CJ$100,$B$3,$BW$99,0)</f>
        <v>5.8677624274978343E-3</v>
      </c>
      <c r="CS114" s="145"/>
      <c r="CT114" s="14">
        <v>125</v>
      </c>
      <c r="CU114" s="1" cm="1">
        <f t="array" ref="CU114">OptionVega($CT114,$B$2,CU$100,$B$3,$CU$99,0)</f>
        <v>1.735978122671637E-12</v>
      </c>
      <c r="CV114" s="1" cm="1">
        <f t="array" ref="CV114">OptionVega($CT114,$B$2,CV$100,$B$3,$CU$99,0)</f>
        <v>6.2485864027086964E-7</v>
      </c>
      <c r="CW114" s="1" cm="1">
        <f t="array" ref="CW114">OptionVega($CT114,$B$2,CW$100,$B$3,$CU$99,0)</f>
        <v>4.8462877771001518E-5</v>
      </c>
      <c r="CX114" s="1" cm="1">
        <f t="array" ref="CX114">OptionVega($CT114,$B$2,CX$100,$B$3,$CU$99,0)</f>
        <v>4.4506677252410988E-4</v>
      </c>
      <c r="CY114" s="1" cm="1">
        <f t="array" ref="CY114">OptionVega($CT114,$B$2,CY$100,$B$3,$CU$99,0)</f>
        <v>1.7258883967674482E-3</v>
      </c>
      <c r="CZ114" s="1" cm="1">
        <f t="array" ref="CZ114">OptionVega($CT114,$B$2,CZ$100,$B$3,$CU$99,0)</f>
        <v>4.3304080862080164E-3</v>
      </c>
      <c r="DA114" s="1" cm="1">
        <f t="array" ref="DA114">OptionVega($CT114,$B$2,DA$100,$B$3,$CU$99,0)</f>
        <v>8.4518593867206771E-3</v>
      </c>
      <c r="DB114" s="1" cm="1">
        <f t="array" ref="DB114">OptionVega($CT114,$B$2,DB$100,$B$3,$CU$99,0)</f>
        <v>1.4077924238848249E-2</v>
      </c>
      <c r="DC114" s="1" cm="1">
        <f t="array" ref="DC114">OptionVega($CT114,$B$2,DC$100,$B$3,$CU$99,0)</f>
        <v>2.107651658597795E-2</v>
      </c>
      <c r="DD114" s="1" cm="1">
        <f t="array" ref="DD114">OptionVega($CT114,$B$2,DD$100,$B$3,$CU$99,0)</f>
        <v>2.9263550912716783E-2</v>
      </c>
      <c r="DE114" s="1" cm="1">
        <f t="array" ref="DE114">OptionVega($CT114,$B$2,DE$100,$B$3,$CU$99,0)</f>
        <v>0.14209451688873281</v>
      </c>
      <c r="DF114" s="1" cm="1">
        <f t="array" ref="DF114">OptionVega($CT114,$B$2,DF$100,$B$3,$CU$99,0)</f>
        <v>0.26058185632494107</v>
      </c>
      <c r="DG114" s="1" cm="1">
        <f t="array" ref="DG114">OptionVega($CT114,$B$2,DG$100,$B$3,$CU$99,0)</f>
        <v>0.36612657044838837</v>
      </c>
      <c r="DH114" s="1" cm="1">
        <f t="array" ref="DH114">OptionVega($CT114,$B$2,DH$100,$B$3,$CU$99,0)</f>
        <v>0.45841893964826841</v>
      </c>
      <c r="DQ114" s="130"/>
      <c r="DR114" s="14">
        <v>125</v>
      </c>
      <c r="DS114" s="1" cm="1">
        <f t="array" ref="DS114">OptionRho("P",$DR114,$B$2,DS$100,$B$3,$DS$99,0)</f>
        <v>-7.6151723059147461E-14</v>
      </c>
      <c r="DT114" s="1" cm="1">
        <f t="array" ref="DT114">OptionRho("P",$DR114,$B$2,DT$100,$B$3,$DS$99,0)</f>
        <v>-5.3758969655395189E-8</v>
      </c>
      <c r="DU114" s="1" cm="1">
        <f t="array" ref="DU114">OptionRho("P",$DR114,$B$2,DU$100,$B$3,$DS$99,0)</f>
        <v>-6.1411164212293508E-6</v>
      </c>
      <c r="DV114" s="1" cm="1">
        <f t="array" ref="DV114">OptionRho("P",$DR114,$B$2,DV$100,$B$3,$DS$99,0)</f>
        <v>-7.3922110985880684E-5</v>
      </c>
      <c r="DW114" s="1" cm="1">
        <f t="array" ref="DW114">OptionRho("P",$DR114,$B$2,DW$100,$B$3,$DS$99,0)</f>
        <v>-3.5258563277927932E-4</v>
      </c>
      <c r="DX114" s="1" cm="1">
        <f t="array" ref="DX114">OptionRho("P",$DR114,$B$2,DX$100,$B$3,$DS$99,0)</f>
        <v>-1.0454860691588006E-3</v>
      </c>
      <c r="DY114" s="1" cm="1">
        <f t="array" ref="DY114">OptionRho("P",$DR114,$B$2,DY$100,$B$3,$DS$99,0)</f>
        <v>-2.3461919494971698E-3</v>
      </c>
      <c r="DZ114" s="1" cm="1">
        <f t="array" ref="DZ114">OptionRho("P",$DR114,$B$2,DZ$100,$B$3,$DS$99,0)</f>
        <v>-4.4045297688068722E-3</v>
      </c>
      <c r="EA114" s="1" cm="1">
        <f t="array" ref="EA114">OptionRho("P",$DR114,$B$2,EA$100,$B$3,$DS$99,0)</f>
        <v>-7.3201992281897582E-3</v>
      </c>
      <c r="EB114" s="1" cm="1">
        <f t="array" ref="EB114">OptionRho("P",$DR114,$B$2,EB$100,$B$3,$DS$99,0)</f>
        <v>-1.1149292047401185E-2</v>
      </c>
      <c r="EC114" s="1" cm="1">
        <f t="array" ref="EC114">OptionRho("P",$DR114,$B$2,EC$100,$B$3,$DS$99,0)</f>
        <v>-9.7269983363962254E-2</v>
      </c>
      <c r="ED114" s="1" cm="1">
        <f t="array" ref="ED114">OptionRho("P",$DR114,$B$2,ED$100,$B$3,$DS$99,0)</f>
        <v>-0.2462342892344723</v>
      </c>
      <c r="EE114" s="1" cm="1">
        <f t="array" ref="EE114">OptionRho("P",$DR114,$B$2,EE$100,$B$3,$DS$99,0)</f>
        <v>-0.43061133337451024</v>
      </c>
      <c r="EF114" s="1" cm="1">
        <f t="array" ref="EF114">OptionRho("P",$DR114,$B$2,EF$100,$B$3,$DS$99,0)</f>
        <v>-0.63521830954418712</v>
      </c>
    </row>
    <row r="115" spans="1:136" x14ac:dyDescent="0.2">
      <c r="A115" s="133"/>
      <c r="B115" s="14">
        <v>130</v>
      </c>
      <c r="C115" s="1" cm="1">
        <f t="array" ref="C115">OptionPrice("P",$B115,$B$2,C$100,$B$3,$C$99,0)</f>
        <v>1.7261945794869909E-17</v>
      </c>
      <c r="D115" s="1" cm="1">
        <f t="array" ref="D115">OptionPrice("P",$B115,$B$2,D$100,$B$3,$C$99,0)</f>
        <v>1.3878024728161291E-9</v>
      </c>
      <c r="E115" s="1" cm="1">
        <f t="array" ref="E115">OptionPrice("P",$B115,$B$2,E$100,$B$3,$C$99,0)</f>
        <v>7.5702301980578104E-7</v>
      </c>
      <c r="F115" s="1" cm="1">
        <f t="array" ref="F115">OptionPrice("P",$B115,$B$2,F$100,$B$3,$C$99,0)</f>
        <v>1.9711022864504725E-5</v>
      </c>
      <c r="G115" s="1" cm="1">
        <f t="array" ref="G115">OptionPrice("P",$B115,$B$2,G$100,$B$3,$C$99,0)</f>
        <v>1.4825355789362636E-4</v>
      </c>
      <c r="H115" s="1" cm="1">
        <f t="array" ref="H115">OptionPrice("P",$B115,$B$2,H$100,$B$3,$C$99,0)</f>
        <v>5.9215436733729351E-4</v>
      </c>
      <c r="I115" s="1" cm="1">
        <f t="array" ref="I115">OptionPrice("P",$B115,$B$2,I$100,$B$3,$C$99,0)</f>
        <v>1.6364430565782018E-3</v>
      </c>
      <c r="J115" s="1" cm="1">
        <f t="array" ref="J115">OptionPrice("P",$B115,$B$2,J$100,$B$3,$C$99,0)</f>
        <v>3.5778356429950753E-3</v>
      </c>
      <c r="K115" s="1" cm="1">
        <f t="array" ref="K115">OptionPrice("P",$B115,$B$2,K$100,$B$3,$C$99,0)</f>
        <v>6.6735018676840618E-3</v>
      </c>
      <c r="L115" s="1" cm="1">
        <f t="array" ref="L115">OptionPrice("P",$B115,$B$2,L$100,$B$3,$C$99,0)</f>
        <v>1.1117409518677512E-2</v>
      </c>
      <c r="M115" s="1" cm="1">
        <f t="array" ref="M115">OptionPrice("P",$B115,$B$2,M$100,$B$3,$C$99,0)</f>
        <v>0.13651138253945838</v>
      </c>
      <c r="N115" s="1" cm="1">
        <f t="array" ref="N115">OptionPrice("P",$B115,$B$2,N$100,$B$3,$C$99,0)</f>
        <v>0.3653170380993318</v>
      </c>
      <c r="O115" s="1" cm="1">
        <f t="array" ref="O115">OptionPrice("P",$B115,$B$2,O$100,$B$3,$C$99,0)</f>
        <v>0.63530669391211525</v>
      </c>
      <c r="P115" s="1" cm="1">
        <f t="array" ref="P115">OptionPrice("P",$B115,$B$2,P$100,$B$3,$C$99,0)</f>
        <v>0.91389929107108436</v>
      </c>
      <c r="Y115" s="136"/>
      <c r="Z115" s="14">
        <v>130</v>
      </c>
      <c r="AA115" s="1" cm="1">
        <f t="array" ref="AA115">OptionDelta("P",$Z115,$B$2,AA$100,$B$3,$AA$99,0)</f>
        <v>0</v>
      </c>
      <c r="AB115" s="1" cm="1">
        <f t="array" ref="AB115">OptionDelta("P",$Z115,$B$2,AB$100,$B$3,$AA$99,0)</f>
        <v>-1.4806853521065477E-9</v>
      </c>
      <c r="AC115" s="1" cm="1">
        <f t="array" ref="AC115">OptionDelta("P",$Z115,$B$2,AC$100,$B$3,$AA$99,0)</f>
        <v>-5.5166492773928155E-7</v>
      </c>
      <c r="AD115" s="1" cm="1">
        <f t="array" ref="AD115">OptionDelta("P",$Z115,$B$2,AD$100,$B$3,$AA$99,0)</f>
        <v>-1.101717495310961E-5</v>
      </c>
      <c r="AE115" s="1" cm="1">
        <f t="array" ref="AE115">OptionDelta("P",$Z115,$B$2,AE$100,$B$3,$AA$99,0)</f>
        <v>-6.769082007296312E-5</v>
      </c>
      <c r="AF115" s="1" cm="1">
        <f t="array" ref="AF115">OptionDelta("P",$Z115,$B$2,AF$100,$B$3,$AA$99,0)</f>
        <v>-2.2976787752915229E-4</v>
      </c>
      <c r="AG115" s="1" cm="1">
        <f t="array" ref="AG115">OptionDelta("P",$Z115,$B$2,AG$100,$B$3,$AA$99,0)</f>
        <v>-5.5441197797978514E-4</v>
      </c>
      <c r="AH115" s="1" cm="1">
        <f t="array" ref="AH115">OptionDelta("P",$Z115,$B$2,AH$100,$B$3,$AA$99,0)</f>
        <v>-1.0793388372125623E-3</v>
      </c>
      <c r="AI115" s="1" cm="1">
        <f t="array" ref="AI115">OptionDelta("P",$Z115,$B$2,AI$100,$B$3,$AA$99,0)</f>
        <v>-1.8195289047336916E-3</v>
      </c>
      <c r="AJ115" s="1" cm="1">
        <f t="array" ref="AJ115">OptionDelta("P",$Z115,$B$2,AJ$100,$B$3,$AA$99,0)</f>
        <v>-2.7716266237037823E-3</v>
      </c>
      <c r="AK115" s="1" cm="1">
        <f t="array" ref="AK115">OptionDelta("P",$Z115,$B$2,AK$100,$B$3,$AA$99,0)</f>
        <v>-1.93516504591843E-2</v>
      </c>
      <c r="AL115" s="1" cm="1">
        <f t="array" ref="AL115">OptionDelta("P",$Z115,$B$2,AL$100,$B$3,$AA$99,0)</f>
        <v>-3.7984588705097355E-2</v>
      </c>
      <c r="AM115" s="1" cm="1">
        <f t="array" ref="AM115">OptionDelta("P",$Z115,$B$2,AM$100,$B$3,$AA$99,0)</f>
        <v>-5.3500413442041594E-2</v>
      </c>
      <c r="AN115" s="1" cm="1">
        <f t="array" ref="AN115">OptionDelta("P",$Z115,$B$2,AN$100,$B$3,$AA$99,0)</f>
        <v>-6.5682765684590083E-2</v>
      </c>
      <c r="AW115" s="139"/>
      <c r="AX115" s="14">
        <v>130</v>
      </c>
      <c r="AY115" s="1" cm="1">
        <f t="array" ref="AY115">OptionTheta("P",$AX115,$B$2,AY$100,$B$3,$AY$99,0)</f>
        <v>-1.7092084797681276E-17</v>
      </c>
      <c r="AZ115" s="1" cm="1">
        <f t="array" ref="AZ115">OptionTheta("P",$AX115,$B$2,AZ$100,$B$3,$AY$99,0)</f>
        <v>-3.6461185921232311E-10</v>
      </c>
      <c r="BA115" s="1" cm="1">
        <f t="array" ref="BA115">OptionTheta("P",$AX115,$B$2,BA$100,$B$3,$AY$99,0)</f>
        <v>-9.2797981680641681E-8</v>
      </c>
      <c r="BB115" s="1" cm="1">
        <f t="array" ref="BB115">OptionTheta("P",$AX115,$B$2,BB$100,$B$3,$AY$99,0)</f>
        <v>-1.4227030191437127E-6</v>
      </c>
      <c r="BC115" s="1" cm="1">
        <f t="array" ref="BC115">OptionTheta("P",$AX115,$B$2,BC$100,$B$3,$AY$99,0)</f>
        <v>-7.1510674987252987E-6</v>
      </c>
      <c r="BD115" s="1" cm="1">
        <f t="array" ref="BD115">OptionTheta("P",$AX115,$B$2,BD$100,$B$3,$AY$99,0)</f>
        <v>-2.0667484322473257E-5</v>
      </c>
      <c r="BE115" s="1" cm="1">
        <f t="array" ref="BE115">OptionTheta("P",$AX115,$B$2,BE$100,$B$3,$AY$99,0)</f>
        <v>-4.3640528735188257E-5</v>
      </c>
      <c r="BF115" s="1" cm="1">
        <f t="array" ref="BF115">OptionTheta("P",$AX115,$B$2,BF$100,$B$3,$AY$99,0)</f>
        <v>-7.5844976234657052E-5</v>
      </c>
      <c r="BG115" s="1" cm="1">
        <f t="array" ref="BG115">OptionTheta("P",$AX115,$B$2,BG$100,$B$3,$AY$99,0)</f>
        <v>-1.1587837383809249E-4</v>
      </c>
      <c r="BH115" s="1" cm="1">
        <f t="array" ref="BH115">OptionTheta("P",$AX115,$B$2,BH$100,$B$3,$AY$99,0)</f>
        <v>-1.6187995656359006E-4</v>
      </c>
      <c r="BI115" s="1" cm="1">
        <f t="array" ref="BI115">OptionTheta("P",$AX115,$B$2,BI$100,$B$3,$AY$99,0)</f>
        <v>-6.6553759511414178E-4</v>
      </c>
      <c r="BJ115" s="1" cm="1">
        <f t="array" ref="BJ115">OptionTheta("P",$AX115,$B$2,BJ$100,$B$3,$AY$99,0)</f>
        <v>-9.9477608235873176E-4</v>
      </c>
      <c r="BK115" s="1" cm="1">
        <f t="array" ref="BK115">OptionTheta("P",$AX115,$B$2,BK$100,$B$3,$AY$99,0)</f>
        <v>-1.1770336387173068E-3</v>
      </c>
      <c r="BL115" s="1" cm="1">
        <f t="array" ref="BL115">OptionTheta("P",$AX115,$B$2,BL$100,$B$3,$AY$99,0)</f>
        <v>-1.2769934717930815E-3</v>
      </c>
      <c r="BU115" s="142"/>
      <c r="BV115" s="14">
        <v>130</v>
      </c>
      <c r="BW115" s="1" cm="1">
        <f t="array" ref="BW115">OptionGamma($BV115,$B$2,BW$100,$B$3,$BW$99,0)</f>
        <v>7.382971539826821E-17</v>
      </c>
      <c r="BX115" s="1" cm="1">
        <f t="array" ref="BX115">OptionGamma($BV115,$B$2,BX$100,$B$3,$BW$99,0)</f>
        <v>1.5520066218442012E-9</v>
      </c>
      <c r="BY115" s="1" cm="1">
        <f t="array" ref="BY115">OptionGamma($BV115,$B$2,BY$100,$B$3,$BW$99,0)</f>
        <v>3.9226661156427296E-7</v>
      </c>
      <c r="BZ115" s="1" cm="1">
        <f t="array" ref="BZ115">OptionGamma($BV115,$B$2,BZ$100,$B$3,$BW$99,0)</f>
        <v>5.9735759091088035E-6</v>
      </c>
      <c r="CA115" s="1" cm="1">
        <f t="array" ref="CA115">OptionGamma($BV115,$B$2,CA$100,$B$3,$BW$99,0)</f>
        <v>2.9830284442140869E-5</v>
      </c>
      <c r="CB115" s="1" cm="1">
        <f t="array" ref="CB115">OptionGamma($BV115,$B$2,CB$100,$B$3,$BW$99,0)</f>
        <v>8.5668780985105099E-5</v>
      </c>
      <c r="CC115" s="1" cm="1">
        <f t="array" ref="CC115">OptionGamma($BV115,$B$2,CC$100,$B$3,$BW$99,0)</f>
        <v>1.7978334895153025E-4</v>
      </c>
      <c r="CD115" s="1" cm="1">
        <f t="array" ref="CD115">OptionGamma($BV115,$B$2,CD$100,$B$3,$BW$99,0)</f>
        <v>3.1058576900406615E-4</v>
      </c>
      <c r="CE115" s="1" cm="1">
        <f t="array" ref="CE115">OptionGamma($BV115,$B$2,CE$100,$B$3,$BW$99,0)</f>
        <v>4.7175720539731353E-4</v>
      </c>
      <c r="CF115" s="1" cm="1">
        <f t="array" ref="CF115">OptionGamma($BV115,$B$2,CF$100,$B$3,$BW$99,0)</f>
        <v>6.5528870342850616E-4</v>
      </c>
      <c r="CG115" s="1" cm="1">
        <f t="array" ref="CG115">OptionGamma($BV115,$B$2,CG$100,$B$3,$BW$99,0)</f>
        <v>2.5609344709387875E-3</v>
      </c>
      <c r="CH115" s="1" cm="1">
        <f t="array" ref="CH115">OptionGamma($BV115,$B$2,CH$100,$B$3,$BW$99,0)</f>
        <v>3.669350702524464E-3</v>
      </c>
      <c r="CI115" s="1" cm="1">
        <f t="array" ref="CI115">OptionGamma($BV115,$B$2,CI$100,$B$3,$BW$99,0)</f>
        <v>4.1859606357164706E-3</v>
      </c>
      <c r="CJ115" s="1" cm="1">
        <f t="array" ref="CJ115">OptionGamma($BV115,$B$2,CJ$100,$B$3,$BW$99,0)</f>
        <v>4.3973494544828021E-3</v>
      </c>
      <c r="CS115" s="145"/>
      <c r="CT115" s="14">
        <v>130</v>
      </c>
      <c r="CU115" s="1" cm="1">
        <f t="array" ref="CU115">OptionVega($CT115,$B$2,CU$100,$B$3,$CU$99,0)</f>
        <v>1.247722190230733E-16</v>
      </c>
      <c r="CV115" s="1" cm="1">
        <f t="array" ref="CV115">OptionVega($CT115,$B$2,CV$100,$B$3,$CU$99,0)</f>
        <v>5.2457823818334011E-9</v>
      </c>
      <c r="CW115" s="1" cm="1">
        <f t="array" ref="CW115">OptionVega($CT115,$B$2,CW$100,$B$3,$CU$99,0)</f>
        <v>1.9887917206308642E-6</v>
      </c>
      <c r="CX115" s="1" cm="1">
        <f t="array" ref="CX115">OptionVega($CT115,$B$2,CX$100,$B$3,$CU$99,0)</f>
        <v>4.038137314557552E-5</v>
      </c>
      <c r="CY115" s="1" cm="1">
        <f t="array" ref="CY115">OptionVega($CT115,$B$2,CY$100,$B$3,$CU$99,0)</f>
        <v>2.5206590353609039E-4</v>
      </c>
      <c r="CZ115" s="1" cm="1">
        <f t="array" ref="CZ115">OptionVega($CT115,$B$2,CZ$100,$B$3,$CU$99,0)</f>
        <v>8.6868143918896585E-4</v>
      </c>
      <c r="DA115" s="1" cm="1">
        <f t="array" ref="DA115">OptionVega($CT115,$B$2,DA$100,$B$3,$CU$99,0)</f>
        <v>2.1268370180966031E-3</v>
      </c>
      <c r="DB115" s="1" cm="1">
        <f t="array" ref="DB115">OptionVega($CT115,$B$2,DB$100,$B$3,$CU$99,0)</f>
        <v>4.1991195969349748E-3</v>
      </c>
      <c r="DC115" s="1" cm="1">
        <f t="array" ref="DC115">OptionVega($CT115,$B$2,DC$100,$B$3,$CU$99,0)</f>
        <v>7.1754270940931394E-3</v>
      </c>
      <c r="DD115" s="1" cm="1">
        <f t="array" ref="DD115">OptionVega($CT115,$B$2,DD$100,$B$3,$CU$99,0)</f>
        <v>1.1074379087941755E-2</v>
      </c>
      <c r="DE115" s="1" cm="1">
        <f t="array" ref="DE115">OptionVega($CT115,$B$2,DE$100,$B$3,$CU$99,0)</f>
        <v>8.6559585117731042E-2</v>
      </c>
      <c r="DF115" s="1" cm="1">
        <f t="array" ref="DF115">OptionVega($CT115,$B$2,DF$100,$B$3,$CU$99,0)</f>
        <v>0.18603608061799032</v>
      </c>
      <c r="DG115" s="1" cm="1">
        <f t="array" ref="DG115">OptionVega($CT115,$B$2,DG$100,$B$3,$CU$99,0)</f>
        <v>0.28297093897443343</v>
      </c>
      <c r="DH115" s="1" cm="1">
        <f t="array" ref="DH115">OptionVega($CT115,$B$2,DH$100,$B$3,$CU$99,0)</f>
        <v>0.37157602890379682</v>
      </c>
      <c r="DQ115" s="130"/>
      <c r="DR115" s="14">
        <v>130</v>
      </c>
      <c r="DS115" s="1" cm="1">
        <f t="array" ref="DS115">OptionRho("P",$DR115,$B$2,DS$100,$B$3,$DS$99,0)</f>
        <v>0</v>
      </c>
      <c r="DT115" s="1" cm="1">
        <f t="array" ref="DT115">OptionRho("P",$DR115,$B$2,DT$100,$B$3,$DS$99,0)</f>
        <v>-3.8775381333258547E-10</v>
      </c>
      <c r="DU115" s="1" cm="1">
        <f t="array" ref="DU115">OptionRho("P",$DR115,$B$2,DU$100,$B$3,$DS$99,0)</f>
        <v>-2.1742039087594481E-7</v>
      </c>
      <c r="DV115" s="1" cm="1">
        <f t="array" ref="DV115">OptionRho("P",$DR115,$B$2,DV$100,$B$3,$DS$99,0)</f>
        <v>-5.8077750671044612E-6</v>
      </c>
      <c r="DW115" s="1" cm="1">
        <f t="array" ref="DW115">OptionRho("P",$DR115,$B$2,DW$100,$B$3,$DS$99,0)</f>
        <v>-4.4740300836914958E-5</v>
      </c>
      <c r="DX115" s="1" cm="1">
        <f t="array" ref="DX115">OptionRho("P",$DR115,$B$2,DX$100,$B$3,$DS$99,0)</f>
        <v>-1.8277187067681445E-4</v>
      </c>
      <c r="DY115" s="1" cm="1">
        <f t="array" ref="DY115">OptionRho("P",$DR115,$B$2,DY$100,$B$3,$DS$99,0)</f>
        <v>-5.1597000135758281E-4</v>
      </c>
      <c r="DZ115" s="1" cm="1">
        <f t="array" ref="DZ115">OptionRho("P",$DR115,$B$2,DZ$100,$B$3,$DS$99,0)</f>
        <v>-1.1511350758449798E-3</v>
      </c>
      <c r="EA115" s="1" cm="1">
        <f t="array" ref="EA115">OptionRho("P",$DR115,$B$2,EA$100,$B$3,$DS$99,0)</f>
        <v>-2.1889103353476777E-3</v>
      </c>
      <c r="EB115" s="1" cm="1">
        <f t="array" ref="EB115">OptionRho("P",$DR115,$B$2,EB$100,$B$3,$DS$99,0)</f>
        <v>-3.7142887060015975E-3</v>
      </c>
      <c r="EC115" s="1" cm="1">
        <f t="array" ref="EC115">OptionRho("P",$DR115,$B$2,EC$100,$B$3,$DS$99,0)</f>
        <v>-5.3044518844668397E-2</v>
      </c>
      <c r="ED115" s="1" cm="1">
        <f t="array" ref="ED115">OptionRho("P",$DR115,$B$2,ED$100,$B$3,$DS$99,0)</f>
        <v>-0.15909940709285941</v>
      </c>
      <c r="EE115" s="1" cm="1">
        <f t="array" ref="EE115">OptionRho("P",$DR115,$B$2,EE$100,$B$3,$DS$99,0)</f>
        <v>-0.30361441765510083</v>
      </c>
      <c r="EF115" s="1" cm="1">
        <f t="array" ref="EF115">OptionRho("P",$DR115,$B$2,EF$100,$B$3,$DS$99,0)</f>
        <v>-0.47263294150338986</v>
      </c>
    </row>
    <row r="116" spans="1:136" x14ac:dyDescent="0.2">
      <c r="A116" s="134"/>
      <c r="B116" s="15">
        <v>135</v>
      </c>
      <c r="C116" s="1" cm="1">
        <f t="array" ref="C116">OptionPrice("P",$B116,$B$2,C$100,$B$3,$C$99,0)</f>
        <v>3.2143074690959387E-22</v>
      </c>
      <c r="D116" s="1" cm="1">
        <f t="array" ref="D116">OptionPrice("P",$B116,$B$2,D$100,$B$3,$C$99,0)</f>
        <v>5.2593775575019861E-12</v>
      </c>
      <c r="E116" s="1" cm="1">
        <f t="array" ref="E116">OptionPrice("P",$B116,$B$2,E$100,$B$3,$C$99,0)</f>
        <v>1.6956156868471556E-8</v>
      </c>
      <c r="F116" s="1" cm="1">
        <f t="array" ref="F116">OptionPrice("P",$B116,$B$2,F$100,$B$3,$C$99,0)</f>
        <v>1.076552477737212E-6</v>
      </c>
      <c r="G116" s="1" cm="1">
        <f t="array" ref="G116">OptionPrice("P",$B116,$B$2,G$100,$B$3,$C$99,0)</f>
        <v>1.3851157032460548E-5</v>
      </c>
      <c r="H116" s="1" cm="1">
        <f t="array" ref="H116">OptionPrice("P",$B116,$B$2,H$100,$B$3,$C$99,0)</f>
        <v>7.9249634000782415E-5</v>
      </c>
      <c r="I116" s="1" cm="1">
        <f t="array" ref="I116">OptionPrice("P",$B116,$B$2,I$100,$B$3,$C$99,0)</f>
        <v>2.8342406729021594E-4</v>
      </c>
      <c r="J116" s="1" cm="1">
        <f t="array" ref="J116">OptionPrice("P",$B116,$B$2,J$100,$B$3,$C$99,0)</f>
        <v>7.525157096023305E-4</v>
      </c>
      <c r="K116" s="1" cm="1">
        <f t="array" ref="K116">OptionPrice("P",$B116,$B$2,K$100,$B$3,$C$99,0)</f>
        <v>1.6336712262805392E-3</v>
      </c>
      <c r="L116" s="1" cm="1">
        <f t="array" ref="L116">OptionPrice("P",$B116,$B$2,L$100,$B$3,$C$99,0)</f>
        <v>3.0746366610608922E-3</v>
      </c>
      <c r="M116" s="1" cm="1">
        <f t="array" ref="M116">OptionPrice("P",$B116,$B$2,M$100,$B$3,$C$99,0)</f>
        <v>6.6120086303427694E-2</v>
      </c>
      <c r="N116" s="1" cm="1">
        <f t="array" ref="N116">OptionPrice("P",$B116,$B$2,N$100,$B$3,$C$99,0)</f>
        <v>0.21521165050498281</v>
      </c>
      <c r="O116" s="1" cm="1">
        <f t="array" ref="O116">OptionPrice("P",$B116,$B$2,O$100,$B$3,$C$99,0)</f>
        <v>0.41446528494224211</v>
      </c>
      <c r="P116" s="1" cm="1">
        <f t="array" ref="P116">OptionPrice("P",$B116,$B$2,P$100,$B$3,$C$99,0)</f>
        <v>0.63530882412573586</v>
      </c>
      <c r="Y116" s="137"/>
      <c r="Z116" s="15">
        <v>135</v>
      </c>
      <c r="AA116" s="1" cm="1">
        <f t="array" ref="AA116">OptionDelta("P",$Z116,$B$2,AA$100,$B$3,$AA$99,0)</f>
        <v>0</v>
      </c>
      <c r="AB116" s="1" cm="1">
        <f t="array" ref="AB116">OptionDelta("P",$Z116,$B$2,AB$100,$B$3,$AA$99,0)</f>
        <v>-6.1083360591851488E-12</v>
      </c>
      <c r="AC116" s="1" cm="1">
        <f t="array" ref="AC116">OptionDelta("P",$Z116,$B$2,AC$100,$B$3,$AA$99,0)</f>
        <v>-1.3389116704232151E-8</v>
      </c>
      <c r="AD116" s="1" cm="1">
        <f t="array" ref="AD116">OptionDelta("P",$Z116,$B$2,AD$100,$B$3,$AA$99,0)</f>
        <v>-6.4939633814820041E-7</v>
      </c>
      <c r="AE116" s="1" cm="1">
        <f t="array" ref="AE116">OptionDelta("P",$Z116,$B$2,AE$100,$B$3,$AA$99,0)</f>
        <v>-6.8011094226383406E-6</v>
      </c>
      <c r="AF116" s="1" cm="1">
        <f t="array" ref="AF116">OptionDelta("P",$Z116,$B$2,AF$100,$B$3,$AA$99,0)</f>
        <v>-3.2963859568746479E-5</v>
      </c>
      <c r="AG116" s="1" cm="1">
        <f t="array" ref="AG116">OptionDelta("P",$Z116,$B$2,AG$100,$B$3,$AA$99,0)</f>
        <v>-1.0263741426164152E-4</v>
      </c>
      <c r="AH116" s="1" cm="1">
        <f t="array" ref="AH116">OptionDelta("P",$Z116,$B$2,AH$100,$B$3,$AA$99,0)</f>
        <v>-2.4202099636327912E-4</v>
      </c>
      <c r="AI116" s="1" cm="1">
        <f t="array" ref="AI116">OptionDelta("P",$Z116,$B$2,AI$100,$B$3,$AA$99,0)</f>
        <v>-4.737266396053208E-4</v>
      </c>
      <c r="AJ116" s="1" cm="1">
        <f t="array" ref="AJ116">OptionDelta("P",$Z116,$B$2,AJ$100,$B$3,$AA$99,0)</f>
        <v>-8.1343453919457964E-4</v>
      </c>
      <c r="AK116" s="1" cm="1">
        <f t="array" ref="AK116">OptionDelta("P",$Z116,$B$2,AK$100,$B$3,$AA$99,0)</f>
        <v>-9.7928364033782467E-3</v>
      </c>
      <c r="AL116" s="1" cm="1">
        <f t="array" ref="AL116">OptionDelta("P",$Z116,$B$2,AL$100,$B$3,$AA$99,0)</f>
        <v>-2.316017918913893E-2</v>
      </c>
      <c r="AM116" s="1" cm="1">
        <f t="array" ref="AM116">OptionDelta("P",$Z116,$B$2,AM$100,$B$3,$AA$99,0)</f>
        <v>-3.5889050588990501E-2</v>
      </c>
      <c r="AN116" s="1" cm="1">
        <f t="array" ref="AN116">OptionDelta("P",$Z116,$B$2,AN$100,$B$3,$AA$99,0)</f>
        <v>-4.67205445320521E-2</v>
      </c>
      <c r="AW116" s="140"/>
      <c r="AX116" s="15">
        <v>135</v>
      </c>
      <c r="AY116" s="1" cm="1">
        <f t="array" ref="AY116">OptionTheta("P",$AX116,$B$2,AY$100,$B$3,$AY$99,0)</f>
        <v>-4.1214544252196709E-22</v>
      </c>
      <c r="AZ116" s="1" cm="1">
        <f t="array" ref="AZ116">OptionTheta("P",$AX116,$B$2,AZ$100,$B$3,$AY$99,0)</f>
        <v>-1.7705199904869478E-12</v>
      </c>
      <c r="BA116" s="1" cm="1">
        <f t="array" ref="BA116">OptionTheta("P",$AX116,$B$2,BA$100,$B$3,$AY$99,0)</f>
        <v>-2.6407838490966659E-9</v>
      </c>
      <c r="BB116" s="1" cm="1">
        <f t="array" ref="BB116">OptionTheta("P",$AX116,$B$2,BB$100,$B$3,$AY$99,0)</f>
        <v>-9.7978071253674097E-8</v>
      </c>
      <c r="BC116" s="1" cm="1">
        <f t="array" ref="BC116">OptionTheta("P",$AX116,$B$2,BC$100,$B$3,$AY$99,0)</f>
        <v>-8.3671227488192988E-7</v>
      </c>
      <c r="BD116" s="1" cm="1">
        <f t="array" ref="BD116">OptionTheta("P",$AX116,$B$2,BD$100,$B$3,$AY$99,0)</f>
        <v>-3.4425249542634706E-6</v>
      </c>
      <c r="BE116" s="1" cm="1">
        <f t="array" ref="BE116">OptionTheta("P",$AX116,$B$2,BE$100,$B$3,$AY$99,0)</f>
        <v>-9.3536372461315852E-6</v>
      </c>
      <c r="BF116" s="1" cm="1">
        <f t="array" ref="BF116">OptionTheta("P",$AX116,$B$2,BF$100,$B$3,$AY$99,0)</f>
        <v>-1.9637947609822813E-5</v>
      </c>
      <c r="BG116" s="1" cm="1">
        <f t="array" ref="BG116">OptionTheta("P",$AX116,$B$2,BG$100,$B$3,$AY$99,0)</f>
        <v>-3.4751420818588553E-5</v>
      </c>
      <c r="BH116" s="1" cm="1">
        <f t="array" ref="BH116">OptionTheta("P",$AX116,$B$2,BH$100,$B$3,$AY$99,0)</f>
        <v>-5.4597473531501214E-5</v>
      </c>
      <c r="BI116" s="1" cm="1">
        <f t="array" ref="BI116">OptionTheta("P",$AX116,$B$2,BI$100,$B$3,$AY$99,0)</f>
        <v>-3.8023917756908166E-4</v>
      </c>
      <c r="BJ116" s="1" cm="1">
        <f t="array" ref="BJ116">OptionTheta("P",$AX116,$B$2,BJ$100,$B$3,$AY$99,0)</f>
        <v>-6.7675970194845431E-4</v>
      </c>
      <c r="BK116" s="1" cm="1">
        <f t="array" ref="BK116">OptionTheta("P",$AX116,$B$2,BK$100,$B$3,$AY$99,0)</f>
        <v>-8.7342715811907445E-4</v>
      </c>
      <c r="BL116" s="1" cm="1">
        <f t="array" ref="BL116">OptionTheta("P",$AX116,$B$2,BL$100,$B$3,$AY$99,0)</f>
        <v>-9.9812823885097723E-4</v>
      </c>
      <c r="BU116" s="143"/>
      <c r="BV116" s="15">
        <v>135</v>
      </c>
      <c r="BW116" s="1" cm="1">
        <f t="array" ref="BW116">OptionGamma($BV116,$B$2,BW$100,$B$3,$BW$99,0)</f>
        <v>1.6508431991277696E-21</v>
      </c>
      <c r="BX116" s="1" cm="1">
        <f t="array" ref="BX116">OptionGamma($BV116,$B$2,BX$100,$B$3,$BW$99,0)</f>
        <v>7.0007225305255789E-12</v>
      </c>
      <c r="BY116" s="1" cm="1">
        <f t="array" ref="BY116">OptionGamma($BV116,$B$2,BY$100,$B$3,$BW$99,0)</f>
        <v>1.037740725194923E-8</v>
      </c>
      <c r="BZ116" s="1" cm="1">
        <f t="array" ref="BZ116">OptionGamma($BV116,$B$2,BZ$100,$B$3,$BW$99,0)</f>
        <v>3.8271106091862608E-7</v>
      </c>
      <c r="CA116" s="1" cm="1">
        <f t="array" ref="CA116">OptionGamma($BV116,$B$2,CA$100,$B$3,$BW$99,0)</f>
        <v>3.2491629195180632E-6</v>
      </c>
      <c r="CB116" s="1" cm="1">
        <f t="array" ref="CB116">OptionGamma($BV116,$B$2,CB$100,$B$3,$BW$99,0)</f>
        <v>1.3291938562945936E-5</v>
      </c>
      <c r="CC116" s="1" cm="1">
        <f t="array" ref="CC116">OptionGamma($BV116,$B$2,CC$100,$B$3,$BW$99,0)</f>
        <v>3.591421503332701E-5</v>
      </c>
      <c r="CD116" s="1" cm="1">
        <f t="array" ref="CD116">OptionGamma($BV116,$B$2,CD$100,$B$3,$BW$99,0)</f>
        <v>7.4991466396696723E-5</v>
      </c>
      <c r="CE116" s="1" cm="1">
        <f t="array" ref="CE116">OptionGamma($BV116,$B$2,CE$100,$B$3,$BW$99,0)</f>
        <v>1.3199891273585568E-4</v>
      </c>
      <c r="CF116" s="1" cm="1">
        <f t="array" ref="CF116">OptionGamma($BV116,$B$2,CF$100,$B$3,$BW$99,0)</f>
        <v>2.0630117799149032E-4</v>
      </c>
      <c r="CG116" s="1" cm="1">
        <f t="array" ref="CG116">OptionGamma($BV116,$B$2,CG$100,$B$3,$BW$99,0)</f>
        <v>1.3707080362701774E-3</v>
      </c>
      <c r="CH116" s="1" cm="1">
        <f t="array" ref="CH116">OptionGamma($BV116,$B$2,CH$100,$B$3,$BW$99,0)</f>
        <v>2.3440212104340022E-3</v>
      </c>
      <c r="CI116" s="1" cm="1">
        <f t="array" ref="CI116">OptionGamma($BV116,$B$2,CI$100,$B$3,$BW$99,0)</f>
        <v>2.9213283025393976E-3</v>
      </c>
      <c r="CJ116" s="1" cm="1">
        <f t="array" ref="CJ116">OptionGamma($BV116,$B$2,CJ$100,$B$3,$BW$99,0)</f>
        <v>3.2361150487909911E-3</v>
      </c>
      <c r="CS116" s="146"/>
      <c r="CT116" s="15">
        <v>135</v>
      </c>
      <c r="CU116" s="1" cm="1">
        <f t="array" ref="CU116">OptionVega($CT116,$B$2,CU$100,$B$3,$CU$99,0)</f>
        <v>3.0086617304103606E-21</v>
      </c>
      <c r="CV116" s="1" cm="1">
        <f t="array" ref="CV116">OptionVega($CT116,$B$2,CV$100,$B$3,$CU$99,0)</f>
        <v>2.5517633623765736E-11</v>
      </c>
      <c r="CW116" s="1" cm="1">
        <f t="array" ref="CW116">OptionVega($CT116,$B$2,CW$100,$B$3,$CU$99,0)</f>
        <v>5.6738474150032419E-8</v>
      </c>
      <c r="CX116" s="1" cm="1">
        <f t="array" ref="CX116">OptionVega($CT116,$B$2,CX$100,$B$3,$CU$99,0)</f>
        <v>2.7899636340967845E-6</v>
      </c>
      <c r="CY116" s="1" cm="1">
        <f t="array" ref="CY116">OptionVega($CT116,$B$2,CY$100,$B$3,$CU$99,0)</f>
        <v>2.9607997104108362E-5</v>
      </c>
      <c r="CZ116" s="1" cm="1">
        <f t="array" ref="CZ116">OptionVega($CT116,$B$2,CZ$100,$B$3,$CU$99,0)</f>
        <v>1.4534734818581388E-4</v>
      </c>
      <c r="DA116" s="1" cm="1">
        <f t="array" ref="DA116">OptionVega($CT116,$B$2,DA$100,$B$3,$CU$99,0)</f>
        <v>4.5817559828766953E-4</v>
      </c>
      <c r="DB116" s="1" cm="1">
        <f t="array" ref="DB116">OptionVega($CT116,$B$2,DB$100,$B$3,$CU$99,0)</f>
        <v>1.0933755800638383E-3</v>
      </c>
      <c r="DC116" s="1" cm="1">
        <f t="array" ref="DC116">OptionVega($CT116,$B$2,DC$100,$B$3,$CU$99,0)</f>
        <v>2.1651121661498732E-3</v>
      </c>
      <c r="DD116" s="1" cm="1">
        <f t="array" ref="DD116">OptionVega($CT116,$B$2,DD$100,$B$3,$CU$99,0)</f>
        <v>3.7598389688949115E-3</v>
      </c>
      <c r="DE116" s="1" cm="1">
        <f t="array" ref="DE116">OptionVega($CT116,$B$2,DE$100,$B$3,$CU$99,0)</f>
        <v>4.9962307922047984E-2</v>
      </c>
      <c r="DF116" s="1" cm="1">
        <f t="array" ref="DF116">OptionVega($CT116,$B$2,DF$100,$B$3,$CU$99,0)</f>
        <v>0.12815935968047906</v>
      </c>
      <c r="DG116" s="1" cm="1">
        <f t="array" ref="DG116">OptionVega($CT116,$B$2,DG$100,$B$3,$CU$99,0)</f>
        <v>0.21296483325512211</v>
      </c>
      <c r="DH116" s="1" cm="1">
        <f t="array" ref="DH116">OptionVega($CT116,$B$2,DH$100,$B$3,$CU$99,0)</f>
        <v>0.29489098382107914</v>
      </c>
      <c r="DQ116" s="131"/>
      <c r="DR116" s="15">
        <v>135</v>
      </c>
      <c r="DS116" s="1" cm="1">
        <f t="array" ref="DS116">OptionRho("P",$DR116,$B$2,DS$100,$B$3,$DS$99,0)</f>
        <v>0</v>
      </c>
      <c r="DT116" s="1" cm="1">
        <f t="array" ref="DT116">OptionRho("P",$DR116,$B$2,DT$100,$B$3,$DS$99,0)</f>
        <v>-1.6597911867185122E-12</v>
      </c>
      <c r="DU116" s="1" cm="1">
        <f t="array" ref="DU116">OptionRho("P",$DR116,$B$2,DU$100,$B$3,$DS$99,0)</f>
        <v>-5.4734607259227742E-9</v>
      </c>
      <c r="DV116" s="1" cm="1">
        <f t="array" ref="DV116">OptionRho("P",$DR116,$B$2,DV$100,$B$3,$DS$99,0)</f>
        <v>-3.5498023255249737E-7</v>
      </c>
      <c r="DW116" s="1" cm="1">
        <f t="array" ref="DW116">OptionRho("P",$DR116,$B$2,DW$100,$B$3,$DS$99,0)</f>
        <v>-4.660004645410418E-6</v>
      </c>
      <c r="DX116" s="1" cm="1">
        <f t="array" ref="DX116">OptionRho("P",$DR116,$B$2,DX$100,$B$3,$DS$99,0)</f>
        <v>-2.7176224054630909E-5</v>
      </c>
      <c r="DY116" s="1" cm="1">
        <f t="array" ref="DY116">OptionRho("P",$DR116,$B$2,DY$100,$B$3,$DS$99,0)</f>
        <v>-9.8976324948273227E-5</v>
      </c>
      <c r="DZ116" s="1" cm="1">
        <f t="array" ref="DZ116">OptionRho("P",$DR116,$B$2,DZ$100,$B$3,$DS$99,0)</f>
        <v>-2.6740280174907086E-4</v>
      </c>
      <c r="EA116" s="1" cm="1">
        <f t="array" ref="EA116">OptionRho("P",$DR116,$B$2,EA$100,$B$3,$DS$99,0)</f>
        <v>-5.9028090815697431E-4</v>
      </c>
      <c r="EB116" s="1" cm="1">
        <f t="array" ref="EB116">OptionRho("P",$DR116,$B$2,EB$100,$B$3,$DS$99,0)</f>
        <v>-1.1288829945233889E-3</v>
      </c>
      <c r="EC116" s="1" cm="1">
        <f t="array" ref="EC116">OptionRho("P",$DR116,$B$2,EC$100,$B$3,$DS$99,0)</f>
        <v>-2.7763060015189755E-2</v>
      </c>
      <c r="ED116" s="1" cm="1">
        <f t="array" ref="ED116">OptionRho("P",$DR116,$B$2,ED$100,$B$3,$DS$99,0)</f>
        <v>-0.10025507523116212</v>
      </c>
      <c r="EE116" s="1" cm="1">
        <f t="array" ref="EE116">OptionRho("P",$DR116,$B$2,EE$100,$B$3,$DS$99,0)</f>
        <v>-0.21037948457823838</v>
      </c>
      <c r="EF116" s="1" cm="1">
        <f t="array" ref="EF116">OptionRho("P",$DR116,$B$2,EF$100,$B$3,$DS$99,0)</f>
        <v>-0.34712911679763819</v>
      </c>
    </row>
  </sheetData>
  <mergeCells count="13">
    <mergeCell ref="EP4:EP57"/>
    <mergeCell ref="DQ4:DQ57"/>
    <mergeCell ref="A63:A116"/>
    <mergeCell ref="Y63:Y116"/>
    <mergeCell ref="AW63:AW116"/>
    <mergeCell ref="BU63:BU116"/>
    <mergeCell ref="CS63:CS116"/>
    <mergeCell ref="DQ63:DQ116"/>
    <mergeCell ref="A4:A57"/>
    <mergeCell ref="Y4:Y57"/>
    <mergeCell ref="AW4:AW57"/>
    <mergeCell ref="BU4:BU57"/>
    <mergeCell ref="CS4:CS57"/>
  </mergeCells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4A857-8217-9B44-91F5-ED1F636A9CA2}">
  <sheetPr codeName="Foglio7"/>
  <dimension ref="A1:X44"/>
  <sheetViews>
    <sheetView topLeftCell="A13" zoomScale="83" zoomScaleNormal="91" workbookViewId="0">
      <selection activeCell="J60" sqref="J60"/>
    </sheetView>
  </sheetViews>
  <sheetFormatPr baseColWidth="10" defaultRowHeight="15" x14ac:dyDescent="0.2"/>
  <cols>
    <col min="1" max="1" width="17.83203125" bestFit="1" customWidth="1"/>
    <col min="2" max="2" width="11.6640625" customWidth="1"/>
    <col min="3" max="3" width="11.33203125" bestFit="1" customWidth="1"/>
    <col min="4" max="7" width="8.1640625" bestFit="1" customWidth="1"/>
    <col min="8" max="8" width="11" customWidth="1"/>
    <col min="9" max="9" width="14" bestFit="1" customWidth="1"/>
    <col min="10" max="10" width="7.5" bestFit="1" customWidth="1"/>
    <col min="11" max="11" width="8.5" bestFit="1" customWidth="1"/>
    <col min="12" max="12" width="8.83203125" customWidth="1"/>
    <col min="13" max="13" width="9.33203125" customWidth="1"/>
    <col min="14" max="14" width="14.83203125" customWidth="1"/>
    <col min="15" max="15" width="16.33203125" bestFit="1" customWidth="1"/>
    <col min="16" max="16" width="11.33203125" bestFit="1" customWidth="1"/>
    <col min="17" max="17" width="9.5" customWidth="1"/>
    <col min="18" max="20" width="8.1640625" bestFit="1" customWidth="1"/>
    <col min="21" max="21" width="16.33203125" bestFit="1" customWidth="1"/>
  </cols>
  <sheetData>
    <row r="1" spans="1:19" x14ac:dyDescent="0.2">
      <c r="A1" s="123" t="s">
        <v>15</v>
      </c>
      <c r="B1" s="123"/>
      <c r="C1" s="124" t="s">
        <v>14</v>
      </c>
      <c r="D1" s="123"/>
      <c r="E1" s="123"/>
      <c r="F1" s="123"/>
      <c r="G1" s="123"/>
      <c r="H1" s="123"/>
      <c r="I1" s="123"/>
    </row>
    <row r="2" spans="1:19" ht="24" x14ac:dyDescent="0.3">
      <c r="A2" s="42" t="s">
        <v>16</v>
      </c>
      <c r="B2" s="38">
        <v>46127</v>
      </c>
      <c r="C2" t="s">
        <v>30</v>
      </c>
      <c r="D2">
        <v>23.03</v>
      </c>
    </row>
    <row r="3" spans="1:19" x14ac:dyDescent="0.2">
      <c r="A3" t="s">
        <v>24</v>
      </c>
      <c r="B3" s="124" t="s">
        <v>25</v>
      </c>
      <c r="C3" s="124"/>
      <c r="D3" s="124"/>
      <c r="E3" s="124"/>
      <c r="F3" s="124"/>
      <c r="G3" s="124"/>
      <c r="H3" s="124"/>
    </row>
    <row r="4" spans="1:19" x14ac:dyDescent="0.2">
      <c r="A4" t="s">
        <v>26</v>
      </c>
      <c r="B4" s="40">
        <v>1.992E-2</v>
      </c>
      <c r="F4">
        <v>1</v>
      </c>
      <c r="G4" s="40">
        <v>1.992E-2</v>
      </c>
      <c r="O4" t="s">
        <v>40</v>
      </c>
    </row>
    <row r="5" spans="1:19" x14ac:dyDescent="0.2">
      <c r="A5" t="s">
        <v>27</v>
      </c>
      <c r="B5" s="41">
        <v>2.2429999999999999E-2</v>
      </c>
      <c r="F5">
        <v>3</v>
      </c>
      <c r="G5" s="41">
        <v>2.2429999999999999E-2</v>
      </c>
    </row>
    <row r="6" spans="1:19" x14ac:dyDescent="0.2">
      <c r="A6" t="s">
        <v>28</v>
      </c>
      <c r="B6" s="41">
        <v>2.4750000000000001E-2</v>
      </c>
      <c r="F6">
        <v>6</v>
      </c>
      <c r="G6" s="41">
        <v>2.4750000000000001E-2</v>
      </c>
    </row>
    <row r="7" spans="1:19" x14ac:dyDescent="0.2">
      <c r="A7" t="s">
        <v>29</v>
      </c>
      <c r="B7" s="40">
        <v>2.767E-2</v>
      </c>
      <c r="F7">
        <v>12</v>
      </c>
      <c r="G7" s="40">
        <v>2.767E-2</v>
      </c>
    </row>
    <row r="9" spans="1:19" x14ac:dyDescent="0.2">
      <c r="A9" s="125"/>
      <c r="B9" s="125"/>
      <c r="C9" s="125"/>
      <c r="D9" s="120"/>
      <c r="E9" s="126" t="s">
        <v>3</v>
      </c>
      <c r="F9" s="127"/>
      <c r="G9" s="127"/>
      <c r="H9" s="127"/>
      <c r="I9" s="128"/>
      <c r="J9" s="126" t="s">
        <v>32</v>
      </c>
      <c r="K9" s="127"/>
      <c r="L9" s="127"/>
      <c r="M9" s="127"/>
      <c r="N9" s="128"/>
      <c r="O9" s="63"/>
      <c r="P9" s="64" t="s">
        <v>51</v>
      </c>
      <c r="Q9" s="63"/>
      <c r="R9" s="63"/>
      <c r="S9" s="63"/>
    </row>
    <row r="10" spans="1:19" x14ac:dyDescent="0.2">
      <c r="A10" s="57" t="s">
        <v>17</v>
      </c>
      <c r="B10" s="57" t="s">
        <v>53</v>
      </c>
      <c r="C10" s="57" t="s">
        <v>1</v>
      </c>
      <c r="D10" s="56" t="s">
        <v>18</v>
      </c>
      <c r="E10" s="65" t="s">
        <v>33</v>
      </c>
      <c r="F10" s="65" t="s">
        <v>34</v>
      </c>
      <c r="G10" s="77" t="s">
        <v>31</v>
      </c>
      <c r="H10" s="77" t="s">
        <v>23</v>
      </c>
      <c r="I10" s="65" t="s">
        <v>35</v>
      </c>
      <c r="J10" s="65" t="s">
        <v>33</v>
      </c>
      <c r="K10" s="65" t="s">
        <v>34</v>
      </c>
      <c r="L10" s="77" t="s">
        <v>31</v>
      </c>
      <c r="M10" s="77" t="s">
        <v>23</v>
      </c>
      <c r="N10" s="65" t="s">
        <v>35</v>
      </c>
      <c r="P10" s="77" t="s">
        <v>52</v>
      </c>
    </row>
    <row r="11" spans="1:19" x14ac:dyDescent="0.2">
      <c r="A11" s="49" t="s">
        <v>19</v>
      </c>
      <c r="B11" s="58">
        <v>1</v>
      </c>
      <c r="C11" s="59">
        <v>1.992E-2</v>
      </c>
      <c r="D11" s="39">
        <v>19</v>
      </c>
      <c r="E11" s="69">
        <v>3.85</v>
      </c>
      <c r="F11" s="70">
        <v>4.5999999999999996</v>
      </c>
      <c r="G11" s="78">
        <f>AVERAGE(E11:F11)</f>
        <v>4.2249999999999996</v>
      </c>
      <c r="H11" s="79" cm="1">
        <f t="array" ref="H11">ImVol("C",D$2,D11,C11,0,B11/12,G11)</f>
        <v>0.5374194448813796</v>
      </c>
      <c r="I11" s="75">
        <v>55.47</v>
      </c>
      <c r="J11" s="69">
        <v>0.02</v>
      </c>
      <c r="K11" s="70">
        <v>0.37</v>
      </c>
      <c r="L11" s="78">
        <f t="shared" ref="L11:L35" si="0">AVERAGE(J11:K11)</f>
        <v>0.19500000000000001</v>
      </c>
      <c r="M11" s="79" cm="1">
        <f t="array" ref="M11">ImVol("P",D$2,D11,C11,0,B11/12,L11)</f>
        <v>0.56504502426832914</v>
      </c>
      <c r="N11" s="75">
        <v>71.33</v>
      </c>
    </row>
    <row r="12" spans="1:19" x14ac:dyDescent="0.2">
      <c r="A12" s="50" t="s">
        <v>19</v>
      </c>
      <c r="B12" s="39">
        <v>1</v>
      </c>
      <c r="C12" s="60">
        <v>1.992E-2</v>
      </c>
      <c r="D12" s="39">
        <v>20</v>
      </c>
      <c r="E12" s="69">
        <v>3.05</v>
      </c>
      <c r="F12" s="70">
        <v>3.65</v>
      </c>
      <c r="G12" s="78">
        <f>AVERAGE(E12:F12)</f>
        <v>3.3499999999999996</v>
      </c>
      <c r="H12" s="79" cm="1">
        <f t="array" ref="H12">ImVol("C",D$2,D12,C12,0,B12/12,G12)</f>
        <v>0.51556116435676813</v>
      </c>
      <c r="I12" s="75">
        <v>53.12</v>
      </c>
      <c r="J12" s="69">
        <v>0.11</v>
      </c>
      <c r="K12" s="70">
        <v>0.5</v>
      </c>
      <c r="L12" s="78">
        <f t="shared" si="0"/>
        <v>0.30499999999999999</v>
      </c>
      <c r="M12" s="79" cm="1">
        <f t="array" ref="M12">ImVol("P",D$2,D12,C12,0,B12/12,L12)</f>
        <v>0.52713112439960241</v>
      </c>
      <c r="N12" s="75">
        <v>54.21</v>
      </c>
    </row>
    <row r="13" spans="1:19" x14ac:dyDescent="0.2">
      <c r="A13" s="50" t="s">
        <v>19</v>
      </c>
      <c r="B13" s="39">
        <v>1</v>
      </c>
      <c r="C13" s="60">
        <v>1.992E-2</v>
      </c>
      <c r="D13" s="39">
        <v>22</v>
      </c>
      <c r="E13" s="69">
        <v>1.75</v>
      </c>
      <c r="F13" s="70">
        <v>2.15</v>
      </c>
      <c r="G13" s="78">
        <f t="shared" ref="G13:G25" si="1">AVERAGE(E13:F13)</f>
        <v>1.95</v>
      </c>
      <c r="H13" s="79" cm="1">
        <f t="array" ref="H13">ImVol("C",D$2,D13,C13,0,B13/12,G13)</f>
        <v>0.52176357712596655</v>
      </c>
      <c r="I13" s="75">
        <v>53.97</v>
      </c>
      <c r="J13" s="69">
        <v>0.7</v>
      </c>
      <c r="K13" s="70">
        <v>1.1000000000000001</v>
      </c>
      <c r="L13" s="78">
        <f t="shared" si="0"/>
        <v>0.9</v>
      </c>
      <c r="M13" s="79" cm="1">
        <f t="array" ref="M13">ImVol("P",D$2,D13,C13,0,B13/12,L13)</f>
        <v>0.52846841979771852</v>
      </c>
      <c r="N13" s="75">
        <v>54.58</v>
      </c>
    </row>
    <row r="14" spans="1:19" x14ac:dyDescent="0.2">
      <c r="A14" s="50" t="s">
        <v>19</v>
      </c>
      <c r="B14" s="39">
        <v>1</v>
      </c>
      <c r="C14" s="60">
        <v>1.992E-2</v>
      </c>
      <c r="D14" s="39">
        <v>24</v>
      </c>
      <c r="E14" s="69">
        <v>0.8</v>
      </c>
      <c r="F14" s="70">
        <v>1.2</v>
      </c>
      <c r="G14" s="78">
        <f t="shared" si="1"/>
        <v>1</v>
      </c>
      <c r="H14" s="79" cm="1">
        <f t="array" ref="H14">ImVol("C",D$2,D14,C14,0,B14/12,G14)</f>
        <v>0.52417262922972441</v>
      </c>
      <c r="I14" s="75">
        <v>54.25</v>
      </c>
      <c r="J14" s="69">
        <v>1.7</v>
      </c>
      <c r="K14" s="70">
        <v>2.1</v>
      </c>
      <c r="L14" s="78">
        <f t="shared" si="0"/>
        <v>1.9</v>
      </c>
      <c r="M14" s="79" cm="1">
        <f t="array" ref="M14">ImVol("P",D$2,D14,C14,0,B14/12,L14)</f>
        <v>0.51258174236863852</v>
      </c>
      <c r="N14" s="75">
        <v>52.99</v>
      </c>
    </row>
    <row r="15" spans="1:19" x14ac:dyDescent="0.2">
      <c r="A15" s="51" t="s">
        <v>19</v>
      </c>
      <c r="B15" s="39">
        <v>1</v>
      </c>
      <c r="C15" s="60">
        <v>1.992E-2</v>
      </c>
      <c r="D15" s="39">
        <v>26</v>
      </c>
      <c r="E15" s="69">
        <v>0.25</v>
      </c>
      <c r="F15" s="70">
        <v>0.65</v>
      </c>
      <c r="G15" s="78">
        <f t="shared" si="1"/>
        <v>0.45</v>
      </c>
      <c r="H15" s="79" cm="1">
        <f t="array" ref="H15">ImVol("C",D$2,D15,C15,0,B15/12,G15)</f>
        <v>0.5235246242955327</v>
      </c>
      <c r="I15" s="75">
        <v>54</v>
      </c>
      <c r="J15" s="69">
        <v>3.05</v>
      </c>
      <c r="K15" s="70">
        <v>3.65</v>
      </c>
      <c r="L15" s="78">
        <f t="shared" si="0"/>
        <v>3.3499999999999996</v>
      </c>
      <c r="M15" s="79" cm="1">
        <f t="array" ref="M15">ImVol("P",D$2,D15,C15,0,B15/12,L15)</f>
        <v>0.51032455172389746</v>
      </c>
      <c r="N15" s="75">
        <v>52.61</v>
      </c>
    </row>
    <row r="16" spans="1:19" x14ac:dyDescent="0.2">
      <c r="A16" s="50" t="s">
        <v>20</v>
      </c>
      <c r="B16" s="39">
        <v>2</v>
      </c>
      <c r="C16" s="60">
        <f>B4+(B5-B4)*(B16-1)/(3-1)</f>
        <v>2.1174999999999999E-2</v>
      </c>
      <c r="D16" s="39">
        <v>19</v>
      </c>
      <c r="E16" s="69">
        <v>4.05</v>
      </c>
      <c r="F16" s="70">
        <v>4.8499999999999996</v>
      </c>
      <c r="G16" s="78">
        <f t="shared" si="1"/>
        <v>4.4499999999999993</v>
      </c>
      <c r="H16" s="79" cm="1">
        <f t="array" ref="H16">ImVol("C",D$2,D16,C16,0,B16/12,G16)</f>
        <v>0.48626504372805357</v>
      </c>
      <c r="I16" s="75">
        <v>47.43</v>
      </c>
      <c r="J16" s="69">
        <v>0.15</v>
      </c>
      <c r="K16" s="70">
        <v>0.55000000000000004</v>
      </c>
      <c r="L16" s="78">
        <f t="shared" si="0"/>
        <v>0.35000000000000003</v>
      </c>
      <c r="M16" s="79" cm="1">
        <f t="array" ref="M16">ImVol("P",D$2,D16,C16,0,B16/12,L16)</f>
        <v>0.48478965181857347</v>
      </c>
      <c r="N16" s="75">
        <v>47.23</v>
      </c>
    </row>
    <row r="17" spans="1:14" x14ac:dyDescent="0.2">
      <c r="A17" s="50" t="s">
        <v>20</v>
      </c>
      <c r="B17" s="39">
        <v>2</v>
      </c>
      <c r="C17" s="60">
        <v>2.1174999999999999E-2</v>
      </c>
      <c r="D17" s="39">
        <v>20</v>
      </c>
      <c r="E17" s="69">
        <v>3.35</v>
      </c>
      <c r="F17" s="70">
        <v>4</v>
      </c>
      <c r="G17" s="78">
        <f t="shared" si="1"/>
        <v>3.6749999999999998</v>
      </c>
      <c r="H17" s="79" cm="1">
        <f t="array" ref="H17">ImVol("C",D$2,D17,C17,0,B17/12,G17)</f>
        <v>0.48520409967750311</v>
      </c>
      <c r="I17" s="75">
        <v>47.27</v>
      </c>
      <c r="J17" s="69">
        <v>0.35</v>
      </c>
      <c r="K17" s="70">
        <v>0.75</v>
      </c>
      <c r="L17" s="78">
        <f t="shared" si="0"/>
        <v>0.55000000000000004</v>
      </c>
      <c r="M17" s="79" cm="1">
        <f t="array" ref="M17">ImVol("P",D$2,D17,C17,0,B17/12,L17)</f>
        <v>0.4759312653914094</v>
      </c>
      <c r="N17" s="75">
        <v>46.33</v>
      </c>
    </row>
    <row r="18" spans="1:14" x14ac:dyDescent="0.2">
      <c r="A18" s="50" t="s">
        <v>20</v>
      </c>
      <c r="B18" s="39">
        <v>2</v>
      </c>
      <c r="C18" s="60">
        <v>2.1174999999999999E-2</v>
      </c>
      <c r="D18" s="39">
        <v>22</v>
      </c>
      <c r="E18" s="69">
        <v>2.1</v>
      </c>
      <c r="F18" s="70">
        <v>2.5</v>
      </c>
      <c r="G18" s="78">
        <f t="shared" si="1"/>
        <v>2.2999999999999998</v>
      </c>
      <c r="H18" s="79" cm="1">
        <f t="array" ref="H18">ImVol("C",D$2,D18,C18,0,B18/12,G18)</f>
        <v>0.46211039181798697</v>
      </c>
      <c r="I18" s="75">
        <v>45.2</v>
      </c>
      <c r="J18" s="69">
        <v>1.05</v>
      </c>
      <c r="K18" s="70">
        <v>1.45</v>
      </c>
      <c r="L18" s="78">
        <f t="shared" si="0"/>
        <v>1.25</v>
      </c>
      <c r="M18" s="79" cm="1">
        <f t="array" ref="M18">ImVol("P",D$2,D18,C18,0,B18/12,L18)</f>
        <v>0.47842561732977629</v>
      </c>
      <c r="N18" s="75">
        <v>46.73</v>
      </c>
    </row>
    <row r="19" spans="1:14" x14ac:dyDescent="0.2">
      <c r="A19" s="50" t="s">
        <v>20</v>
      </c>
      <c r="B19" s="39">
        <v>2</v>
      </c>
      <c r="C19" s="60">
        <v>2.1174999999999999E-2</v>
      </c>
      <c r="D19" s="39">
        <v>24</v>
      </c>
      <c r="E19" s="69">
        <v>1.1499999999999999</v>
      </c>
      <c r="F19" s="70">
        <v>1.55</v>
      </c>
      <c r="G19" s="78">
        <f t="shared" si="1"/>
        <v>1.35</v>
      </c>
      <c r="H19" s="79" cm="1">
        <f t="array" ref="H19">ImVol("C",D$2,D19,C19,0,B19/12,G19)</f>
        <v>0.46041401568800211</v>
      </c>
      <c r="I19" s="75">
        <v>44.94</v>
      </c>
      <c r="J19" s="69">
        <v>2.0499999999999998</v>
      </c>
      <c r="K19" s="70">
        <v>2.4500000000000002</v>
      </c>
      <c r="L19" s="78">
        <f t="shared" si="0"/>
        <v>2.25</v>
      </c>
      <c r="M19" s="79" cm="1">
        <f t="array" ref="M19">ImVol("P",D$2,D19,C19,0,B19/12,L19)</f>
        <v>0.46431499067693949</v>
      </c>
      <c r="N19" s="75">
        <v>45.28</v>
      </c>
    </row>
    <row r="20" spans="1:14" x14ac:dyDescent="0.2">
      <c r="A20" s="50" t="s">
        <v>20</v>
      </c>
      <c r="B20" s="39">
        <v>2</v>
      </c>
      <c r="C20" s="60">
        <v>2.1174999999999999E-2</v>
      </c>
      <c r="D20" s="39">
        <v>26</v>
      </c>
      <c r="E20" s="69">
        <v>0.55000000000000004</v>
      </c>
      <c r="F20" s="70">
        <v>0.95</v>
      </c>
      <c r="G20" s="78">
        <f t="shared" si="1"/>
        <v>0.75</v>
      </c>
      <c r="H20" s="79" cm="1">
        <f t="array" ref="H20">ImVol("C",D$2,D20,C20,0,B20/12,G20)</f>
        <v>0.46355994883924723</v>
      </c>
      <c r="I20" s="75">
        <v>45.24</v>
      </c>
      <c r="J20" s="69">
        <v>3.3</v>
      </c>
      <c r="K20" s="70">
        <v>3.95</v>
      </c>
      <c r="L20" s="78">
        <f t="shared" si="0"/>
        <v>3.625</v>
      </c>
      <c r="M20" s="79" cm="1">
        <f t="array" ref="M20">ImVol("P",D$2,D20,C20,0,B20/12,L20)</f>
        <v>0.46251659747213125</v>
      </c>
      <c r="N20" s="75">
        <v>45.1</v>
      </c>
    </row>
    <row r="21" spans="1:14" x14ac:dyDescent="0.2">
      <c r="A21" s="50" t="s">
        <v>21</v>
      </c>
      <c r="B21" s="39">
        <v>5</v>
      </c>
      <c r="C21" s="61">
        <f>B4+(B5-B4)*2/3</f>
        <v>2.1593333333333332E-2</v>
      </c>
      <c r="D21" s="39">
        <v>19</v>
      </c>
      <c r="E21" s="69">
        <v>4.75</v>
      </c>
      <c r="F21" s="70">
        <v>5.6</v>
      </c>
      <c r="G21" s="78">
        <f t="shared" si="1"/>
        <v>5.1749999999999998</v>
      </c>
      <c r="H21" s="79" cm="1">
        <f t="array" ref="H21">ImVol("C",D$2,D21,C21,0,B21/12,G21)</f>
        <v>0.47503300476819277</v>
      </c>
      <c r="I21" s="75">
        <v>45.82</v>
      </c>
      <c r="J21" s="69">
        <v>0.7</v>
      </c>
      <c r="K21" s="70">
        <v>1.1000000000000001</v>
      </c>
      <c r="L21" s="78">
        <f t="shared" si="0"/>
        <v>0.9</v>
      </c>
      <c r="M21" s="79" cm="1">
        <f t="array" ref="M21">ImVol("P",D$2,D21,C21,0,B21/12,L21)</f>
        <v>0.45738062355667353</v>
      </c>
      <c r="N21" s="75">
        <v>45.25</v>
      </c>
    </row>
    <row r="22" spans="1:14" x14ac:dyDescent="0.2">
      <c r="A22" s="50" t="s">
        <v>21</v>
      </c>
      <c r="B22" s="39">
        <v>5</v>
      </c>
      <c r="C22" s="61">
        <f>B5+(B6-B5)*2/3</f>
        <v>2.3976666666666667E-2</v>
      </c>
      <c r="D22" s="39">
        <v>20</v>
      </c>
      <c r="E22" s="69">
        <v>4.05</v>
      </c>
      <c r="F22" s="70">
        <v>4.8499999999999996</v>
      </c>
      <c r="G22" s="78">
        <f t="shared" si="1"/>
        <v>4.4499999999999993</v>
      </c>
      <c r="H22" s="79" cm="1">
        <f t="array" ref="H22">ImVol("C",D$2,D22,C22,0,B22/12,G22)</f>
        <v>0.45810549054294825</v>
      </c>
      <c r="I22" s="75">
        <v>45.51</v>
      </c>
      <c r="J22" s="69">
        <v>1.05</v>
      </c>
      <c r="K22" s="70">
        <v>1.45</v>
      </c>
      <c r="L22" s="78">
        <f t="shared" si="0"/>
        <v>1.25</v>
      </c>
      <c r="M22" s="79" cm="1">
        <f t="array" ref="M22">ImVol("P",D$2,D22,C22,0,B22/12,L22)</f>
        <v>0.46413103584200144</v>
      </c>
      <c r="N22" s="75">
        <v>45.73</v>
      </c>
    </row>
    <row r="23" spans="1:14" x14ac:dyDescent="0.2">
      <c r="A23" s="50" t="s">
        <v>21</v>
      </c>
      <c r="B23" s="39">
        <v>5</v>
      </c>
      <c r="C23" s="61">
        <v>2.3976666666666667E-2</v>
      </c>
      <c r="D23" s="39">
        <v>22</v>
      </c>
      <c r="E23" s="69">
        <v>3</v>
      </c>
      <c r="F23" s="70">
        <v>3.55</v>
      </c>
      <c r="G23" s="78">
        <f t="shared" si="1"/>
        <v>3.2749999999999999</v>
      </c>
      <c r="H23" s="79" cm="1">
        <f t="array" ref="H23">ImVol("C",D$2,D23,C23,0,B23/12,G23)</f>
        <v>0.45288824941962957</v>
      </c>
      <c r="I23" s="75">
        <v>44.88</v>
      </c>
      <c r="J23" s="69">
        <v>1.85</v>
      </c>
      <c r="K23" s="70">
        <v>2.25</v>
      </c>
      <c r="L23" s="78">
        <f t="shared" si="0"/>
        <v>2.0499999999999998</v>
      </c>
      <c r="M23" s="79" cm="1">
        <f t="array" ref="M23">ImVol("P",D$2,D23,C23,0,B23/12,L23)</f>
        <v>0.45711602549999952</v>
      </c>
      <c r="N23" s="75">
        <v>44.94</v>
      </c>
    </row>
    <row r="24" spans="1:14" x14ac:dyDescent="0.2">
      <c r="A24" s="50" t="s">
        <v>21</v>
      </c>
      <c r="B24" s="39">
        <v>5</v>
      </c>
      <c r="C24" s="61">
        <v>2.3976666666666667E-2</v>
      </c>
      <c r="D24" s="39">
        <v>24</v>
      </c>
      <c r="E24" s="69">
        <v>2.15</v>
      </c>
      <c r="F24" s="70">
        <v>2.5499999999999998</v>
      </c>
      <c r="G24" s="78">
        <f t="shared" si="1"/>
        <v>2.3499999999999996</v>
      </c>
      <c r="H24" s="79" cm="1">
        <f t="array" ref="H24">ImVol("C",D$2,D24,C24,0,B24/12,G24)</f>
        <v>0.44975407887250185</v>
      </c>
      <c r="I24" s="75">
        <v>44.53</v>
      </c>
      <c r="J24" s="69">
        <v>2.8</v>
      </c>
      <c r="K24" s="70">
        <v>3.35</v>
      </c>
      <c r="L24" s="78">
        <f t="shared" si="0"/>
        <v>3.0750000000000002</v>
      </c>
      <c r="M24" s="79" cm="1">
        <f t="array" ref="M24">ImVol("P",D$2,D24,C24,0,B24/12,L24)</f>
        <v>0.44866961892694235</v>
      </c>
      <c r="N24" s="75">
        <v>44.06</v>
      </c>
    </row>
    <row r="25" spans="1:14" x14ac:dyDescent="0.2">
      <c r="A25" s="50" t="s">
        <v>21</v>
      </c>
      <c r="B25" s="39">
        <v>5</v>
      </c>
      <c r="C25" s="61">
        <v>2.3976666666666667E-2</v>
      </c>
      <c r="D25" s="39">
        <v>26</v>
      </c>
      <c r="E25" s="69">
        <v>1.45</v>
      </c>
      <c r="F25" s="70">
        <v>1.85</v>
      </c>
      <c r="G25" s="78">
        <f t="shared" si="1"/>
        <v>1.65</v>
      </c>
      <c r="H25" s="79" cm="1">
        <f t="array" ref="H25">ImVol("C",D$2,D25,C25,0,B25/12,G25)</f>
        <v>0.44778526294976473</v>
      </c>
      <c r="I25" s="75">
        <v>44.32</v>
      </c>
      <c r="J25" s="69">
        <v>4</v>
      </c>
      <c r="K25" s="70">
        <v>4.7</v>
      </c>
      <c r="L25" s="78">
        <f t="shared" si="0"/>
        <v>4.3499999999999996</v>
      </c>
      <c r="M25" s="79" cm="1">
        <f t="array" ref="M25">ImVol("P",D$2,D25,C25,0,B25/12,L25)</f>
        <v>0.44578068424016237</v>
      </c>
      <c r="N25" s="75">
        <v>43.72</v>
      </c>
    </row>
    <row r="26" spans="1:14" x14ac:dyDescent="0.2">
      <c r="A26" s="50" t="s">
        <v>22</v>
      </c>
      <c r="B26" s="39">
        <v>8</v>
      </c>
      <c r="C26" s="61">
        <f>B5+(B6-B5)*2/6</f>
        <v>2.3203333333333333E-2</v>
      </c>
      <c r="D26" s="39">
        <v>19</v>
      </c>
      <c r="E26" s="69">
        <v>5.25</v>
      </c>
      <c r="F26" s="70">
        <v>6.25</v>
      </c>
      <c r="G26" s="78">
        <f t="shared" ref="G26:G35" si="2">AVERAGE(E26:F26)</f>
        <v>5.75</v>
      </c>
      <c r="H26" s="79" cm="1">
        <f t="array" ref="H26">ImVol("C",D$2,D26,C26,0,B26/12,G26)</f>
        <v>0.46417081262916327</v>
      </c>
      <c r="I26" s="75">
        <v>46.2</v>
      </c>
      <c r="J26" s="69">
        <v>1</v>
      </c>
      <c r="K26" s="70">
        <v>1.8</v>
      </c>
      <c r="L26" s="78">
        <f t="shared" si="0"/>
        <v>1.4</v>
      </c>
      <c r="M26" s="79" cm="1">
        <f t="array" ref="M26">ImVol("P",D$2,D26,C26,0,B26/12,L26)</f>
        <v>0.45920164790004492</v>
      </c>
      <c r="N26" s="75">
        <v>45.63</v>
      </c>
    </row>
    <row r="27" spans="1:14" x14ac:dyDescent="0.2">
      <c r="A27" s="50" t="s">
        <v>22</v>
      </c>
      <c r="B27" s="39">
        <v>8</v>
      </c>
      <c r="C27" s="61">
        <f>B6+(B7-B6)*2/6</f>
        <v>2.5723333333333334E-2</v>
      </c>
      <c r="D27" s="39">
        <v>20</v>
      </c>
      <c r="E27" s="69">
        <v>4.6500000000000004</v>
      </c>
      <c r="F27" s="70">
        <v>5.6</v>
      </c>
      <c r="G27" s="78">
        <f t="shared" si="2"/>
        <v>5.125</v>
      </c>
      <c r="H27" s="79" cm="1">
        <f t="array" ref="H27">ImVol("C",D$2,D27,C27,0,B27/12,G27)</f>
        <v>0.45780789572745562</v>
      </c>
      <c r="I27" s="75">
        <v>45.78</v>
      </c>
      <c r="J27" s="69">
        <v>1.35</v>
      </c>
      <c r="K27" s="70">
        <v>2.15</v>
      </c>
      <c r="L27" s="78">
        <f t="shared" si="0"/>
        <v>1.75</v>
      </c>
      <c r="M27" s="79" cm="1">
        <f t="array" ref="M27">ImVol("P",D$2,D27,C27,0,B27/12,L27)</f>
        <v>0.45701353345066309</v>
      </c>
      <c r="N27" s="75">
        <v>45.06</v>
      </c>
    </row>
    <row r="28" spans="1:14" x14ac:dyDescent="0.2">
      <c r="A28" s="50" t="s">
        <v>22</v>
      </c>
      <c r="B28" s="39">
        <v>8</v>
      </c>
      <c r="C28" s="61">
        <v>2.5723333333333334E-2</v>
      </c>
      <c r="D28" s="39">
        <v>22</v>
      </c>
      <c r="E28" s="69">
        <v>3.6</v>
      </c>
      <c r="F28" s="70">
        <v>4.5</v>
      </c>
      <c r="G28" s="78">
        <f t="shared" si="2"/>
        <v>4.05</v>
      </c>
      <c r="H28" s="79" cm="1">
        <f t="array" ref="H28">ImVol("C",D$2,D28,C28,0,B28/12,G28)</f>
        <v>0.45658888760954142</v>
      </c>
      <c r="I28" s="75">
        <v>45.53</v>
      </c>
      <c r="J28" s="69">
        <v>2.25</v>
      </c>
      <c r="K28" s="70">
        <v>3</v>
      </c>
      <c r="L28" s="78">
        <f t="shared" si="0"/>
        <v>2.625</v>
      </c>
      <c r="M28" s="79" cm="1">
        <f t="array" ref="M28">ImVol("P",D$2,D28,C28,0,B28/12,L28)</f>
        <v>0.45361574273556471</v>
      </c>
      <c r="N28" s="75">
        <v>44.63</v>
      </c>
    </row>
    <row r="29" spans="1:14" x14ac:dyDescent="0.2">
      <c r="A29" s="50" t="s">
        <v>22</v>
      </c>
      <c r="B29" s="39">
        <v>8</v>
      </c>
      <c r="C29" s="61">
        <v>2.5723333333333334E-2</v>
      </c>
      <c r="D29" s="39">
        <v>24</v>
      </c>
      <c r="E29" s="69">
        <v>2.7</v>
      </c>
      <c r="F29" s="70">
        <v>3.55</v>
      </c>
      <c r="G29" s="78">
        <f t="shared" si="2"/>
        <v>3.125</v>
      </c>
      <c r="H29" s="79" cm="1">
        <f t="array" ref="H29">ImVol("C",D$2,D29,C29,0,B29/12,G29)</f>
        <v>0.4501239350065589</v>
      </c>
      <c r="I29" s="75">
        <v>44.85</v>
      </c>
      <c r="J29" s="69">
        <v>3.3</v>
      </c>
      <c r="K29" s="70">
        <v>4.0999999999999996</v>
      </c>
      <c r="L29" s="78">
        <f t="shared" si="0"/>
        <v>3.6999999999999997</v>
      </c>
      <c r="M29" s="79" cm="1">
        <f t="array" ref="M29">ImVol("P",D$2,D29,C29,0,B29/12,L29)</f>
        <v>0.45187777373939753</v>
      </c>
      <c r="N29" s="75">
        <v>44.4</v>
      </c>
    </row>
    <row r="30" spans="1:14" x14ac:dyDescent="0.2">
      <c r="A30" s="50" t="s">
        <v>22</v>
      </c>
      <c r="B30" s="39">
        <v>8</v>
      </c>
      <c r="C30" s="61">
        <v>2.5723333333333334E-2</v>
      </c>
      <c r="D30" s="39">
        <v>26</v>
      </c>
      <c r="E30" s="69">
        <v>2</v>
      </c>
      <c r="F30" s="70">
        <v>2.8</v>
      </c>
      <c r="G30" s="78">
        <f t="shared" si="2"/>
        <v>2.4</v>
      </c>
      <c r="H30" s="79" cm="1">
        <f t="array" ref="H30">ImVol("C",D$2,D30,C30,0,B30/12,G30)</f>
        <v>0.44776103924959898</v>
      </c>
      <c r="I30" s="75">
        <v>44.77</v>
      </c>
      <c r="J30" s="69">
        <v>4.5</v>
      </c>
      <c r="K30" s="70">
        <v>5.35</v>
      </c>
      <c r="L30" s="78">
        <f t="shared" si="0"/>
        <v>4.9249999999999998</v>
      </c>
      <c r="M30" s="79" cm="1">
        <f t="array" ref="M30">ImVol("P",D$2,D30,C30,0,B30/12,L30)</f>
        <v>0.44736838433891535</v>
      </c>
      <c r="N30" s="75">
        <v>44.03</v>
      </c>
    </row>
    <row r="31" spans="1:14" x14ac:dyDescent="0.2">
      <c r="A31" s="52">
        <v>46465</v>
      </c>
      <c r="B31" s="44">
        <v>11</v>
      </c>
      <c r="C31" s="61">
        <f>B5+(B6-B5)*5/6</f>
        <v>2.4363333333333334E-2</v>
      </c>
      <c r="D31" s="39">
        <v>19</v>
      </c>
      <c r="E31" s="69">
        <v>5.65</v>
      </c>
      <c r="F31" s="70">
        <v>6.8</v>
      </c>
      <c r="G31" s="78">
        <f t="shared" si="2"/>
        <v>6.2249999999999996</v>
      </c>
      <c r="H31" s="79" cm="1">
        <f t="array" ref="H31">ImVol("C",D$2,D31,C31,0,B31/12,G31)</f>
        <v>0.45419363770633936</v>
      </c>
      <c r="I31" s="75">
        <v>45.23</v>
      </c>
      <c r="J31" s="69">
        <v>1.35</v>
      </c>
      <c r="K31" s="70">
        <v>2.15</v>
      </c>
      <c r="L31" s="78">
        <f t="shared" si="0"/>
        <v>1.75</v>
      </c>
      <c r="M31" s="79" cm="1">
        <f t="array" ref="M31">ImVol("P",D$2,D31,C31,0,B31/12,L31)</f>
        <v>0.45047600287944078</v>
      </c>
      <c r="N31" s="75">
        <v>44.61</v>
      </c>
    </row>
    <row r="32" spans="1:14" x14ac:dyDescent="0.2">
      <c r="A32" s="52">
        <v>46465</v>
      </c>
      <c r="B32" s="44">
        <v>11</v>
      </c>
      <c r="C32" s="61">
        <f>B6+(B7-B6)*5/6</f>
        <v>2.7183333333333334E-2</v>
      </c>
      <c r="D32" s="39">
        <v>20</v>
      </c>
      <c r="E32" s="69">
        <v>5.05</v>
      </c>
      <c r="F32" s="70">
        <v>6.2</v>
      </c>
      <c r="G32" s="78">
        <f t="shared" si="2"/>
        <v>5.625</v>
      </c>
      <c r="H32" s="79" cm="1">
        <f t="array" ref="H32">ImVol("C",D$2,D32,C32,0,B32/12,G32)</f>
        <v>0.44661703053861856</v>
      </c>
      <c r="I32" s="75">
        <v>45.06</v>
      </c>
      <c r="J32" s="69">
        <v>1.75</v>
      </c>
      <c r="K32" s="70">
        <v>2.5499999999999998</v>
      </c>
      <c r="L32" s="78">
        <f t="shared" si="0"/>
        <v>2.15</v>
      </c>
      <c r="M32" s="79" cm="1">
        <f t="array" ref="M32">ImVol("P",D$2,D32,C32,0,B32/12,L32)</f>
        <v>0.45304434839636087</v>
      </c>
      <c r="N32" s="75">
        <v>44.76</v>
      </c>
    </row>
    <row r="33" spans="1:24" x14ac:dyDescent="0.2">
      <c r="A33" s="52">
        <v>46465</v>
      </c>
      <c r="B33" s="44">
        <v>11</v>
      </c>
      <c r="C33" s="61">
        <v>2.7183333333333334E-2</v>
      </c>
      <c r="D33" s="39">
        <v>22</v>
      </c>
      <c r="E33" s="69">
        <v>4.05</v>
      </c>
      <c r="F33" s="70">
        <v>5.0999999999999996</v>
      </c>
      <c r="G33" s="78">
        <f t="shared" si="2"/>
        <v>4.5749999999999993</v>
      </c>
      <c r="H33" s="79" cm="1">
        <f t="array" ref="H33">ImVol("C",D$2,D33,C33,0,B33/12,G33)</f>
        <v>0.44330126140266657</v>
      </c>
      <c r="I33" s="75">
        <v>44.45</v>
      </c>
      <c r="J33" s="69">
        <v>2.6</v>
      </c>
      <c r="K33" s="70">
        <v>3.5</v>
      </c>
      <c r="L33" s="78">
        <f t="shared" si="0"/>
        <v>3.05</v>
      </c>
      <c r="M33" s="79" cm="1">
        <f t="array" ref="M33">ImVol("P",D$2,D33,C33,0,B33/12,L33)</f>
        <v>0.44897181447595358</v>
      </c>
      <c r="N33" s="75">
        <v>44.09</v>
      </c>
    </row>
    <row r="34" spans="1:24" x14ac:dyDescent="0.2">
      <c r="A34" s="52">
        <v>46465</v>
      </c>
      <c r="B34" s="44">
        <v>11</v>
      </c>
      <c r="C34" s="61">
        <v>2.7183333333333334E-2</v>
      </c>
      <c r="D34" s="39">
        <v>24</v>
      </c>
      <c r="E34" s="69">
        <v>3.2</v>
      </c>
      <c r="F34" s="70">
        <v>4.1500000000000004</v>
      </c>
      <c r="G34" s="78">
        <f t="shared" si="2"/>
        <v>3.6750000000000003</v>
      </c>
      <c r="H34" s="79" cm="1">
        <f t="array" ref="H34">ImVol("C",D$2,D34,C34,0,B34/12,G34)</f>
        <v>0.43863138649612665</v>
      </c>
      <c r="I34" s="75">
        <v>43.94</v>
      </c>
      <c r="J34" s="69">
        <v>3.65</v>
      </c>
      <c r="K34" s="70">
        <v>4.55</v>
      </c>
      <c r="L34" s="78">
        <f t="shared" si="0"/>
        <v>4.0999999999999996</v>
      </c>
      <c r="M34" s="79" cm="1">
        <f t="array" ref="M34">ImVol("P",D$2,D34,C34,0,B34/12,L34)</f>
        <v>0.44389810878783464</v>
      </c>
      <c r="N34" s="75">
        <v>43.51</v>
      </c>
    </row>
    <row r="35" spans="1:24" x14ac:dyDescent="0.2">
      <c r="A35" s="53">
        <v>46465</v>
      </c>
      <c r="B35" s="54">
        <v>11</v>
      </c>
      <c r="C35" s="62">
        <v>2.7183333333333334E-2</v>
      </c>
      <c r="D35" s="55">
        <v>26</v>
      </c>
      <c r="E35" s="73">
        <v>2.4500000000000002</v>
      </c>
      <c r="F35" s="74">
        <v>3.4</v>
      </c>
      <c r="G35" s="80">
        <f t="shared" si="2"/>
        <v>2.9249999999999998</v>
      </c>
      <c r="H35" s="81" cm="1">
        <f t="array" ref="H35">ImVol("C",D$2,D35,C35,0,B35/12,G35)</f>
        <v>0.43433059472590685</v>
      </c>
      <c r="I35" s="76">
        <v>43.83</v>
      </c>
      <c r="J35" s="73">
        <v>4.8</v>
      </c>
      <c r="K35" s="74">
        <v>5.8</v>
      </c>
      <c r="L35" s="80">
        <f t="shared" si="0"/>
        <v>5.3</v>
      </c>
      <c r="M35" s="81" cm="1">
        <f t="array" ref="M35">ImVol("P",D$2,D35,C35,0,B35/12,L35)</f>
        <v>0.43943199794739485</v>
      </c>
      <c r="N35" s="76">
        <v>43.3</v>
      </c>
    </row>
    <row r="36" spans="1:24" x14ac:dyDescent="0.2">
      <c r="B36" s="44"/>
      <c r="C36" s="41"/>
      <c r="D36" s="39"/>
      <c r="E36" s="39"/>
      <c r="F36" s="39"/>
      <c r="G36" s="39"/>
      <c r="H36" s="43"/>
      <c r="I36" s="39"/>
      <c r="J36" s="39"/>
      <c r="K36" s="39"/>
      <c r="L36" s="39"/>
      <c r="M36" s="39"/>
      <c r="N36" s="39"/>
      <c r="O36" s="39"/>
      <c r="P36" s="39"/>
      <c r="Q36" s="39"/>
      <c r="R36" s="45"/>
      <c r="S36" s="39"/>
      <c r="T36" s="39"/>
      <c r="U36" s="39"/>
      <c r="V36" s="39"/>
      <c r="W36" s="39"/>
      <c r="X36" s="39"/>
    </row>
    <row r="37" spans="1:24" x14ac:dyDescent="0.2">
      <c r="B37" s="46" t="s">
        <v>38</v>
      </c>
      <c r="C37" s="46" t="s">
        <v>36</v>
      </c>
      <c r="K37" s="46" t="s">
        <v>39</v>
      </c>
      <c r="L37" s="46" t="s">
        <v>36</v>
      </c>
    </row>
    <row r="38" spans="1:24" x14ac:dyDescent="0.2">
      <c r="B38" s="46" t="s">
        <v>37</v>
      </c>
      <c r="C38">
        <v>19</v>
      </c>
      <c r="D38">
        <v>20</v>
      </c>
      <c r="E38">
        <v>22</v>
      </c>
      <c r="F38">
        <v>24</v>
      </c>
      <c r="G38">
        <v>26</v>
      </c>
      <c r="H38" t="s">
        <v>54</v>
      </c>
      <c r="K38" s="46" t="s">
        <v>37</v>
      </c>
      <c r="L38">
        <v>19</v>
      </c>
      <c r="M38">
        <v>20</v>
      </c>
      <c r="N38">
        <v>22</v>
      </c>
      <c r="O38">
        <v>24</v>
      </c>
      <c r="P38">
        <v>26</v>
      </c>
      <c r="Q38" t="s">
        <v>54</v>
      </c>
    </row>
    <row r="39" spans="1:24" x14ac:dyDescent="0.2">
      <c r="B39" s="47">
        <v>1</v>
      </c>
      <c r="C39" s="48">
        <v>0.5374194448813796</v>
      </c>
      <c r="D39" s="48">
        <v>0.51556116435676813</v>
      </c>
      <c r="E39" s="48">
        <v>0.52176357712596655</v>
      </c>
      <c r="F39" s="48">
        <v>0.52417262922972441</v>
      </c>
      <c r="G39" s="48">
        <v>0.5235246242955327</v>
      </c>
      <c r="H39" s="48">
        <v>2.6224414398893714</v>
      </c>
      <c r="K39" s="47">
        <v>1</v>
      </c>
      <c r="L39" s="48">
        <v>0.56504502426832914</v>
      </c>
      <c r="M39" s="48">
        <v>0.52713112439960241</v>
      </c>
      <c r="N39" s="48">
        <v>0.52846841979771852</v>
      </c>
      <c r="O39" s="48">
        <v>0.51258174236863852</v>
      </c>
      <c r="P39" s="48">
        <v>0.51032455172389746</v>
      </c>
      <c r="Q39" s="48">
        <v>2.6435508625581861</v>
      </c>
    </row>
    <row r="40" spans="1:24" x14ac:dyDescent="0.2">
      <c r="B40" s="47">
        <v>2</v>
      </c>
      <c r="C40" s="48">
        <v>0.48626504372805357</v>
      </c>
      <c r="D40" s="48">
        <v>0.48520409967750311</v>
      </c>
      <c r="E40" s="48">
        <v>0.46211039181798697</v>
      </c>
      <c r="F40" s="48">
        <v>0.46041401568800211</v>
      </c>
      <c r="G40" s="48">
        <v>0.46355994883924723</v>
      </c>
      <c r="H40" s="48">
        <v>2.357553499750793</v>
      </c>
      <c r="K40" s="47">
        <v>2</v>
      </c>
      <c r="L40" s="48">
        <v>0.48478965181857347</v>
      </c>
      <c r="M40" s="48">
        <v>0.4759312653914094</v>
      </c>
      <c r="N40" s="48">
        <v>0.47842561732977629</v>
      </c>
      <c r="O40" s="48">
        <v>0.46431499067693949</v>
      </c>
      <c r="P40" s="48">
        <v>0.46251659747213125</v>
      </c>
      <c r="Q40" s="48">
        <v>2.3659781226888299</v>
      </c>
    </row>
    <row r="41" spans="1:24" x14ac:dyDescent="0.2">
      <c r="B41" s="47">
        <v>5</v>
      </c>
      <c r="C41" s="48">
        <v>0.47503300476819277</v>
      </c>
      <c r="D41" s="48">
        <v>0.45810549054294825</v>
      </c>
      <c r="E41" s="48">
        <v>0.45288824941962957</v>
      </c>
      <c r="F41" s="48">
        <v>0.44975407887250185</v>
      </c>
      <c r="G41" s="48">
        <v>0.44778526294976473</v>
      </c>
      <c r="H41" s="48">
        <v>2.2835660865530372</v>
      </c>
      <c r="K41" s="47">
        <v>5</v>
      </c>
      <c r="L41" s="48">
        <v>0.45738062355667353</v>
      </c>
      <c r="M41" s="48">
        <v>0.46413103584200144</v>
      </c>
      <c r="N41" s="48">
        <v>0.45711602549999952</v>
      </c>
      <c r="O41" s="48">
        <v>0.44866961892694235</v>
      </c>
      <c r="P41" s="48">
        <v>0.44578068424016237</v>
      </c>
      <c r="Q41" s="48">
        <v>2.2730779880657792</v>
      </c>
    </row>
    <row r="42" spans="1:24" x14ac:dyDescent="0.2">
      <c r="B42" s="47">
        <v>8</v>
      </c>
      <c r="C42" s="48">
        <v>0.46417081262916327</v>
      </c>
      <c r="D42" s="48">
        <v>0.45780789572745562</v>
      </c>
      <c r="E42" s="48">
        <v>0.45658888760954142</v>
      </c>
      <c r="F42" s="48">
        <v>0.4501239350065589</v>
      </c>
      <c r="G42" s="48">
        <v>0.44776103924959898</v>
      </c>
      <c r="H42" s="48">
        <v>2.2764525702223182</v>
      </c>
      <c r="K42" s="47">
        <v>8</v>
      </c>
      <c r="L42" s="48">
        <v>0.45920164790004492</v>
      </c>
      <c r="M42" s="48">
        <v>0.45701353345066309</v>
      </c>
      <c r="N42" s="48">
        <v>0.45361574273556471</v>
      </c>
      <c r="O42" s="48">
        <v>0.45187777373939753</v>
      </c>
      <c r="P42" s="48">
        <v>0.44736838433891535</v>
      </c>
      <c r="Q42" s="48">
        <v>2.2690770821645856</v>
      </c>
    </row>
    <row r="43" spans="1:24" x14ac:dyDescent="0.2">
      <c r="B43" s="47">
        <v>11</v>
      </c>
      <c r="C43" s="48">
        <v>0.45419363770633936</v>
      </c>
      <c r="D43" s="48">
        <v>0.44661703053861856</v>
      </c>
      <c r="E43" s="48">
        <v>0.44330126140266657</v>
      </c>
      <c r="F43" s="48">
        <v>0.43863138649612665</v>
      </c>
      <c r="G43" s="48">
        <v>0.43433059472590685</v>
      </c>
      <c r="H43" s="48">
        <v>2.217073910869658</v>
      </c>
      <c r="K43" s="47">
        <v>11</v>
      </c>
      <c r="L43" s="48">
        <v>0.45047600287944078</v>
      </c>
      <c r="M43" s="48">
        <v>0.45304434839636087</v>
      </c>
      <c r="N43" s="48">
        <v>0.44897181447595358</v>
      </c>
      <c r="O43" s="48">
        <v>0.44389810878783464</v>
      </c>
      <c r="P43" s="48">
        <v>0.43943199794739485</v>
      </c>
      <c r="Q43" s="48">
        <v>2.2358222724869847</v>
      </c>
    </row>
    <row r="44" spans="1:24" x14ac:dyDescent="0.2">
      <c r="B44" s="47" t="s">
        <v>54</v>
      </c>
      <c r="C44" s="48">
        <v>2.4170819437131286</v>
      </c>
      <c r="D44" s="48">
        <v>2.3632956808432937</v>
      </c>
      <c r="E44" s="48">
        <v>2.3366523673757911</v>
      </c>
      <c r="F44" s="48">
        <v>2.3230960452929139</v>
      </c>
      <c r="G44" s="48">
        <v>2.3169614700600505</v>
      </c>
      <c r="H44" s="48">
        <v>11.757087507285178</v>
      </c>
      <c r="K44" s="47" t="s">
        <v>54</v>
      </c>
      <c r="L44" s="48">
        <v>2.4168929504230618</v>
      </c>
      <c r="M44" s="48">
        <v>2.3772513074800372</v>
      </c>
      <c r="N44" s="48">
        <v>2.3665976198390126</v>
      </c>
      <c r="O44" s="48">
        <v>2.3213422344997525</v>
      </c>
      <c r="P44" s="48">
        <v>2.3054222157225013</v>
      </c>
      <c r="Q44" s="48">
        <v>11.787506327964365</v>
      </c>
    </row>
  </sheetData>
  <mergeCells count="6">
    <mergeCell ref="J9:N9"/>
    <mergeCell ref="A1:B1"/>
    <mergeCell ref="C1:I1"/>
    <mergeCell ref="A9:D9"/>
    <mergeCell ref="B3:H3"/>
    <mergeCell ref="E9:I9"/>
  </mergeCells>
  <phoneticPr fontId="8" type="noConversion"/>
  <hyperlinks>
    <hyperlink ref="B3" r:id="rId3" xr:uid="{FC81079D-1EB5-584D-9FA4-4918DBC9A6E6}"/>
    <hyperlink ref="C1" r:id="rId4" xr:uid="{B6AF7939-7615-0848-89DE-94C538329F35}"/>
  </hyperlinks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E5685-A5E1-3A4D-A7A8-A9BF6FFAB3A1}">
  <sheetPr codeName="Foglio10"/>
  <dimension ref="A1:BB72"/>
  <sheetViews>
    <sheetView topLeftCell="X35" zoomScale="44" zoomScaleNormal="81" workbookViewId="0">
      <selection activeCell="A61" sqref="A61"/>
    </sheetView>
  </sheetViews>
  <sheetFormatPr baseColWidth="10" defaultRowHeight="15" x14ac:dyDescent="0.2"/>
  <cols>
    <col min="1" max="1" width="17.6640625" bestFit="1" customWidth="1"/>
    <col min="2" max="2" width="19.83203125" bestFit="1" customWidth="1"/>
    <col min="3" max="3" width="23.5" bestFit="1" customWidth="1"/>
    <col min="4" max="7" width="7.83203125" bestFit="1" customWidth="1"/>
    <col min="8" max="8" width="18.5" bestFit="1" customWidth="1"/>
    <col min="9" max="9" width="7.1640625" bestFit="1" customWidth="1"/>
    <col min="10" max="10" width="19.83203125" bestFit="1" customWidth="1"/>
    <col min="11" max="11" width="23.5" bestFit="1" customWidth="1"/>
    <col min="12" max="15" width="7.1640625" bestFit="1" customWidth="1"/>
    <col min="16" max="16" width="18.5" bestFit="1" customWidth="1"/>
    <col min="17" max="17" width="9.83203125" customWidth="1"/>
    <col min="18" max="18" width="19.83203125" bestFit="1" customWidth="1"/>
    <col min="19" max="19" width="23.5" bestFit="1" customWidth="1"/>
    <col min="20" max="23" width="7.1640625" bestFit="1" customWidth="1"/>
    <col min="24" max="24" width="18.5" bestFit="1" customWidth="1"/>
    <col min="25" max="25" width="5.33203125" bestFit="1" customWidth="1"/>
    <col min="26" max="26" width="19.83203125" bestFit="1" customWidth="1"/>
    <col min="27" max="27" width="23.5" bestFit="1" customWidth="1"/>
    <col min="28" max="31" width="7.83203125" bestFit="1" customWidth="1"/>
    <col min="32" max="32" width="18.5" bestFit="1" customWidth="1"/>
    <col min="33" max="33" width="9" bestFit="1" customWidth="1"/>
    <col min="34" max="34" width="19.83203125" bestFit="1" customWidth="1"/>
    <col min="35" max="35" width="23.5" bestFit="1" customWidth="1"/>
    <col min="36" max="39" width="7.83203125" bestFit="1" customWidth="1"/>
    <col min="40" max="40" width="18.5" bestFit="1" customWidth="1"/>
    <col min="41" max="41" width="13" bestFit="1" customWidth="1"/>
    <col min="42" max="42" width="9" bestFit="1" customWidth="1"/>
    <col min="44" max="44" width="9.6640625" bestFit="1" customWidth="1"/>
    <col min="45" max="46" width="10.5" bestFit="1" customWidth="1"/>
    <col min="47" max="47" width="10.33203125" bestFit="1" customWidth="1"/>
    <col min="48" max="48" width="10.1640625" bestFit="1" customWidth="1"/>
    <col min="49" max="51" width="10.33203125" bestFit="1" customWidth="1"/>
    <col min="52" max="52" width="10.1640625" bestFit="1" customWidth="1"/>
    <col min="53" max="53" width="10" bestFit="1" customWidth="1"/>
    <col min="54" max="54" width="10.1640625" bestFit="1" customWidth="1"/>
    <col min="55" max="55" width="24" bestFit="1" customWidth="1"/>
    <col min="56" max="56" width="25.1640625" bestFit="1" customWidth="1"/>
  </cols>
  <sheetData>
    <row r="1" spans="1:54" x14ac:dyDescent="0.2">
      <c r="A1" s="123" t="s">
        <v>15</v>
      </c>
      <c r="B1" s="123"/>
      <c r="C1" s="123" t="s">
        <v>14</v>
      </c>
      <c r="D1" s="123"/>
      <c r="E1" s="123"/>
      <c r="F1" s="123"/>
      <c r="G1" s="123"/>
      <c r="H1" s="123"/>
      <c r="I1" s="123"/>
      <c r="J1" s="123"/>
      <c r="K1" s="123"/>
    </row>
    <row r="2" spans="1:54" ht="24" x14ac:dyDescent="0.3">
      <c r="A2" s="42" t="s">
        <v>16</v>
      </c>
      <c r="B2" s="38">
        <v>46127</v>
      </c>
      <c r="C2" t="s">
        <v>30</v>
      </c>
      <c r="D2">
        <v>23.03</v>
      </c>
    </row>
    <row r="4" spans="1:54" x14ac:dyDescent="0.2">
      <c r="A4" t="s">
        <v>24</v>
      </c>
      <c r="B4" s="124" t="s">
        <v>25</v>
      </c>
      <c r="C4" s="124"/>
      <c r="D4" s="124"/>
      <c r="E4" s="124"/>
      <c r="F4" s="124"/>
      <c r="G4" s="124"/>
      <c r="H4" s="124"/>
      <c r="I4" s="124"/>
    </row>
    <row r="5" spans="1:54" x14ac:dyDescent="0.2">
      <c r="A5" t="s">
        <v>26</v>
      </c>
      <c r="B5" s="40">
        <v>1.992E-2</v>
      </c>
      <c r="F5">
        <v>1</v>
      </c>
      <c r="G5" s="40">
        <v>1.992E-2</v>
      </c>
      <c r="H5" s="40"/>
      <c r="Q5" t="s">
        <v>40</v>
      </c>
    </row>
    <row r="6" spans="1:54" x14ac:dyDescent="0.2">
      <c r="A6" t="s">
        <v>27</v>
      </c>
      <c r="B6" s="41">
        <v>2.2429999999999999E-2</v>
      </c>
      <c r="F6">
        <v>3</v>
      </c>
      <c r="G6" s="41">
        <v>2.2429999999999999E-2</v>
      </c>
      <c r="H6" s="41"/>
    </row>
    <row r="7" spans="1:54" x14ac:dyDescent="0.2">
      <c r="A7" t="s">
        <v>28</v>
      </c>
      <c r="B7" s="41">
        <v>2.4750000000000001E-2</v>
      </c>
      <c r="F7">
        <v>6</v>
      </c>
      <c r="G7" s="41">
        <v>2.4750000000000001E-2</v>
      </c>
      <c r="H7" s="41"/>
      <c r="Q7" s="64" t="s">
        <v>51</v>
      </c>
    </row>
    <row r="8" spans="1:54" x14ac:dyDescent="0.2">
      <c r="A8" t="s">
        <v>29</v>
      </c>
      <c r="B8" s="40">
        <v>2.767E-2</v>
      </c>
      <c r="F8">
        <v>12</v>
      </c>
      <c r="G8" s="40">
        <v>2.767E-2</v>
      </c>
      <c r="H8" s="40"/>
      <c r="Q8" s="77" t="s">
        <v>52</v>
      </c>
    </row>
    <row r="9" spans="1:54" x14ac:dyDescent="0.2">
      <c r="AR9" s="120" t="s">
        <v>74</v>
      </c>
      <c r="AS9" s="121"/>
      <c r="AT9" s="121"/>
      <c r="AU9" s="121"/>
      <c r="AV9" s="121"/>
      <c r="AW9" s="121"/>
      <c r="AX9" s="121"/>
      <c r="AY9" s="121"/>
      <c r="AZ9" s="121"/>
      <c r="BA9" s="121"/>
      <c r="BB9" s="122"/>
    </row>
    <row r="10" spans="1:54" x14ac:dyDescent="0.2">
      <c r="A10" s="125"/>
      <c r="B10" s="125"/>
      <c r="C10" s="125"/>
      <c r="D10" s="120"/>
      <c r="E10" s="126" t="s">
        <v>3</v>
      </c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128"/>
      <c r="X10" s="126" t="s">
        <v>32</v>
      </c>
      <c r="Y10" s="127"/>
      <c r="Z10" s="127"/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  <c r="AK10" s="127"/>
      <c r="AL10" s="127"/>
      <c r="AM10" s="127"/>
      <c r="AN10" s="127"/>
      <c r="AO10" s="127"/>
      <c r="AP10" s="128"/>
      <c r="AR10" s="10" t="s">
        <v>73</v>
      </c>
      <c r="AS10" s="120" t="s">
        <v>3</v>
      </c>
      <c r="AT10" s="121"/>
      <c r="AU10" s="121"/>
      <c r="AV10" s="121"/>
      <c r="AW10" s="122"/>
      <c r="AX10" s="121" t="s">
        <v>32</v>
      </c>
      <c r="AY10" s="121"/>
      <c r="AZ10" s="121"/>
      <c r="BA10" s="121"/>
      <c r="BB10" s="122"/>
    </row>
    <row r="11" spans="1:54" x14ac:dyDescent="0.2">
      <c r="A11" s="57" t="s">
        <v>17</v>
      </c>
      <c r="B11" s="57" t="s">
        <v>53</v>
      </c>
      <c r="C11" s="57" t="s">
        <v>1</v>
      </c>
      <c r="D11" s="56" t="s">
        <v>18</v>
      </c>
      <c r="E11" s="84" t="s">
        <v>33</v>
      </c>
      <c r="F11" s="84" t="s">
        <v>34</v>
      </c>
      <c r="G11" s="108" t="s">
        <v>31</v>
      </c>
      <c r="H11" s="87" t="s">
        <v>23</v>
      </c>
      <c r="I11" s="100" t="s">
        <v>50</v>
      </c>
      <c r="J11" s="84" t="s">
        <v>41</v>
      </c>
      <c r="K11" s="49" t="s">
        <v>63</v>
      </c>
      <c r="L11" s="87" t="s">
        <v>46</v>
      </c>
      <c r="M11" s="84" t="s">
        <v>42</v>
      </c>
      <c r="N11" s="85" t="s">
        <v>64</v>
      </c>
      <c r="O11" s="100" t="s">
        <v>47</v>
      </c>
      <c r="P11" s="84" t="s">
        <v>43</v>
      </c>
      <c r="Q11" s="49" t="s">
        <v>65</v>
      </c>
      <c r="R11" s="87" t="s">
        <v>48</v>
      </c>
      <c r="S11" s="84" t="s">
        <v>44</v>
      </c>
      <c r="T11" s="85" t="s">
        <v>66</v>
      </c>
      <c r="U11" s="100" t="s">
        <v>49</v>
      </c>
      <c r="V11" s="84" t="s">
        <v>45</v>
      </c>
      <c r="W11" s="85" t="s">
        <v>67</v>
      </c>
      <c r="X11" s="84" t="s">
        <v>33</v>
      </c>
      <c r="Y11" s="84" t="s">
        <v>34</v>
      </c>
      <c r="Z11" s="87" t="s">
        <v>31</v>
      </c>
      <c r="AA11" s="104" t="s">
        <v>23</v>
      </c>
      <c r="AB11" s="87" t="s">
        <v>50</v>
      </c>
      <c r="AC11" s="84" t="s">
        <v>41</v>
      </c>
      <c r="AD11" s="85" t="s">
        <v>68</v>
      </c>
      <c r="AE11" s="100" t="s">
        <v>46</v>
      </c>
      <c r="AF11" s="84" t="s">
        <v>42</v>
      </c>
      <c r="AG11" s="49" t="s">
        <v>69</v>
      </c>
      <c r="AH11" s="87" t="s">
        <v>47</v>
      </c>
      <c r="AI11" s="84" t="s">
        <v>43</v>
      </c>
      <c r="AJ11" s="85" t="s">
        <v>70</v>
      </c>
      <c r="AK11" s="100" t="s">
        <v>48</v>
      </c>
      <c r="AL11" s="84" t="s">
        <v>44</v>
      </c>
      <c r="AM11" s="49" t="s">
        <v>71</v>
      </c>
      <c r="AN11" s="87" t="s">
        <v>49</v>
      </c>
      <c r="AO11" s="84" t="s">
        <v>45</v>
      </c>
      <c r="AP11" s="85" t="s">
        <v>72</v>
      </c>
      <c r="AR11" s="10" t="s">
        <v>58</v>
      </c>
      <c r="AS11" s="10" t="s">
        <v>50</v>
      </c>
      <c r="AT11" s="11" t="s">
        <v>46</v>
      </c>
      <c r="AU11" s="11" t="s">
        <v>47</v>
      </c>
      <c r="AV11" s="11" t="s">
        <v>48</v>
      </c>
      <c r="AW11" s="12" t="s">
        <v>49</v>
      </c>
      <c r="AX11" s="10" t="s">
        <v>50</v>
      </c>
      <c r="AY11" s="11" t="s">
        <v>46</v>
      </c>
      <c r="AZ11" s="11" t="s">
        <v>47</v>
      </c>
      <c r="BA11" s="11" t="s">
        <v>48</v>
      </c>
      <c r="BB11" s="12" t="s">
        <v>49</v>
      </c>
    </row>
    <row r="12" spans="1:54" x14ac:dyDescent="0.2">
      <c r="A12" s="49" t="s">
        <v>19</v>
      </c>
      <c r="B12" s="58">
        <v>1</v>
      </c>
      <c r="C12" s="59">
        <v>1.992E-2</v>
      </c>
      <c r="D12" s="39">
        <v>19</v>
      </c>
      <c r="E12" s="88">
        <v>3.85</v>
      </c>
      <c r="F12" s="89">
        <v>4.5999999999999996</v>
      </c>
      <c r="G12" s="90">
        <f>AVERAGE(E12:F12)</f>
        <v>4.2249999999999996</v>
      </c>
      <c r="H12" s="109" cm="1">
        <f t="array" ref="H12">ImVol("C",D$2,D12,C12,0,B12/12,G12)</f>
        <v>0.5374194448813796</v>
      </c>
      <c r="I12" s="91" cm="1">
        <f t="array" ref="I12">OptionDelta("C",D$2,D12,B12/12,C12,H12,0)</f>
        <v>0.90794017754007128</v>
      </c>
      <c r="J12" s="92">
        <v>0.90780000000000005</v>
      </c>
      <c r="K12" s="93">
        <f>ABS(J12-I12)/J12</f>
        <v>1.5441456275746757E-4</v>
      </c>
      <c r="L12" s="105" cm="1">
        <f t="array" ref="L12">OptionGamma(D$2,D12,B12/12,C12,H12,0)</f>
        <v>4.6220420485950243E-2</v>
      </c>
      <c r="M12" s="92">
        <v>4.6399999999999997E-2</v>
      </c>
      <c r="N12" s="95">
        <f>ABS(M12-L12)/M12</f>
        <v>3.8702481476239939E-3</v>
      </c>
      <c r="O12" s="91" cm="1">
        <f t="array" ref="O12">OptionVega(D$2,D12,B12/12,C12,H12,0)</f>
        <v>1.0978775336062429E-2</v>
      </c>
      <c r="P12" s="92">
        <v>1.0200000000000001E-2</v>
      </c>
      <c r="Q12" s="93">
        <f>ABS(P12-O12)/P12</f>
        <v>7.6350523143375343E-2</v>
      </c>
      <c r="R12" s="105" cm="1">
        <f t="array" ref="R12">OptionTheta("C",D$2,D12,B12/12,C12,H12,0)</f>
        <v>-8.788388907437307E-3</v>
      </c>
      <c r="S12" s="92">
        <v>-1.09E-2</v>
      </c>
      <c r="T12" s="95">
        <f>ABS(S12-R12)/ABS(S12)</f>
        <v>0.19372578830850395</v>
      </c>
      <c r="U12" s="91" cm="1">
        <f t="array" ref="U12">OptionRho("C",D$2,D12,B12/12,C12,H12,0)</f>
        <v>1.3904051904945404E-2</v>
      </c>
      <c r="V12" s="94">
        <v>1.3100000000000001E-2</v>
      </c>
      <c r="W12" s="93">
        <f>ABS(V12-U12)/ABS(V12)</f>
        <v>6.1378008011099494E-2</v>
      </c>
      <c r="X12" s="88">
        <v>0.02</v>
      </c>
      <c r="Y12" s="89">
        <v>0.37</v>
      </c>
      <c r="Z12" s="101">
        <f t="shared" ref="Z12:Z36" si="0">AVERAGE(X12:Y12)</f>
        <v>0.19500000000000001</v>
      </c>
      <c r="AA12" s="91" cm="1">
        <f t="array" ref="AA12">ImVol("P",D$2,D12,C12,0,B12/12,Z12)</f>
        <v>0.56504502426832914</v>
      </c>
      <c r="AB12" s="105" cm="1">
        <f t="array" ref="AB12">OptionDelta("P",D$2,D12,B12/12,C12,AA12,0)</f>
        <v>-0.10186058135447307</v>
      </c>
      <c r="AC12" s="92">
        <v>-0.14219999999999999</v>
      </c>
      <c r="AD12" s="95">
        <f>ABS(AC12-AB12)/ABS(AC12)</f>
        <v>0.28368086248612467</v>
      </c>
      <c r="AE12" s="91" cm="1">
        <f t="array" ref="AE12">OptionGamma(D$2,D12,B12/12,C12,AA12,0)</f>
        <v>4.735038608793022E-2</v>
      </c>
      <c r="AF12" s="92">
        <v>4.9099999999999998E-2</v>
      </c>
      <c r="AG12" s="93">
        <f>ABS(AF12-AE12)/ABS(AF12)</f>
        <v>3.563368456353927E-2</v>
      </c>
      <c r="AH12" s="105" cm="1">
        <f t="array" ref="AH12">OptionVega(D$2,D12,B12/12,C12,AA12,0)</f>
        <v>1.1825328372817596E-2</v>
      </c>
      <c r="AI12" s="92">
        <v>1.4200000000000001E-2</v>
      </c>
      <c r="AJ12" s="95">
        <f>ABS(AI12-AH12)/ABS(AI12)</f>
        <v>0.16723039628045105</v>
      </c>
      <c r="AK12" s="91" cm="1">
        <f t="array" ref="AK12">OptionTheta("P",D$2,D12,B12/12,C12,AA12,0)</f>
        <v>-1.1122519151164811E-2</v>
      </c>
      <c r="AL12" s="92">
        <v>-1.7600000000000001E-2</v>
      </c>
      <c r="AM12" s="93">
        <f>ABS(AL12-AK12)/ABS(AL12)</f>
        <v>0.3680386845929085</v>
      </c>
      <c r="AN12" s="105" cm="1">
        <f t="array" ref="AN12">OptionRho("P",D$2,D12,B12/12,C12,AA12,0)</f>
        <v>-2.1173743195845099E-3</v>
      </c>
      <c r="AO12" s="92">
        <v>-2.8999999999999998E-3</v>
      </c>
      <c r="AP12" s="95">
        <f>ABS(AO12-AN12)/ABS(AO12)</f>
        <v>0.26987092428120346</v>
      </c>
      <c r="AR12" s="5">
        <v>1</v>
      </c>
      <c r="AS12" s="114">
        <v>1.4428282265977841E-3</v>
      </c>
      <c r="AT12" s="115">
        <v>8.6604998308295947E-3</v>
      </c>
      <c r="AU12" s="115">
        <v>1.2455329190996013E-3</v>
      </c>
      <c r="AV12" s="115">
        <v>0.13464454535327774</v>
      </c>
      <c r="AW12" s="116">
        <v>6.4699272439252886E-2</v>
      </c>
      <c r="AX12" s="115">
        <v>1.627232318071322E-3</v>
      </c>
      <c r="AY12" s="115">
        <v>1.037297785209442E-2</v>
      </c>
      <c r="AZ12" s="115">
        <v>2.6834623247588016E-3</v>
      </c>
      <c r="BA12" s="115">
        <v>3.1427471619690797E-2</v>
      </c>
      <c r="BB12" s="116">
        <v>6.3220000110198973E-2</v>
      </c>
    </row>
    <row r="13" spans="1:54" x14ac:dyDescent="0.2">
      <c r="A13" s="50" t="s">
        <v>19</v>
      </c>
      <c r="B13" s="39">
        <v>1</v>
      </c>
      <c r="C13" s="60">
        <v>1.992E-2</v>
      </c>
      <c r="D13" s="39">
        <v>20</v>
      </c>
      <c r="E13" s="69">
        <v>3.05</v>
      </c>
      <c r="F13" s="70">
        <v>3.65</v>
      </c>
      <c r="G13" s="78">
        <f>AVERAGE(E13:F13)</f>
        <v>3.3499999999999996</v>
      </c>
      <c r="H13" s="110" cm="1">
        <f t="array" ref="H13">ImVol("C",D$2,D13,C13,0,B13/12,G13)</f>
        <v>0.51556116435676813</v>
      </c>
      <c r="I13" s="96" cm="1">
        <f t="array" ref="I13">OptionDelta("C",D$2,D13,B13/12,C13,H13,0)</f>
        <v>0.84929159259667375</v>
      </c>
      <c r="J13" s="83">
        <v>0.84930000000000005</v>
      </c>
      <c r="K13" s="86">
        <f t="shared" ref="K13:K36" si="1">ABS(J13-I13)/J13</f>
        <v>9.8992150315611111E-6</v>
      </c>
      <c r="L13" s="106" cm="1">
        <f t="array" ref="L13">OptionGamma(D$2,D13,B13/12,C13,H13,0)</f>
        <v>6.8238850617193078E-2</v>
      </c>
      <c r="M13" s="83">
        <v>6.8599999999999994E-2</v>
      </c>
      <c r="N13" s="97">
        <f t="shared" ref="N13:N36" si="2">ABS(M13-L13)/M13</f>
        <v>5.2645682624914902E-3</v>
      </c>
      <c r="O13" s="96" cm="1">
        <f t="array" ref="O13">OptionVega(D$2,D13,B13/12,C13,H13,0)</f>
        <v>1.5549575196081543E-2</v>
      </c>
      <c r="P13" s="83">
        <v>1.4500000000000001E-2</v>
      </c>
      <c r="Q13" s="86">
        <f t="shared" ref="Q13:Q36" si="3">ABS(P13-O13)/P13</f>
        <v>7.2384496281485661E-2</v>
      </c>
      <c r="R13" s="106" cm="1">
        <f t="array" ref="R13">OptionTheta("C",D$2,D13,B13/12,C13,H13,0)</f>
        <v>-1.2293608995696504E-2</v>
      </c>
      <c r="S13" s="83">
        <v>-1.4500000000000001E-2</v>
      </c>
      <c r="T13" s="97">
        <f t="shared" ref="T13:T36" si="4">ABS(S13-R13)/ABS(S13)</f>
        <v>0.15216489684851703</v>
      </c>
      <c r="U13" s="96" cm="1">
        <f t="array" ref="U13">OptionRho("C",D$2,D13,B13/12,C13,H13,0)</f>
        <v>1.3507654475306628E-2</v>
      </c>
      <c r="V13" s="66">
        <v>1.2699999999999999E-2</v>
      </c>
      <c r="W13" s="86">
        <f t="shared" ref="W13:W36" si="5">ABS(V13-U13)/ABS(V13)</f>
        <v>6.3594840575325107E-2</v>
      </c>
      <c r="X13" s="69">
        <v>0.11</v>
      </c>
      <c r="Y13" s="70">
        <v>0.5</v>
      </c>
      <c r="Z13" s="102">
        <f t="shared" si="0"/>
        <v>0.30499999999999999</v>
      </c>
      <c r="AA13" s="96" cm="1">
        <f t="array" ref="AA13">ImVol("P",D$2,D13,C13,0,B13/12,Z13)</f>
        <v>0.52713112439960241</v>
      </c>
      <c r="AB13" s="106" cm="1">
        <f t="array" ref="AB13">OptionDelta("P",D$2,D13,B13/12,C13,AA13,0)</f>
        <v>-0.15528633101111045</v>
      </c>
      <c r="AC13" s="83">
        <v>-0.1547</v>
      </c>
      <c r="AD13" s="97">
        <f t="shared" ref="AD13:AD36" si="6">ABS(AC13-AB13)/ABS(AC13)</f>
        <v>3.7901164260532734E-3</v>
      </c>
      <c r="AE13" s="96" cm="1">
        <f t="array" ref="AE13">OptionGamma(D$2,D13,B13/12,C13,AA13,0)</f>
        <v>6.8078323778180516E-2</v>
      </c>
      <c r="AF13" s="83">
        <v>6.8500000000000005E-2</v>
      </c>
      <c r="AG13" s="86">
        <f t="shared" ref="AG13:AG36" si="7">ABS(AF13-AE13)/ABS(AF13)</f>
        <v>6.1558572528392572E-3</v>
      </c>
      <c r="AH13" s="106" cm="1">
        <f t="array" ref="AH13">OptionVega(D$2,D13,B13/12,C13,AA13,0)</f>
        <v>1.5861130696574337E-2</v>
      </c>
      <c r="AI13" s="83">
        <v>1.46E-2</v>
      </c>
      <c r="AJ13" s="97">
        <f t="shared" ref="AJ13:AJ36" si="8">ABS(AI13-AH13)/ABS(AI13)</f>
        <v>8.6378814833858716E-2</v>
      </c>
      <c r="AK13" s="96" cm="1">
        <f t="array" ref="AK13">OptionTheta("P",D$2,D13,B13/12,C13,AA13,0)</f>
        <v>-1.3955758300047102E-2</v>
      </c>
      <c r="AL13" s="83">
        <v>-1.37E-2</v>
      </c>
      <c r="AM13" s="86">
        <f t="shared" ref="AM13:AM36" si="9">ABS(AL13-AK13)/ABS(AL13)</f>
        <v>1.8668489054532975E-2</v>
      </c>
      <c r="AN13" s="106" cm="1">
        <f t="array" ref="AN13">OptionRho("P",D$2,D13,B13/12,C13,AA13,0)</f>
        <v>-3.2343701688680965E-3</v>
      </c>
      <c r="AO13" s="83">
        <v>-3.0000000000000001E-3</v>
      </c>
      <c r="AP13" s="97">
        <f t="shared" ref="AP13:AP36" si="10">ABS(AO13-AN13)/ABS(AO13)</f>
        <v>7.8123389622698797E-2</v>
      </c>
      <c r="AR13" s="5">
        <v>2</v>
      </c>
      <c r="AS13" s="114">
        <v>1.3141625588651352E-3</v>
      </c>
      <c r="AT13" s="115">
        <v>9.3328497587561871E-3</v>
      </c>
      <c r="AU13" s="115">
        <v>4.1250710645406738E-2</v>
      </c>
      <c r="AV13" s="115">
        <v>5.0316761553032233E-2</v>
      </c>
      <c r="AW13" s="116">
        <v>4.3100503208248417E-2</v>
      </c>
      <c r="AX13" s="115">
        <v>1.2640340200607151E-3</v>
      </c>
      <c r="AY13" s="115">
        <v>9.9061037352520878E-3</v>
      </c>
      <c r="AZ13" s="115">
        <v>4.0999587580381851E-2</v>
      </c>
      <c r="BA13" s="115">
        <v>0.15196409025656565</v>
      </c>
      <c r="BB13" s="116">
        <v>4.5325409640468731E-2</v>
      </c>
    </row>
    <row r="14" spans="1:54" x14ac:dyDescent="0.2">
      <c r="A14" s="50" t="s">
        <v>19</v>
      </c>
      <c r="B14" s="39">
        <v>1</v>
      </c>
      <c r="C14" s="60">
        <v>1.992E-2</v>
      </c>
      <c r="D14" s="39">
        <v>22</v>
      </c>
      <c r="E14" s="69">
        <v>1.75</v>
      </c>
      <c r="F14" s="70">
        <v>2.15</v>
      </c>
      <c r="G14" s="78">
        <f t="shared" ref="G14:G36" si="11">AVERAGE(E14:F14)</f>
        <v>1.95</v>
      </c>
      <c r="H14" s="110" cm="1">
        <f t="array" ref="H14">ImVol("C",D$2,D14,C14,0,B14/12,G14)</f>
        <v>0.52176357712596655</v>
      </c>
      <c r="I14" s="96" cm="1">
        <f t="array" ref="I14">OptionDelta("C",D$2,D14,B14/12,C14,H14,0)</f>
        <v>0.65177250262265152</v>
      </c>
      <c r="J14" s="83">
        <v>0.65169999999999995</v>
      </c>
      <c r="K14" s="86">
        <f t="shared" si="1"/>
        <v>1.1125153084482317E-4</v>
      </c>
      <c r="L14" s="106" cm="1">
        <f t="array" ref="L14">OptionGamma(D$2,D14,B14/12,C14,H14,0)</f>
        <v>0.10658257630296755</v>
      </c>
      <c r="M14" s="83">
        <v>0.1075</v>
      </c>
      <c r="N14" s="97">
        <f t="shared" si="2"/>
        <v>8.5341739258832199E-3</v>
      </c>
      <c r="O14" s="96" cm="1">
        <f t="array" ref="O14">OptionVega(D$2,D14,B14/12,C14,H14,0)</f>
        <v>2.4579135431584687E-2</v>
      </c>
      <c r="P14" s="83">
        <v>2.29E-2</v>
      </c>
      <c r="Q14" s="86">
        <f t="shared" si="3"/>
        <v>7.3324691335575828E-2</v>
      </c>
      <c r="R14" s="106" cm="1">
        <f t="array" ref="R14">OptionTheta("C",D$2,D14,B14/12,C14,H14,0)</f>
        <v>-2.0368594483346471E-2</v>
      </c>
      <c r="S14" s="83">
        <v>-2.2499999999999999E-2</v>
      </c>
      <c r="T14" s="97">
        <f t="shared" si="4"/>
        <v>9.4729134073490151E-2</v>
      </c>
      <c r="U14" s="96" cm="1">
        <f t="array" ref="U14">OptionRho("C",D$2,D14,B14/12,C14,H14,0)</f>
        <v>1.0883600604370288E-2</v>
      </c>
      <c r="V14" s="66">
        <v>1.0200000000000001E-2</v>
      </c>
      <c r="W14" s="86">
        <f t="shared" si="5"/>
        <v>6.7019667095126231E-2</v>
      </c>
      <c r="X14" s="69">
        <v>0.7</v>
      </c>
      <c r="Y14" s="70">
        <v>1.1000000000000001</v>
      </c>
      <c r="Z14" s="102">
        <f t="shared" si="0"/>
        <v>0.9</v>
      </c>
      <c r="AA14" s="96" cm="1">
        <f t="array" ref="AA14">ImVol("P",D$2,D14,C14,0,B14/12,Z14)</f>
        <v>0.52846841979771852</v>
      </c>
      <c r="AB14" s="106" cm="1">
        <f t="array" ref="AB14">OptionDelta("P",D$2,D14,B14/12,C14,AA14,0)</f>
        <v>-0.34934698075418547</v>
      </c>
      <c r="AC14" s="83">
        <v>-0.3493</v>
      </c>
      <c r="AD14" s="97">
        <f t="shared" si="6"/>
        <v>1.3449972569558002E-4</v>
      </c>
      <c r="AE14" s="96" cm="1">
        <f t="array" ref="AE14">OptionGamma(D$2,D14,B14/12,C14,AA14,0)</f>
        <v>0.10535415120334249</v>
      </c>
      <c r="AF14" s="83">
        <v>0.1065</v>
      </c>
      <c r="AG14" s="86">
        <f t="shared" si="7"/>
        <v>1.0759143630586937E-2</v>
      </c>
      <c r="AH14" s="106" cm="1">
        <f t="array" ref="AH14">OptionVega(D$2,D14,B14/12,C14,AA14,0)</f>
        <v>2.4608056896283922E-2</v>
      </c>
      <c r="AI14" s="83">
        <v>2.29E-2</v>
      </c>
      <c r="AJ14" s="97">
        <f t="shared" si="8"/>
        <v>7.4587637392310988E-2</v>
      </c>
      <c r="AK14" s="96" cm="1">
        <f t="array" ref="AK14">OptionTheta("P",D$2,D14,B14/12,C14,AA14,0)</f>
        <v>-2.1865594924960381E-2</v>
      </c>
      <c r="AL14" s="83">
        <v>-2.1600000000000001E-2</v>
      </c>
      <c r="AM14" s="86">
        <f t="shared" si="9"/>
        <v>1.2296061340758335E-2</v>
      </c>
      <c r="AN14" s="106" cm="1">
        <f t="array" ref="AN14">OptionRho("P",D$2,D14,B14/12,C14,AA14,0)</f>
        <v>-7.4545507968386228E-3</v>
      </c>
      <c r="AO14" s="83">
        <v>-7.0000000000000001E-3</v>
      </c>
      <c r="AP14" s="97">
        <f t="shared" si="10"/>
        <v>6.4935828119803224E-2</v>
      </c>
      <c r="AR14" s="5">
        <v>5</v>
      </c>
      <c r="AS14" s="114">
        <v>2.4165513952248436E-3</v>
      </c>
      <c r="AT14" s="115">
        <v>6.2190782758898373E-3</v>
      </c>
      <c r="AU14" s="115">
        <v>1.3904042649086948E-2</v>
      </c>
      <c r="AV14" s="115">
        <v>0.11538702347853208</v>
      </c>
      <c r="AW14" s="116">
        <v>1.4396763436631172E-2</v>
      </c>
      <c r="AX14" s="115">
        <v>4.3046156172875062E-3</v>
      </c>
      <c r="AY14" s="115">
        <v>1.3657883868115983E-2</v>
      </c>
      <c r="AZ14" s="115">
        <v>1.3881680742028607E-2</v>
      </c>
      <c r="BA14" s="115">
        <v>0.25692596443026083</v>
      </c>
      <c r="BB14" s="116">
        <v>1.1958996542149828E-2</v>
      </c>
    </row>
    <row r="15" spans="1:54" x14ac:dyDescent="0.2">
      <c r="A15" s="50" t="s">
        <v>19</v>
      </c>
      <c r="B15" s="39">
        <v>1</v>
      </c>
      <c r="C15" s="60">
        <v>1.992E-2</v>
      </c>
      <c r="D15" s="39">
        <v>24</v>
      </c>
      <c r="E15" s="69">
        <v>0.8</v>
      </c>
      <c r="F15" s="70">
        <v>1.2</v>
      </c>
      <c r="G15" s="78">
        <f t="shared" si="11"/>
        <v>1</v>
      </c>
      <c r="H15" s="110" cm="1">
        <f t="array" ref="H15">ImVol("C",D$2,D15,C15,0,B15/12,G15)</f>
        <v>0.52417262922972441</v>
      </c>
      <c r="I15" s="96" cm="1">
        <f t="array" ref="I15">OptionDelta("C",D$2,D15,B15/12,C15,H15,0)</f>
        <v>0.42621406769324</v>
      </c>
      <c r="J15" s="83">
        <v>0.42559999999999998</v>
      </c>
      <c r="K15" s="86">
        <f t="shared" si="1"/>
        <v>1.4428282265977841E-3</v>
      </c>
      <c r="L15" s="106" cm="1">
        <f t="array" ref="L15">OptionGamma(D$2,D15,B15/12,C15,H15,0)</f>
        <v>0.11251703326920084</v>
      </c>
      <c r="M15" s="83">
        <v>0.1135</v>
      </c>
      <c r="N15" s="97">
        <f t="shared" si="2"/>
        <v>8.6604998308295947E-3</v>
      </c>
      <c r="O15" s="96" cm="1">
        <f t="array" ref="O15">OptionVega(D$2,D15,B15/12,C15,H15,0)</f>
        <v>2.6067491590811502E-2</v>
      </c>
      <c r="P15" s="83">
        <v>2.6100000000000002E-2</v>
      </c>
      <c r="Q15" s="86">
        <f t="shared" si="3"/>
        <v>1.2455329190996013E-3</v>
      </c>
      <c r="R15" s="106" cm="1">
        <f t="array" ref="R15">OptionTheta("C",D$2,D15,B15/12,C15,H15,0)</f>
        <v>-2.1980028548026744E-2</v>
      </c>
      <c r="S15" s="83">
        <v>-2.5399999999999999E-2</v>
      </c>
      <c r="T15" s="97">
        <f t="shared" si="4"/>
        <v>0.13464454535327774</v>
      </c>
      <c r="U15" s="96" cm="1">
        <f t="array" ref="U15">OptionRho("C",D$2,D15,B15/12,C15,H15,0)</f>
        <v>7.3464249798308448E-3</v>
      </c>
      <c r="V15" s="66">
        <v>6.8999999999999999E-3</v>
      </c>
      <c r="W15" s="86">
        <f t="shared" si="5"/>
        <v>6.4699272439252886E-2</v>
      </c>
      <c r="X15" s="69">
        <v>1.7</v>
      </c>
      <c r="Y15" s="70">
        <v>2.1</v>
      </c>
      <c r="Z15" s="102">
        <f t="shared" si="0"/>
        <v>1.9</v>
      </c>
      <c r="AA15" s="96" cm="1">
        <f t="array" ref="AA15">ImVol("P",D$2,D15,C15,0,B15/12,Z15)</f>
        <v>0.51258174236863852</v>
      </c>
      <c r="AB15" s="106" cm="1">
        <f t="array" ref="AB15">OptionDelta("P",D$2,D15,B15/12,C15,AA15,0)</f>
        <v>-0.57675994788985019</v>
      </c>
      <c r="AC15" s="83">
        <v>-0.57769999999999999</v>
      </c>
      <c r="AD15" s="97">
        <f t="shared" si="6"/>
        <v>1.627232318071322E-3</v>
      </c>
      <c r="AE15" s="96" cm="1">
        <f t="array" ref="AE15">OptionGamma(D$2,D15,B15/12,C15,AA15,0)</f>
        <v>0.11489569727137183</v>
      </c>
      <c r="AF15" s="83">
        <v>0.11609999999999999</v>
      </c>
      <c r="AG15" s="86">
        <f t="shared" si="7"/>
        <v>1.037297785209442E-2</v>
      </c>
      <c r="AH15" s="106" cm="1">
        <f t="array" ref="AH15">OptionVega(D$2,D15,B15/12,C15,AA15,0)</f>
        <v>2.6029961633323797E-2</v>
      </c>
      <c r="AI15" s="83">
        <v>2.6100000000000002E-2</v>
      </c>
      <c r="AJ15" s="97">
        <f t="shared" si="8"/>
        <v>2.6834623247588016E-3</v>
      </c>
      <c r="AK15" s="96" cm="1">
        <f t="array" ref="AK15">OptionTheta("P",D$2,D15,B15/12,C15,AA15,0)</f>
        <v>-2.2761454416937266E-2</v>
      </c>
      <c r="AL15" s="83">
        <v>-2.35E-2</v>
      </c>
      <c r="AM15" s="86">
        <f t="shared" si="9"/>
        <v>3.1427471619690797E-2</v>
      </c>
      <c r="AN15" s="106" cm="1">
        <f t="array" ref="AN15">OptionRho("P",D$2,D15,B15/12,C15,AA15,0)</f>
        <v>-1.2652318001311369E-2</v>
      </c>
      <c r="AO15" s="83">
        <v>-1.1900000000000001E-2</v>
      </c>
      <c r="AP15" s="97">
        <f t="shared" si="10"/>
        <v>6.3220000110198973E-2</v>
      </c>
      <c r="AR15" s="5">
        <v>8</v>
      </c>
      <c r="AS15" s="114">
        <v>3.362171951702029E-3</v>
      </c>
      <c r="AT15" s="115">
        <v>4.1370475212673084E-3</v>
      </c>
      <c r="AU15" s="115">
        <v>6.7355438945084414E-3</v>
      </c>
      <c r="AV15" s="115">
        <v>0.1591219734024546</v>
      </c>
      <c r="AW15" s="116">
        <v>5.4413315544572845E-3</v>
      </c>
      <c r="AX15" s="115">
        <v>7.0591208263558547E-3</v>
      </c>
      <c r="AY15" s="115">
        <v>1.8557329635007634E-2</v>
      </c>
      <c r="AZ15" s="115">
        <v>6.8499254920506569E-3</v>
      </c>
      <c r="BA15" s="115">
        <v>0.34092928541049017</v>
      </c>
      <c r="BB15" s="116">
        <v>1.4103044596474894E-2</v>
      </c>
    </row>
    <row r="16" spans="1:54" x14ac:dyDescent="0.2">
      <c r="A16" s="51" t="s">
        <v>19</v>
      </c>
      <c r="B16" s="39">
        <v>1</v>
      </c>
      <c r="C16" s="60">
        <v>1.992E-2</v>
      </c>
      <c r="D16" s="39">
        <v>26</v>
      </c>
      <c r="E16" s="69">
        <v>0.25</v>
      </c>
      <c r="F16" s="70">
        <v>0.65</v>
      </c>
      <c r="G16" s="78">
        <f t="shared" si="11"/>
        <v>0.45</v>
      </c>
      <c r="H16" s="110" cm="1">
        <f t="array" ref="H16">ImVol("C",D$2,D16,C16,0,B16/12,G16)</f>
        <v>0.5235246242955327</v>
      </c>
      <c r="I16" s="96" cm="1">
        <f t="array" ref="I16">OptionDelta("C",D$2,D16,B16/12,C16,H16,0)</f>
        <v>0.23697346785879758</v>
      </c>
      <c r="J16" s="83">
        <v>0.2359</v>
      </c>
      <c r="K16" s="86">
        <f t="shared" si="1"/>
        <v>4.5505208088070506E-3</v>
      </c>
      <c r="L16" s="106" cm="1">
        <f t="array" ref="L16">OptionGamma(D$2,D16,B16/12,C16,H16,0)</f>
        <v>8.8700370378417118E-2</v>
      </c>
      <c r="M16" s="83">
        <v>8.9099999999999999E-2</v>
      </c>
      <c r="N16" s="97">
        <f t="shared" si="2"/>
        <v>4.4851809380794718E-3</v>
      </c>
      <c r="O16" s="96" cm="1">
        <f t="array" ref="O16">OptionVega(D$2,D16,B16/12,C16,H16,0)</f>
        <v>2.0524338890624494E-2</v>
      </c>
      <c r="P16" s="83">
        <v>2.1499999999999998E-2</v>
      </c>
      <c r="Q16" s="86">
        <f t="shared" si="3"/>
        <v>4.5379586482581599E-2</v>
      </c>
      <c r="R16" s="106" cm="1">
        <f t="array" ref="R16">OptionTheta("C",D$2,D16,B16/12,C16,H16,0)</f>
        <v>-1.7389722478115377E-2</v>
      </c>
      <c r="S16" s="83">
        <v>-2.07E-2</v>
      </c>
      <c r="T16" s="97">
        <f t="shared" si="4"/>
        <v>0.15991678849684168</v>
      </c>
      <c r="U16" s="96" cm="1">
        <f t="array" ref="U16">OptionRho("C",D$2,D16,B16/12,C16,H16,0)</f>
        <v>4.1729158076018865E-3</v>
      </c>
      <c r="V16" s="66">
        <v>3.8999999999999998E-3</v>
      </c>
      <c r="W16" s="86">
        <f t="shared" si="5"/>
        <v>6.9978412205611976E-2</v>
      </c>
      <c r="X16" s="69">
        <v>3.05</v>
      </c>
      <c r="Y16" s="70">
        <v>3.65</v>
      </c>
      <c r="Z16" s="102">
        <f t="shared" si="0"/>
        <v>3.3499999999999996</v>
      </c>
      <c r="AA16" s="96" cm="1">
        <f t="array" ref="AA16">ImVol("P",D$2,D16,C16,0,B16/12,Z16)</f>
        <v>0.51032455172389746</v>
      </c>
      <c r="AB16" s="106" cm="1">
        <f t="array" ref="AB16">OptionDelta("P",D$2,D16,B16/12,C16,AA16,0)</f>
        <v>-0.7698805990954134</v>
      </c>
      <c r="AC16" s="83">
        <v>-0.77170000000000005</v>
      </c>
      <c r="AD16" s="97">
        <f t="shared" si="6"/>
        <v>2.3576531094812157E-3</v>
      </c>
      <c r="AE16" s="96" cm="1">
        <f t="array" ref="AE16">OptionGamma(D$2,D16,B16/12,C16,AA16,0)</f>
        <v>8.9525528045154082E-2</v>
      </c>
      <c r="AF16" s="83">
        <v>0.09</v>
      </c>
      <c r="AG16" s="86">
        <f t="shared" si="7"/>
        <v>5.2719106093990532E-3</v>
      </c>
      <c r="AH16" s="106" cm="1">
        <f t="array" ref="AH16">OptionVega(D$2,D16,B16/12,C16,AA16,0)</f>
        <v>2.0192959949686669E-2</v>
      </c>
      <c r="AI16" s="83">
        <v>2.1499999999999998E-2</v>
      </c>
      <c r="AJ16" s="97">
        <f t="shared" si="8"/>
        <v>6.0792560479689714E-2</v>
      </c>
      <c r="AK16" s="96" cm="1">
        <f t="array" ref="AK16">OptionTheta("P",D$2,D16,B16/12,C16,AA16,0)</f>
        <v>-1.8090132922047683E-2</v>
      </c>
      <c r="AL16" s="83">
        <v>-1.8800000000000001E-2</v>
      </c>
      <c r="AM16" s="86">
        <f t="shared" si="9"/>
        <v>3.7758887125123278E-2</v>
      </c>
      <c r="AN16" s="106" cm="1">
        <f t="array" ref="AN16">OptionRho("P",D$2,D16,B16/12,C16,AA16,0)</f>
        <v>-1.7566958499243841E-2</v>
      </c>
      <c r="AO16" s="83">
        <v>-1.66E-2</v>
      </c>
      <c r="AP16" s="97">
        <f t="shared" si="10"/>
        <v>5.8250512002641031E-2</v>
      </c>
      <c r="AR16" s="113">
        <v>11</v>
      </c>
      <c r="AS16" s="117">
        <v>4.6302698032122357E-3</v>
      </c>
      <c r="AT16" s="118">
        <v>1.2399967803726141E-3</v>
      </c>
      <c r="AU16" s="118">
        <v>3.5963303088074722E-3</v>
      </c>
      <c r="AV16" s="118">
        <v>0.20922650226121367</v>
      </c>
      <c r="AW16" s="119">
        <v>5.3541267700826527E-5</v>
      </c>
      <c r="AX16" s="118">
        <v>1.0993536527169792E-2</v>
      </c>
      <c r="AY16" s="118">
        <v>2.3197883306518237E-2</v>
      </c>
      <c r="AZ16" s="118">
        <v>5.2524717638808465E-3</v>
      </c>
      <c r="BA16" s="118">
        <v>0.44509343127072681</v>
      </c>
      <c r="BB16" s="119">
        <v>1.4171394900857651E-2</v>
      </c>
    </row>
    <row r="17" spans="1:42" x14ac:dyDescent="0.2">
      <c r="A17" s="50" t="s">
        <v>20</v>
      </c>
      <c r="B17" s="39">
        <v>2</v>
      </c>
      <c r="C17" s="60">
        <f>B5+(B6-B5)*(B17-1)/(3-1)</f>
        <v>2.1174999999999999E-2</v>
      </c>
      <c r="D17" s="39">
        <v>19</v>
      </c>
      <c r="E17" s="69">
        <v>4.05</v>
      </c>
      <c r="F17" s="70">
        <v>4.8499999999999996</v>
      </c>
      <c r="G17" s="78">
        <f t="shared" si="11"/>
        <v>4.4499999999999993</v>
      </c>
      <c r="H17" s="110" cm="1">
        <f t="array" ref="H17">ImVol("C",D$2,D17,C17,0,B17/12,G17)</f>
        <v>0.48626504372805357</v>
      </c>
      <c r="I17" s="96" cm="1">
        <f t="array" ref="I17">OptionDelta("C",D$2,D17,B17/12,C17,H17,0)</f>
        <v>0.86126390459012958</v>
      </c>
      <c r="J17" s="83">
        <v>0.86170000000000002</v>
      </c>
      <c r="K17" s="86">
        <f t="shared" si="1"/>
        <v>5.0608728080589601E-4</v>
      </c>
      <c r="L17" s="106" cm="1">
        <f t="array" ref="L17">OptionGamma(D$2,D17,B17/12,C17,H17,0)</f>
        <v>4.8384790445601754E-2</v>
      </c>
      <c r="M17" s="83">
        <v>4.8599999999999997E-2</v>
      </c>
      <c r="N17" s="97">
        <f t="shared" si="2"/>
        <v>4.4281801316511018E-3</v>
      </c>
      <c r="O17" s="96" cm="1">
        <f t="array" ref="O17">OptionVega(D$2,D17,B17/12,C17,H17,0)</f>
        <v>2.079785473242771E-2</v>
      </c>
      <c r="P17" s="83">
        <v>2.0899999999999998E-2</v>
      </c>
      <c r="Q17" s="86">
        <f t="shared" si="3"/>
        <v>4.8873333766645292E-3</v>
      </c>
      <c r="R17" s="106" cm="1">
        <f t="array" ref="R17">OptionTheta("C",D$2,D17,B17/12,C17,H17,0)</f>
        <v>-7.4197410989486024E-3</v>
      </c>
      <c r="S17" s="83">
        <v>-8.6999999999999994E-3</v>
      </c>
      <c r="T17" s="97">
        <f t="shared" si="4"/>
        <v>0.1471561955231491</v>
      </c>
      <c r="U17" s="96" cm="1">
        <f t="array" ref="U17">OptionRho("C",D$2,D17,B17/12,C17,H17,0)</f>
        <v>2.5641512881374229E-2</v>
      </c>
      <c r="V17" s="66">
        <v>2.6800000000000001E-2</v>
      </c>
      <c r="W17" s="86">
        <f t="shared" si="5"/>
        <v>4.3227131292006421E-2</v>
      </c>
      <c r="X17" s="69">
        <v>0.15</v>
      </c>
      <c r="Y17" s="70">
        <v>0.55000000000000004</v>
      </c>
      <c r="Z17" s="102">
        <f t="shared" si="0"/>
        <v>0.35000000000000003</v>
      </c>
      <c r="AA17" s="96" cm="1">
        <f t="array" ref="AA17">ImVol("P",D$2,D17,C17,0,B17/12,Z17)</f>
        <v>0.48478965181857347</v>
      </c>
      <c r="AB17" s="106" cm="1">
        <f t="array" ref="AB17">OptionDelta("P",D$2,D17,B17/12,C17,AA17,0)</f>
        <v>-0.13813929142759096</v>
      </c>
      <c r="AC17" s="83">
        <v>-0.13750000000000001</v>
      </c>
      <c r="AD17" s="97">
        <f t="shared" si="6"/>
        <v>4.6493922006614462E-3</v>
      </c>
      <c r="AE17" s="96" cm="1">
        <f t="array" ref="AE17">OptionGamma(D$2,D17,B17/12,C17,AA17,0)</f>
        <v>4.8389667393938442E-2</v>
      </c>
      <c r="AF17" s="83">
        <v>4.8599999999999997E-2</v>
      </c>
      <c r="AG17" s="86">
        <f t="shared" si="7"/>
        <v>4.3278314004435324E-3</v>
      </c>
      <c r="AH17" s="106" cm="1">
        <f t="array" ref="AH17">OptionVega(D$2,D17,B17/12,C17,AA17,0)</f>
        <v>2.0736841274532639E-2</v>
      </c>
      <c r="AI17" s="83">
        <v>2.0899999999999998E-2</v>
      </c>
      <c r="AJ17" s="97">
        <f t="shared" si="8"/>
        <v>7.8066375821703284E-3</v>
      </c>
      <c r="AK17" s="96" cm="1">
        <f t="array" ref="AK17">OptionTheta("P",D$2,D17,B17/12,C17,AA17,0)</f>
        <v>-8.4676112601611373E-3</v>
      </c>
      <c r="AL17" s="83">
        <v>-7.6E-3</v>
      </c>
      <c r="AM17" s="86">
        <f t="shared" si="9"/>
        <v>0.11415937633699176</v>
      </c>
      <c r="AN17" s="106" cm="1">
        <f t="array" ref="AN17">OptionRho("P",D$2,D17,B17/12,C17,AA17,0)</f>
        <v>-5.8855798165686809E-3</v>
      </c>
      <c r="AO17" s="83">
        <v>-6.1000000000000004E-3</v>
      </c>
      <c r="AP17" s="97">
        <f t="shared" si="10"/>
        <v>3.515084974283926E-2</v>
      </c>
    </row>
    <row r="18" spans="1:42" x14ac:dyDescent="0.2">
      <c r="A18" s="50" t="s">
        <v>20</v>
      </c>
      <c r="B18" s="39">
        <v>2</v>
      </c>
      <c r="C18" s="60">
        <v>2.1174999999999999E-2</v>
      </c>
      <c r="D18" s="39">
        <v>20</v>
      </c>
      <c r="E18" s="69">
        <v>3.35</v>
      </c>
      <c r="F18" s="70">
        <v>4</v>
      </c>
      <c r="G18" s="78">
        <f t="shared" si="11"/>
        <v>3.6749999999999998</v>
      </c>
      <c r="H18" s="110" cm="1">
        <f t="array" ref="H18">ImVol("C",D$2,D18,C18,0,B18/12,G18)</f>
        <v>0.48520409967750311</v>
      </c>
      <c r="I18" s="96" cm="1">
        <f t="array" ref="I18">OptionDelta("C",D$2,D18,B18/12,C18,H18,0)</f>
        <v>0.79645032145037697</v>
      </c>
      <c r="J18" s="83">
        <v>0.79690000000000005</v>
      </c>
      <c r="K18" s="86">
        <f t="shared" si="1"/>
        <v>5.6428479059239317E-4</v>
      </c>
      <c r="L18" s="106" cm="1">
        <f t="array" ref="L18">OptionGamma(D$2,D18,B18/12,C18,H18,0)</f>
        <v>6.2019975608268885E-2</v>
      </c>
      <c r="M18" s="83">
        <v>6.2399999999999997E-2</v>
      </c>
      <c r="N18" s="97">
        <f t="shared" si="2"/>
        <v>6.0901344828703926E-3</v>
      </c>
      <c r="O18" s="96" cm="1">
        <f t="array" ref="O18">OptionVega(D$2,D18,B18/12,C18,H18,0)</f>
        <v>2.660067630180064E-2</v>
      </c>
      <c r="P18" s="83">
        <v>2.7400000000000001E-2</v>
      </c>
      <c r="Q18" s="86">
        <f t="shared" si="3"/>
        <v>2.9172397744502209E-2</v>
      </c>
      <c r="R18" s="106" cm="1">
        <f t="array" ref="R18">OptionTheta("C",D$2,D18,B18/12,C18,H18,0)</f>
        <v>-9.7573921113912505E-3</v>
      </c>
      <c r="S18" s="83">
        <v>-1.0999999999999999E-2</v>
      </c>
      <c r="T18" s="97">
        <f t="shared" si="4"/>
        <v>0.11296435350988626</v>
      </c>
      <c r="U18" s="96" cm="1">
        <f t="array" ref="U18">OptionRho("C",D$2,D18,B18/12,C18,H18,0)</f>
        <v>2.4445418188945727E-2</v>
      </c>
      <c r="V18" s="66">
        <v>2.5600000000000001E-2</v>
      </c>
      <c r="W18" s="86">
        <f t="shared" si="5"/>
        <v>4.5100851994307578E-2</v>
      </c>
      <c r="X18" s="69">
        <v>0.35</v>
      </c>
      <c r="Y18" s="70">
        <v>0.75</v>
      </c>
      <c r="Z18" s="102">
        <f t="shared" si="0"/>
        <v>0.55000000000000004</v>
      </c>
      <c r="AA18" s="96" cm="1">
        <f t="array" ref="AA18">ImVol("P",D$2,D18,C18,0,B18/12,Z18)</f>
        <v>0.4759312653914094</v>
      </c>
      <c r="AB18" s="106" cm="1">
        <f t="array" ref="AB18">OptionDelta("P",D$2,D18,B18/12,C18,AA18,0)</f>
        <v>-0.20007917228466376</v>
      </c>
      <c r="AC18" s="83">
        <v>-0.19950000000000001</v>
      </c>
      <c r="AD18" s="97">
        <f t="shared" si="6"/>
        <v>2.9031192213721988E-3</v>
      </c>
      <c r="AE18" s="96" cm="1">
        <f t="array" ref="AE18">OptionGamma(D$2,D18,B18/12,C18,AA18,0)</f>
        <v>6.2580604080117536E-2</v>
      </c>
      <c r="AF18" s="83">
        <v>6.3E-2</v>
      </c>
      <c r="AG18" s="86">
        <f t="shared" si="7"/>
        <v>6.6570780933724576E-3</v>
      </c>
      <c r="AH18" s="106" cm="1">
        <f t="array" ref="AH18">OptionVega(D$2,D18,B18/12,C18,AA18,0)</f>
        <v>2.632816629640345E-2</v>
      </c>
      <c r="AI18" s="83">
        <v>2.7400000000000001E-2</v>
      </c>
      <c r="AJ18" s="97">
        <f t="shared" si="8"/>
        <v>3.911801837943614E-2</v>
      </c>
      <c r="AK18" s="96" cm="1">
        <f t="array" ref="AK18">OptionTheta("P",D$2,D18,B18/12,C18,AA18,0)</f>
        <v>-1.0598181259282429E-2</v>
      </c>
      <c r="AL18" s="83">
        <v>-9.7000000000000003E-3</v>
      </c>
      <c r="AM18" s="86">
        <f t="shared" si="9"/>
        <v>9.2596006111590565E-2</v>
      </c>
      <c r="AN18" s="106" cm="1">
        <f t="array" ref="AN18">OptionRho("P",D$2,D18,B18/12,C18,AA18,0)</f>
        <v>-8.5963722450421755E-3</v>
      </c>
      <c r="AO18" s="83">
        <v>-8.9999999999999993E-3</v>
      </c>
      <c r="AP18" s="97">
        <f t="shared" si="10"/>
        <v>4.4847528328647093E-2</v>
      </c>
    </row>
    <row r="19" spans="1:42" x14ac:dyDescent="0.2">
      <c r="A19" s="50" t="s">
        <v>20</v>
      </c>
      <c r="B19" s="39">
        <v>2</v>
      </c>
      <c r="C19" s="60">
        <v>2.1174999999999999E-2</v>
      </c>
      <c r="D19" s="39">
        <v>22</v>
      </c>
      <c r="E19" s="69">
        <v>2.1</v>
      </c>
      <c r="F19" s="70">
        <v>2.5</v>
      </c>
      <c r="G19" s="78">
        <f t="shared" si="11"/>
        <v>2.2999999999999998</v>
      </c>
      <c r="H19" s="110" cm="1">
        <f t="array" ref="H19">ImVol("C",D$2,D19,C19,0,B19/12,G19)</f>
        <v>0.46211039181798697</v>
      </c>
      <c r="I19" s="96" cm="1">
        <f t="array" ref="I19">OptionDelta("C",D$2,D19,B19/12,C19,H19,0)</f>
        <v>0.63891788624115053</v>
      </c>
      <c r="J19" s="83">
        <v>0.63919999999999999</v>
      </c>
      <c r="K19" s="86">
        <f t="shared" si="1"/>
        <v>4.4135444125384231E-4</v>
      </c>
      <c r="L19" s="106" cm="1">
        <f t="array" ref="L19">OptionGamma(D$2,D19,B19/12,C19,H19,0)</f>
        <v>8.6197053358653561E-2</v>
      </c>
      <c r="M19" s="83">
        <v>8.6999999999999994E-2</v>
      </c>
      <c r="N19" s="97">
        <f t="shared" si="2"/>
        <v>9.2292717396141744E-3</v>
      </c>
      <c r="O19" s="96" cm="1">
        <f t="array" ref="O19">OptionVega(D$2,D19,B19/12,C19,H19,0)</f>
        <v>3.5210709822420805E-2</v>
      </c>
      <c r="P19" s="83">
        <v>3.6900000000000002E-2</v>
      </c>
      <c r="Q19" s="86">
        <f t="shared" si="3"/>
        <v>4.5780221614612392E-2</v>
      </c>
      <c r="R19" s="106" cm="1">
        <f t="array" ref="R19">OptionTheta("C",D$2,D19,B19/12,C19,H19,0)</f>
        <v>-1.2653419499675935E-2</v>
      </c>
      <c r="S19" s="83">
        <v>-1.38E-2</v>
      </c>
      <c r="T19" s="97">
        <f t="shared" si="4"/>
        <v>8.3085543501743811E-2</v>
      </c>
      <c r="U19" s="96" cm="1">
        <f t="array" ref="U19">OptionRho("C",D$2,D19,B19/12,C19,H19,0)</f>
        <v>2.0690464878927846E-2</v>
      </c>
      <c r="V19" s="66">
        <v>2.1700000000000001E-2</v>
      </c>
      <c r="W19" s="86">
        <f t="shared" si="5"/>
        <v>4.6522355809776712E-2</v>
      </c>
      <c r="X19" s="69">
        <v>1.05</v>
      </c>
      <c r="Y19" s="70">
        <v>1.45</v>
      </c>
      <c r="Z19" s="102">
        <f t="shared" si="0"/>
        <v>1.25</v>
      </c>
      <c r="AA19" s="96" cm="1">
        <f t="array" ref="AA19">ImVol("P",D$2,D19,C19,0,B19/12,Z19)</f>
        <v>0.47842561732977629</v>
      </c>
      <c r="AB19" s="106" cm="1">
        <f t="array" ref="AB19">OptionDelta("P",D$2,D19,B19/12,C19,AA19,0)</f>
        <v>-0.36317332772009181</v>
      </c>
      <c r="AC19" s="83">
        <v>-0.3629</v>
      </c>
      <c r="AD19" s="97">
        <f t="shared" si="6"/>
        <v>7.531764124877635E-4</v>
      </c>
      <c r="AE19" s="96" cm="1">
        <f t="array" ref="AE19">OptionGamma(D$2,D19,B19/12,C19,AA19,0)</f>
        <v>8.3421578224025697E-2</v>
      </c>
      <c r="AF19" s="83">
        <v>8.4199999999999997E-2</v>
      </c>
      <c r="AG19" s="86">
        <f t="shared" si="7"/>
        <v>9.2449142039703093E-3</v>
      </c>
      <c r="AH19" s="106" cm="1">
        <f t="array" ref="AH19">OptionVega(D$2,D19,B19/12,C19,AA19,0)</f>
        <v>3.5280071232635837E-2</v>
      </c>
      <c r="AI19" s="83">
        <v>3.6900000000000002E-2</v>
      </c>
      <c r="AJ19" s="97">
        <f t="shared" si="8"/>
        <v>4.3900508600654871E-2</v>
      </c>
      <c r="AK19" s="96" cm="1">
        <f t="array" ref="AK19">OptionTheta("P",D$2,D19,B19/12,C19,AA19,0)</f>
        <v>-1.4430796995516691E-2</v>
      </c>
      <c r="AL19" s="83">
        <v>-1.3100000000000001E-2</v>
      </c>
      <c r="AM19" s="86">
        <f t="shared" si="9"/>
        <v>0.10158755690967101</v>
      </c>
      <c r="AN19" s="106" cm="1">
        <f t="array" ref="AN19">OptionRho("P",D$2,D19,B19/12,C19,AA19,0)</f>
        <v>-1.6023136221165583E-2</v>
      </c>
      <c r="AO19" s="83">
        <v>-1.6799999999999999E-2</v>
      </c>
      <c r="AP19" s="97">
        <f t="shared" si="10"/>
        <v>4.6241891597286686E-2</v>
      </c>
    </row>
    <row r="20" spans="1:42" x14ac:dyDescent="0.2">
      <c r="A20" s="50" t="s">
        <v>20</v>
      </c>
      <c r="B20" s="39">
        <v>2</v>
      </c>
      <c r="C20" s="60">
        <v>2.1174999999999999E-2</v>
      </c>
      <c r="D20" s="39">
        <v>24</v>
      </c>
      <c r="E20" s="69">
        <v>1.1499999999999999</v>
      </c>
      <c r="F20" s="70">
        <v>1.55</v>
      </c>
      <c r="G20" s="78">
        <f t="shared" si="11"/>
        <v>1.35</v>
      </c>
      <c r="H20" s="110" cm="1">
        <f t="array" ref="H20">ImVol("C",D$2,D20,C20,0,B20/12,G20)</f>
        <v>0.46041401568800211</v>
      </c>
      <c r="I20" s="96" cm="1">
        <f t="array" ref="I20">OptionDelta("C",D$2,D20,B20/12,C20,H20,0)</f>
        <v>0.45750044087314545</v>
      </c>
      <c r="J20" s="83">
        <v>0.45689999999999997</v>
      </c>
      <c r="K20" s="86">
        <f>ABS(J20-I20)/J20</f>
        <v>1.3141625588651352E-3</v>
      </c>
      <c r="L20" s="106" cm="1">
        <f t="array" ref="L20">OptionGamma(D$2,D20,B20/12,C20,H20,0)</f>
        <v>9.1636711397315052E-2</v>
      </c>
      <c r="M20" s="83">
        <v>9.2499999999999999E-2</v>
      </c>
      <c r="N20" s="97">
        <f t="shared" si="2"/>
        <v>9.3328497587561871E-3</v>
      </c>
      <c r="O20" s="96" cm="1">
        <f t="array" ref="O20">OptionVega(D$2,D20,B20/12,C20,H20,0)</f>
        <v>3.7295347355893675E-2</v>
      </c>
      <c r="P20" s="83">
        <v>3.8899999999999997E-2</v>
      </c>
      <c r="Q20" s="86">
        <f t="shared" si="3"/>
        <v>4.1250710645406738E-2</v>
      </c>
      <c r="R20" s="106" cm="1">
        <f t="array" ref="R20">OptionTheta("C",D$2,D20,B20/12,C20,H20,0)</f>
        <v>-1.3580470309791639E-2</v>
      </c>
      <c r="S20" s="83">
        <v>-1.43E-2</v>
      </c>
      <c r="T20" s="97">
        <f t="shared" si="4"/>
        <v>5.0316761553032233E-2</v>
      </c>
      <c r="U20" s="96" cm="1">
        <f t="array" ref="U20">OptionRho("C",D$2,D20,B20/12,C20,H20,0)</f>
        <v>1.5310391948668026E-2</v>
      </c>
      <c r="V20" s="66">
        <v>1.6E-2</v>
      </c>
      <c r="W20" s="86">
        <f t="shared" si="5"/>
        <v>4.3100503208248417E-2</v>
      </c>
      <c r="X20" s="69">
        <v>2.0499999999999998</v>
      </c>
      <c r="Y20" s="70">
        <v>2.4500000000000002</v>
      </c>
      <c r="Z20" s="102">
        <f t="shared" si="0"/>
        <v>2.25</v>
      </c>
      <c r="AA20" s="96" cm="1">
        <f t="array" ref="AA20">ImVol("P",D$2,D20,C20,0,B20/12,Z20)</f>
        <v>0.46431499067693949</v>
      </c>
      <c r="AB20" s="106" cm="1">
        <f t="array" ref="AB20">OptionDelta("P",D$2,D20,B20/12,C20,AA20,0)</f>
        <v>-0.5415146407543231</v>
      </c>
      <c r="AC20" s="83">
        <v>-0.54220000000000002</v>
      </c>
      <c r="AD20" s="97">
        <f t="shared" si="6"/>
        <v>1.2640340200607151E-3</v>
      </c>
      <c r="AE20" s="96" cm="1">
        <f t="array" ref="AE20">OptionGamma(D$2,D20,B20/12,C20,AA20,0)</f>
        <v>9.0890619677103865E-2</v>
      </c>
      <c r="AF20" s="83">
        <v>9.1800000000000007E-2</v>
      </c>
      <c r="AG20" s="86">
        <f t="shared" si="7"/>
        <v>9.9061037352520878E-3</v>
      </c>
      <c r="AH20" s="106" cm="1">
        <f t="array" ref="AH20">OptionVega(D$2,D20,B20/12,C20,AA20,0)</f>
        <v>3.7305116043123143E-2</v>
      </c>
      <c r="AI20" s="83">
        <v>3.8899999999999997E-2</v>
      </c>
      <c r="AJ20" s="97">
        <f t="shared" si="8"/>
        <v>4.0999587580381851E-2</v>
      </c>
      <c r="AK20" s="96" cm="1">
        <f t="array" ref="AK20">OptionTheta("P",D$2,D20,B20/12,C20,AA20,0)</f>
        <v>-1.5090729582361011E-2</v>
      </c>
      <c r="AL20" s="83">
        <v>-1.3100000000000001E-2</v>
      </c>
      <c r="AM20" s="86">
        <f t="shared" si="9"/>
        <v>0.15196409025656565</v>
      </c>
      <c r="AN20" s="106" cm="1">
        <f t="array" ref="AN20">OptionRho("P",D$2,D20,B20/12,C20,AA20,0)</f>
        <v>-2.4535136972239954E-2</v>
      </c>
      <c r="AO20" s="83">
        <v>-2.5700000000000001E-2</v>
      </c>
      <c r="AP20" s="97">
        <f t="shared" si="10"/>
        <v>4.5325409640468731E-2</v>
      </c>
    </row>
    <row r="21" spans="1:42" x14ac:dyDescent="0.2">
      <c r="A21" s="50" t="s">
        <v>20</v>
      </c>
      <c r="B21" s="39">
        <v>2</v>
      </c>
      <c r="C21" s="60">
        <v>2.1174999999999999E-2</v>
      </c>
      <c r="D21" s="39">
        <v>26</v>
      </c>
      <c r="E21" s="69">
        <v>0.55000000000000004</v>
      </c>
      <c r="F21" s="70">
        <v>0.95</v>
      </c>
      <c r="G21" s="78">
        <f t="shared" si="11"/>
        <v>0.75</v>
      </c>
      <c r="H21" s="110" cm="1">
        <f t="array" ref="H21">ImVol("C",D$2,D21,C21,0,B21/12,G21)</f>
        <v>0.46355994883924723</v>
      </c>
      <c r="I21" s="96" cm="1">
        <f t="array" ref="I21">OptionDelta("C",D$2,D21,B21/12,C21,H21,0)</f>
        <v>0.29886038367324075</v>
      </c>
      <c r="J21" s="83">
        <v>0.29809999999999998</v>
      </c>
      <c r="K21" s="86">
        <f t="shared" si="1"/>
        <v>2.550767102451433E-3</v>
      </c>
      <c r="L21" s="106" cm="1">
        <f t="array" ref="L21">OptionGamma(D$2,D21,B21/12,C21,H21,0)</f>
        <v>7.9638266644663475E-2</v>
      </c>
      <c r="M21" s="83">
        <v>8.0199999999999994E-2</v>
      </c>
      <c r="N21" s="97">
        <f t="shared" si="2"/>
        <v>7.0041565503306605E-3</v>
      </c>
      <c r="O21" s="96" cm="1">
        <f t="array" ref="O21">OptionVega(D$2,D21,B21/12,C21,H21,0)</f>
        <v>3.2633550762624579E-2</v>
      </c>
      <c r="P21" s="83">
        <v>3.2099999999999997E-2</v>
      </c>
      <c r="Q21" s="86">
        <f t="shared" si="3"/>
        <v>1.6621519084877953E-2</v>
      </c>
      <c r="R21" s="106" cm="1">
        <f t="array" ref="R21">OptionTheta("C",D$2,D21,B21/12,C21,H21,0)</f>
        <v>-1.2077865909206486E-2</v>
      </c>
      <c r="S21" s="83">
        <v>-1.18E-2</v>
      </c>
      <c r="T21" s="97">
        <f t="shared" si="4"/>
        <v>2.3547958407329369E-2</v>
      </c>
      <c r="U21" s="96" cm="1">
        <f t="array" ref="U21">OptionRho("C",D$2,D21,B21/12,C21,H21,0)</f>
        <v>1.0221257751216026E-2</v>
      </c>
      <c r="V21" s="66">
        <v>1.0699999999999999E-2</v>
      </c>
      <c r="W21" s="86">
        <f t="shared" si="5"/>
        <v>4.4742266241492835E-2</v>
      </c>
      <c r="X21" s="69">
        <v>3.3</v>
      </c>
      <c r="Y21" s="70">
        <v>3.95</v>
      </c>
      <c r="Z21" s="102">
        <f t="shared" si="0"/>
        <v>3.625</v>
      </c>
      <c r="AA21" s="96" cm="1">
        <f t="array" ref="AA21">ImVol("P",D$2,D21,C21,0,B21/12,Z21)</f>
        <v>0.46251659747213125</v>
      </c>
      <c r="AB21" s="106" cm="1">
        <f t="array" ref="AB21">OptionDelta("P",D$2,D21,B21/12,C21,AA21,0)</f>
        <v>-0.70170054894515377</v>
      </c>
      <c r="AC21" s="83">
        <v>-0.7026</v>
      </c>
      <c r="AD21" s="97">
        <f t="shared" si="6"/>
        <v>1.2801751421096417E-3</v>
      </c>
      <c r="AE21" s="96" cm="1">
        <f t="array" ref="AE21">OptionGamma(D$2,D21,B21/12,C21,AA21,0)</f>
        <v>7.9749744507138898E-2</v>
      </c>
      <c r="AF21" s="83">
        <v>8.0399999999999999E-2</v>
      </c>
      <c r="AG21" s="86">
        <f t="shared" si="7"/>
        <v>8.0877548863321092E-3</v>
      </c>
      <c r="AH21" s="106" cm="1">
        <f t="array" ref="AH21">OptionVega(D$2,D21,B21/12,C21,AA21,0)</f>
        <v>3.2605678952204321E-2</v>
      </c>
      <c r="AI21" s="83">
        <v>3.2099999999999997E-2</v>
      </c>
      <c r="AJ21" s="97">
        <f t="shared" si="8"/>
        <v>1.5753238386427566E-2</v>
      </c>
      <c r="AK21" s="96" cm="1">
        <f t="array" ref="AK21">OptionTheta("P",D$2,D21,B21/12,C21,AA21,0)</f>
        <v>-1.3542879853063629E-2</v>
      </c>
      <c r="AL21" s="83">
        <v>-1.03E-2</v>
      </c>
      <c r="AM21" s="86">
        <f t="shared" si="9"/>
        <v>0.31484270418093485</v>
      </c>
      <c r="AN21" s="106" cm="1">
        <f t="array" ref="AN21">OptionRho("P",D$2,D21,B21/12,C21,AA21,0)</f>
        <v>-3.2975272742664798E-2</v>
      </c>
      <c r="AO21" s="83">
        <v>-3.4500000000000003E-2</v>
      </c>
      <c r="AP21" s="97">
        <f t="shared" si="10"/>
        <v>4.4194992966237828E-2</v>
      </c>
    </row>
    <row r="22" spans="1:42" x14ac:dyDescent="0.2">
      <c r="A22" s="50" t="s">
        <v>21</v>
      </c>
      <c r="B22" s="39">
        <v>5</v>
      </c>
      <c r="C22" s="61">
        <f>B5+(B6-B5)*2/3</f>
        <v>2.1593333333333332E-2</v>
      </c>
      <c r="D22" s="39">
        <v>19</v>
      </c>
      <c r="E22" s="69">
        <v>4.75</v>
      </c>
      <c r="F22" s="70">
        <v>5.6</v>
      </c>
      <c r="G22" s="78">
        <f t="shared" si="11"/>
        <v>5.1749999999999998</v>
      </c>
      <c r="H22" s="110" cm="1">
        <f t="array" ref="H22">ImVol("C",D$2,D22,C22,0,B22/12,G22)</f>
        <v>0.47503300476819277</v>
      </c>
      <c r="I22" s="96" cm="1">
        <f t="array" ref="I22">OptionDelta("C",D$2,D22,B22/12,C22,H22,0)</f>
        <v>0.79102558603038464</v>
      </c>
      <c r="J22" s="83">
        <v>0.79530000000000001</v>
      </c>
      <c r="K22" s="86">
        <f t="shared" si="1"/>
        <v>5.3745931970518857E-3</v>
      </c>
      <c r="L22" s="106" cm="1">
        <f t="array" ref="L22">OptionGamma(D$2,D22,B22/12,C22,H22,0)</f>
        <v>4.0694241174144261E-2</v>
      </c>
      <c r="M22" s="83">
        <v>4.1599999999999998E-2</v>
      </c>
      <c r="N22" s="97">
        <f t="shared" si="2"/>
        <v>2.1773048698455231E-2</v>
      </c>
      <c r="O22" s="96" cm="1">
        <f t="array" ref="O22">OptionVega(D$2,D22,B22/12,C22,H22,0)</f>
        <v>4.2720209498405978E-2</v>
      </c>
      <c r="P22" s="83">
        <v>4.1000000000000002E-2</v>
      </c>
      <c r="Q22" s="86">
        <f t="shared" si="3"/>
        <v>4.1956329229414058E-2</v>
      </c>
      <c r="R22" s="106" cm="1">
        <f t="array" ref="R22">OptionTheta("C",D$2,D22,B22/12,C22,H22,0)</f>
        <v>-5.9002575103599877E-3</v>
      </c>
      <c r="S22" s="83">
        <v>-6.8999999999999999E-3</v>
      </c>
      <c r="T22" s="97">
        <f t="shared" si="4"/>
        <v>0.14489021588985684</v>
      </c>
      <c r="U22" s="96" cm="1">
        <f t="array" ref="U22">OptionRho("C",D$2,D22,B22/12,C22,H22,0)</f>
        <v>5.43429967970714E-2</v>
      </c>
      <c r="V22" s="66">
        <v>5.5899999999999998E-2</v>
      </c>
      <c r="W22" s="86">
        <f t="shared" si="5"/>
        <v>2.7853366778686921E-2</v>
      </c>
      <c r="X22" s="69">
        <v>0.7</v>
      </c>
      <c r="Y22" s="70">
        <v>1.1000000000000001</v>
      </c>
      <c r="Z22" s="102">
        <f t="shared" si="0"/>
        <v>0.9</v>
      </c>
      <c r="AA22" s="96" cm="1">
        <f t="array" ref="AA22">ImVol("P",D$2,D22,C22,0,B22/12,Z22)</f>
        <v>0.45738062355667353</v>
      </c>
      <c r="AB22" s="106" cm="1">
        <f t="array" ref="AB22">OptionDelta("P",D$2,D22,B22/12,C22,AA22,0)</f>
        <v>-0.20337358874973377</v>
      </c>
      <c r="AC22" s="83">
        <v>-0.2029</v>
      </c>
      <c r="AD22" s="97">
        <f t="shared" si="6"/>
        <v>2.3340993086928144E-3</v>
      </c>
      <c r="AE22" s="96" cm="1">
        <f t="array" ref="AE22">OptionGamma(D$2,D22,B22/12,C22,AA22,0)</f>
        <v>4.1589534947086906E-2</v>
      </c>
      <c r="AF22" s="83">
        <v>4.19E-2</v>
      </c>
      <c r="AG22" s="86">
        <f t="shared" si="7"/>
        <v>7.409667133964043E-3</v>
      </c>
      <c r="AH22" s="106" cm="1">
        <f t="array" ref="AH22">OptionVega(D$2,D22,B22/12,C22,AA22,0)</f>
        <v>4.2037652960985022E-2</v>
      </c>
      <c r="AI22" s="83">
        <v>4.1000000000000002E-2</v>
      </c>
      <c r="AJ22" s="97">
        <f t="shared" si="8"/>
        <v>2.5308608804512699E-2</v>
      </c>
      <c r="AK22" s="96" cm="1">
        <f t="array" ref="AK22">OptionTheta("P",D$2,D22,B22/12,C22,AA22,0)</f>
        <v>-6.6516041412117083E-3</v>
      </c>
      <c r="AL22" s="83">
        <v>-5.7000000000000002E-3</v>
      </c>
      <c r="AM22" s="86">
        <f t="shared" si="9"/>
        <v>0.16694809494942248</v>
      </c>
      <c r="AN22" s="106" cm="1">
        <f t="array" ref="AN22">OptionRho("P",D$2,D22,B22/12,C22,AA22,0)</f>
        <v>-2.3265390676858039E-2</v>
      </c>
      <c r="AO22" s="83">
        <v>-2.3599999999999999E-2</v>
      </c>
      <c r="AP22" s="97">
        <f t="shared" si="10"/>
        <v>1.4178361150083082E-2</v>
      </c>
    </row>
    <row r="23" spans="1:42" x14ac:dyDescent="0.2">
      <c r="A23" s="50" t="s">
        <v>21</v>
      </c>
      <c r="B23" s="39">
        <v>5</v>
      </c>
      <c r="C23" s="61">
        <f>B6+(B7-B6)*2/3</f>
        <v>2.3976666666666667E-2</v>
      </c>
      <c r="D23" s="39">
        <v>20</v>
      </c>
      <c r="E23" s="69">
        <v>4.05</v>
      </c>
      <c r="F23" s="70">
        <v>4.8499999999999996</v>
      </c>
      <c r="G23" s="78">
        <f t="shared" si="11"/>
        <v>4.4499999999999993</v>
      </c>
      <c r="H23" s="110" cm="1">
        <f t="array" ref="H23">ImVol("C",D$2,D23,C23,0,B23/12,G23)</f>
        <v>0.45810549054294825</v>
      </c>
      <c r="I23" s="96" cm="1">
        <f t="array" ref="I23">OptionDelta("C",D$2,D23,B23/12,C23,H23,0)</f>
        <v>0.74495063521700255</v>
      </c>
      <c r="J23" s="83">
        <v>0.74390000000000001</v>
      </c>
      <c r="K23" s="86">
        <f t="shared" si="1"/>
        <v>1.4123339387048649E-3</v>
      </c>
      <c r="L23" s="106" cm="1">
        <f t="array" ref="L23">OptionGamma(D$2,D23,B23/12,C23,H23,0)</f>
        <v>4.71567381642891E-2</v>
      </c>
      <c r="M23" s="83">
        <v>4.7399999999999998E-2</v>
      </c>
      <c r="N23" s="97">
        <f t="shared" si="2"/>
        <v>5.1321062386265378E-3</v>
      </c>
      <c r="O23" s="96" cm="1">
        <f t="array" ref="O23">OptionVega(D$2,D23,B23/12,C23,H23,0)</f>
        <v>4.7740381859133776E-2</v>
      </c>
      <c r="P23" s="83">
        <v>4.9599999999999998E-2</v>
      </c>
      <c r="Q23" s="86">
        <f t="shared" si="3"/>
        <v>3.7492301227141568E-2</v>
      </c>
      <c r="R23" s="106" cm="1">
        <f t="array" ref="R23">OptionTheta("C",D$2,D23,B23/12,C23,H23,0)</f>
        <v>-6.3555153139784057E-3</v>
      </c>
      <c r="S23" s="83">
        <v>-8.0999999999999996E-3</v>
      </c>
      <c r="T23" s="97">
        <f t="shared" si="4"/>
        <v>0.21536847975575235</v>
      </c>
      <c r="U23" s="96" cm="1">
        <f t="array" ref="U23">OptionRho("C",D$2,D23,B23/12,C23,H23,0)</f>
        <v>5.2942554642051207E-2</v>
      </c>
      <c r="V23" s="66">
        <v>5.3699999999999998E-2</v>
      </c>
      <c r="W23" s="86">
        <f t="shared" si="5"/>
        <v>1.4105127708543596E-2</v>
      </c>
      <c r="X23" s="69">
        <v>1.05</v>
      </c>
      <c r="Y23" s="70">
        <v>1.45</v>
      </c>
      <c r="Z23" s="102">
        <f t="shared" si="0"/>
        <v>1.25</v>
      </c>
      <c r="AA23" s="96" cm="1">
        <f t="array" ref="AA23">ImVol("P",D$2,D23,C23,0,B23/12,Z23)</f>
        <v>0.46413103584200144</v>
      </c>
      <c r="AB23" s="106" cm="1">
        <f t="array" ref="AB23">OptionDelta("P",D$2,D23,B23/12,C23,AA23,0)</f>
        <v>-0.2565569077257398</v>
      </c>
      <c r="AC23" s="83">
        <v>-0.25669999999999998</v>
      </c>
      <c r="AD23" s="97">
        <f t="shared" si="6"/>
        <v>5.574299737443766E-4</v>
      </c>
      <c r="AE23" s="96" cm="1">
        <f t="array" ref="AE23">OptionGamma(D$2,D23,B23/12,C23,AA23,0)</f>
        <v>4.6687936050650032E-2</v>
      </c>
      <c r="AF23" s="83">
        <v>4.7300000000000002E-2</v>
      </c>
      <c r="AG23" s="86">
        <f t="shared" si="7"/>
        <v>1.2940041212472931E-2</v>
      </c>
      <c r="AH23" s="106" cm="1">
        <f t="array" ref="AH23">OptionVega(D$2,D23,B23/12,C23,AA23,0)</f>
        <v>4.7887472949608184E-2</v>
      </c>
      <c r="AI23" s="83">
        <v>4.9599999999999998E-2</v>
      </c>
      <c r="AJ23" s="97">
        <f t="shared" si="8"/>
        <v>3.4526755048222058E-2</v>
      </c>
      <c r="AK23" s="96" cm="1">
        <f t="array" ref="AK23">OptionTheta("P",D$2,D23,B23/12,C23,AA23,0)</f>
        <v>-7.77743724156197E-3</v>
      </c>
      <c r="AL23" s="83">
        <v>-6.8999999999999999E-3</v>
      </c>
      <c r="AM23" s="86">
        <f t="shared" si="9"/>
        <v>0.12716481761767684</v>
      </c>
      <c r="AN23" s="106" cm="1">
        <f t="array" ref="AN23">OptionRho("P",D$2,D23,B23/12,C23,AA23,0)</f>
        <v>-2.9827106613239122E-2</v>
      </c>
      <c r="AO23" s="83">
        <v>-2.8899999999999999E-2</v>
      </c>
      <c r="AP23" s="97">
        <f t="shared" si="10"/>
        <v>3.2079813606890079E-2</v>
      </c>
    </row>
    <row r="24" spans="1:42" x14ac:dyDescent="0.2">
      <c r="A24" s="50" t="s">
        <v>21</v>
      </c>
      <c r="B24" s="39">
        <v>5</v>
      </c>
      <c r="C24" s="61">
        <v>2.3976666666666667E-2</v>
      </c>
      <c r="D24" s="39">
        <v>22</v>
      </c>
      <c r="E24" s="69">
        <v>3</v>
      </c>
      <c r="F24" s="70">
        <v>3.55</v>
      </c>
      <c r="G24" s="78">
        <f t="shared" si="11"/>
        <v>3.2749999999999999</v>
      </c>
      <c r="H24" s="110" cm="1">
        <f t="array" ref="H24">ImVol("C",D$2,D24,C24,0,B24/12,G24)</f>
        <v>0.45288824941962957</v>
      </c>
      <c r="I24" s="96" cm="1">
        <f t="array" ref="I24">OptionDelta("C",D$2,D24,B24/12,C24,H24,0)</f>
        <v>0.6318878875397107</v>
      </c>
      <c r="J24" s="83">
        <v>0.63080000000000003</v>
      </c>
      <c r="K24" s="86">
        <f t="shared" si="1"/>
        <v>1.7246156304861677E-3</v>
      </c>
      <c r="L24" s="106" cm="1">
        <f t="array" ref="L24">OptionGamma(D$2,D24,B24/12,C24,H24,0)</f>
        <v>5.5987404303920935E-2</v>
      </c>
      <c r="M24" s="83">
        <v>5.6300000000000003E-2</v>
      </c>
      <c r="N24" s="97">
        <f t="shared" si="2"/>
        <v>5.5523214223635563E-3</v>
      </c>
      <c r="O24" s="96" cm="1">
        <f t="array" ref="O24">OptionVega(D$2,D24,B24/12,C24,H24,0)</f>
        <v>5.6034825011715111E-2</v>
      </c>
      <c r="P24" s="83">
        <v>5.7000000000000002E-2</v>
      </c>
      <c r="Q24" s="86">
        <f t="shared" si="3"/>
        <v>1.6932894531313868E-2</v>
      </c>
      <c r="R24" s="106" cm="1">
        <f t="array" ref="R24">OptionTheta("C",D$2,D24,B24/12,C24,H24,0)</f>
        <v>-7.602486911911675E-3</v>
      </c>
      <c r="S24" s="83">
        <v>-8.8999999999999999E-3</v>
      </c>
      <c r="T24" s="97">
        <f t="shared" si="4"/>
        <v>0.14578798742565449</v>
      </c>
      <c r="U24" s="96" cm="1">
        <f t="array" ref="U24">OptionRho("C",D$2,D24,B24/12,C24,H24,0)</f>
        <v>4.6989075122193399E-2</v>
      </c>
      <c r="V24" s="66">
        <v>4.7699999999999999E-2</v>
      </c>
      <c r="W24" s="86">
        <f t="shared" si="5"/>
        <v>1.4904085488607964E-2</v>
      </c>
      <c r="X24" s="69">
        <v>1.85</v>
      </c>
      <c r="Y24" s="70">
        <v>2.25</v>
      </c>
      <c r="Z24" s="102">
        <f t="shared" si="0"/>
        <v>2.0499999999999998</v>
      </c>
      <c r="AA24" s="96" cm="1">
        <f t="array" ref="AA24">ImVol("P",D$2,D24,C24,0,B24/12,Z24)</f>
        <v>0.45711602549999952</v>
      </c>
      <c r="AB24" s="106" cm="1">
        <f t="array" ref="AB24">OptionDelta("P",D$2,D24,B24/12,C24,AA24,0)</f>
        <v>-0.36826257060297762</v>
      </c>
      <c r="AC24" s="83">
        <v>-0.36930000000000002</v>
      </c>
      <c r="AD24" s="97">
        <f t="shared" si="6"/>
        <v>2.8091778960801341E-3</v>
      </c>
      <c r="AE24" s="96" cm="1">
        <f t="array" ref="AE24">OptionGamma(D$2,D24,B24/12,C24,AA24,0)</f>
        <v>5.5477041839176809E-2</v>
      </c>
      <c r="AF24" s="83">
        <v>5.6300000000000003E-2</v>
      </c>
      <c r="AG24" s="86">
        <f t="shared" si="7"/>
        <v>1.4617374082117116E-2</v>
      </c>
      <c r="AH24" s="106" cm="1">
        <f t="array" ref="AH24">OptionVega(D$2,D24,B24/12,C24,AA24,0)</f>
        <v>5.6042354978013541E-2</v>
      </c>
      <c r="AI24" s="83">
        <v>5.7000000000000002E-2</v>
      </c>
      <c r="AJ24" s="97">
        <f t="shared" si="8"/>
        <v>1.6800789859411601E-2</v>
      </c>
      <c r="AK24" s="96" cm="1">
        <f t="array" ref="AK24">OptionTheta("P",D$2,D24,B24/12,C24,AA24,0)</f>
        <v>-9.1140914819640203E-3</v>
      </c>
      <c r="AL24" s="83">
        <v>-7.7000000000000002E-3</v>
      </c>
      <c r="AM24" s="86">
        <f t="shared" si="9"/>
        <v>0.18364824441091168</v>
      </c>
      <c r="AN24" s="106" cm="1">
        <f t="array" ref="AN24">OptionRho("P",D$2,D24,B24/12,C24,AA24,0)</f>
        <v>-4.3879529204036503E-2</v>
      </c>
      <c r="AO24" s="83">
        <v>-4.4699999999999997E-2</v>
      </c>
      <c r="AP24" s="97">
        <f t="shared" si="10"/>
        <v>1.8355051363836538E-2</v>
      </c>
    </row>
    <row r="25" spans="1:42" x14ac:dyDescent="0.2">
      <c r="A25" s="50" t="s">
        <v>21</v>
      </c>
      <c r="B25" s="39">
        <v>5</v>
      </c>
      <c r="C25" s="61">
        <v>2.3976666666666667E-2</v>
      </c>
      <c r="D25" s="39">
        <v>24</v>
      </c>
      <c r="E25" s="69">
        <v>2.15</v>
      </c>
      <c r="F25" s="70">
        <v>2.5499999999999998</v>
      </c>
      <c r="G25" s="78">
        <f t="shared" si="11"/>
        <v>2.3499999999999996</v>
      </c>
      <c r="H25" s="110" cm="1">
        <f t="array" ref="H25">ImVol("C",D$2,D25,C25,0,B25/12,G25)</f>
        <v>0.44975407887250185</v>
      </c>
      <c r="I25" s="96" cm="1">
        <f t="array" ref="I25">OptionDelta("C",D$2,D25,B25/12,C25,H25,0)</f>
        <v>0.51494138245172705</v>
      </c>
      <c r="J25" s="83">
        <v>0.51370000000000005</v>
      </c>
      <c r="K25" s="86">
        <f t="shared" si="1"/>
        <v>2.4165513952248436E-3</v>
      </c>
      <c r="L25" s="106" cm="1">
        <f t="array" ref="L25">OptionGamma(D$2,D25,B25/12,C25,H25,0)</f>
        <v>5.9626855303446608E-2</v>
      </c>
      <c r="M25" s="83">
        <v>0.06</v>
      </c>
      <c r="N25" s="97">
        <f t="shared" si="2"/>
        <v>6.2190782758898373E-3</v>
      </c>
      <c r="O25" s="96" cm="1">
        <f t="array" ref="O25">OptionVega(D$2,D25,B25/12,C25,H25,0)</f>
        <v>5.9264367036789875E-2</v>
      </c>
      <c r="P25" s="83">
        <v>6.0100000000000001E-2</v>
      </c>
      <c r="Q25" s="86">
        <f t="shared" si="3"/>
        <v>1.3904042649086948E-2</v>
      </c>
      <c r="R25" s="106" cm="1">
        <f t="array" ref="R25">OptionTheta("C",D$2,D25,B25/12,C25,H25,0)</f>
        <v>-8.1384393839975047E-3</v>
      </c>
      <c r="S25" s="83">
        <v>-9.1999999999999998E-3</v>
      </c>
      <c r="T25" s="97">
        <f t="shared" si="4"/>
        <v>0.11538702347853208</v>
      </c>
      <c r="U25" s="96" cm="1">
        <f t="array" ref="U25">OptionRho("C",D$2,D25,B25/12,C25,H25,0)</f>
        <v>3.9621250109847427E-2</v>
      </c>
      <c r="V25" s="66">
        <v>4.02E-2</v>
      </c>
      <c r="W25" s="86">
        <f t="shared" si="5"/>
        <v>1.4396763436631172E-2</v>
      </c>
      <c r="X25" s="69">
        <v>2.8</v>
      </c>
      <c r="Y25" s="70">
        <v>3.35</v>
      </c>
      <c r="Z25" s="102">
        <f t="shared" si="0"/>
        <v>3.0750000000000002</v>
      </c>
      <c r="AA25" s="96" cm="1">
        <f t="array" ref="AA25">ImVol("P",D$2,D25,C25,0,B25/12,Z25)</f>
        <v>0.44866961892694235</v>
      </c>
      <c r="AB25" s="106" cm="1">
        <f t="array" ref="AB25">OptionDelta("P",D$2,D25,B25/12,C25,AA25,0)</f>
        <v>-0.48530193034813407</v>
      </c>
      <c r="AC25" s="83">
        <v>-0.4874</v>
      </c>
      <c r="AD25" s="97">
        <f t="shared" si="6"/>
        <v>4.3046156172875062E-3</v>
      </c>
      <c r="AE25" s="96" cm="1">
        <f t="array" ref="AE25">OptionGamma(D$2,D25,B25/12,C25,AA25,0)</f>
        <v>5.9772332237592173E-2</v>
      </c>
      <c r="AF25" s="83">
        <v>6.0600000000000001E-2</v>
      </c>
      <c r="AG25" s="86">
        <f t="shared" si="7"/>
        <v>1.3657883868115983E-2</v>
      </c>
      <c r="AH25" s="106" cm="1">
        <f t="array" ref="AH25">OptionVega(D$2,D25,B25/12,C25,AA25,0)</f>
        <v>5.9265710987404081E-2</v>
      </c>
      <c r="AI25" s="83">
        <v>6.0100000000000001E-2</v>
      </c>
      <c r="AJ25" s="97">
        <f t="shared" si="8"/>
        <v>1.3881680742028607E-2</v>
      </c>
      <c r="AK25" s="96" cm="1">
        <f t="array" ref="AK25">OptionTheta("P",D$2,D25,B25/12,C25,AA25,0)</f>
        <v>-9.6783299261130086E-3</v>
      </c>
      <c r="AL25" s="83">
        <v>-7.7000000000000002E-3</v>
      </c>
      <c r="AM25" s="86">
        <f t="shared" si="9"/>
        <v>0.25692596443026083</v>
      </c>
      <c r="AN25" s="106" cm="1">
        <f t="array" ref="AN25">OptionRho("P",D$2,D25,B25/12,C25,AA25,0)</f>
        <v>-5.9381264307816796E-2</v>
      </c>
      <c r="AO25" s="83">
        <v>-6.0100000000000001E-2</v>
      </c>
      <c r="AP25" s="97">
        <f t="shared" si="10"/>
        <v>1.1958996542149828E-2</v>
      </c>
    </row>
    <row r="26" spans="1:42" x14ac:dyDescent="0.2">
      <c r="A26" s="50" t="s">
        <v>21</v>
      </c>
      <c r="B26" s="39">
        <v>5</v>
      </c>
      <c r="C26" s="61">
        <v>2.3976666666666667E-2</v>
      </c>
      <c r="D26" s="39">
        <v>26</v>
      </c>
      <c r="E26" s="69">
        <v>1.45</v>
      </c>
      <c r="F26" s="70">
        <v>1.85</v>
      </c>
      <c r="G26" s="78">
        <f t="shared" si="11"/>
        <v>1.65</v>
      </c>
      <c r="H26" s="110" cm="1">
        <f t="array" ref="H26">ImVol("C",D$2,D26,C26,0,B26/12,G26)</f>
        <v>0.44778526294976473</v>
      </c>
      <c r="I26" s="96" cm="1">
        <f t="array" ref="I26">OptionDelta("C",D$2,D26,B26/12,C26,H26,0)</f>
        <v>0.40494428520171594</v>
      </c>
      <c r="J26" s="83">
        <v>0.40360000000000001</v>
      </c>
      <c r="K26" s="86">
        <f t="shared" si="1"/>
        <v>3.3307363768977261E-3</v>
      </c>
      <c r="L26" s="106" cm="1">
        <f t="array" ref="L26">OptionGamma(D$2,D26,B26/12,C26,H26,0)</f>
        <v>5.8221690545861467E-2</v>
      </c>
      <c r="M26" s="83">
        <v>5.8500000000000003E-2</v>
      </c>
      <c r="N26" s="97">
        <f t="shared" si="2"/>
        <v>4.7574265664707127E-3</v>
      </c>
      <c r="O26" s="96" cm="1">
        <f t="array" ref="O26">OptionVega(D$2,D26,B26/12,C26,H26,0)</f>
        <v>5.7614426370751842E-2</v>
      </c>
      <c r="P26" s="83">
        <v>5.8200000000000002E-2</v>
      </c>
      <c r="Q26" s="86">
        <f t="shared" si="3"/>
        <v>1.0061402564401365E-2</v>
      </c>
      <c r="R26" s="106" cm="1">
        <f t="array" ref="R26">OptionTheta("C",D$2,D26,B26/12,C26,H26,0)</f>
        <v>-7.9776033586248605E-3</v>
      </c>
      <c r="S26" s="83">
        <v>-8.8000000000000005E-3</v>
      </c>
      <c r="T26" s="97">
        <f t="shared" si="4"/>
        <v>9.3454163792629538E-2</v>
      </c>
      <c r="U26" s="96" cm="1">
        <f t="array" ref="U26">OptionRho("C",D$2,D26,B26/12,C26,H26,0)</f>
        <v>3.1982778666266289E-2</v>
      </c>
      <c r="V26" s="66">
        <v>3.2399999999999998E-2</v>
      </c>
      <c r="W26" s="86">
        <f t="shared" si="5"/>
        <v>1.2877201658447831E-2</v>
      </c>
      <c r="X26" s="69">
        <v>4</v>
      </c>
      <c r="Y26" s="70">
        <v>4.7</v>
      </c>
      <c r="Z26" s="102">
        <f t="shared" si="0"/>
        <v>4.3499999999999996</v>
      </c>
      <c r="AA26" s="96" cm="1">
        <f t="array" ref="AA26">ImVol("P",D$2,D26,C26,0,B26/12,Z26)</f>
        <v>0.44578068424016237</v>
      </c>
      <c r="AB26" s="106" cm="1">
        <f t="array" ref="AB26">OptionDelta("P",D$2,D26,B26/12,C26,AA26,0)</f>
        <v>-0.59597732796757863</v>
      </c>
      <c r="AC26" s="83">
        <v>-0.59919999999999995</v>
      </c>
      <c r="AD26" s="97">
        <f t="shared" si="6"/>
        <v>5.3782911088473394E-3</v>
      </c>
      <c r="AE26" s="96" cm="1">
        <f t="array" ref="AE26">OptionGamma(D$2,D26,B26/12,C26,AA26,0)</f>
        <v>5.8449878954628151E-2</v>
      </c>
      <c r="AF26" s="83">
        <v>5.9200000000000003E-2</v>
      </c>
      <c r="AG26" s="86">
        <f t="shared" si="7"/>
        <v>1.2670963604254248E-2</v>
      </c>
      <c r="AH26" s="106" cm="1">
        <f t="array" ref="AH26">OptionVega(D$2,D26,B26/12,C26,AA26,0)</f>
        <v>5.7581304135900721E-2</v>
      </c>
      <c r="AI26" s="83">
        <v>5.8299999999999998E-2</v>
      </c>
      <c r="AJ26" s="97">
        <f t="shared" si="8"/>
        <v>1.2327544838752601E-2</v>
      </c>
      <c r="AK26" s="96" cm="1">
        <f t="array" ref="AK26">OptionTheta("P",D$2,D26,B26/12,C26,AA26,0)</f>
        <v>-9.6263638605780747E-3</v>
      </c>
      <c r="AL26" s="83">
        <v>-7.1999999999999998E-3</v>
      </c>
      <c r="AM26" s="86">
        <f t="shared" si="9"/>
        <v>0.33699498063584377</v>
      </c>
      <c r="AN26" s="106" cm="1">
        <f t="array" ref="AN26">OptionRho("P",D$2,D26,B26/12,C26,AA26,0)</f>
        <v>-7.5313991077066461E-2</v>
      </c>
      <c r="AO26" s="83">
        <v>-7.6899999999999996E-2</v>
      </c>
      <c r="AP26" s="97">
        <f t="shared" si="10"/>
        <v>2.0624303289122695E-2</v>
      </c>
    </row>
    <row r="27" spans="1:42" x14ac:dyDescent="0.2">
      <c r="A27" s="50" t="s">
        <v>22</v>
      </c>
      <c r="B27" s="39">
        <v>8</v>
      </c>
      <c r="C27" s="61">
        <f>B6+(B7-B6)*2/6</f>
        <v>2.3203333333333333E-2</v>
      </c>
      <c r="D27" s="39">
        <v>19</v>
      </c>
      <c r="E27" s="69">
        <v>5.25</v>
      </c>
      <c r="F27" s="70">
        <v>6.25</v>
      </c>
      <c r="G27" s="78">
        <f t="shared" si="11"/>
        <v>5.75</v>
      </c>
      <c r="H27" s="110" cm="1">
        <f t="array" ref="H27">ImVol("C",D$2,D27,C27,0,B27/12,G27)</f>
        <v>0.46417081262916327</v>
      </c>
      <c r="I27" s="96" cm="1">
        <f t="array" ref="I27">OptionDelta("C",D$2,D27,B27/12,C27,H27,0)</f>
        <v>0.76970134177979277</v>
      </c>
      <c r="J27" s="83">
        <v>0.76980000000000004</v>
      </c>
      <c r="K27" s="86">
        <f t="shared" si="1"/>
        <v>1.2816084724249227E-4</v>
      </c>
      <c r="L27" s="106" cm="1">
        <f t="array" ref="L27">OptionGamma(D$2,D27,B27/12,C27,H27,0)</f>
        <v>3.4814461985280355E-2</v>
      </c>
      <c r="M27" s="83">
        <v>3.5000000000000003E-2</v>
      </c>
      <c r="N27" s="97">
        <f t="shared" si="2"/>
        <v>5.3010861348470875E-3</v>
      </c>
      <c r="O27" s="96" cm="1">
        <f t="array" ref="O27">OptionVega(D$2,D27,B27/12,C27,H27,0)</f>
        <v>5.7139197055863684E-2</v>
      </c>
      <c r="P27" s="83">
        <v>0.06</v>
      </c>
      <c r="Q27" s="86">
        <f t="shared" si="3"/>
        <v>4.7680049068938558E-2</v>
      </c>
      <c r="R27" s="106" cm="1">
        <f t="array" ref="R27">OptionTheta("C",D$2,D27,B27/12,C27,H27,0)</f>
        <v>-4.6884597161717598E-3</v>
      </c>
      <c r="S27" s="83">
        <v>-6.4000000000000003E-3</v>
      </c>
      <c r="T27" s="97">
        <f t="shared" si="4"/>
        <v>0.26742816934816255</v>
      </c>
      <c r="U27" s="96" cm="1">
        <f t="array" ref="U27">OptionRho("C",D$2,D27,B27/12,C27,H27,0)</f>
        <v>7.9841479206196775E-2</v>
      </c>
      <c r="V27" s="66">
        <v>8.0600000000000005E-2</v>
      </c>
      <c r="W27" s="86">
        <f t="shared" si="5"/>
        <v>9.4109279628192318E-3</v>
      </c>
      <c r="X27" s="69">
        <v>1</v>
      </c>
      <c r="Y27" s="70">
        <v>1.8</v>
      </c>
      <c r="Z27" s="102">
        <f t="shared" si="0"/>
        <v>1.4</v>
      </c>
      <c r="AA27" s="96" cm="1">
        <f t="array" ref="AA27">ImVol("P",D$2,D27,C27,0,B27/12,Z27)</f>
        <v>0.45920164790004492</v>
      </c>
      <c r="AB27" s="106" cm="1">
        <f t="array" ref="AB27">OptionDelta("P",D$2,D27,B27/12,C27,AA27,0)</f>
        <v>-0.22911364265321277</v>
      </c>
      <c r="AC27" s="83">
        <v>-0.2288</v>
      </c>
      <c r="AD27" s="97">
        <f t="shared" si="6"/>
        <v>1.3708157920138309E-3</v>
      </c>
      <c r="AE27" s="96" cm="1">
        <f t="array" ref="AE27">OptionGamma(D$2,D27,B27/12,C27,AA27,0)</f>
        <v>3.5089669871708071E-2</v>
      </c>
      <c r="AF27" s="83">
        <v>3.5400000000000001E-2</v>
      </c>
      <c r="AG27" s="86">
        <f t="shared" si="7"/>
        <v>8.7663878048567841E-3</v>
      </c>
      <c r="AH27" s="106" cm="1">
        <f t="array" ref="AH27">OptionVega(D$2,D27,B27/12,C27,AA27,0)</f>
        <v>5.6974344483180818E-2</v>
      </c>
      <c r="AI27" s="83">
        <v>0.06</v>
      </c>
      <c r="AJ27" s="97">
        <f t="shared" si="8"/>
        <v>5.042759194698633E-2</v>
      </c>
      <c r="AK27" s="96" cm="1">
        <f t="array" ref="AK27">OptionTheta("P",D$2,D27,B27/12,C27,AA27,0)</f>
        <v>-5.8003293783622546E-3</v>
      </c>
      <c r="AL27" s="83">
        <v>-5.1999999999999998E-3</v>
      </c>
      <c r="AM27" s="86">
        <f t="shared" si="9"/>
        <v>0.11544795737735671</v>
      </c>
      <c r="AN27" s="106" cm="1">
        <f t="array" ref="AN27">OptionRho("P",D$2,D27,B27/12,C27,AA27,0)</f>
        <v>-4.4509914523664144E-2</v>
      </c>
      <c r="AO27" s="83">
        <v>-4.4900000000000002E-2</v>
      </c>
      <c r="AP27" s="97">
        <f t="shared" si="10"/>
        <v>8.6878725241839195E-3</v>
      </c>
    </row>
    <row r="28" spans="1:42" x14ac:dyDescent="0.2">
      <c r="A28" s="50" t="s">
        <v>22</v>
      </c>
      <c r="B28" s="39">
        <v>8</v>
      </c>
      <c r="C28" s="61">
        <f>B7+(B8-B7)*2/6</f>
        <v>2.5723333333333334E-2</v>
      </c>
      <c r="D28" s="39">
        <v>20</v>
      </c>
      <c r="E28" s="69">
        <v>4.6500000000000004</v>
      </c>
      <c r="F28" s="70">
        <v>5.6</v>
      </c>
      <c r="G28" s="78">
        <f t="shared" si="11"/>
        <v>5.125</v>
      </c>
      <c r="H28" s="110" cm="1">
        <f t="array" ref="H28">ImVol("C",D$2,D28,C28,0,B28/12,G28)</f>
        <v>0.45780789572745562</v>
      </c>
      <c r="I28" s="96" cm="1">
        <f t="array" ref="I28">OptionDelta("C",D$2,D28,B28/12,C28,H28,0)</f>
        <v>0.72912215569189143</v>
      </c>
      <c r="J28" s="83">
        <v>0.72689999999999999</v>
      </c>
      <c r="K28" s="86">
        <f t="shared" si="1"/>
        <v>3.0570308046381023E-3</v>
      </c>
      <c r="L28" s="106" cm="1">
        <f t="array" ref="L28">OptionGamma(D$2,D28,B28/12,C28,H28,0)</f>
        <v>3.8471183208630459E-2</v>
      </c>
      <c r="M28" s="83">
        <v>3.8699999999999998E-2</v>
      </c>
      <c r="N28" s="97">
        <f t="shared" si="2"/>
        <v>5.9125785883601834E-3</v>
      </c>
      <c r="O28" s="96" cm="1">
        <f t="array" ref="O28">OptionVega(D$2,D28,B28/12,C28,H28,0)</f>
        <v>6.2275244172566337E-2</v>
      </c>
      <c r="P28" s="83">
        <v>6.1899999999999997E-2</v>
      </c>
      <c r="Q28" s="86">
        <f t="shared" si="3"/>
        <v>6.0621029493754443E-3</v>
      </c>
      <c r="R28" s="106" cm="1">
        <f t="array" ref="R28">OptionTheta("C",D$2,D28,B28/12,C28,H28,0)</f>
        <v>-5.0360312441592586E-3</v>
      </c>
      <c r="S28" s="83">
        <v>-6.4999999999999997E-3</v>
      </c>
      <c r="T28" s="97">
        <f t="shared" si="4"/>
        <v>0.2252259624370371</v>
      </c>
      <c r="U28" s="96" cm="1">
        <f t="array" ref="U28">OptionRho("C",D$2,D28,B28/12,C28,H28,0)</f>
        <v>7.7777888473131329E-2</v>
      </c>
      <c r="V28" s="66">
        <v>7.8200000000000006E-2</v>
      </c>
      <c r="W28" s="86">
        <f t="shared" si="5"/>
        <v>5.3978456121314125E-3</v>
      </c>
      <c r="X28" s="69">
        <v>1.35</v>
      </c>
      <c r="Y28" s="70">
        <v>2.15</v>
      </c>
      <c r="Z28" s="102">
        <f t="shared" si="0"/>
        <v>1.75</v>
      </c>
      <c r="AA28" s="96" cm="1">
        <f t="array" ref="AA28">ImVol("P",D$2,D28,C28,0,B28/12,Z28)</f>
        <v>0.45701353345066309</v>
      </c>
      <c r="AB28" s="106" cm="1">
        <f t="array" ref="AB28">OptionDelta("P",D$2,D28,B28/12,C28,AA28,0)</f>
        <v>-0.27074161373437933</v>
      </c>
      <c r="AC28" s="83">
        <v>-0.27189999999999998</v>
      </c>
      <c r="AD28" s="97">
        <f t="shared" si="6"/>
        <v>4.2603393365967194E-3</v>
      </c>
      <c r="AE28" s="96" cm="1">
        <f t="array" ref="AE28">OptionGamma(D$2,D28,B28/12,C28,AA28,0)</f>
        <v>3.8528376436392682E-2</v>
      </c>
      <c r="AF28" s="83">
        <v>3.9199999999999999E-2</v>
      </c>
      <c r="AG28" s="86">
        <f t="shared" si="7"/>
        <v>1.7133254173656038E-2</v>
      </c>
      <c r="AH28" s="106" cm="1">
        <f t="array" ref="AH28">OptionVega(D$2,D28,B28/12,C28,AA28,0)</f>
        <v>6.2259608622924692E-2</v>
      </c>
      <c r="AI28" s="83">
        <v>6.1899999999999997E-2</v>
      </c>
      <c r="AJ28" s="97">
        <f t="shared" si="8"/>
        <v>5.8095092556493593E-3</v>
      </c>
      <c r="AK28" s="96" cm="1">
        <f t="array" ref="AK28">OptionTheta("P",D$2,D28,B28/12,C28,AA28,0)</f>
        <v>-6.4093608504554728E-3</v>
      </c>
      <c r="AL28" s="83">
        <v>-5.1999999999999998E-3</v>
      </c>
      <c r="AM28" s="86">
        <f t="shared" si="9"/>
        <v>0.23256939431836021</v>
      </c>
      <c r="AN28" s="106" cm="1">
        <f t="array" ref="AN28">OptionRho("P",D$2,D28,B28/12,C28,AA28,0)</f>
        <v>-5.3234529173223744E-2</v>
      </c>
      <c r="AO28" s="83">
        <v>-5.3900000000000003E-2</v>
      </c>
      <c r="AP28" s="97">
        <f t="shared" si="10"/>
        <v>1.2346397528316509E-2</v>
      </c>
    </row>
    <row r="29" spans="1:42" x14ac:dyDescent="0.2">
      <c r="A29" s="50" t="s">
        <v>22</v>
      </c>
      <c r="B29" s="39">
        <v>8</v>
      </c>
      <c r="C29" s="61">
        <v>2.5723333333333334E-2</v>
      </c>
      <c r="D29" s="39">
        <v>22</v>
      </c>
      <c r="E29" s="69">
        <v>3.6</v>
      </c>
      <c r="F29" s="70">
        <v>4.5</v>
      </c>
      <c r="G29" s="78">
        <f t="shared" si="11"/>
        <v>4.05</v>
      </c>
      <c r="H29" s="110" cm="1">
        <f t="array" ref="H29">ImVol("C",D$2,D29,C29,0,B29/12,G29)</f>
        <v>0.45658888760954142</v>
      </c>
      <c r="I29" s="96" cm="1">
        <f t="array" ref="I29">OptionDelta("C",D$2,D29,B29/12,C29,H29,0)</f>
        <v>0.63875556952147128</v>
      </c>
      <c r="J29" s="83">
        <v>0.63680000000000003</v>
      </c>
      <c r="K29" s="86">
        <f t="shared" si="1"/>
        <v>3.0709320374862521E-3</v>
      </c>
      <c r="L29" s="106" cm="1">
        <f t="array" ref="L29">OptionGamma(D$2,D29,B29/12,C29,H29,0)</f>
        <v>4.3626432896335166E-2</v>
      </c>
      <c r="M29" s="83">
        <v>4.3799999999999999E-2</v>
      </c>
      <c r="N29" s="97">
        <f t="shared" si="2"/>
        <v>3.9627192617541817E-3</v>
      </c>
      <c r="O29" s="96" cm="1">
        <f t="array" ref="O29">OptionVega(D$2,D29,B29/12,C29,H29,0)</f>
        <v>7.0432265637050545E-2</v>
      </c>
      <c r="P29" s="83">
        <v>7.1099999999999997E-2</v>
      </c>
      <c r="Q29" s="86">
        <f t="shared" si="3"/>
        <v>9.3914818980232271E-3</v>
      </c>
      <c r="R29" s="106" cm="1">
        <f t="array" ref="R29">OptionTheta("C",D$2,D29,B29/12,C29,H29,0)</f>
        <v>-5.8566290217513736E-3</v>
      </c>
      <c r="S29" s="83">
        <v>-7.1999999999999998E-3</v>
      </c>
      <c r="T29" s="97">
        <f t="shared" si="4"/>
        <v>0.18657930253453142</v>
      </c>
      <c r="U29" s="96" cm="1">
        <f t="array" ref="U29">OptionRho("C",D$2,D29,B29/12,C29,H29,0)</f>
        <v>7.1070271734818224E-2</v>
      </c>
      <c r="V29" s="66">
        <v>7.1400000000000005E-2</v>
      </c>
      <c r="W29" s="86">
        <f t="shared" si="5"/>
        <v>4.6180429297168158E-3</v>
      </c>
      <c r="X29" s="69">
        <v>2.25</v>
      </c>
      <c r="Y29" s="70">
        <v>3</v>
      </c>
      <c r="Z29" s="102">
        <f t="shared" si="0"/>
        <v>2.625</v>
      </c>
      <c r="AA29" s="96" cm="1">
        <f t="array" ref="AA29">ImVol("P",D$2,D29,C29,0,B29/12,Z29)</f>
        <v>0.45361574273556471</v>
      </c>
      <c r="AB29" s="106" cm="1">
        <f t="array" ref="AB29">OptionDelta("P",D$2,D29,B29/12,C29,AA29,0)</f>
        <v>-0.36128482831643571</v>
      </c>
      <c r="AC29" s="83">
        <v>-0.3634</v>
      </c>
      <c r="AD29" s="97">
        <f t="shared" si="6"/>
        <v>5.8205054583497177E-3</v>
      </c>
      <c r="AE29" s="96" cm="1">
        <f t="array" ref="AE29">OptionGamma(D$2,D29,B29/12,C29,AA29,0)</f>
        <v>4.3914056403861319E-2</v>
      </c>
      <c r="AF29" s="83">
        <v>4.4699999999999997E-2</v>
      </c>
      <c r="AG29" s="86">
        <f t="shared" si="7"/>
        <v>1.7582630786100166E-2</v>
      </c>
      <c r="AH29" s="106" cm="1">
        <f t="array" ref="AH29">OptionVega(D$2,D29,B29/12,C29,AA29,0)</f>
        <v>7.0434962962165309E-2</v>
      </c>
      <c r="AI29" s="83">
        <v>7.1099999999999997E-2</v>
      </c>
      <c r="AJ29" s="97">
        <f t="shared" si="8"/>
        <v>9.353544835930901E-3</v>
      </c>
      <c r="AK29" s="96" cm="1">
        <f t="array" ref="AK29">OptionTheta("P",D$2,D29,B29/12,C29,AA29,0)</f>
        <v>-7.3365274206322103E-3</v>
      </c>
      <c r="AL29" s="83">
        <v>-5.7999999999999996E-3</v>
      </c>
      <c r="AM29" s="86">
        <f t="shared" si="9"/>
        <v>0.26491852079865702</v>
      </c>
      <c r="AN29" s="106" cm="1">
        <f t="array" ref="AN29">OptionRho("P",D$2,D29,B29/12,C29,AA29,0)</f>
        <v>-7.2969264126774999E-2</v>
      </c>
      <c r="AO29" s="83">
        <v>-7.3999999999999996E-2</v>
      </c>
      <c r="AP29" s="97">
        <f t="shared" si="10"/>
        <v>1.3928863151689152E-2</v>
      </c>
    </row>
    <row r="30" spans="1:42" x14ac:dyDescent="0.2">
      <c r="A30" s="50" t="s">
        <v>22</v>
      </c>
      <c r="B30" s="39">
        <v>8</v>
      </c>
      <c r="C30" s="61">
        <v>2.5723333333333334E-2</v>
      </c>
      <c r="D30" s="39">
        <v>24</v>
      </c>
      <c r="E30" s="69">
        <v>2.7</v>
      </c>
      <c r="F30" s="70">
        <v>3.55</v>
      </c>
      <c r="G30" s="78">
        <f t="shared" si="11"/>
        <v>3.125</v>
      </c>
      <c r="H30" s="110" cm="1">
        <f t="array" ref="H30">ImVol("C",D$2,D30,C30,0,B30/12,G30)</f>
        <v>0.4501239350065589</v>
      </c>
      <c r="I30" s="96" cm="1">
        <f t="array" ref="I30">OptionDelta("C",D$2,D30,B30/12,C30,H30,0)</f>
        <v>0.54703305614806796</v>
      </c>
      <c r="J30" s="83">
        <v>0.54520000000000002</v>
      </c>
      <c r="K30" s="86">
        <f t="shared" si="1"/>
        <v>3.362171951702029E-3</v>
      </c>
      <c r="L30" s="106" cm="1">
        <f t="array" ref="L30">OptionGamma(D$2,D30,B30/12,C30,H30,0)</f>
        <v>4.6805558766500437E-2</v>
      </c>
      <c r="M30" s="83">
        <v>4.7E-2</v>
      </c>
      <c r="N30" s="97">
        <f t="shared" si="2"/>
        <v>4.1370475212673084E-3</v>
      </c>
      <c r="O30" s="96" cm="1">
        <f t="array" ref="O30">OptionVega(D$2,D30,B30/12,C30,H30,0)</f>
        <v>7.4494834207911864E-2</v>
      </c>
      <c r="P30" s="83">
        <v>7.4999999999999997E-2</v>
      </c>
      <c r="Q30" s="86">
        <f t="shared" si="3"/>
        <v>6.7355438945084414E-3</v>
      </c>
      <c r="R30" s="106" cm="1">
        <f t="array" ref="R30">OptionTheta("C",D$2,D30,B30/12,C30,H30,0)</f>
        <v>-6.2224973968218363E-3</v>
      </c>
      <c r="S30" s="83">
        <v>-7.4000000000000003E-3</v>
      </c>
      <c r="T30" s="97">
        <f t="shared" si="4"/>
        <v>0.1591219734024546</v>
      </c>
      <c r="U30" s="96" cm="1">
        <f t="array" ref="U30">OptionRho("C",D$2,D30,B30/12,C30,H30,0)</f>
        <v>6.3154475446291963E-2</v>
      </c>
      <c r="V30" s="66">
        <v>6.3500000000000001E-2</v>
      </c>
      <c r="W30" s="86">
        <f t="shared" si="5"/>
        <v>5.4413315544572845E-3</v>
      </c>
      <c r="X30" s="69">
        <v>3.3</v>
      </c>
      <c r="Y30" s="70">
        <v>4.0999999999999996</v>
      </c>
      <c r="Z30" s="102">
        <f t="shared" si="0"/>
        <v>3.6999999999999997</v>
      </c>
      <c r="AA30" s="96" cm="1">
        <f t="array" ref="AA30">ImVol("P",D$2,D30,C30,0,B30/12,Z30)</f>
        <v>0.45187777373939753</v>
      </c>
      <c r="AB30" s="106" cm="1">
        <f t="array" ref="AB30">OptionDelta("P",D$2,D30,B30/12,C30,AA30,0)</f>
        <v>-0.45258245272734698</v>
      </c>
      <c r="AC30" s="83">
        <v>-0.45579999999999998</v>
      </c>
      <c r="AD30" s="97">
        <f t="shared" si="6"/>
        <v>7.0591208263558547E-3</v>
      </c>
      <c r="AE30" s="96" cm="1">
        <f t="array" ref="AE30">OptionGamma(D$2,D30,B30/12,C30,AA30,0)</f>
        <v>4.6618526842337138E-2</v>
      </c>
      <c r="AF30" s="83">
        <v>4.7500000000000001E-2</v>
      </c>
      <c r="AG30" s="86">
        <f t="shared" si="7"/>
        <v>1.8557329635007634E-2</v>
      </c>
      <c r="AH30" s="106" cm="1">
        <f t="array" ref="AH30">OptionVega(D$2,D30,B30/12,C30,AA30,0)</f>
        <v>7.4486255588096198E-2</v>
      </c>
      <c r="AI30" s="83">
        <v>7.4999999999999997E-2</v>
      </c>
      <c r="AJ30" s="97">
        <f t="shared" si="8"/>
        <v>6.8499254920506569E-3</v>
      </c>
      <c r="AK30" s="96" cm="1">
        <f t="array" ref="AK30">OptionTheta("P",D$2,D30,B30/12,C30,AA30,0)</f>
        <v>-7.9114827839218919E-3</v>
      </c>
      <c r="AL30" s="83">
        <v>-5.8999999999999999E-3</v>
      </c>
      <c r="AM30" s="86">
        <f t="shared" si="9"/>
        <v>0.34092928541049017</v>
      </c>
      <c r="AN30" s="106" cm="1">
        <f t="array" ref="AN30">OptionRho("P",D$2,D30,B30/12,C30,AA30,0)</f>
        <v>-9.4153159241036649E-2</v>
      </c>
      <c r="AO30" s="83">
        <v>-9.5500000000000002E-2</v>
      </c>
      <c r="AP30" s="97">
        <f t="shared" si="10"/>
        <v>1.4103044596474894E-2</v>
      </c>
    </row>
    <row r="31" spans="1:42" x14ac:dyDescent="0.2">
      <c r="A31" s="50" t="s">
        <v>22</v>
      </c>
      <c r="B31" s="39">
        <v>8</v>
      </c>
      <c r="C31" s="61">
        <v>2.5723333333333334E-2</v>
      </c>
      <c r="D31" s="39">
        <v>26</v>
      </c>
      <c r="E31" s="69">
        <v>2</v>
      </c>
      <c r="F31" s="70">
        <v>2.8</v>
      </c>
      <c r="G31" s="78">
        <f t="shared" si="11"/>
        <v>2.4</v>
      </c>
      <c r="H31" s="110" cm="1">
        <f t="array" ref="H31">ImVol("C",D$2,D31,C31,0,B31/12,G31)</f>
        <v>0.44776103924959898</v>
      </c>
      <c r="I31" s="96" cm="1">
        <f t="array" ref="I31">OptionDelta("C",D$2,D31,B31/12,C31,H31,0)</f>
        <v>0.45934661128927368</v>
      </c>
      <c r="J31" s="83">
        <v>0.45760000000000001</v>
      </c>
      <c r="K31" s="86">
        <f t="shared" si="1"/>
        <v>3.816895299986166E-3</v>
      </c>
      <c r="L31" s="106" cm="1">
        <f t="array" ref="L31">OptionGamma(D$2,D31,B31/12,C31,H31,0)</f>
        <v>4.7135998677556176E-2</v>
      </c>
      <c r="M31" s="83">
        <v>4.7300000000000002E-2</v>
      </c>
      <c r="N31" s="97">
        <f t="shared" si="2"/>
        <v>3.4672584026178761E-3</v>
      </c>
      <c r="O31" s="96" cm="1">
        <f t="array" ref="O31">OptionVega(D$2,D31,B31/12,C31,H31,0)</f>
        <v>7.4626939579379464E-2</v>
      </c>
      <c r="P31" s="83">
        <v>7.2700000000000001E-2</v>
      </c>
      <c r="Q31" s="86">
        <f t="shared" si="3"/>
        <v>2.6505358725989869E-2</v>
      </c>
      <c r="R31" s="106" cm="1">
        <f t="array" ref="R31">OptionTheta("C",D$2,D31,B31/12,C31,H31,0)</f>
        <v>-6.2897066460378933E-3</v>
      </c>
      <c r="S31" s="83">
        <v>-7.1000000000000004E-3</v>
      </c>
      <c r="T31" s="97">
        <f t="shared" si="4"/>
        <v>0.11412582450170522</v>
      </c>
      <c r="U31" s="96" cm="1">
        <f t="array" ref="U31">OptionRho("C",D$2,D31,B31/12,C31,H31,0)</f>
        <v>5.4525016418858797E-2</v>
      </c>
      <c r="V31" s="66">
        <v>5.4800000000000001E-2</v>
      </c>
      <c r="W31" s="86">
        <f t="shared" si="5"/>
        <v>5.0179485609708769E-3</v>
      </c>
      <c r="X31" s="69">
        <v>4.5</v>
      </c>
      <c r="Y31" s="70">
        <v>5.35</v>
      </c>
      <c r="Z31" s="102">
        <f t="shared" si="0"/>
        <v>4.9249999999999998</v>
      </c>
      <c r="AA31" s="96" cm="1">
        <f t="array" ref="AA31">ImVol("P",D$2,D31,C31,0,B31/12,Z31)</f>
        <v>0.44736838433891535</v>
      </c>
      <c r="AB31" s="106" cm="1">
        <f t="array" ref="AB31">OptionDelta("P",D$2,D31,B31/12,C31,AA31,0)</f>
        <v>-0.54081623561508785</v>
      </c>
      <c r="AC31" s="83">
        <v>-0.5454</v>
      </c>
      <c r="AD31" s="97">
        <f t="shared" si="6"/>
        <v>8.4044084798535895E-3</v>
      </c>
      <c r="AE31" s="96" cm="1">
        <f t="array" ref="AE31">OptionGamma(D$2,D31,B31/12,C31,AA31,0)</f>
        <v>4.7175389849994961E-2</v>
      </c>
      <c r="AF31" s="83">
        <v>4.8000000000000001E-2</v>
      </c>
      <c r="AG31" s="86">
        <f t="shared" si="7"/>
        <v>1.7179378125104991E-2</v>
      </c>
      <c r="AH31" s="106" cm="1">
        <f t="array" ref="AH31">OptionVega(D$2,D31,B31/12,C31,AA31,0)</f>
        <v>7.4623807446162441E-2</v>
      </c>
      <c r="AI31" s="83">
        <v>7.2800000000000004E-2</v>
      </c>
      <c r="AJ31" s="97">
        <f t="shared" si="8"/>
        <v>2.505230008464886E-2</v>
      </c>
      <c r="AK31" s="96" cm="1">
        <f t="array" ref="AK31">OptionTheta("P",D$2,D31,B31/12,C31,AA31,0)</f>
        <v>-8.0846476513206159E-3</v>
      </c>
      <c r="AL31" s="83">
        <v>-5.4000000000000003E-3</v>
      </c>
      <c r="AM31" s="86">
        <f t="shared" si="9"/>
        <v>0.49715697246678064</v>
      </c>
      <c r="AN31" s="106" cm="1">
        <f t="array" ref="AN31">OptionRho("P",D$2,D31,B31/12,C31,AA31,0)</f>
        <v>-0.11586665283178028</v>
      </c>
      <c r="AO31" s="83">
        <v>-0.1177</v>
      </c>
      <c r="AP31" s="97">
        <f t="shared" si="10"/>
        <v>1.5576441531178547E-2</v>
      </c>
    </row>
    <row r="32" spans="1:42" x14ac:dyDescent="0.2">
      <c r="A32" s="52">
        <v>46465</v>
      </c>
      <c r="B32" s="44">
        <v>11</v>
      </c>
      <c r="C32" s="61">
        <f>B6+(B7-B6)*5/6</f>
        <v>2.4363333333333334E-2</v>
      </c>
      <c r="D32" s="39">
        <v>19</v>
      </c>
      <c r="E32" s="69">
        <v>5.65</v>
      </c>
      <c r="F32" s="70">
        <v>6.8</v>
      </c>
      <c r="G32" s="78">
        <f t="shared" si="11"/>
        <v>6.2249999999999996</v>
      </c>
      <c r="H32" s="110" cm="1">
        <f t="array" ref="H32">ImVol("C",D$2,D32,C32,0,B32/12,G32)</f>
        <v>0.45419363770633936</v>
      </c>
      <c r="I32" s="96" cm="1">
        <f t="array" ref="I32">OptionDelta("C",D$2,D32,B32/12,C32,H32,0)</f>
        <v>0.76149969397694617</v>
      </c>
      <c r="J32" s="83">
        <v>0.76090000000000002</v>
      </c>
      <c r="K32" s="86">
        <f t="shared" si="1"/>
        <v>7.8813770133545451E-4</v>
      </c>
      <c r="L32" s="106" cm="1">
        <f t="array" ref="L32">OptionGamma(D$2,D32,B32/12,C32,H32,0)</f>
        <v>3.093536156355586E-2</v>
      </c>
      <c r="M32" s="83">
        <v>3.1099999999999999E-2</v>
      </c>
      <c r="N32" s="97">
        <f t="shared" si="2"/>
        <v>5.2938404001331013E-3</v>
      </c>
      <c r="O32" s="96" cm="1">
        <f t="array" ref="O32">OptionVega(D$2,D32,B32/12,C32,H32,0)</f>
        <v>6.8311773050385008E-2</v>
      </c>
      <c r="P32" s="83">
        <v>6.9500000000000006E-2</v>
      </c>
      <c r="Q32" s="86">
        <f t="shared" si="3"/>
        <v>1.709679064194242E-2</v>
      </c>
      <c r="R32" s="106" cm="1">
        <f t="array" ref="R32">OptionTheta("C",D$2,D32,B32/12,C32,H32,0)</f>
        <v>-3.881542904956372E-3</v>
      </c>
      <c r="S32" s="83">
        <v>-5.4000000000000003E-3</v>
      </c>
      <c r="T32" s="97">
        <f t="shared" si="4"/>
        <v>0.28119575834141264</v>
      </c>
      <c r="U32" s="96" cm="1">
        <f t="array" ref="U32">OptionRho("C",D$2,D32,B32/12,C32,H32,0)</f>
        <v>0.10369643099448318</v>
      </c>
      <c r="V32" s="66">
        <v>0.1042</v>
      </c>
      <c r="W32" s="86">
        <f t="shared" si="5"/>
        <v>4.8327159838466261E-3</v>
      </c>
      <c r="X32" s="69">
        <v>1.35</v>
      </c>
      <c r="Y32" s="70">
        <v>2.15</v>
      </c>
      <c r="Z32" s="102">
        <f t="shared" si="0"/>
        <v>1.75</v>
      </c>
      <c r="AA32" s="96" cm="1">
        <f t="array" ref="AA32">ImVol("P",D$2,D32,C32,0,B32/12,Z32)</f>
        <v>0.45047600287944078</v>
      </c>
      <c r="AB32" s="106" cm="1">
        <f t="array" ref="AB32">OptionDelta("P",D$2,D32,B32/12,C32,AA32,0)</f>
        <v>-0.23778995888197163</v>
      </c>
      <c r="AC32" s="83">
        <v>-0.2379</v>
      </c>
      <c r="AD32" s="97">
        <f t="shared" si="6"/>
        <v>4.6255198834960074E-4</v>
      </c>
      <c r="AE32" s="96" cm="1">
        <f t="array" ref="AE32">OptionGamma(D$2,D32,B32/12,C32,AA32,0)</f>
        <v>3.113972213704887E-2</v>
      </c>
      <c r="AF32" s="83">
        <v>3.15E-2</v>
      </c>
      <c r="AG32" s="86">
        <f t="shared" si="7"/>
        <v>1.1437392474639041E-2</v>
      </c>
      <c r="AH32" s="106" cm="1">
        <f t="array" ref="AH32">OptionVega(D$2,D32,B32/12,C32,AA32,0)</f>
        <v>6.8200209516171187E-2</v>
      </c>
      <c r="AI32" s="83">
        <v>6.9500000000000006E-2</v>
      </c>
      <c r="AJ32" s="97">
        <f t="shared" si="8"/>
        <v>1.8702021350054953E-2</v>
      </c>
      <c r="AK32" s="96" cm="1">
        <f t="array" ref="AK32">OptionTheta("P",D$2,D32,B32/12,C32,AA32,0)</f>
        <v>-5.0735142490100343E-3</v>
      </c>
      <c r="AL32" s="83">
        <v>-4.1000000000000003E-3</v>
      </c>
      <c r="AM32" s="86">
        <f t="shared" si="9"/>
        <v>0.23744249975854484</v>
      </c>
      <c r="AN32" s="106" cm="1">
        <f t="array" ref="AN32">OptionRho("P",D$2,D32,B32/12,C32,AA32,0)</f>
        <v>-6.6241108316601779E-2</v>
      </c>
      <c r="AO32" s="83">
        <v>-6.6699999999999995E-2</v>
      </c>
      <c r="AP32" s="97">
        <f t="shared" si="10"/>
        <v>6.8799352833315737E-3</v>
      </c>
    </row>
    <row r="33" spans="1:42" x14ac:dyDescent="0.2">
      <c r="A33" s="52">
        <v>46465</v>
      </c>
      <c r="B33" s="44">
        <v>11</v>
      </c>
      <c r="C33" s="61">
        <f>B7+(B8-B7)*5/6</f>
        <v>2.7183333333333334E-2</v>
      </c>
      <c r="D33" s="39">
        <v>20</v>
      </c>
      <c r="E33" s="69">
        <v>5.05</v>
      </c>
      <c r="F33" s="70">
        <v>6.2</v>
      </c>
      <c r="G33" s="78">
        <f t="shared" si="11"/>
        <v>5.625</v>
      </c>
      <c r="H33" s="110" cm="1">
        <f t="array" ref="H33">ImVol("C",D$2,D33,C33,0,B33/12,G33)</f>
        <v>0.44661703053861856</v>
      </c>
      <c r="I33" s="96" cm="1">
        <f t="array" ref="I33">OptionDelta("C",D$2,D33,B33/12,C33,H33,0)</f>
        <v>0.72640406484764841</v>
      </c>
      <c r="J33" s="83">
        <v>0.72309999999999997</v>
      </c>
      <c r="K33" s="86">
        <f t="shared" si="1"/>
        <v>4.5693055561449964E-3</v>
      </c>
      <c r="L33" s="106" cm="1">
        <f t="array" ref="L33">OptionGamma(D$2,D33,B33/12,C33,H33,0)</f>
        <v>3.3797693611119929E-2</v>
      </c>
      <c r="M33" s="83">
        <v>3.39E-2</v>
      </c>
      <c r="N33" s="97">
        <f t="shared" si="2"/>
        <v>3.0178875775831986E-3</v>
      </c>
      <c r="O33" s="96" cm="1">
        <f t="array" ref="O33">OptionVega(D$2,D33,B33/12,C33,H33,0)</f>
        <v>7.3387426653671678E-2</v>
      </c>
      <c r="P33" s="83">
        <v>7.17E-2</v>
      </c>
      <c r="Q33" s="86">
        <f t="shared" si="3"/>
        <v>2.3534541892213084E-2</v>
      </c>
      <c r="R33" s="106" cm="1">
        <f t="array" ref="R33">OptionTheta("C",D$2,D33,B33/12,C33,H33,0)</f>
        <v>-4.0710680146550824E-3</v>
      </c>
      <c r="S33" s="83">
        <v>-5.4999999999999997E-3</v>
      </c>
      <c r="T33" s="97">
        <f t="shared" si="4"/>
        <v>0.25980581551725768</v>
      </c>
      <c r="U33" s="96" cm="1">
        <f t="array" ref="U33">OptionRho("C",D$2,D33,B33/12,C33,H33,0)</f>
        <v>0.10178745137093664</v>
      </c>
      <c r="V33" s="66">
        <v>0.1017</v>
      </c>
      <c r="W33" s="86">
        <f t="shared" si="5"/>
        <v>8.5989548610270199E-4</v>
      </c>
      <c r="X33" s="69">
        <v>1.75</v>
      </c>
      <c r="Y33" s="70">
        <v>2.5499999999999998</v>
      </c>
      <c r="Z33" s="102">
        <f t="shared" si="0"/>
        <v>2.15</v>
      </c>
      <c r="AA33" s="96" cm="1">
        <f t="array" ref="AA33">ImVol("P",D$2,D33,C33,0,B33/12,Z33)</f>
        <v>0.45304434839636087</v>
      </c>
      <c r="AB33" s="106" cm="1">
        <f t="array" ref="AB33">OptionDelta("P",D$2,D33,B33/12,C33,AA33,0)</f>
        <v>-0.27440534525025306</v>
      </c>
      <c r="AC33" s="83">
        <v>-0.27660000000000001</v>
      </c>
      <c r="AD33" s="97">
        <f t="shared" si="6"/>
        <v>7.9343989506397289E-3</v>
      </c>
      <c r="AE33" s="96" cm="1">
        <f t="array" ref="AE33">OptionGamma(D$2,D33,B33/12,C33,AA33,0)</f>
        <v>3.3366884844979655E-2</v>
      </c>
      <c r="AF33" s="83">
        <v>3.4099999999999998E-2</v>
      </c>
      <c r="AG33" s="86">
        <f t="shared" si="7"/>
        <v>2.1498978153089245E-2</v>
      </c>
      <c r="AH33" s="106" cm="1">
        <f t="array" ref="AH33">OptionVega(D$2,D33,B33/12,C33,AA33,0)</f>
        <v>7.3494644687412208E-2</v>
      </c>
      <c r="AI33" s="83">
        <v>7.17E-2</v>
      </c>
      <c r="AJ33" s="97">
        <f t="shared" si="8"/>
        <v>2.5029911958329269E-2</v>
      </c>
      <c r="AK33" s="96" cm="1">
        <f t="array" ref="AK33">OptionTheta("P",D$2,D33,B33/12,C33,AA33,0)</f>
        <v>-5.6065599468750858E-3</v>
      </c>
      <c r="AL33" s="83">
        <v>-4.1999999999999997E-3</v>
      </c>
      <c r="AM33" s="86">
        <f t="shared" si="9"/>
        <v>0.33489522544644906</v>
      </c>
      <c r="AN33" s="106" cm="1">
        <f t="array" ref="AN33">OptionRho("P",D$2,D33,B33/12,C33,AA33,0)</f>
        <v>-7.7637588561772899E-2</v>
      </c>
      <c r="AO33" s="83">
        <v>-7.8600000000000003E-2</v>
      </c>
      <c r="AP33" s="97">
        <f t="shared" si="10"/>
        <v>1.2244420333678164E-2</v>
      </c>
    </row>
    <row r="34" spans="1:42" x14ac:dyDescent="0.2">
      <c r="A34" s="52">
        <v>46465</v>
      </c>
      <c r="B34" s="44">
        <v>11</v>
      </c>
      <c r="C34" s="61">
        <v>2.7183333333333334E-2</v>
      </c>
      <c r="D34" s="39">
        <v>22</v>
      </c>
      <c r="E34" s="69">
        <v>4.05</v>
      </c>
      <c r="F34" s="70">
        <v>5.0999999999999996</v>
      </c>
      <c r="G34" s="78">
        <f t="shared" si="11"/>
        <v>4.5749999999999993</v>
      </c>
      <c r="H34" s="110" cm="1">
        <f t="array" ref="H34">ImVol("C",D$2,D34,C34,0,B34/12,G34)</f>
        <v>0.44330126140266657</v>
      </c>
      <c r="I34" s="96" cm="1">
        <f t="array" ref="I34">OptionDelta("C",D$2,D34,B34/12,C34,H34,0)</f>
        <v>0.64755519449357646</v>
      </c>
      <c r="J34" s="83">
        <v>0.64449999999999996</v>
      </c>
      <c r="K34" s="86">
        <f t="shared" si="1"/>
        <v>4.7404103856889005E-3</v>
      </c>
      <c r="L34" s="106" cm="1">
        <f t="array" ref="L34">OptionGamma(D$2,D34,B34/12,C34,H34,0)</f>
        <v>3.7989615153403961E-2</v>
      </c>
      <c r="M34" s="83">
        <v>3.8100000000000002E-2</v>
      </c>
      <c r="N34" s="97">
        <f t="shared" si="2"/>
        <v>2.8972400681375686E-3</v>
      </c>
      <c r="O34" s="96" cm="1">
        <f t="array" ref="O34">OptionVega(D$2,D34,B34/12,C34,H34,0)</f>
        <v>8.1877236521526467E-2</v>
      </c>
      <c r="P34" s="83">
        <v>8.2400000000000001E-2</v>
      </c>
      <c r="Q34" s="86">
        <f t="shared" si="3"/>
        <v>6.3442169717661907E-3</v>
      </c>
      <c r="R34" s="106" cm="1">
        <f t="array" ref="R34">OptionTheta("C",D$2,D34,B34/12,C34,H34,0)</f>
        <v>-4.6541659733622875E-3</v>
      </c>
      <c r="S34" s="83">
        <v>-6.1000000000000004E-3</v>
      </c>
      <c r="T34" s="97">
        <f t="shared" si="4"/>
        <v>0.23702197157995292</v>
      </c>
      <c r="U34" s="96" cm="1">
        <f t="array" ref="U34">OptionRho("C",D$2,D34,B34/12,C34,H34,0)</f>
        <v>9.47667981313524E-2</v>
      </c>
      <c r="V34" s="66">
        <v>9.4700000000000006E-2</v>
      </c>
      <c r="W34" s="86">
        <f t="shared" si="5"/>
        <v>7.0536569537902954E-4</v>
      </c>
      <c r="X34" s="69">
        <v>2.6</v>
      </c>
      <c r="Y34" s="70">
        <v>3.5</v>
      </c>
      <c r="Z34" s="102">
        <f t="shared" si="0"/>
        <v>3.05</v>
      </c>
      <c r="AA34" s="96" cm="1">
        <f t="array" ref="AA34">ImVol("P",D$2,D34,C34,0,B34/12,Z34)</f>
        <v>0.44897181447595358</v>
      </c>
      <c r="AB34" s="106" cm="1">
        <f t="array" ref="AB34">OptionDelta("P",D$2,D34,B34/12,C34,AA34,0)</f>
        <v>-0.35221776757460321</v>
      </c>
      <c r="AC34" s="83">
        <v>-0.35560000000000003</v>
      </c>
      <c r="AD34" s="97">
        <f t="shared" si="6"/>
        <v>9.5113397789561693E-3</v>
      </c>
      <c r="AE34" s="96" cm="1">
        <f t="array" ref="AE34">OptionGamma(D$2,D34,B34/12,C34,AA34,0)</f>
        <v>3.7501110244481765E-2</v>
      </c>
      <c r="AF34" s="83">
        <v>3.8399999999999997E-2</v>
      </c>
      <c r="AG34" s="86">
        <f t="shared" si="7"/>
        <v>2.3408587383287275E-2</v>
      </c>
      <c r="AH34" s="106" cm="1">
        <f t="array" ref="AH34">OptionVega(D$2,D34,B34/12,C34,AA34,0)</f>
        <v>8.1858261760232587E-2</v>
      </c>
      <c r="AI34" s="83">
        <v>8.2400000000000001E-2</v>
      </c>
      <c r="AJ34" s="97">
        <f t="shared" si="8"/>
        <v>6.5744932010608518E-3</v>
      </c>
      <c r="AK34" s="96" cm="1">
        <f t="array" ref="AK34">OptionTheta("P",D$2,D34,B34/12,C34,AA34,0)</f>
        <v>-6.3234690891565823E-3</v>
      </c>
      <c r="AL34" s="83">
        <v>-4.7000000000000002E-3</v>
      </c>
      <c r="AM34" s="86">
        <f t="shared" si="9"/>
        <v>0.34541895513969828</v>
      </c>
      <c r="AN34" s="106" cm="1">
        <f t="array" ref="AN34">OptionRho("P",D$2,D34,B34/12,C34,AA34,0)</f>
        <v>-0.10231443916493446</v>
      </c>
      <c r="AO34" s="83">
        <v>-0.1037</v>
      </c>
      <c r="AP34" s="97">
        <f t="shared" si="10"/>
        <v>1.3361242382502782E-2</v>
      </c>
    </row>
    <row r="35" spans="1:42" x14ac:dyDescent="0.2">
      <c r="A35" s="52">
        <v>46465</v>
      </c>
      <c r="B35" s="44">
        <v>11</v>
      </c>
      <c r="C35" s="61">
        <v>2.7183333333333334E-2</v>
      </c>
      <c r="D35" s="39">
        <v>24</v>
      </c>
      <c r="E35" s="69">
        <v>3.2</v>
      </c>
      <c r="F35" s="70">
        <v>4.1500000000000004</v>
      </c>
      <c r="G35" s="78">
        <f t="shared" si="11"/>
        <v>3.6750000000000003</v>
      </c>
      <c r="H35" s="110" cm="1">
        <f t="array" ref="H35">ImVol("C",D$2,D35,C35,0,B35/12,G35)</f>
        <v>0.43863138649612665</v>
      </c>
      <c r="I35" s="96" cm="1">
        <f t="array" ref="I35">OptionDelta("C",D$2,D35,B35/12,C35,H35,0)</f>
        <v>0.5679174915197559</v>
      </c>
      <c r="J35" s="83">
        <v>0.56530000000000002</v>
      </c>
      <c r="K35" s="86">
        <f t="shared" si="1"/>
        <v>4.6302698032122357E-3</v>
      </c>
      <c r="L35" s="106" cm="1">
        <f t="array" ref="L35">OptionGamma(D$2,D35,B35/12,C35,H35,0)</f>
        <v>4.0649532131038835E-2</v>
      </c>
      <c r="M35" s="83">
        <v>4.07E-2</v>
      </c>
      <c r="N35" s="97">
        <f t="shared" si="2"/>
        <v>1.2399967803726141E-3</v>
      </c>
      <c r="O35" s="96" cm="1">
        <f t="array" ref="O35">OptionVega(D$2,D35,B35/12,C35,H35,0)</f>
        <v>8.6687119263133744E-2</v>
      </c>
      <c r="P35" s="83">
        <v>8.6999999999999994E-2</v>
      </c>
      <c r="Q35" s="86">
        <f t="shared" si="3"/>
        <v>3.5963303088074722E-3</v>
      </c>
      <c r="R35" s="106" cm="1">
        <f t="array" ref="R35">OptionTheta("C",D$2,D35,B35/12,C35,H35,0)</f>
        <v>-4.9818730357543538E-3</v>
      </c>
      <c r="S35" s="83">
        <v>-6.3E-3</v>
      </c>
      <c r="T35" s="97">
        <f t="shared" si="4"/>
        <v>0.20922650226121367</v>
      </c>
      <c r="U35" s="96" cm="1">
        <f t="array" ref="U35">OptionRho("C",D$2,D35,B35/12,C35,H35,0)</f>
        <v>8.620461525727581E-2</v>
      </c>
      <c r="V35" s="66">
        <v>8.6199999999999999E-2</v>
      </c>
      <c r="W35" s="86">
        <f t="shared" si="5"/>
        <v>5.3541267700826527E-5</v>
      </c>
      <c r="X35" s="69">
        <v>3.65</v>
      </c>
      <c r="Y35" s="70">
        <v>4.55</v>
      </c>
      <c r="Z35" s="102">
        <f t="shared" si="0"/>
        <v>4.0999999999999996</v>
      </c>
      <c r="AA35" s="96" cm="1">
        <f t="array" ref="AA35">ImVol("P",D$2,D35,C35,0,B35/12,Z35)</f>
        <v>0.44389810878783464</v>
      </c>
      <c r="AB35" s="106" cm="1">
        <f t="array" ref="AB35">OptionDelta("P",D$2,D35,B35/12,C35,AA35,0)</f>
        <v>-0.4309101161351121</v>
      </c>
      <c r="AC35" s="83">
        <v>-0.43569999999999998</v>
      </c>
      <c r="AD35" s="97">
        <f t="shared" si="6"/>
        <v>1.0993536527169792E-2</v>
      </c>
      <c r="AE35" s="96" cm="1">
        <f t="array" ref="AE35">OptionGamma(D$2,D35,B35/12,C35,AA35,0)</f>
        <v>4.0146566996102098E-2</v>
      </c>
      <c r="AF35" s="83">
        <v>4.1099999999999998E-2</v>
      </c>
      <c r="AG35" s="86">
        <f t="shared" si="7"/>
        <v>2.3197883306518237E-2</v>
      </c>
      <c r="AH35" s="106" cm="1">
        <f t="array" ref="AH35">OptionVega(D$2,D35,B35/12,C35,AA35,0)</f>
        <v>8.6642509709365975E-2</v>
      </c>
      <c r="AI35" s="83">
        <v>8.7099999999999997E-2</v>
      </c>
      <c r="AJ35" s="97">
        <f t="shared" si="8"/>
        <v>5.2524717638808465E-3</v>
      </c>
      <c r="AK35" s="96" cm="1">
        <f t="array" ref="AK35">OptionTheta("P",D$2,D35,B35/12,C35,AA35,0)</f>
        <v>-6.7919391269724164E-3</v>
      </c>
      <c r="AL35" s="83">
        <v>-4.7000000000000002E-3</v>
      </c>
      <c r="AM35" s="86">
        <f t="shared" si="9"/>
        <v>0.44509343127072681</v>
      </c>
      <c r="AN35" s="106" cm="1">
        <f t="array" ref="AN35">OptionRho("P",D$2,D35,B35/12,C35,AA35,0)</f>
        <v>-0.12855205010492815</v>
      </c>
      <c r="AO35" s="83">
        <v>-0.13039999999999999</v>
      </c>
      <c r="AP35" s="97">
        <f t="shared" si="10"/>
        <v>1.4171394900857651E-2</v>
      </c>
    </row>
    <row r="36" spans="1:42" x14ac:dyDescent="0.2">
      <c r="A36" s="53">
        <v>46465</v>
      </c>
      <c r="B36" s="54">
        <v>11</v>
      </c>
      <c r="C36" s="62">
        <v>2.7183333333333334E-2</v>
      </c>
      <c r="D36" s="55">
        <v>26</v>
      </c>
      <c r="E36" s="73">
        <v>2.4500000000000002</v>
      </c>
      <c r="F36" s="74">
        <v>3.4</v>
      </c>
      <c r="G36" s="80">
        <f t="shared" si="11"/>
        <v>2.9249999999999998</v>
      </c>
      <c r="H36" s="111" cm="1">
        <f t="array" ref="H36">ImVol("C",D$2,D36,C36,0,B36/12,G36)</f>
        <v>0.43433059472590685</v>
      </c>
      <c r="I36" s="82" cm="1">
        <f t="array" ref="I36">OptionDelta("C",D$2,D36,B36/12,C36,H36,0)</f>
        <v>0.49048461095628054</v>
      </c>
      <c r="J36" s="68">
        <v>0.4879</v>
      </c>
      <c r="K36" s="98">
        <f t="shared" si="1"/>
        <v>5.2974194635797131E-3</v>
      </c>
      <c r="L36" s="107" cm="1">
        <f t="array" ref="L36">OptionGamma(D$2,D36,B36/12,C36,H36,0)</f>
        <v>4.1645341527858114E-2</v>
      </c>
      <c r="M36" s="68">
        <v>4.1700000000000001E-2</v>
      </c>
      <c r="N36" s="99">
        <f t="shared" si="2"/>
        <v>1.3107547276231938E-3</v>
      </c>
      <c r="O36" s="82" cm="1">
        <f t="array" ref="O36">OptionVega(D$2,D36,B36/12,C36,H36,0)</f>
        <v>8.793994014486485E-2</v>
      </c>
      <c r="P36" s="68">
        <v>8.4400000000000003E-2</v>
      </c>
      <c r="Q36" s="98">
        <f t="shared" si="3"/>
        <v>4.1942418778019519E-2</v>
      </c>
      <c r="R36" s="107" cm="1">
        <f t="array" ref="R36">OptionTheta("C",D$2,D36,B36/12,C36,H36,0)</f>
        <v>-5.0844276642535982E-3</v>
      </c>
      <c r="S36" s="68">
        <v>-6.0000000000000001E-3</v>
      </c>
      <c r="T36" s="99">
        <f t="shared" si="4"/>
        <v>0.152595389291067</v>
      </c>
      <c r="U36" s="82" cm="1">
        <f t="array" ref="U36">OptionRho("C",D$2,D36,B36/12,C36,H36,0)</f>
        <v>7.6732888718261283E-2</v>
      </c>
      <c r="V36" s="67">
        <v>7.6700000000000004E-2</v>
      </c>
      <c r="W36" s="98">
        <f t="shared" si="5"/>
        <v>4.2879684825656574E-4</v>
      </c>
      <c r="X36" s="71">
        <v>4.8</v>
      </c>
      <c r="Y36" s="72">
        <v>5.8</v>
      </c>
      <c r="Z36" s="103">
        <f t="shared" si="0"/>
        <v>5.3</v>
      </c>
      <c r="AA36" s="82" cm="1">
        <f t="array" ref="AA36">ImVol("P",D$2,D36,C36,0,B36/12,Z36)</f>
        <v>0.43943199794739485</v>
      </c>
      <c r="AB36" s="107" cm="1">
        <f t="array" ref="AB36">OptionDelta("P",D$2,D36,B36/12,C36,AA36,0)</f>
        <v>-0.50746816749009316</v>
      </c>
      <c r="AC36" s="68">
        <v>-0.51419999999999999</v>
      </c>
      <c r="AD36" s="99">
        <f t="shared" si="6"/>
        <v>1.3091856300868985E-2</v>
      </c>
      <c r="AE36" s="82" cm="1">
        <f t="array" ref="AE36">OptionGamma(D$2,D36,B36/12,C36,AA36,0)</f>
        <v>4.1166374987185582E-2</v>
      </c>
      <c r="AF36" s="68">
        <v>4.2099999999999999E-2</v>
      </c>
      <c r="AG36" s="98">
        <f t="shared" si="7"/>
        <v>2.217636610010491E-2</v>
      </c>
      <c r="AH36" s="107" cm="1">
        <f t="array" ref="AH36">OptionVega(D$2,D36,B36/12,C36,AA36,0)</f>
        <v>8.7949549325522222E-2</v>
      </c>
      <c r="AI36" s="68">
        <v>8.4500000000000006E-2</v>
      </c>
      <c r="AJ36" s="99">
        <f t="shared" si="8"/>
        <v>4.082306894109132E-2</v>
      </c>
      <c r="AK36" s="82" cm="1">
        <f t="array" ref="AK36">OptionTheta("P",D$2,D36,B36/12,C36,AA36,0)</f>
        <v>-7.0406230151906215E-3</v>
      </c>
      <c r="AL36" s="68">
        <v>-4.4000000000000003E-3</v>
      </c>
      <c r="AM36" s="98">
        <f t="shared" si="9"/>
        <v>0.60014159436150483</v>
      </c>
      <c r="AN36" s="107" cm="1">
        <f t="array" ref="AN36">OptionRho("P",D$2,D36,B36/12,C36,AA36,0)</f>
        <v>-0.15571409254377785</v>
      </c>
      <c r="AO36" s="68">
        <v>-0.15809999999999999</v>
      </c>
      <c r="AP36" s="99">
        <f t="shared" si="10"/>
        <v>1.509112875535823E-2</v>
      </c>
    </row>
    <row r="37" spans="1:42" x14ac:dyDescent="0.2">
      <c r="B37" s="44"/>
      <c r="C37" s="41"/>
      <c r="D37" s="39"/>
      <c r="E37" s="39"/>
      <c r="F37" s="39"/>
      <c r="G37" s="39"/>
      <c r="H37" s="39"/>
      <c r="I37" s="43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45"/>
      <c r="U37" s="39"/>
      <c r="V37" s="39"/>
      <c r="W37" s="39"/>
      <c r="X37" s="39"/>
      <c r="Y37" s="39"/>
      <c r="Z37" s="39"/>
      <c r="AA37" s="39"/>
    </row>
    <row r="39" spans="1:42" x14ac:dyDescent="0.2">
      <c r="B39" s="46" t="s">
        <v>57</v>
      </c>
      <c r="C39" s="46" t="s">
        <v>58</v>
      </c>
      <c r="I39" s="45"/>
      <c r="J39" s="46" t="s">
        <v>59</v>
      </c>
      <c r="K39" s="46" t="s">
        <v>58</v>
      </c>
      <c r="R39" s="46" t="s">
        <v>60</v>
      </c>
      <c r="S39" s="46" t="s">
        <v>58</v>
      </c>
      <c r="Z39" s="46" t="s">
        <v>61</v>
      </c>
      <c r="AA39" s="46" t="s">
        <v>58</v>
      </c>
      <c r="AH39" s="46" t="s">
        <v>62</v>
      </c>
      <c r="AI39" s="46" t="s">
        <v>58</v>
      </c>
    </row>
    <row r="40" spans="1:42" x14ac:dyDescent="0.2">
      <c r="B40" s="46" t="s">
        <v>0</v>
      </c>
      <c r="C40">
        <v>1</v>
      </c>
      <c r="D40">
        <v>2</v>
      </c>
      <c r="E40">
        <v>5</v>
      </c>
      <c r="F40">
        <v>8</v>
      </c>
      <c r="G40">
        <v>11</v>
      </c>
      <c r="H40" t="s">
        <v>54</v>
      </c>
      <c r="J40" s="46" t="s">
        <v>0</v>
      </c>
      <c r="K40">
        <v>1</v>
      </c>
      <c r="L40">
        <v>2</v>
      </c>
      <c r="M40">
        <v>5</v>
      </c>
      <c r="N40">
        <v>8</v>
      </c>
      <c r="O40">
        <v>11</v>
      </c>
      <c r="P40" t="s">
        <v>54</v>
      </c>
      <c r="R40" s="46" t="s">
        <v>0</v>
      </c>
      <c r="S40">
        <v>1</v>
      </c>
      <c r="T40">
        <v>2</v>
      </c>
      <c r="U40">
        <v>5</v>
      </c>
      <c r="V40">
        <v>8</v>
      </c>
      <c r="W40">
        <v>11</v>
      </c>
      <c r="X40" t="s">
        <v>54</v>
      </c>
      <c r="Z40" s="46" t="s">
        <v>0</v>
      </c>
      <c r="AA40">
        <v>1</v>
      </c>
      <c r="AB40">
        <v>2</v>
      </c>
      <c r="AC40">
        <v>5</v>
      </c>
      <c r="AD40">
        <v>8</v>
      </c>
      <c r="AE40">
        <v>11</v>
      </c>
      <c r="AF40" t="s">
        <v>54</v>
      </c>
      <c r="AH40" s="46" t="s">
        <v>0</v>
      </c>
      <c r="AI40">
        <v>1</v>
      </c>
      <c r="AJ40">
        <v>2</v>
      </c>
      <c r="AK40">
        <v>5</v>
      </c>
      <c r="AL40">
        <v>8</v>
      </c>
      <c r="AM40">
        <v>11</v>
      </c>
      <c r="AN40" t="s">
        <v>54</v>
      </c>
    </row>
    <row r="41" spans="1:42" x14ac:dyDescent="0.2">
      <c r="B41" s="47">
        <v>19</v>
      </c>
      <c r="C41" s="112">
        <v>0.90794017754007128</v>
      </c>
      <c r="D41" s="112">
        <v>0.86126390459012958</v>
      </c>
      <c r="E41" s="112">
        <v>0.79102558603038464</v>
      </c>
      <c r="F41" s="112">
        <v>0.76970134177979277</v>
      </c>
      <c r="G41" s="112">
        <v>0.76149969397694617</v>
      </c>
      <c r="H41" s="112">
        <v>4.0914307039173243</v>
      </c>
      <c r="J41" s="47">
        <v>19</v>
      </c>
      <c r="K41" s="112">
        <v>4.6220420485950243E-2</v>
      </c>
      <c r="L41" s="112">
        <v>4.8384790445601754E-2</v>
      </c>
      <c r="M41" s="112">
        <v>4.0694241174144261E-2</v>
      </c>
      <c r="N41" s="112">
        <v>3.4814461985280355E-2</v>
      </c>
      <c r="O41" s="112">
        <v>3.093536156355586E-2</v>
      </c>
      <c r="P41" s="112">
        <v>0.20104927565453248</v>
      </c>
      <c r="R41" s="47">
        <v>19</v>
      </c>
      <c r="S41" s="112">
        <v>1.0978775336062429E-2</v>
      </c>
      <c r="T41" s="112">
        <v>2.079785473242771E-2</v>
      </c>
      <c r="U41" s="112">
        <v>4.2720209498405978E-2</v>
      </c>
      <c r="V41" s="112">
        <v>5.7139197055863684E-2</v>
      </c>
      <c r="W41" s="112">
        <v>6.8311773050385008E-2</v>
      </c>
      <c r="X41" s="112">
        <v>0.19994780967314479</v>
      </c>
      <c r="Z41" s="47">
        <v>19</v>
      </c>
      <c r="AA41" s="112">
        <v>-8.788388907437307E-3</v>
      </c>
      <c r="AB41" s="112">
        <v>-7.4197410989486024E-3</v>
      </c>
      <c r="AC41" s="112">
        <v>-5.9002575103599877E-3</v>
      </c>
      <c r="AD41" s="112">
        <v>-4.6884597161717598E-3</v>
      </c>
      <c r="AE41" s="112">
        <v>-3.881542904956372E-3</v>
      </c>
      <c r="AF41" s="112">
        <v>-3.0678390137874028E-2</v>
      </c>
      <c r="AH41" s="47">
        <v>19</v>
      </c>
      <c r="AI41" s="112">
        <v>1.3904051904945404E-2</v>
      </c>
      <c r="AJ41" s="112">
        <v>2.5641512881374229E-2</v>
      </c>
      <c r="AK41" s="112">
        <v>5.43429967970714E-2</v>
      </c>
      <c r="AL41" s="112">
        <v>7.9841479206196775E-2</v>
      </c>
      <c r="AM41" s="112">
        <v>0.10369643099448318</v>
      </c>
      <c r="AN41" s="112">
        <v>0.27742647178407098</v>
      </c>
    </row>
    <row r="42" spans="1:42" x14ac:dyDescent="0.2">
      <c r="B42" s="47">
        <v>20</v>
      </c>
      <c r="C42" s="112">
        <v>0.84929159259667375</v>
      </c>
      <c r="D42" s="112">
        <v>0.79645032145037697</v>
      </c>
      <c r="E42" s="112">
        <v>0.74495063521700255</v>
      </c>
      <c r="F42" s="112">
        <v>0.72912215569189143</v>
      </c>
      <c r="G42" s="112">
        <v>0.72640406484764841</v>
      </c>
      <c r="H42" s="112">
        <v>3.8462187698035937</v>
      </c>
      <c r="J42" s="47">
        <v>20</v>
      </c>
      <c r="K42" s="112">
        <v>6.8238850617193078E-2</v>
      </c>
      <c r="L42" s="112">
        <v>6.2019975608268885E-2</v>
      </c>
      <c r="M42" s="112">
        <v>4.71567381642891E-2</v>
      </c>
      <c r="N42" s="112">
        <v>3.8471183208630459E-2</v>
      </c>
      <c r="O42" s="112">
        <v>3.3797693611119929E-2</v>
      </c>
      <c r="P42" s="112">
        <v>0.24968444120950148</v>
      </c>
      <c r="R42" s="47">
        <v>20</v>
      </c>
      <c r="S42" s="112">
        <v>1.5549575196081543E-2</v>
      </c>
      <c r="T42" s="112">
        <v>2.660067630180064E-2</v>
      </c>
      <c r="U42" s="112">
        <v>4.7740381859133776E-2</v>
      </c>
      <c r="V42" s="112">
        <v>6.2275244172566337E-2</v>
      </c>
      <c r="W42" s="112">
        <v>7.3387426653671678E-2</v>
      </c>
      <c r="X42" s="112">
        <v>0.22555330418325398</v>
      </c>
      <c r="Z42" s="47">
        <v>20</v>
      </c>
      <c r="AA42" s="112">
        <v>-1.2293608995696504E-2</v>
      </c>
      <c r="AB42" s="112">
        <v>-9.7573921113912505E-3</v>
      </c>
      <c r="AC42" s="112">
        <v>-6.3555153139784057E-3</v>
      </c>
      <c r="AD42" s="112">
        <v>-5.0360312441592586E-3</v>
      </c>
      <c r="AE42" s="112">
        <v>-4.0710680146550824E-3</v>
      </c>
      <c r="AF42" s="112">
        <v>-3.7513615679880499E-2</v>
      </c>
      <c r="AH42" s="47">
        <v>20</v>
      </c>
      <c r="AI42" s="112">
        <v>1.3507654475306628E-2</v>
      </c>
      <c r="AJ42" s="112">
        <v>2.4445418188945727E-2</v>
      </c>
      <c r="AK42" s="112">
        <v>5.2942554642051207E-2</v>
      </c>
      <c r="AL42" s="112">
        <v>7.7777888473131329E-2</v>
      </c>
      <c r="AM42" s="112">
        <v>0.10178745137093664</v>
      </c>
      <c r="AN42" s="112">
        <v>0.27046096715037155</v>
      </c>
    </row>
    <row r="43" spans="1:42" x14ac:dyDescent="0.2">
      <c r="B43" s="47">
        <v>22</v>
      </c>
      <c r="C43" s="112">
        <v>0.65177250262265152</v>
      </c>
      <c r="D43" s="112">
        <v>0.63891788624115053</v>
      </c>
      <c r="E43" s="112">
        <v>0.6318878875397107</v>
      </c>
      <c r="F43" s="112">
        <v>0.63875556952147128</v>
      </c>
      <c r="G43" s="112">
        <v>0.64755519449357646</v>
      </c>
      <c r="H43" s="112">
        <v>3.2088890404185606</v>
      </c>
      <c r="J43" s="47">
        <v>22</v>
      </c>
      <c r="K43" s="112">
        <v>0.10658257630296755</v>
      </c>
      <c r="L43" s="112">
        <v>8.6197053358653561E-2</v>
      </c>
      <c r="M43" s="112">
        <v>5.5987404303920935E-2</v>
      </c>
      <c r="N43" s="112">
        <v>4.3626432896335166E-2</v>
      </c>
      <c r="O43" s="112">
        <v>3.7989615153403961E-2</v>
      </c>
      <c r="P43" s="112">
        <v>0.3303830820152811</v>
      </c>
      <c r="R43" s="47">
        <v>22</v>
      </c>
      <c r="S43" s="112">
        <v>2.4579135431584687E-2</v>
      </c>
      <c r="T43" s="112">
        <v>3.5210709822420805E-2</v>
      </c>
      <c r="U43" s="112">
        <v>5.6034825011715111E-2</v>
      </c>
      <c r="V43" s="112">
        <v>7.0432265637050545E-2</v>
      </c>
      <c r="W43" s="112">
        <v>8.1877236521526467E-2</v>
      </c>
      <c r="X43" s="112">
        <v>0.2681341724242976</v>
      </c>
      <c r="Z43" s="47">
        <v>22</v>
      </c>
      <c r="AA43" s="112">
        <v>-2.0368594483346471E-2</v>
      </c>
      <c r="AB43" s="112">
        <v>-1.2653419499675935E-2</v>
      </c>
      <c r="AC43" s="112">
        <v>-7.602486911911675E-3</v>
      </c>
      <c r="AD43" s="112">
        <v>-5.8566290217513736E-3</v>
      </c>
      <c r="AE43" s="112">
        <v>-4.6541659733622875E-3</v>
      </c>
      <c r="AF43" s="112">
        <v>-5.1135295890047741E-2</v>
      </c>
      <c r="AH43" s="47">
        <v>22</v>
      </c>
      <c r="AI43" s="112">
        <v>1.0883600604370288E-2</v>
      </c>
      <c r="AJ43" s="112">
        <v>2.0690464878927846E-2</v>
      </c>
      <c r="AK43" s="112">
        <v>4.6989075122193399E-2</v>
      </c>
      <c r="AL43" s="112">
        <v>7.1070271734818224E-2</v>
      </c>
      <c r="AM43" s="112">
        <v>9.47667981313524E-2</v>
      </c>
      <c r="AN43" s="112">
        <v>0.24440021047166216</v>
      </c>
    </row>
    <row r="44" spans="1:42" x14ac:dyDescent="0.2">
      <c r="B44" s="47">
        <v>24</v>
      </c>
      <c r="C44" s="112">
        <v>0.42621406769324</v>
      </c>
      <c r="D44" s="112">
        <v>0.45750044087314545</v>
      </c>
      <c r="E44" s="112">
        <v>0.51494138245172705</v>
      </c>
      <c r="F44" s="112">
        <v>0.54703305614806796</v>
      </c>
      <c r="G44" s="112">
        <v>0.5679174915197559</v>
      </c>
      <c r="H44" s="112">
        <v>2.5136064386859363</v>
      </c>
      <c r="J44" s="47">
        <v>24</v>
      </c>
      <c r="K44" s="112">
        <v>0.11251703326920084</v>
      </c>
      <c r="L44" s="112">
        <v>9.1636711397315052E-2</v>
      </c>
      <c r="M44" s="112">
        <v>5.9626855303446608E-2</v>
      </c>
      <c r="N44" s="112">
        <v>4.6805558766500437E-2</v>
      </c>
      <c r="O44" s="112">
        <v>4.0649532131038835E-2</v>
      </c>
      <c r="P44" s="112">
        <v>0.35123569086750178</v>
      </c>
      <c r="R44" s="47">
        <v>24</v>
      </c>
      <c r="S44" s="112">
        <v>2.6067491590811502E-2</v>
      </c>
      <c r="T44" s="112">
        <v>3.7295347355893675E-2</v>
      </c>
      <c r="U44" s="112">
        <v>5.9264367036789875E-2</v>
      </c>
      <c r="V44" s="112">
        <v>7.4494834207911864E-2</v>
      </c>
      <c r="W44" s="112">
        <v>8.6687119263133744E-2</v>
      </c>
      <c r="X44" s="112">
        <v>0.28380915945454066</v>
      </c>
      <c r="Z44" s="47">
        <v>24</v>
      </c>
      <c r="AA44" s="112">
        <v>-2.1980028548026744E-2</v>
      </c>
      <c r="AB44" s="112">
        <v>-1.3580470309791639E-2</v>
      </c>
      <c r="AC44" s="112">
        <v>-8.1384393839975047E-3</v>
      </c>
      <c r="AD44" s="112">
        <v>-6.2224973968218363E-3</v>
      </c>
      <c r="AE44" s="112">
        <v>-4.9818730357543538E-3</v>
      </c>
      <c r="AF44" s="112">
        <v>-5.4903308674392082E-2</v>
      </c>
      <c r="AH44" s="47">
        <v>24</v>
      </c>
      <c r="AI44" s="112">
        <v>7.3464249798308448E-3</v>
      </c>
      <c r="AJ44" s="112">
        <v>1.5310391948668026E-2</v>
      </c>
      <c r="AK44" s="112">
        <v>3.9621250109847427E-2</v>
      </c>
      <c r="AL44" s="112">
        <v>6.3154475446291963E-2</v>
      </c>
      <c r="AM44" s="112">
        <v>8.620461525727581E-2</v>
      </c>
      <c r="AN44" s="112">
        <v>0.21163715774191405</v>
      </c>
    </row>
    <row r="45" spans="1:42" x14ac:dyDescent="0.2">
      <c r="B45" s="47">
        <v>26</v>
      </c>
      <c r="C45" s="112">
        <v>0.23697346785879758</v>
      </c>
      <c r="D45" s="112">
        <v>0.29886038367324075</v>
      </c>
      <c r="E45" s="112">
        <v>0.40494428520171594</v>
      </c>
      <c r="F45" s="112">
        <v>0.45934661128927368</v>
      </c>
      <c r="G45" s="112">
        <v>0.49048461095628054</v>
      </c>
      <c r="H45" s="112">
        <v>1.8906093589793085</v>
      </c>
      <c r="J45" s="47">
        <v>26</v>
      </c>
      <c r="K45" s="112">
        <v>8.8700370378417118E-2</v>
      </c>
      <c r="L45" s="112">
        <v>7.9638266644663475E-2</v>
      </c>
      <c r="M45" s="112">
        <v>5.8221690545861467E-2</v>
      </c>
      <c r="N45" s="112">
        <v>4.7135998677556176E-2</v>
      </c>
      <c r="O45" s="112">
        <v>4.1645341527858114E-2</v>
      </c>
      <c r="P45" s="112">
        <v>0.31534166777435635</v>
      </c>
      <c r="R45" s="47">
        <v>26</v>
      </c>
      <c r="S45" s="112">
        <v>2.0524338890624494E-2</v>
      </c>
      <c r="T45" s="112">
        <v>3.2633550762624579E-2</v>
      </c>
      <c r="U45" s="112">
        <v>5.7614426370751842E-2</v>
      </c>
      <c r="V45" s="112">
        <v>7.4626939579379464E-2</v>
      </c>
      <c r="W45" s="112">
        <v>8.793994014486485E-2</v>
      </c>
      <c r="X45" s="112">
        <v>0.27333919574824522</v>
      </c>
      <c r="Z45" s="47">
        <v>26</v>
      </c>
      <c r="AA45" s="112">
        <v>-1.7389722478115377E-2</v>
      </c>
      <c r="AB45" s="112">
        <v>-1.2077865909206486E-2</v>
      </c>
      <c r="AC45" s="112">
        <v>-7.9776033586248605E-3</v>
      </c>
      <c r="AD45" s="112">
        <v>-6.2897066460378933E-3</v>
      </c>
      <c r="AE45" s="112">
        <v>-5.0844276642535982E-3</v>
      </c>
      <c r="AF45" s="112">
        <v>-4.8819326056238219E-2</v>
      </c>
      <c r="AH45" s="47">
        <v>26</v>
      </c>
      <c r="AI45" s="112">
        <v>4.1729158076018865E-3</v>
      </c>
      <c r="AJ45" s="112">
        <v>1.0221257751216026E-2</v>
      </c>
      <c r="AK45" s="112">
        <v>3.1982778666266289E-2</v>
      </c>
      <c r="AL45" s="112">
        <v>5.4525016418858797E-2</v>
      </c>
      <c r="AM45" s="112">
        <v>7.6732888718261283E-2</v>
      </c>
      <c r="AN45" s="112">
        <v>0.17763485736220427</v>
      </c>
    </row>
    <row r="46" spans="1:42" x14ac:dyDescent="0.2">
      <c r="B46" s="47" t="s">
        <v>54</v>
      </c>
      <c r="C46" s="112">
        <v>3.0721918083114348</v>
      </c>
      <c r="D46" s="112">
        <v>3.0529929368280433</v>
      </c>
      <c r="E46" s="112">
        <v>3.0877497764405413</v>
      </c>
      <c r="F46" s="112">
        <v>3.1439587344304973</v>
      </c>
      <c r="G46" s="112">
        <v>3.1938610557942075</v>
      </c>
      <c r="H46" s="112">
        <v>15.550754311804724</v>
      </c>
      <c r="J46" s="47" t="s">
        <v>54</v>
      </c>
      <c r="K46" s="112">
        <v>0.4222592510537288</v>
      </c>
      <c r="L46" s="112">
        <v>0.36787679745450275</v>
      </c>
      <c r="M46" s="112">
        <v>0.26168692949166239</v>
      </c>
      <c r="N46" s="112">
        <v>0.21085363553430259</v>
      </c>
      <c r="O46" s="112">
        <v>0.1850175439869767</v>
      </c>
      <c r="P46" s="112">
        <v>1.4476941575211733</v>
      </c>
      <c r="R46" s="47" t="s">
        <v>54</v>
      </c>
      <c r="S46" s="112">
        <v>9.7699316445164663E-2</v>
      </c>
      <c r="T46" s="112">
        <v>0.15253813897516741</v>
      </c>
      <c r="U46" s="112">
        <v>0.2633742097767966</v>
      </c>
      <c r="V46" s="112">
        <v>0.33896848065277185</v>
      </c>
      <c r="W46" s="112">
        <v>0.39820349563358171</v>
      </c>
      <c r="X46" s="112">
        <v>1.2507836414834823</v>
      </c>
      <c r="Z46" s="47" t="s">
        <v>54</v>
      </c>
      <c r="AA46" s="112">
        <v>-8.0820343412622397E-2</v>
      </c>
      <c r="AB46" s="112">
        <v>-5.5488888929013915E-2</v>
      </c>
      <c r="AC46" s="112">
        <v>-3.5974302478872434E-2</v>
      </c>
      <c r="AD46" s="112">
        <v>-2.8093324024942121E-2</v>
      </c>
      <c r="AE46" s="112">
        <v>-2.2673077592981698E-2</v>
      </c>
      <c r="AF46" s="112">
        <v>-0.22304993643843257</v>
      </c>
      <c r="AH46" s="47" t="s">
        <v>54</v>
      </c>
      <c r="AI46" s="112">
        <v>4.9814647772055055E-2</v>
      </c>
      <c r="AJ46" s="112">
        <v>9.6309045649131869E-2</v>
      </c>
      <c r="AK46" s="112">
        <v>0.22587865533742973</v>
      </c>
      <c r="AL46" s="112">
        <v>0.34636913127929708</v>
      </c>
      <c r="AM46" s="112">
        <v>0.46318818447230931</v>
      </c>
      <c r="AN46" s="112">
        <v>1.1815596645102229</v>
      </c>
    </row>
    <row r="65" spans="2:40" x14ac:dyDescent="0.2">
      <c r="B65" s="46" t="s">
        <v>75</v>
      </c>
      <c r="C65" s="46" t="s">
        <v>58</v>
      </c>
      <c r="J65" s="46" t="s">
        <v>76</v>
      </c>
      <c r="K65" s="46" t="s">
        <v>58</v>
      </c>
      <c r="R65" s="46" t="s">
        <v>77</v>
      </c>
      <c r="S65" s="46" t="s">
        <v>58</v>
      </c>
      <c r="Z65" s="46" t="s">
        <v>78</v>
      </c>
      <c r="AA65" s="46" t="s">
        <v>58</v>
      </c>
      <c r="AH65" s="46" t="s">
        <v>79</v>
      </c>
      <c r="AI65" s="46" t="s">
        <v>58</v>
      </c>
    </row>
    <row r="66" spans="2:40" x14ac:dyDescent="0.2">
      <c r="B66" s="46" t="s">
        <v>0</v>
      </c>
      <c r="C66">
        <v>1</v>
      </c>
      <c r="D66">
        <v>2</v>
      </c>
      <c r="E66">
        <v>5</v>
      </c>
      <c r="F66">
        <v>8</v>
      </c>
      <c r="G66">
        <v>11</v>
      </c>
      <c r="H66" t="s">
        <v>56</v>
      </c>
      <c r="J66" s="46" t="s">
        <v>0</v>
      </c>
      <c r="K66">
        <v>1</v>
      </c>
      <c r="L66">
        <v>2</v>
      </c>
      <c r="M66">
        <v>5</v>
      </c>
      <c r="N66">
        <v>8</v>
      </c>
      <c r="O66">
        <v>11</v>
      </c>
      <c r="P66" t="s">
        <v>56</v>
      </c>
      <c r="R66" s="46" t="s">
        <v>0</v>
      </c>
      <c r="S66">
        <v>1</v>
      </c>
      <c r="T66">
        <v>2</v>
      </c>
      <c r="U66">
        <v>5</v>
      </c>
      <c r="V66">
        <v>8</v>
      </c>
      <c r="W66">
        <v>11</v>
      </c>
      <c r="X66" t="s">
        <v>56</v>
      </c>
      <c r="Z66" s="46" t="s">
        <v>0</v>
      </c>
      <c r="AA66">
        <v>1</v>
      </c>
      <c r="AB66">
        <v>2</v>
      </c>
      <c r="AC66">
        <v>5</v>
      </c>
      <c r="AD66">
        <v>8</v>
      </c>
      <c r="AE66">
        <v>11</v>
      </c>
      <c r="AF66" t="s">
        <v>56</v>
      </c>
      <c r="AH66" s="46" t="s">
        <v>0</v>
      </c>
      <c r="AI66">
        <v>1</v>
      </c>
      <c r="AJ66">
        <v>2</v>
      </c>
      <c r="AK66">
        <v>5</v>
      </c>
      <c r="AL66">
        <v>8</v>
      </c>
      <c r="AM66">
        <v>11</v>
      </c>
      <c r="AN66" t="s">
        <v>56</v>
      </c>
    </row>
    <row r="67" spans="2:40" x14ac:dyDescent="0.2">
      <c r="B67" s="47">
        <v>19</v>
      </c>
      <c r="C67" s="112">
        <v>-0.10186058135447307</v>
      </c>
      <c r="D67" s="112">
        <v>-0.13813929142759096</v>
      </c>
      <c r="E67" s="112">
        <v>-0.20337358874973377</v>
      </c>
      <c r="F67" s="112">
        <v>-0.22911364265321277</v>
      </c>
      <c r="G67" s="112">
        <v>-0.23778995888197163</v>
      </c>
      <c r="H67" s="112">
        <v>-0.91027706306698219</v>
      </c>
      <c r="J67" s="47">
        <v>19</v>
      </c>
      <c r="K67" s="112">
        <v>4.735038608793022E-2</v>
      </c>
      <c r="L67" s="112">
        <v>4.8389667393938442E-2</v>
      </c>
      <c r="M67" s="112">
        <v>4.1589534947086906E-2</v>
      </c>
      <c r="N67" s="112">
        <v>3.5089669871708071E-2</v>
      </c>
      <c r="O67" s="112">
        <v>3.113972213704887E-2</v>
      </c>
      <c r="P67" s="112">
        <v>0.20355898043771251</v>
      </c>
      <c r="R67" s="47">
        <v>19</v>
      </c>
      <c r="S67" s="112">
        <v>1.1825328372817596E-2</v>
      </c>
      <c r="T67" s="112">
        <v>2.0736841274532639E-2</v>
      </c>
      <c r="U67" s="112">
        <v>4.2037652960985022E-2</v>
      </c>
      <c r="V67" s="112">
        <v>5.6974344483180818E-2</v>
      </c>
      <c r="W67" s="112">
        <v>6.8200209516171187E-2</v>
      </c>
      <c r="X67" s="112">
        <v>0.19977437660768727</v>
      </c>
      <c r="Z67" s="47">
        <v>19</v>
      </c>
      <c r="AA67" s="112">
        <v>-1.1122519151164811E-2</v>
      </c>
      <c r="AB67" s="112">
        <v>-8.4676112601611373E-3</v>
      </c>
      <c r="AC67" s="112">
        <v>-6.6516041412117083E-3</v>
      </c>
      <c r="AD67" s="112">
        <v>-5.8003293783622546E-3</v>
      </c>
      <c r="AE67" s="112">
        <v>-5.0735142490100343E-3</v>
      </c>
      <c r="AF67" s="112">
        <v>-3.7115578179909944E-2</v>
      </c>
      <c r="AH67" s="47">
        <v>19</v>
      </c>
      <c r="AI67" s="112">
        <v>-2.1173743195845099E-3</v>
      </c>
      <c r="AJ67" s="112">
        <v>-5.8855798165686809E-3</v>
      </c>
      <c r="AK67" s="112">
        <v>-2.3265390676858039E-2</v>
      </c>
      <c r="AL67" s="112">
        <v>-4.4509914523664144E-2</v>
      </c>
      <c r="AM67" s="112">
        <v>-6.6241108316601779E-2</v>
      </c>
      <c r="AN67" s="112">
        <v>-0.14201936765327716</v>
      </c>
    </row>
    <row r="68" spans="2:40" x14ac:dyDescent="0.2">
      <c r="B68" s="47">
        <v>20</v>
      </c>
      <c r="C68" s="112">
        <v>-0.15528633101111045</v>
      </c>
      <c r="D68" s="112">
        <v>-0.20007917228466376</v>
      </c>
      <c r="E68" s="112">
        <v>-0.2565569077257398</v>
      </c>
      <c r="F68" s="112">
        <v>-0.27074161373437933</v>
      </c>
      <c r="G68" s="112">
        <v>-0.27440534525025306</v>
      </c>
      <c r="H68" s="112">
        <v>-1.1570693700061465</v>
      </c>
      <c r="J68" s="47">
        <v>20</v>
      </c>
      <c r="K68" s="112">
        <v>6.8078323778180516E-2</v>
      </c>
      <c r="L68" s="112">
        <v>6.2580604080117536E-2</v>
      </c>
      <c r="M68" s="112">
        <v>4.6687936050650032E-2</v>
      </c>
      <c r="N68" s="112">
        <v>3.8528376436392682E-2</v>
      </c>
      <c r="O68" s="112">
        <v>3.3366884844979655E-2</v>
      </c>
      <c r="P68" s="112">
        <v>0.24924212519032041</v>
      </c>
      <c r="R68" s="47">
        <v>20</v>
      </c>
      <c r="S68" s="112">
        <v>1.5861130696574337E-2</v>
      </c>
      <c r="T68" s="112">
        <v>2.632816629640345E-2</v>
      </c>
      <c r="U68" s="112">
        <v>4.7887472949608184E-2</v>
      </c>
      <c r="V68" s="112">
        <v>6.2259608622924692E-2</v>
      </c>
      <c r="W68" s="112">
        <v>7.3494644687412208E-2</v>
      </c>
      <c r="X68" s="112">
        <v>0.22583102325292287</v>
      </c>
      <c r="Z68" s="47">
        <v>20</v>
      </c>
      <c r="AA68" s="112">
        <v>-1.3955758300047102E-2</v>
      </c>
      <c r="AB68" s="112">
        <v>-1.0598181259282429E-2</v>
      </c>
      <c r="AC68" s="112">
        <v>-7.77743724156197E-3</v>
      </c>
      <c r="AD68" s="112">
        <v>-6.4093608504554728E-3</v>
      </c>
      <c r="AE68" s="112">
        <v>-5.6065599468750858E-3</v>
      </c>
      <c r="AF68" s="112">
        <v>-4.4347297598222063E-2</v>
      </c>
      <c r="AH68" s="47">
        <v>20</v>
      </c>
      <c r="AI68" s="112">
        <v>-3.2343701688680965E-3</v>
      </c>
      <c r="AJ68" s="112">
        <v>-8.5963722450421755E-3</v>
      </c>
      <c r="AK68" s="112">
        <v>-2.9827106613239122E-2</v>
      </c>
      <c r="AL68" s="112">
        <v>-5.3234529173223744E-2</v>
      </c>
      <c r="AM68" s="112">
        <v>-7.7637588561772899E-2</v>
      </c>
      <c r="AN68" s="112">
        <v>-0.17252996676214605</v>
      </c>
    </row>
    <row r="69" spans="2:40" x14ac:dyDescent="0.2">
      <c r="B69" s="47">
        <v>22</v>
      </c>
      <c r="C69" s="112">
        <v>-0.34934698075418547</v>
      </c>
      <c r="D69" s="112">
        <v>-0.36317332772009181</v>
      </c>
      <c r="E69" s="112">
        <v>-0.36826257060297762</v>
      </c>
      <c r="F69" s="112">
        <v>-0.36128482831643571</v>
      </c>
      <c r="G69" s="112">
        <v>-0.35221776757460321</v>
      </c>
      <c r="H69" s="112">
        <v>-1.7942854749682937</v>
      </c>
      <c r="J69" s="47">
        <v>22</v>
      </c>
      <c r="K69" s="112">
        <v>0.10535415120334249</v>
      </c>
      <c r="L69" s="112">
        <v>8.3421578224025697E-2</v>
      </c>
      <c r="M69" s="112">
        <v>5.5477041839176809E-2</v>
      </c>
      <c r="N69" s="112">
        <v>4.3914056403861319E-2</v>
      </c>
      <c r="O69" s="112">
        <v>3.7501110244481765E-2</v>
      </c>
      <c r="P69" s="112">
        <v>0.32566793791488813</v>
      </c>
      <c r="R69" s="47">
        <v>22</v>
      </c>
      <c r="S69" s="112">
        <v>2.4608056896283922E-2</v>
      </c>
      <c r="T69" s="112">
        <v>3.5280071232635837E-2</v>
      </c>
      <c r="U69" s="112">
        <v>5.6042354978013541E-2</v>
      </c>
      <c r="V69" s="112">
        <v>7.0434962962165309E-2</v>
      </c>
      <c r="W69" s="112">
        <v>8.1858261760232587E-2</v>
      </c>
      <c r="X69" s="112">
        <v>0.26822370782933119</v>
      </c>
      <c r="Z69" s="47">
        <v>22</v>
      </c>
      <c r="AA69" s="112">
        <v>-2.1865594924960381E-2</v>
      </c>
      <c r="AB69" s="112">
        <v>-1.4430796995516691E-2</v>
      </c>
      <c r="AC69" s="112">
        <v>-9.1140914819640203E-3</v>
      </c>
      <c r="AD69" s="112">
        <v>-7.3365274206322103E-3</v>
      </c>
      <c r="AE69" s="112">
        <v>-6.3234690891565823E-3</v>
      </c>
      <c r="AF69" s="112">
        <v>-5.9070479912229891E-2</v>
      </c>
      <c r="AH69" s="47">
        <v>22</v>
      </c>
      <c r="AI69" s="112">
        <v>-7.4545507968386228E-3</v>
      </c>
      <c r="AJ69" s="112">
        <v>-1.6023136221165583E-2</v>
      </c>
      <c r="AK69" s="112">
        <v>-4.3879529204036503E-2</v>
      </c>
      <c r="AL69" s="112">
        <v>-7.2969264126774999E-2</v>
      </c>
      <c r="AM69" s="112">
        <v>-0.10231443916493446</v>
      </c>
      <c r="AN69" s="112">
        <v>-0.24264091951375019</v>
      </c>
    </row>
    <row r="70" spans="2:40" x14ac:dyDescent="0.2">
      <c r="B70" s="47">
        <v>24</v>
      </c>
      <c r="C70" s="112">
        <v>-0.57675994788985019</v>
      </c>
      <c r="D70" s="112">
        <v>-0.5415146407543231</v>
      </c>
      <c r="E70" s="112">
        <v>-0.48530193034813407</v>
      </c>
      <c r="F70" s="112">
        <v>-0.45258245272734698</v>
      </c>
      <c r="G70" s="112">
        <v>-0.4309101161351121</v>
      </c>
      <c r="H70" s="112">
        <v>-2.4870690878547665</v>
      </c>
      <c r="J70" s="47">
        <v>24</v>
      </c>
      <c r="K70" s="112">
        <v>0.11489569727137183</v>
      </c>
      <c r="L70" s="112">
        <v>9.0890619677103865E-2</v>
      </c>
      <c r="M70" s="112">
        <v>5.9772332237592173E-2</v>
      </c>
      <c r="N70" s="112">
        <v>4.6618526842337138E-2</v>
      </c>
      <c r="O70" s="112">
        <v>4.0146566996102098E-2</v>
      </c>
      <c r="P70" s="112">
        <v>0.35232374302450709</v>
      </c>
      <c r="R70" s="47">
        <v>24</v>
      </c>
      <c r="S70" s="112">
        <v>2.6029961633323797E-2</v>
      </c>
      <c r="T70" s="112">
        <v>3.7305116043123143E-2</v>
      </c>
      <c r="U70" s="112">
        <v>5.9265710987404081E-2</v>
      </c>
      <c r="V70" s="112">
        <v>7.4486255588096198E-2</v>
      </c>
      <c r="W70" s="112">
        <v>8.6642509709365975E-2</v>
      </c>
      <c r="X70" s="112">
        <v>0.28372955396131322</v>
      </c>
      <c r="Z70" s="47">
        <v>24</v>
      </c>
      <c r="AA70" s="112">
        <v>-2.2761454416937266E-2</v>
      </c>
      <c r="AB70" s="112">
        <v>-1.5090729582361011E-2</v>
      </c>
      <c r="AC70" s="112">
        <v>-9.6783299261130086E-3</v>
      </c>
      <c r="AD70" s="112">
        <v>-7.9114827839218919E-3</v>
      </c>
      <c r="AE70" s="112">
        <v>-6.7919391269724164E-3</v>
      </c>
      <c r="AF70" s="112">
        <v>-6.2233935836305591E-2</v>
      </c>
      <c r="AH70" s="47">
        <v>24</v>
      </c>
      <c r="AI70" s="112">
        <v>-1.2652318001311369E-2</v>
      </c>
      <c r="AJ70" s="112">
        <v>-2.4535136972239954E-2</v>
      </c>
      <c r="AK70" s="112">
        <v>-5.9381264307816796E-2</v>
      </c>
      <c r="AL70" s="112">
        <v>-9.4153159241036649E-2</v>
      </c>
      <c r="AM70" s="112">
        <v>-0.12855205010492815</v>
      </c>
      <c r="AN70" s="112">
        <v>-0.31927392862733295</v>
      </c>
    </row>
    <row r="71" spans="2:40" x14ac:dyDescent="0.2">
      <c r="B71" s="47">
        <v>26</v>
      </c>
      <c r="C71" s="112">
        <v>-0.7698805990954134</v>
      </c>
      <c r="D71" s="112">
        <v>-0.70170054894515377</v>
      </c>
      <c r="E71" s="112">
        <v>-0.59597732796757863</v>
      </c>
      <c r="F71" s="112">
        <v>-0.54081623561508785</v>
      </c>
      <c r="G71" s="112">
        <v>-0.50746816749009316</v>
      </c>
      <c r="H71" s="112">
        <v>-3.1158428791133268</v>
      </c>
      <c r="J71" s="47">
        <v>26</v>
      </c>
      <c r="K71" s="112">
        <v>8.9525528045154082E-2</v>
      </c>
      <c r="L71" s="112">
        <v>7.9749744507138898E-2</v>
      </c>
      <c r="M71" s="112">
        <v>5.8449878954628151E-2</v>
      </c>
      <c r="N71" s="112">
        <v>4.7175389849994961E-2</v>
      </c>
      <c r="O71" s="112">
        <v>4.1166374987185582E-2</v>
      </c>
      <c r="P71" s="112">
        <v>0.31606691634410167</v>
      </c>
      <c r="R71" s="47">
        <v>26</v>
      </c>
      <c r="S71" s="112">
        <v>2.0192959949686669E-2</v>
      </c>
      <c r="T71" s="112">
        <v>3.2605678952204321E-2</v>
      </c>
      <c r="U71" s="112">
        <v>5.7581304135900721E-2</v>
      </c>
      <c r="V71" s="112">
        <v>7.4623807446162441E-2</v>
      </c>
      <c r="W71" s="112">
        <v>8.7949549325522222E-2</v>
      </c>
      <c r="X71" s="112">
        <v>0.27295329980947636</v>
      </c>
      <c r="Z71" s="47">
        <v>26</v>
      </c>
      <c r="AA71" s="112">
        <v>-1.8090132922047683E-2</v>
      </c>
      <c r="AB71" s="112">
        <v>-1.3542879853063629E-2</v>
      </c>
      <c r="AC71" s="112">
        <v>-9.6263638605780747E-3</v>
      </c>
      <c r="AD71" s="112">
        <v>-8.0846476513206159E-3</v>
      </c>
      <c r="AE71" s="112">
        <v>-7.0406230151906215E-3</v>
      </c>
      <c r="AF71" s="112">
        <v>-5.6384647302200622E-2</v>
      </c>
      <c r="AH71" s="47">
        <v>26</v>
      </c>
      <c r="AI71" s="112">
        <v>-1.7566958499243841E-2</v>
      </c>
      <c r="AJ71" s="112">
        <v>-3.2975272742664798E-2</v>
      </c>
      <c r="AK71" s="112">
        <v>-7.5313991077066461E-2</v>
      </c>
      <c r="AL71" s="112">
        <v>-0.11586665283178028</v>
      </c>
      <c r="AM71" s="112">
        <v>-0.15571409254377785</v>
      </c>
      <c r="AN71" s="112">
        <v>-0.39743696769453318</v>
      </c>
    </row>
    <row r="72" spans="2:40" x14ac:dyDescent="0.2">
      <c r="B72" s="47" t="s">
        <v>56</v>
      </c>
      <c r="C72" s="112">
        <v>-1.9531344401050326</v>
      </c>
      <c r="D72" s="112">
        <v>-1.9446069811318234</v>
      </c>
      <c r="E72" s="112">
        <v>-1.9094723253941639</v>
      </c>
      <c r="F72" s="112">
        <v>-1.8545387730464626</v>
      </c>
      <c r="G72" s="112">
        <v>-1.8027913553320332</v>
      </c>
      <c r="H72" s="112">
        <v>-9.4645438750095163</v>
      </c>
      <c r="J72" s="47" t="s">
        <v>56</v>
      </c>
      <c r="K72" s="112">
        <v>0.42520408638597912</v>
      </c>
      <c r="L72" s="112">
        <v>0.36503221388232443</v>
      </c>
      <c r="M72" s="112">
        <v>0.26197672402913408</v>
      </c>
      <c r="N72" s="112">
        <v>0.21132601940429419</v>
      </c>
      <c r="O72" s="112">
        <v>0.18332065920979798</v>
      </c>
      <c r="P72" s="112">
        <v>1.4468597029115298</v>
      </c>
      <c r="R72" s="47" t="s">
        <v>56</v>
      </c>
      <c r="S72" s="112">
        <v>9.8517437548686332E-2</v>
      </c>
      <c r="T72" s="112">
        <v>0.15225587379889938</v>
      </c>
      <c r="U72" s="112">
        <v>0.26281449601191154</v>
      </c>
      <c r="V72" s="112">
        <v>0.33877897910252947</v>
      </c>
      <c r="W72" s="112">
        <v>0.39814517499870422</v>
      </c>
      <c r="X72" s="112">
        <v>1.250511961460731</v>
      </c>
      <c r="Z72" s="47" t="s">
        <v>56</v>
      </c>
      <c r="AA72" s="112">
        <v>-8.7795459715157245E-2</v>
      </c>
      <c r="AB72" s="112">
        <v>-6.2130198950384893E-2</v>
      </c>
      <c r="AC72" s="112">
        <v>-4.2847826651428784E-2</v>
      </c>
      <c r="AD72" s="112">
        <v>-3.5542348084692442E-2</v>
      </c>
      <c r="AE72" s="112">
        <v>-3.0836105427204739E-2</v>
      </c>
      <c r="AF72" s="112">
        <v>-0.25915193882886811</v>
      </c>
      <c r="AH72" s="47" t="s">
        <v>56</v>
      </c>
      <c r="AI72" s="112">
        <v>-4.3025571785846442E-2</v>
      </c>
      <c r="AJ72" s="112">
        <v>-8.8015497997681186E-2</v>
      </c>
      <c r="AK72" s="112">
        <v>-0.23166728187901692</v>
      </c>
      <c r="AL72" s="112">
        <v>-0.3807335198964798</v>
      </c>
      <c r="AM72" s="112">
        <v>-0.53045927869201515</v>
      </c>
      <c r="AN72" s="112">
        <v>-1.2739011502510396</v>
      </c>
    </row>
  </sheetData>
  <autoFilter ref="D11:D36" xr:uid="{2A9E5685-A5E1-3A4D-A7A8-A9BF6FFAB3A1}"/>
  <mergeCells count="9">
    <mergeCell ref="AR9:BB9"/>
    <mergeCell ref="AX10:BB10"/>
    <mergeCell ref="AS10:AW10"/>
    <mergeCell ref="A1:B1"/>
    <mergeCell ref="B4:I4"/>
    <mergeCell ref="A10:D10"/>
    <mergeCell ref="E10:W10"/>
    <mergeCell ref="X10:AP10"/>
    <mergeCell ref="C1:K1"/>
  </mergeCells>
  <hyperlinks>
    <hyperlink ref="B4" r:id="rId11" xr:uid="{C10C2146-BB02-4D41-926A-721EC56DEF25}"/>
  </hyperlinks>
  <pageMargins left="0.7" right="0.7" top="0.75" bottom="0.75" header="0.3" footer="0.3"/>
  <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PART 1</vt:lpstr>
      <vt:lpstr>PART 2</vt:lpstr>
      <vt:lpstr>PART 3</vt:lpstr>
    </vt:vector>
  </TitlesOfParts>
  <Company>Universita degli Studi di Padova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Bortolato</dc:creator>
  <cp:lastModifiedBy>Angela Bortolato</cp:lastModifiedBy>
  <dcterms:created xsi:type="dcterms:W3CDTF">2026-03-27T15:43:19Z</dcterms:created>
  <dcterms:modified xsi:type="dcterms:W3CDTF">2026-04-17T16:49:03Z</dcterms:modified>
</cp:coreProperties>
</file>