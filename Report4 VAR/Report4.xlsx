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angelabortolato/Desktop/Stochastic methods for finance/"/>
    </mc:Choice>
  </mc:AlternateContent>
  <xr:revisionPtr revIDLastSave="0" documentId="13_ncr:1_{632920A7-9F1A-A849-A531-64C314388F47}" xr6:coauthVersionLast="47" xr6:coauthVersionMax="47" xr10:uidLastSave="{00000000-0000-0000-0000-000000000000}"/>
  <bookViews>
    <workbookView xWindow="0" yWindow="660" windowWidth="29400" windowHeight="16900" activeTab="2" xr2:uid="{00000000-000D-0000-FFFF-FFFF00000000}"/>
  </bookViews>
  <sheets>
    <sheet name="Foglio1" sheetId="1" r:id="rId1"/>
    <sheet name="sigma flat" sheetId="3" r:id="rId2"/>
    <sheet name="EWMA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5" i="2" l="1"/>
  <c r="D129" i="2"/>
  <c r="K129" i="2"/>
  <c r="R129" i="2"/>
  <c r="R130" i="2"/>
  <c r="K130" i="2"/>
  <c r="D130" i="2"/>
  <c r="S55" i="2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36" i="2"/>
  <c r="S6" i="2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5" i="2"/>
  <c r="L7" i="2"/>
  <c r="L4" i="2"/>
  <c r="L119" i="2"/>
  <c r="L120" i="2" s="1"/>
  <c r="L121" i="2" s="1"/>
  <c r="L122" i="2" s="1"/>
  <c r="L123" i="2" s="1"/>
  <c r="L124" i="2" s="1"/>
  <c r="L125" i="2" s="1"/>
  <c r="L126" i="2" s="1"/>
  <c r="L127" i="2" s="1"/>
  <c r="L103" i="2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84" i="2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57" i="2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30" i="2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6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5" i="2"/>
  <c r="E97" i="2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78" i="2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58" i="2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36" i="2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22" i="2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5" i="2"/>
  <c r="S4" i="2"/>
  <c r="E4" i="2"/>
  <c r="J131" i="3"/>
  <c r="D131" i="3"/>
  <c r="J130" i="3"/>
  <c r="D130" i="3"/>
  <c r="M129" i="3"/>
  <c r="J129" i="3"/>
  <c r="D129" i="3"/>
  <c r="M3" i="3"/>
  <c r="K3" i="3" s="1"/>
  <c r="G3" i="3"/>
  <c r="E3" i="3" s="1"/>
  <c r="O4" i="3" s="1"/>
  <c r="K131" i="2"/>
  <c r="O129" i="2"/>
  <c r="D131" i="2"/>
  <c r="S37" i="2" l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G4" i="3"/>
  <c r="E4" i="3" s="1"/>
  <c r="P4" i="3"/>
  <c r="M4" i="3"/>
  <c r="K4" i="3" s="1"/>
  <c r="N3" i="3"/>
  <c r="F3" i="3" s="1"/>
  <c r="O3" i="2"/>
  <c r="M3" i="2" s="1"/>
  <c r="H3" i="2"/>
  <c r="F3" i="2" s="1"/>
  <c r="Q4" i="2" s="1"/>
  <c r="R4" i="2" s="1"/>
  <c r="L3" i="3" l="1"/>
  <c r="N4" i="3"/>
  <c r="L4" i="3"/>
  <c r="O5" i="3"/>
  <c r="F4" i="3"/>
  <c r="O4" i="2"/>
  <c r="M4" i="2" s="1"/>
  <c r="H4" i="2"/>
  <c r="F4" i="2" s="1"/>
  <c r="Q5" i="2" s="1"/>
  <c r="R5" i="2" s="1"/>
  <c r="P3" i="2"/>
  <c r="G3" i="2" s="1"/>
  <c r="P5" i="3" l="1"/>
  <c r="G5" i="3"/>
  <c r="E5" i="3" s="1"/>
  <c r="M5" i="3"/>
  <c r="K5" i="3" s="1"/>
  <c r="O5" i="2"/>
  <c r="M5" i="2" s="1"/>
  <c r="H5" i="2"/>
  <c r="F5" i="2" s="1"/>
  <c r="P4" i="2"/>
  <c r="G4" i="2" s="1"/>
  <c r="N3" i="2"/>
  <c r="Q6" i="2" l="1"/>
  <c r="R6" i="2" s="1"/>
  <c r="N5" i="3"/>
  <c r="L5" i="3" s="1"/>
  <c r="O6" i="3"/>
  <c r="F5" i="3"/>
  <c r="O6" i="2"/>
  <c r="M6" i="2" s="1"/>
  <c r="H6" i="2"/>
  <c r="F6" i="2" s="1"/>
  <c r="Q7" i="2" s="1"/>
  <c r="R7" i="2" s="1"/>
  <c r="N4" i="2"/>
  <c r="P5" i="2"/>
  <c r="G5" i="2" s="1"/>
  <c r="M6" i="3" l="1"/>
  <c r="K6" i="3" s="1"/>
  <c r="G6" i="3"/>
  <c r="E6" i="3" s="1"/>
  <c r="P6" i="3"/>
  <c r="N5" i="2"/>
  <c r="H7" i="2"/>
  <c r="F7" i="2" s="1"/>
  <c r="O7" i="2"/>
  <c r="M7" i="2" s="1"/>
  <c r="P6" i="2"/>
  <c r="G6" i="2" s="1"/>
  <c r="O7" i="3" l="1"/>
  <c r="N6" i="3"/>
  <c r="F6" i="3" s="1"/>
  <c r="N6" i="2"/>
  <c r="Q8" i="2"/>
  <c r="R8" i="2" s="1"/>
  <c r="P7" i="2"/>
  <c r="G7" i="2" s="1"/>
  <c r="N7" i="2"/>
  <c r="L6" i="3" l="1"/>
  <c r="M7" i="3"/>
  <c r="K7" i="3" s="1"/>
  <c r="G7" i="3"/>
  <c r="E7" i="3" s="1"/>
  <c r="P7" i="3"/>
  <c r="O8" i="2"/>
  <c r="M8" i="2" s="1"/>
  <c r="H8" i="2"/>
  <c r="F8" i="2" s="1"/>
  <c r="Q9" i="2" s="1"/>
  <c r="R9" i="2" s="1"/>
  <c r="O8" i="3" l="1"/>
  <c r="N7" i="3"/>
  <c r="F7" i="3" s="1"/>
  <c r="L7" i="3"/>
  <c r="O9" i="2"/>
  <c r="M9" i="2" s="1"/>
  <c r="H9" i="2"/>
  <c r="F9" i="2" s="1"/>
  <c r="Q10" i="2" s="1"/>
  <c r="R10" i="2" s="1"/>
  <c r="P8" i="2"/>
  <c r="G8" i="2" s="1"/>
  <c r="P8" i="3" l="1"/>
  <c r="M8" i="3"/>
  <c r="K8" i="3" s="1"/>
  <c r="G8" i="3"/>
  <c r="E8" i="3" s="1"/>
  <c r="N8" i="2"/>
  <c r="H10" i="2"/>
  <c r="F10" i="2" s="1"/>
  <c r="O10" i="2"/>
  <c r="M10" i="2" s="1"/>
  <c r="P9" i="2"/>
  <c r="G9" i="2" s="1"/>
  <c r="O9" i="3" l="1"/>
  <c r="N8" i="3"/>
  <c r="F8" i="3" s="1"/>
  <c r="L8" i="3"/>
  <c r="N9" i="2"/>
  <c r="Q11" i="2"/>
  <c r="R11" i="2" s="1"/>
  <c r="P10" i="2"/>
  <c r="G10" i="2" s="1"/>
  <c r="P9" i="3" l="1"/>
  <c r="G9" i="3"/>
  <c r="E9" i="3" s="1"/>
  <c r="M9" i="3"/>
  <c r="K9" i="3" s="1"/>
  <c r="N10" i="2"/>
  <c r="H11" i="2"/>
  <c r="F11" i="2" s="1"/>
  <c r="O11" i="2"/>
  <c r="M11" i="2" s="1"/>
  <c r="N9" i="3" l="1"/>
  <c r="L9" i="3"/>
  <c r="F9" i="3"/>
  <c r="O10" i="3"/>
  <c r="P11" i="2"/>
  <c r="N11" i="2" s="1"/>
  <c r="Q12" i="2"/>
  <c r="R12" i="2" s="1"/>
  <c r="G11" i="2"/>
  <c r="P10" i="3" l="1"/>
  <c r="G10" i="3"/>
  <c r="E10" i="3" s="1"/>
  <c r="M10" i="3"/>
  <c r="K10" i="3" s="1"/>
  <c r="O12" i="2"/>
  <c r="M12" i="2" s="1"/>
  <c r="H12" i="2"/>
  <c r="F12" i="2" s="1"/>
  <c r="Q13" i="2" s="1"/>
  <c r="R13" i="2" s="1"/>
  <c r="N10" i="3" l="1"/>
  <c r="L10" i="3" s="1"/>
  <c r="O11" i="3"/>
  <c r="F10" i="3"/>
  <c r="P12" i="2"/>
  <c r="G12" i="2" s="1"/>
  <c r="N12" i="2"/>
  <c r="P11" i="3" l="1"/>
  <c r="G11" i="3"/>
  <c r="E11" i="3" s="1"/>
  <c r="M11" i="3"/>
  <c r="K11" i="3" s="1"/>
  <c r="H13" i="2"/>
  <c r="F13" i="2" s="1"/>
  <c r="O13" i="2"/>
  <c r="M13" i="2" s="1"/>
  <c r="N11" i="3" l="1"/>
  <c r="L11" i="3"/>
  <c r="O12" i="3"/>
  <c r="F11" i="3"/>
  <c r="Q14" i="2"/>
  <c r="R14" i="2" s="1"/>
  <c r="P13" i="2"/>
  <c r="N13" i="2" s="1"/>
  <c r="G12" i="3" l="1"/>
  <c r="E12" i="3" s="1"/>
  <c r="P12" i="3"/>
  <c r="M12" i="3"/>
  <c r="K12" i="3" s="1"/>
  <c r="G13" i="2"/>
  <c r="O14" i="2"/>
  <c r="M14" i="2" s="1"/>
  <c r="H14" i="2"/>
  <c r="F14" i="2" s="1"/>
  <c r="Q15" i="2" l="1"/>
  <c r="R15" i="2" s="1"/>
  <c r="N12" i="3"/>
  <c r="L12" i="3"/>
  <c r="F12" i="3"/>
  <c r="O13" i="3"/>
  <c r="O15" i="2"/>
  <c r="M15" i="2" s="1"/>
  <c r="H15" i="2"/>
  <c r="F15" i="2" s="1"/>
  <c r="Q16" i="2" s="1"/>
  <c r="R16" i="2" s="1"/>
  <c r="P14" i="2"/>
  <c r="G14" i="2" s="1"/>
  <c r="P13" i="3" l="1"/>
  <c r="M13" i="3"/>
  <c r="K13" i="3" s="1"/>
  <c r="G13" i="3"/>
  <c r="E13" i="3" s="1"/>
  <c r="N14" i="2"/>
  <c r="O16" i="2"/>
  <c r="M16" i="2" s="1"/>
  <c r="H16" i="2"/>
  <c r="F16" i="2" s="1"/>
  <c r="P15" i="2"/>
  <c r="G15" i="2" s="1"/>
  <c r="O14" i="3" l="1"/>
  <c r="N13" i="3"/>
  <c r="F13" i="3" s="1"/>
  <c r="Q17" i="2"/>
  <c r="R17" i="2" s="1"/>
  <c r="N15" i="2"/>
  <c r="P16" i="2"/>
  <c r="G16" i="2" s="1"/>
  <c r="N16" i="2"/>
  <c r="H17" i="2" l="1"/>
  <c r="F17" i="2" s="1"/>
  <c r="O17" i="2"/>
  <c r="M17" i="2" s="1"/>
  <c r="L13" i="3"/>
  <c r="M14" i="3"/>
  <c r="K14" i="3" s="1"/>
  <c r="P14" i="3"/>
  <c r="G14" i="3"/>
  <c r="E14" i="3" s="1"/>
  <c r="Q18" i="2"/>
  <c r="R18" i="2" s="1"/>
  <c r="P17" i="2"/>
  <c r="N17" i="2" s="1"/>
  <c r="O15" i="3" l="1"/>
  <c r="N14" i="3"/>
  <c r="F14" i="3" s="1"/>
  <c r="L14" i="3"/>
  <c r="G17" i="2"/>
  <c r="H18" i="2"/>
  <c r="F18" i="2" s="1"/>
  <c r="O18" i="2"/>
  <c r="M18" i="2" s="1"/>
  <c r="P15" i="3" l="1"/>
  <c r="G15" i="3"/>
  <c r="E15" i="3" s="1"/>
  <c r="M15" i="3"/>
  <c r="K15" i="3" s="1"/>
  <c r="Q19" i="2"/>
  <c r="R19" i="2" s="1"/>
  <c r="P18" i="2"/>
  <c r="N18" i="2"/>
  <c r="G18" i="2"/>
  <c r="N15" i="3" l="1"/>
  <c r="L15" i="3"/>
  <c r="F15" i="3"/>
  <c r="O16" i="3"/>
  <c r="H19" i="2"/>
  <c r="F19" i="2" s="1"/>
  <c r="O19" i="2"/>
  <c r="M19" i="2" s="1"/>
  <c r="M16" i="3" l="1"/>
  <c r="K16" i="3" s="1"/>
  <c r="G16" i="3"/>
  <c r="E16" i="3" s="1"/>
  <c r="P16" i="3"/>
  <c r="Q20" i="2"/>
  <c r="R20" i="2" s="1"/>
  <c r="P19" i="2"/>
  <c r="N19" i="2"/>
  <c r="G19" i="2"/>
  <c r="N16" i="3" l="1"/>
  <c r="L16" i="3" s="1"/>
  <c r="F16" i="3"/>
  <c r="O17" i="3"/>
  <c r="O20" i="2"/>
  <c r="M20" i="2" s="1"/>
  <c r="H20" i="2"/>
  <c r="F20" i="2" s="1"/>
  <c r="Q21" i="2" s="1"/>
  <c r="R21" i="2" s="1"/>
  <c r="G17" i="3" l="1"/>
  <c r="E17" i="3" s="1"/>
  <c r="P17" i="3"/>
  <c r="M17" i="3"/>
  <c r="K17" i="3" s="1"/>
  <c r="H21" i="2"/>
  <c r="F21" i="2" s="1"/>
  <c r="O21" i="2"/>
  <c r="M21" i="2" s="1"/>
  <c r="P20" i="2"/>
  <c r="G20" i="2" s="1"/>
  <c r="N20" i="2"/>
  <c r="N17" i="3" l="1"/>
  <c r="L17" i="3" s="1"/>
  <c r="F17" i="3"/>
  <c r="O18" i="3"/>
  <c r="Q22" i="2"/>
  <c r="R22" i="2" s="1"/>
  <c r="P21" i="2"/>
  <c r="N21" i="2" s="1"/>
  <c r="G18" i="3" l="1"/>
  <c r="E18" i="3" s="1"/>
  <c r="P18" i="3"/>
  <c r="M18" i="3"/>
  <c r="K18" i="3" s="1"/>
  <c r="G21" i="2"/>
  <c r="H22" i="2"/>
  <c r="F22" i="2" s="1"/>
  <c r="O22" i="2"/>
  <c r="M22" i="2" s="1"/>
  <c r="P22" i="2" s="1"/>
  <c r="N22" i="2" s="1"/>
  <c r="N18" i="3" l="1"/>
  <c r="L18" i="3" s="1"/>
  <c r="O19" i="3"/>
  <c r="F18" i="3"/>
  <c r="Q23" i="2"/>
  <c r="R23" i="2" s="1"/>
  <c r="G22" i="2"/>
  <c r="M19" i="3" l="1"/>
  <c r="K19" i="3" s="1"/>
  <c r="G19" i="3"/>
  <c r="E19" i="3" s="1"/>
  <c r="P19" i="3"/>
  <c r="O23" i="2"/>
  <c r="M23" i="2" s="1"/>
  <c r="H23" i="2"/>
  <c r="F23" i="2" s="1"/>
  <c r="Q24" i="2" s="1"/>
  <c r="R24" i="2" s="1"/>
  <c r="O20" i="3" l="1"/>
  <c r="N19" i="3"/>
  <c r="F19" i="3" s="1"/>
  <c r="H24" i="2"/>
  <c r="F24" i="2" s="1"/>
  <c r="O24" i="2"/>
  <c r="M24" i="2" s="1"/>
  <c r="P23" i="2"/>
  <c r="G23" i="2" s="1"/>
  <c r="L19" i="3" l="1"/>
  <c r="M20" i="3"/>
  <c r="K20" i="3" s="1"/>
  <c r="P20" i="3"/>
  <c r="G20" i="3"/>
  <c r="E20" i="3" s="1"/>
  <c r="Q25" i="2"/>
  <c r="R25" i="2" s="1"/>
  <c r="N23" i="2"/>
  <c r="P24" i="2"/>
  <c r="N24" i="2" s="1"/>
  <c r="O21" i="3" l="1"/>
  <c r="N20" i="3"/>
  <c r="F20" i="3" s="1"/>
  <c r="G24" i="2"/>
  <c r="O25" i="2"/>
  <c r="M25" i="2" s="1"/>
  <c r="H25" i="2"/>
  <c r="F25" i="2" s="1"/>
  <c r="L20" i="3" l="1"/>
  <c r="G21" i="3"/>
  <c r="E21" i="3" s="1"/>
  <c r="P21" i="3"/>
  <c r="M21" i="3"/>
  <c r="K21" i="3" s="1"/>
  <c r="Q26" i="2"/>
  <c r="R26" i="2" s="1"/>
  <c r="H26" i="2"/>
  <c r="F26" i="2" s="1"/>
  <c r="P25" i="2"/>
  <c r="G25" i="2" s="1"/>
  <c r="O26" i="2" l="1"/>
  <c r="M26" i="2" s="1"/>
  <c r="Q27" i="2" s="1"/>
  <c r="N21" i="3"/>
  <c r="L21" i="3"/>
  <c r="O22" i="3"/>
  <c r="F21" i="3"/>
  <c r="N25" i="2"/>
  <c r="P26" i="2"/>
  <c r="G26" i="2" s="1"/>
  <c r="R27" i="2" l="1"/>
  <c r="H27" i="2"/>
  <c r="F27" i="2" s="1"/>
  <c r="O27" i="2"/>
  <c r="M27" i="2" s="1"/>
  <c r="N26" i="2"/>
  <c r="M22" i="3"/>
  <c r="K22" i="3" s="1"/>
  <c r="G22" i="3"/>
  <c r="E22" i="3" s="1"/>
  <c r="P22" i="3"/>
  <c r="Q28" i="2"/>
  <c r="R28" i="2" s="1"/>
  <c r="P27" i="2"/>
  <c r="N27" i="2" s="1"/>
  <c r="O23" i="3" l="1"/>
  <c r="N22" i="3"/>
  <c r="F22" i="3" s="1"/>
  <c r="L22" i="3"/>
  <c r="G27" i="2"/>
  <c r="H28" i="2"/>
  <c r="F28" i="2" s="1"/>
  <c r="O28" i="2"/>
  <c r="M28" i="2" s="1"/>
  <c r="P28" i="2" s="1"/>
  <c r="N28" i="2" s="1"/>
  <c r="P23" i="3" l="1"/>
  <c r="G23" i="3"/>
  <c r="E23" i="3" s="1"/>
  <c r="M23" i="3"/>
  <c r="K23" i="3" s="1"/>
  <c r="Q29" i="2"/>
  <c r="R29" i="2" s="1"/>
  <c r="G28" i="2"/>
  <c r="N23" i="3" l="1"/>
  <c r="L23" i="3"/>
  <c r="F23" i="3"/>
  <c r="O24" i="3"/>
  <c r="O29" i="2"/>
  <c r="M29" i="2" s="1"/>
  <c r="H29" i="2"/>
  <c r="F29" i="2" s="1"/>
  <c r="M24" i="3" l="1"/>
  <c r="K24" i="3" s="1"/>
  <c r="G24" i="3"/>
  <c r="E24" i="3" s="1"/>
  <c r="P24" i="3"/>
  <c r="Q30" i="2"/>
  <c r="R30" i="2" s="1"/>
  <c r="O30" i="2"/>
  <c r="M30" i="2" s="1"/>
  <c r="H30" i="2"/>
  <c r="F30" i="2" s="1"/>
  <c r="Q31" i="2" s="1"/>
  <c r="R31" i="2" s="1"/>
  <c r="P29" i="2"/>
  <c r="G29" i="2" s="1"/>
  <c r="N29" i="2"/>
  <c r="O25" i="3" l="1"/>
  <c r="N24" i="3"/>
  <c r="F24" i="3" s="1"/>
  <c r="P30" i="2"/>
  <c r="N30" i="2" s="1"/>
  <c r="L24" i="3" l="1"/>
  <c r="P25" i="3"/>
  <c r="G25" i="3"/>
  <c r="E25" i="3" s="1"/>
  <c r="M25" i="3"/>
  <c r="K25" i="3" s="1"/>
  <c r="G30" i="2"/>
  <c r="O31" i="2"/>
  <c r="M31" i="2" s="1"/>
  <c r="H31" i="2"/>
  <c r="F31" i="2" s="1"/>
  <c r="N25" i="3" l="1"/>
  <c r="L25" i="3"/>
  <c r="O26" i="3"/>
  <c r="F25" i="3"/>
  <c r="Q32" i="2"/>
  <c r="R32" i="2" s="1"/>
  <c r="H32" i="2"/>
  <c r="F32" i="2" s="1"/>
  <c r="P31" i="2"/>
  <c r="G31" i="2" s="1"/>
  <c r="P26" i="3" l="1"/>
  <c r="M26" i="3"/>
  <c r="K26" i="3" s="1"/>
  <c r="G26" i="3"/>
  <c r="E26" i="3" s="1"/>
  <c r="O32" i="2"/>
  <c r="M32" i="2" s="1"/>
  <c r="N31" i="2"/>
  <c r="Q33" i="2"/>
  <c r="R33" i="2" s="1"/>
  <c r="P32" i="2"/>
  <c r="N32" i="2" s="1"/>
  <c r="O27" i="3" l="1"/>
  <c r="N26" i="3"/>
  <c r="F26" i="3" s="1"/>
  <c r="L26" i="3"/>
  <c r="G32" i="2"/>
  <c r="H33" i="2"/>
  <c r="F33" i="2" s="1"/>
  <c r="O33" i="2"/>
  <c r="M33" i="2" s="1"/>
  <c r="G27" i="3" l="1"/>
  <c r="E27" i="3" s="1"/>
  <c r="M27" i="3"/>
  <c r="K27" i="3" s="1"/>
  <c r="P27" i="3"/>
  <c r="Q34" i="2"/>
  <c r="R34" i="2" s="1"/>
  <c r="P33" i="2"/>
  <c r="N33" i="2"/>
  <c r="G33" i="2"/>
  <c r="N27" i="3" l="1"/>
  <c r="L27" i="3" s="1"/>
  <c r="O28" i="3"/>
  <c r="F27" i="3"/>
  <c r="O34" i="2"/>
  <c r="M34" i="2" s="1"/>
  <c r="H34" i="2"/>
  <c r="F34" i="2" s="1"/>
  <c r="G28" i="3" l="1"/>
  <c r="E28" i="3" s="1"/>
  <c r="P28" i="3"/>
  <c r="M28" i="3"/>
  <c r="K28" i="3" s="1"/>
  <c r="Q35" i="2"/>
  <c r="R35" i="2" s="1"/>
  <c r="O35" i="2"/>
  <c r="M35" i="2" s="1"/>
  <c r="H35" i="2"/>
  <c r="F35" i="2" s="1"/>
  <c r="Q36" i="2" s="1"/>
  <c r="R36" i="2" s="1"/>
  <c r="P34" i="2"/>
  <c r="G34" i="2" s="1"/>
  <c r="N34" i="2"/>
  <c r="N28" i="3" l="1"/>
  <c r="L28" i="3" s="1"/>
  <c r="F28" i="3"/>
  <c r="O29" i="3"/>
  <c r="O36" i="2"/>
  <c r="M36" i="2" s="1"/>
  <c r="H36" i="2"/>
  <c r="F36" i="2" s="1"/>
  <c r="Q37" i="2" s="1"/>
  <c r="R37" i="2" s="1"/>
  <c r="P35" i="2"/>
  <c r="G35" i="2" s="1"/>
  <c r="M29" i="3" l="1"/>
  <c r="K29" i="3" s="1"/>
  <c r="P29" i="3"/>
  <c r="G29" i="3"/>
  <c r="E29" i="3" s="1"/>
  <c r="N35" i="2"/>
  <c r="O37" i="2"/>
  <c r="M37" i="2" s="1"/>
  <c r="H37" i="2"/>
  <c r="F37" i="2" s="1"/>
  <c r="Q38" i="2" s="1"/>
  <c r="R38" i="2" s="1"/>
  <c r="P36" i="2"/>
  <c r="G36" i="2" s="1"/>
  <c r="O30" i="3" l="1"/>
  <c r="N29" i="3"/>
  <c r="F29" i="3" s="1"/>
  <c r="N36" i="2"/>
  <c r="H38" i="2"/>
  <c r="F38" i="2" s="1"/>
  <c r="O38" i="2"/>
  <c r="M38" i="2" s="1"/>
  <c r="P37" i="2"/>
  <c r="G37" i="2" s="1"/>
  <c r="N37" i="2" l="1"/>
  <c r="L29" i="3"/>
  <c r="M30" i="3"/>
  <c r="K30" i="3" s="1"/>
  <c r="G30" i="3"/>
  <c r="E30" i="3" s="1"/>
  <c r="P30" i="3"/>
  <c r="Q39" i="2"/>
  <c r="R39" i="2" s="1"/>
  <c r="P38" i="2"/>
  <c r="G38" i="2" s="1"/>
  <c r="N38" i="2" l="1"/>
  <c r="O31" i="3"/>
  <c r="N30" i="3"/>
  <c r="F30" i="3" s="1"/>
  <c r="L30" i="3"/>
  <c r="H39" i="2"/>
  <c r="F39" i="2" s="1"/>
  <c r="O39" i="2"/>
  <c r="M39" i="2" s="1"/>
  <c r="P31" i="3" l="1"/>
  <c r="M31" i="3"/>
  <c r="K31" i="3" s="1"/>
  <c r="G31" i="3"/>
  <c r="E31" i="3" s="1"/>
  <c r="Q40" i="2"/>
  <c r="R40" i="2" s="1"/>
  <c r="P39" i="2"/>
  <c r="N39" i="2" s="1"/>
  <c r="G39" i="2"/>
  <c r="O32" i="3" l="1"/>
  <c r="N31" i="3"/>
  <c r="F31" i="3" s="1"/>
  <c r="L31" i="3"/>
  <c r="O40" i="2"/>
  <c r="M40" i="2" s="1"/>
  <c r="H40" i="2"/>
  <c r="F40" i="2" s="1"/>
  <c r="Q41" i="2" s="1"/>
  <c r="R41" i="2" s="1"/>
  <c r="P32" i="3" l="1"/>
  <c r="G32" i="3"/>
  <c r="E32" i="3" s="1"/>
  <c r="M32" i="3"/>
  <c r="K32" i="3" s="1"/>
  <c r="H41" i="2"/>
  <c r="F41" i="2" s="1"/>
  <c r="O41" i="2"/>
  <c r="M41" i="2" s="1"/>
  <c r="P41" i="2" s="1"/>
  <c r="N41" i="2" s="1"/>
  <c r="P40" i="2"/>
  <c r="G40" i="2" s="1"/>
  <c r="N40" i="2"/>
  <c r="N32" i="3" l="1"/>
  <c r="L32" i="3"/>
  <c r="F32" i="3"/>
  <c r="O33" i="3"/>
  <c r="Q42" i="2"/>
  <c r="R42" i="2" s="1"/>
  <c r="G41" i="2"/>
  <c r="P33" i="3" l="1"/>
  <c r="G33" i="3"/>
  <c r="E33" i="3" s="1"/>
  <c r="M33" i="3"/>
  <c r="K33" i="3" s="1"/>
  <c r="H42" i="2"/>
  <c r="F42" i="2" s="1"/>
  <c r="O42" i="2"/>
  <c r="M42" i="2" s="1"/>
  <c r="P42" i="2" s="1"/>
  <c r="N42" i="2" s="1"/>
  <c r="N33" i="3" l="1"/>
  <c r="L33" i="3" s="1"/>
  <c r="F33" i="3"/>
  <c r="O34" i="3"/>
  <c r="Q43" i="2"/>
  <c r="R43" i="2" s="1"/>
  <c r="G42" i="2"/>
  <c r="M34" i="3" l="1"/>
  <c r="K34" i="3" s="1"/>
  <c r="P34" i="3"/>
  <c r="G34" i="3"/>
  <c r="E34" i="3" s="1"/>
  <c r="O43" i="2"/>
  <c r="M43" i="2" s="1"/>
  <c r="H43" i="2"/>
  <c r="F43" i="2" s="1"/>
  <c r="Q44" i="2" s="1"/>
  <c r="R44" i="2" s="1"/>
  <c r="O35" i="3" l="1"/>
  <c r="N34" i="3"/>
  <c r="F34" i="3" s="1"/>
  <c r="O44" i="2"/>
  <c r="M44" i="2" s="1"/>
  <c r="H44" i="2"/>
  <c r="F44" i="2" s="1"/>
  <c r="Q45" i="2" s="1"/>
  <c r="R45" i="2" s="1"/>
  <c r="P43" i="2"/>
  <c r="G43" i="2" s="1"/>
  <c r="L34" i="3" l="1"/>
  <c r="M35" i="3"/>
  <c r="K35" i="3" s="1"/>
  <c r="P35" i="3"/>
  <c r="G35" i="3"/>
  <c r="E35" i="3" s="1"/>
  <c r="N43" i="2"/>
  <c r="O45" i="2"/>
  <c r="M45" i="2" s="1"/>
  <c r="H45" i="2"/>
  <c r="F45" i="2" s="1"/>
  <c r="Q46" i="2" s="1"/>
  <c r="R46" i="2" s="1"/>
  <c r="P44" i="2"/>
  <c r="G44" i="2" s="1"/>
  <c r="O36" i="3" l="1"/>
  <c r="N35" i="3"/>
  <c r="F35" i="3" s="1"/>
  <c r="L35" i="3"/>
  <c r="N44" i="2"/>
  <c r="H46" i="2"/>
  <c r="F46" i="2" s="1"/>
  <c r="O46" i="2"/>
  <c r="M46" i="2" s="1"/>
  <c r="P45" i="2"/>
  <c r="G45" i="2" s="1"/>
  <c r="P46" i="2" l="1"/>
  <c r="N46" i="2" s="1"/>
  <c r="P36" i="3"/>
  <c r="M36" i="3"/>
  <c r="K36" i="3" s="1"/>
  <c r="G36" i="3"/>
  <c r="E36" i="3" s="1"/>
  <c r="N45" i="2"/>
  <c r="Q47" i="2"/>
  <c r="R47" i="2" s="1"/>
  <c r="G46" i="2"/>
  <c r="O37" i="3" l="1"/>
  <c r="N36" i="3"/>
  <c r="F36" i="3" s="1"/>
  <c r="H47" i="2"/>
  <c r="F47" i="2" s="1"/>
  <c r="O47" i="2"/>
  <c r="M47" i="2" s="1"/>
  <c r="L36" i="3" l="1"/>
  <c r="G37" i="3"/>
  <c r="E37" i="3" s="1"/>
  <c r="P37" i="3"/>
  <c r="M37" i="3"/>
  <c r="K37" i="3" s="1"/>
  <c r="Q48" i="2"/>
  <c r="R48" i="2" s="1"/>
  <c r="P47" i="2"/>
  <c r="N47" i="2"/>
  <c r="G47" i="2"/>
  <c r="N37" i="3" l="1"/>
  <c r="L37" i="3" s="1"/>
  <c r="F37" i="3"/>
  <c r="O38" i="3"/>
  <c r="H48" i="2"/>
  <c r="F48" i="2" s="1"/>
  <c r="O48" i="2"/>
  <c r="M48" i="2" s="1"/>
  <c r="G38" i="3" l="1"/>
  <c r="E38" i="3" s="1"/>
  <c r="P38" i="3"/>
  <c r="M38" i="3"/>
  <c r="K38" i="3" s="1"/>
  <c r="Q49" i="2"/>
  <c r="R49" i="2" s="1"/>
  <c r="P48" i="2"/>
  <c r="N48" i="2" s="1"/>
  <c r="G48" i="2"/>
  <c r="N38" i="3" l="1"/>
  <c r="L38" i="3" s="1"/>
  <c r="F38" i="3"/>
  <c r="O39" i="3"/>
  <c r="H49" i="2"/>
  <c r="F49" i="2" s="1"/>
  <c r="O49" i="2"/>
  <c r="M49" i="2" s="1"/>
  <c r="G39" i="3" l="1"/>
  <c r="E39" i="3" s="1"/>
  <c r="M39" i="3"/>
  <c r="K39" i="3" s="1"/>
  <c r="P39" i="3"/>
  <c r="Q50" i="2"/>
  <c r="R50" i="2" s="1"/>
  <c r="P49" i="2"/>
  <c r="N49" i="2"/>
  <c r="G49" i="2"/>
  <c r="N39" i="3" l="1"/>
  <c r="L39" i="3" s="1"/>
  <c r="O40" i="3"/>
  <c r="F39" i="3"/>
  <c r="O50" i="2"/>
  <c r="M50" i="2" s="1"/>
  <c r="H50" i="2"/>
  <c r="F50" i="2" s="1"/>
  <c r="Q51" i="2" s="1"/>
  <c r="R51" i="2" s="1"/>
  <c r="M40" i="3" l="1"/>
  <c r="K40" i="3" s="1"/>
  <c r="P40" i="3"/>
  <c r="G40" i="3"/>
  <c r="E40" i="3" s="1"/>
  <c r="O51" i="2"/>
  <c r="M51" i="2" s="1"/>
  <c r="H51" i="2"/>
  <c r="F51" i="2" s="1"/>
  <c r="Q52" i="2" s="1"/>
  <c r="R52" i="2" s="1"/>
  <c r="P50" i="2"/>
  <c r="G50" i="2" s="1"/>
  <c r="O41" i="3" l="1"/>
  <c r="N40" i="3"/>
  <c r="F40" i="3" s="1"/>
  <c r="L40" i="3"/>
  <c r="N50" i="2"/>
  <c r="O52" i="2"/>
  <c r="M52" i="2" s="1"/>
  <c r="H52" i="2"/>
  <c r="F52" i="2" s="1"/>
  <c r="Q53" i="2" s="1"/>
  <c r="R53" i="2" s="1"/>
  <c r="P51" i="2"/>
  <c r="G51" i="2" s="1"/>
  <c r="N51" i="2"/>
  <c r="P41" i="3" l="1"/>
  <c r="G41" i="3"/>
  <c r="E41" i="3" s="1"/>
  <c r="M41" i="3"/>
  <c r="K41" i="3" s="1"/>
  <c r="O53" i="2"/>
  <c r="M53" i="2" s="1"/>
  <c r="H53" i="2"/>
  <c r="F53" i="2" s="1"/>
  <c r="P52" i="2"/>
  <c r="G52" i="2" s="1"/>
  <c r="N52" i="2"/>
  <c r="N41" i="3" l="1"/>
  <c r="L41" i="3"/>
  <c r="O42" i="3"/>
  <c r="F41" i="3"/>
  <c r="Q54" i="2"/>
  <c r="R54" i="2" s="1"/>
  <c r="O54" i="2"/>
  <c r="M54" i="2" s="1"/>
  <c r="P53" i="2"/>
  <c r="G53" i="2" s="1"/>
  <c r="N53" i="2"/>
  <c r="H54" i="2" l="1"/>
  <c r="F54" i="2" s="1"/>
  <c r="M42" i="3"/>
  <c r="K42" i="3" s="1"/>
  <c r="G42" i="3"/>
  <c r="E42" i="3" s="1"/>
  <c r="P42" i="3"/>
  <c r="Q55" i="2"/>
  <c r="R55" i="2" s="1"/>
  <c r="P54" i="2"/>
  <c r="N54" i="2" s="1"/>
  <c r="G54" i="2"/>
  <c r="O43" i="3" l="1"/>
  <c r="N42" i="3"/>
  <c r="F42" i="3" s="1"/>
  <c r="L42" i="3"/>
  <c r="O55" i="2"/>
  <c r="M55" i="2" s="1"/>
  <c r="H55" i="2"/>
  <c r="F55" i="2" s="1"/>
  <c r="Q56" i="2" s="1"/>
  <c r="R56" i="2" s="1"/>
  <c r="P43" i="3" l="1"/>
  <c r="M43" i="3"/>
  <c r="K43" i="3" s="1"/>
  <c r="G43" i="3"/>
  <c r="E43" i="3" s="1"/>
  <c r="P55" i="2"/>
  <c r="N55" i="2" s="1"/>
  <c r="O44" i="3" l="1"/>
  <c r="N43" i="3"/>
  <c r="F43" i="3" s="1"/>
  <c r="L43" i="3"/>
  <c r="G55" i="2"/>
  <c r="H56" i="2"/>
  <c r="F56" i="2" s="1"/>
  <c r="O56" i="2"/>
  <c r="M56" i="2" s="1"/>
  <c r="G44" i="3" l="1"/>
  <c r="E44" i="3" s="1"/>
  <c r="M44" i="3"/>
  <c r="K44" i="3" s="1"/>
  <c r="P44" i="3"/>
  <c r="Q57" i="2"/>
  <c r="R57" i="2" s="1"/>
  <c r="P56" i="2"/>
  <c r="N56" i="2" s="1"/>
  <c r="G56" i="2"/>
  <c r="N44" i="3" l="1"/>
  <c r="L44" i="3" s="1"/>
  <c r="O45" i="3"/>
  <c r="F44" i="3"/>
  <c r="O57" i="2"/>
  <c r="M57" i="2" s="1"/>
  <c r="H57" i="2"/>
  <c r="F57" i="2" s="1"/>
  <c r="Q58" i="2" s="1"/>
  <c r="R58" i="2" s="1"/>
  <c r="M45" i="3" l="1"/>
  <c r="K45" i="3" s="1"/>
  <c r="P45" i="3"/>
  <c r="G45" i="3"/>
  <c r="E45" i="3" s="1"/>
  <c r="P57" i="2"/>
  <c r="G57" i="2" s="1"/>
  <c r="O46" i="3" l="1"/>
  <c r="N45" i="3"/>
  <c r="F45" i="3" s="1"/>
  <c r="N57" i="2"/>
  <c r="H58" i="2"/>
  <c r="F58" i="2" s="1"/>
  <c r="O58" i="2"/>
  <c r="M58" i="2" s="1"/>
  <c r="L45" i="3" l="1"/>
  <c r="P46" i="3"/>
  <c r="M46" i="3"/>
  <c r="K46" i="3" s="1"/>
  <c r="G46" i="3"/>
  <c r="E46" i="3" s="1"/>
  <c r="Q59" i="2"/>
  <c r="R59" i="2" s="1"/>
  <c r="P58" i="2"/>
  <c r="N58" i="2"/>
  <c r="G58" i="2"/>
  <c r="O47" i="3" l="1"/>
  <c r="N46" i="3"/>
  <c r="F46" i="3" s="1"/>
  <c r="L46" i="3"/>
  <c r="H59" i="2"/>
  <c r="F59" i="2" s="1"/>
  <c r="O59" i="2"/>
  <c r="M59" i="2" s="1"/>
  <c r="G47" i="3" l="1"/>
  <c r="E47" i="3" s="1"/>
  <c r="P47" i="3"/>
  <c r="M47" i="3"/>
  <c r="K47" i="3" s="1"/>
  <c r="Q60" i="2"/>
  <c r="R60" i="2" s="1"/>
  <c r="P59" i="2"/>
  <c r="N59" i="2"/>
  <c r="G59" i="2"/>
  <c r="N47" i="3" l="1"/>
  <c r="L47" i="3" s="1"/>
  <c r="O48" i="3"/>
  <c r="F47" i="3"/>
  <c r="H60" i="2"/>
  <c r="F60" i="2" s="1"/>
  <c r="O60" i="2"/>
  <c r="M60" i="2" s="1"/>
  <c r="M48" i="3" l="1"/>
  <c r="K48" i="3" s="1"/>
  <c r="P48" i="3"/>
  <c r="G48" i="3"/>
  <c r="E48" i="3" s="1"/>
  <c r="Q61" i="2"/>
  <c r="R61" i="2" s="1"/>
  <c r="P60" i="2"/>
  <c r="N60" i="2" s="1"/>
  <c r="G60" i="2"/>
  <c r="O49" i="3" l="1"/>
  <c r="N48" i="3"/>
  <c r="F48" i="3" s="1"/>
  <c r="O61" i="2"/>
  <c r="M61" i="2" s="1"/>
  <c r="H61" i="2"/>
  <c r="F61" i="2" s="1"/>
  <c r="Q62" i="2" s="1"/>
  <c r="R62" i="2" s="1"/>
  <c r="L48" i="3" l="1"/>
  <c r="G49" i="3"/>
  <c r="E49" i="3" s="1"/>
  <c r="M49" i="3"/>
  <c r="K49" i="3" s="1"/>
  <c r="P49" i="3"/>
  <c r="O62" i="2"/>
  <c r="M62" i="2" s="1"/>
  <c r="H62" i="2"/>
  <c r="F62" i="2" s="1"/>
  <c r="Q63" i="2" s="1"/>
  <c r="R63" i="2" s="1"/>
  <c r="P61" i="2"/>
  <c r="G61" i="2" s="1"/>
  <c r="N61" i="2"/>
  <c r="N49" i="3" l="1"/>
  <c r="L49" i="3" s="1"/>
  <c r="F49" i="3"/>
  <c r="O50" i="3"/>
  <c r="H63" i="2"/>
  <c r="F63" i="2" s="1"/>
  <c r="O63" i="2"/>
  <c r="M63" i="2" s="1"/>
  <c r="P63" i="2" s="1"/>
  <c r="N63" i="2" s="1"/>
  <c r="P62" i="2"/>
  <c r="G62" i="2" s="1"/>
  <c r="N62" i="2"/>
  <c r="M50" i="3" l="1"/>
  <c r="K50" i="3" s="1"/>
  <c r="P50" i="3"/>
  <c r="G50" i="3"/>
  <c r="E50" i="3" s="1"/>
  <c r="Q64" i="2"/>
  <c r="R64" i="2" s="1"/>
  <c r="G63" i="2"/>
  <c r="O51" i="3" l="1"/>
  <c r="N50" i="3"/>
  <c r="F50" i="3" s="1"/>
  <c r="H64" i="2"/>
  <c r="F64" i="2" s="1"/>
  <c r="O64" i="2"/>
  <c r="M64" i="2" s="1"/>
  <c r="L50" i="3" l="1"/>
  <c r="M51" i="3"/>
  <c r="K51" i="3" s="1"/>
  <c r="P51" i="3"/>
  <c r="G51" i="3"/>
  <c r="E51" i="3" s="1"/>
  <c r="Q65" i="2"/>
  <c r="R65" i="2" s="1"/>
  <c r="P64" i="2"/>
  <c r="N64" i="2"/>
  <c r="G64" i="2"/>
  <c r="O52" i="3" l="1"/>
  <c r="N51" i="3"/>
  <c r="F51" i="3" s="1"/>
  <c r="L51" i="3"/>
  <c r="H65" i="2"/>
  <c r="F65" i="2" s="1"/>
  <c r="O65" i="2"/>
  <c r="M65" i="2" s="1"/>
  <c r="P65" i="2" s="1"/>
  <c r="N65" i="2" s="1"/>
  <c r="P52" i="3" l="1"/>
  <c r="M52" i="3"/>
  <c r="K52" i="3" s="1"/>
  <c r="G52" i="3"/>
  <c r="E52" i="3" s="1"/>
  <c r="Q66" i="2"/>
  <c r="R66" i="2" s="1"/>
  <c r="G65" i="2"/>
  <c r="O53" i="3" l="1"/>
  <c r="N52" i="3"/>
  <c r="F52" i="3" s="1"/>
  <c r="H66" i="2"/>
  <c r="F66" i="2" s="1"/>
  <c r="O66" i="2"/>
  <c r="M66" i="2" s="1"/>
  <c r="P66" i="2" s="1"/>
  <c r="N66" i="2" s="1"/>
  <c r="L52" i="3" l="1"/>
  <c r="P53" i="3"/>
  <c r="M53" i="3"/>
  <c r="K53" i="3" s="1"/>
  <c r="G53" i="3"/>
  <c r="E53" i="3" s="1"/>
  <c r="Q67" i="2"/>
  <c r="R67" i="2" s="1"/>
  <c r="G66" i="2"/>
  <c r="O54" i="3" l="1"/>
  <c r="N53" i="3"/>
  <c r="F53" i="3" s="1"/>
  <c r="L53" i="3"/>
  <c r="H67" i="2"/>
  <c r="F67" i="2" s="1"/>
  <c r="O67" i="2"/>
  <c r="M67" i="2" s="1"/>
  <c r="G54" i="3" l="1"/>
  <c r="E54" i="3" s="1"/>
  <c r="M54" i="3"/>
  <c r="K54" i="3" s="1"/>
  <c r="P54" i="3"/>
  <c r="Q68" i="2"/>
  <c r="R68" i="2" s="1"/>
  <c r="P67" i="2"/>
  <c r="N67" i="2"/>
  <c r="G67" i="2"/>
  <c r="N54" i="3" l="1"/>
  <c r="L54" i="3"/>
  <c r="F54" i="3"/>
  <c r="O55" i="3"/>
  <c r="O68" i="2"/>
  <c r="M68" i="2" s="1"/>
  <c r="H68" i="2"/>
  <c r="F68" i="2" s="1"/>
  <c r="Q69" i="2" s="1"/>
  <c r="R69" i="2" s="1"/>
  <c r="G55" i="3" l="1"/>
  <c r="E55" i="3" s="1"/>
  <c r="M55" i="3"/>
  <c r="K55" i="3" s="1"/>
  <c r="P55" i="3"/>
  <c r="H69" i="2"/>
  <c r="F69" i="2" s="1"/>
  <c r="O69" i="2"/>
  <c r="M69" i="2" s="1"/>
  <c r="P68" i="2"/>
  <c r="G68" i="2" s="1"/>
  <c r="N55" i="3" l="1"/>
  <c r="L55" i="3" s="1"/>
  <c r="F55" i="3"/>
  <c r="O56" i="3"/>
  <c r="Q70" i="2"/>
  <c r="R70" i="2" s="1"/>
  <c r="N68" i="2"/>
  <c r="P69" i="2"/>
  <c r="G69" i="2" s="1"/>
  <c r="N69" i="2" l="1"/>
  <c r="M56" i="3"/>
  <c r="K56" i="3" s="1"/>
  <c r="G56" i="3"/>
  <c r="E56" i="3" s="1"/>
  <c r="P56" i="3"/>
  <c r="H70" i="2"/>
  <c r="F70" i="2" s="1"/>
  <c r="O70" i="2"/>
  <c r="M70" i="2" s="1"/>
  <c r="O57" i="3" l="1"/>
  <c r="N56" i="3"/>
  <c r="F56" i="3" s="1"/>
  <c r="L56" i="3"/>
  <c r="Q71" i="2"/>
  <c r="R71" i="2" s="1"/>
  <c r="P70" i="2"/>
  <c r="N70" i="2"/>
  <c r="G70" i="2"/>
  <c r="G57" i="3" l="1"/>
  <c r="E57" i="3" s="1"/>
  <c r="P57" i="3"/>
  <c r="M57" i="3"/>
  <c r="K57" i="3" s="1"/>
  <c r="O71" i="2"/>
  <c r="M71" i="2" s="1"/>
  <c r="H71" i="2"/>
  <c r="F71" i="2" s="1"/>
  <c r="Q72" i="2" s="1"/>
  <c r="R72" i="2" s="1"/>
  <c r="N57" i="3" l="1"/>
  <c r="L57" i="3"/>
  <c r="O58" i="3"/>
  <c r="F57" i="3"/>
  <c r="P71" i="2"/>
  <c r="N71" i="2" s="1"/>
  <c r="P58" i="3" l="1"/>
  <c r="M58" i="3"/>
  <c r="K58" i="3" s="1"/>
  <c r="G58" i="3"/>
  <c r="E58" i="3" s="1"/>
  <c r="G71" i="2"/>
  <c r="H72" i="2"/>
  <c r="F72" i="2" s="1"/>
  <c r="O72" i="2"/>
  <c r="M72" i="2" s="1"/>
  <c r="O59" i="3" l="1"/>
  <c r="N58" i="3"/>
  <c r="F58" i="3" s="1"/>
  <c r="L58" i="3"/>
  <c r="Q73" i="2"/>
  <c r="R73" i="2" s="1"/>
  <c r="P72" i="2"/>
  <c r="N72" i="2" s="1"/>
  <c r="G72" i="2" l="1"/>
  <c r="G59" i="3"/>
  <c r="E59" i="3" s="1"/>
  <c r="M59" i="3"/>
  <c r="K59" i="3" s="1"/>
  <c r="P59" i="3"/>
  <c r="H73" i="2"/>
  <c r="F73" i="2" s="1"/>
  <c r="O73" i="2"/>
  <c r="M73" i="2" s="1"/>
  <c r="N59" i="3" l="1"/>
  <c r="L59" i="3" s="1"/>
  <c r="F59" i="3"/>
  <c r="O60" i="3"/>
  <c r="Q74" i="2"/>
  <c r="R74" i="2" s="1"/>
  <c r="P73" i="2"/>
  <c r="N73" i="2" s="1"/>
  <c r="G73" i="2" l="1"/>
  <c r="M60" i="3"/>
  <c r="K60" i="3" s="1"/>
  <c r="G60" i="3"/>
  <c r="E60" i="3" s="1"/>
  <c r="P60" i="3"/>
  <c r="H74" i="2"/>
  <c r="F74" i="2" s="1"/>
  <c r="O74" i="2"/>
  <c r="M74" i="2" s="1"/>
  <c r="O61" i="3" l="1"/>
  <c r="N60" i="3"/>
  <c r="F60" i="3" s="1"/>
  <c r="Q75" i="2"/>
  <c r="R75" i="2" s="1"/>
  <c r="P74" i="2"/>
  <c r="N74" i="2"/>
  <c r="G74" i="2"/>
  <c r="L60" i="3" l="1"/>
  <c r="M61" i="3"/>
  <c r="K61" i="3" s="1"/>
  <c r="G61" i="3"/>
  <c r="E61" i="3" s="1"/>
  <c r="P61" i="3"/>
  <c r="O75" i="2"/>
  <c r="M75" i="2" s="1"/>
  <c r="H75" i="2"/>
  <c r="F75" i="2" s="1"/>
  <c r="Q76" i="2" s="1"/>
  <c r="R76" i="2" s="1"/>
  <c r="O62" i="3" l="1"/>
  <c r="N61" i="3"/>
  <c r="F61" i="3" s="1"/>
  <c r="L61" i="3"/>
  <c r="H76" i="2"/>
  <c r="F76" i="2" s="1"/>
  <c r="O76" i="2"/>
  <c r="M76" i="2" s="1"/>
  <c r="P76" i="2" s="1"/>
  <c r="N76" i="2" s="1"/>
  <c r="P75" i="2"/>
  <c r="G75" i="2" s="1"/>
  <c r="N75" i="2"/>
  <c r="P62" i="3" l="1"/>
  <c r="M62" i="3"/>
  <c r="K62" i="3" s="1"/>
  <c r="G62" i="3"/>
  <c r="E62" i="3" s="1"/>
  <c r="Q77" i="2"/>
  <c r="R77" i="2" s="1"/>
  <c r="G76" i="2"/>
  <c r="O63" i="3" l="1"/>
  <c r="N62" i="3"/>
  <c r="F62" i="3" s="1"/>
  <c r="L62" i="3"/>
  <c r="H77" i="2"/>
  <c r="F77" i="2" s="1"/>
  <c r="O77" i="2"/>
  <c r="M77" i="2" s="1"/>
  <c r="P77" i="2" s="1"/>
  <c r="N77" i="2" s="1"/>
  <c r="P63" i="3" l="1"/>
  <c r="M63" i="3"/>
  <c r="K63" i="3" s="1"/>
  <c r="G63" i="3"/>
  <c r="E63" i="3" s="1"/>
  <c r="Q78" i="2"/>
  <c r="R78" i="2" s="1"/>
  <c r="G77" i="2"/>
  <c r="O64" i="3" l="1"/>
  <c r="N63" i="3"/>
  <c r="F63" i="3" s="1"/>
  <c r="L63" i="3"/>
  <c r="H78" i="2"/>
  <c r="F78" i="2" s="1"/>
  <c r="O78" i="2"/>
  <c r="M78" i="2" s="1"/>
  <c r="P64" i="3" l="1"/>
  <c r="G64" i="3"/>
  <c r="E64" i="3" s="1"/>
  <c r="M64" i="3"/>
  <c r="K64" i="3" s="1"/>
  <c r="Q79" i="2"/>
  <c r="R79" i="2" s="1"/>
  <c r="P78" i="2"/>
  <c r="G78" i="2" s="1"/>
  <c r="N78" i="2"/>
  <c r="N64" i="3" l="1"/>
  <c r="L64" i="3"/>
  <c r="F64" i="3"/>
  <c r="O65" i="3"/>
  <c r="H79" i="2"/>
  <c r="F79" i="2" s="1"/>
  <c r="O79" i="2"/>
  <c r="M79" i="2" s="1"/>
  <c r="G65" i="3" l="1"/>
  <c r="E65" i="3" s="1"/>
  <c r="M65" i="3"/>
  <c r="K65" i="3" s="1"/>
  <c r="P65" i="3"/>
  <c r="Q80" i="2"/>
  <c r="R80" i="2" s="1"/>
  <c r="P79" i="2"/>
  <c r="N79" i="2" s="1"/>
  <c r="N65" i="3" l="1"/>
  <c r="L65" i="3" s="1"/>
  <c r="F65" i="3"/>
  <c r="O66" i="3"/>
  <c r="G79" i="2"/>
  <c r="H80" i="2"/>
  <c r="F80" i="2" s="1"/>
  <c r="O80" i="2"/>
  <c r="M80" i="2" s="1"/>
  <c r="G66" i="3" l="1"/>
  <c r="E66" i="3" s="1"/>
  <c r="M66" i="3"/>
  <c r="K66" i="3" s="1"/>
  <c r="P66" i="3"/>
  <c r="Q81" i="2"/>
  <c r="R81" i="2" s="1"/>
  <c r="P80" i="2"/>
  <c r="N80" i="2" s="1"/>
  <c r="G80" i="2"/>
  <c r="N66" i="3" l="1"/>
  <c r="L66" i="3"/>
  <c r="F66" i="3"/>
  <c r="O67" i="3"/>
  <c r="H81" i="2"/>
  <c r="F81" i="2" s="1"/>
  <c r="O81" i="2"/>
  <c r="M81" i="2" s="1"/>
  <c r="P81" i="2" s="1"/>
  <c r="N81" i="2" s="1"/>
  <c r="G67" i="3" l="1"/>
  <c r="E67" i="3" s="1"/>
  <c r="P67" i="3"/>
  <c r="M67" i="3"/>
  <c r="K67" i="3" s="1"/>
  <c r="Q82" i="2"/>
  <c r="R82" i="2" s="1"/>
  <c r="G81" i="2"/>
  <c r="N67" i="3" l="1"/>
  <c r="L67" i="3" s="1"/>
  <c r="F67" i="3"/>
  <c r="O68" i="3"/>
  <c r="O82" i="2"/>
  <c r="M82" i="2" s="1"/>
  <c r="H82" i="2"/>
  <c r="F82" i="2" s="1"/>
  <c r="G68" i="3" l="1"/>
  <c r="E68" i="3" s="1"/>
  <c r="P68" i="3"/>
  <c r="M68" i="3"/>
  <c r="K68" i="3" s="1"/>
  <c r="Q83" i="2"/>
  <c r="R83" i="2" s="1"/>
  <c r="P82" i="2"/>
  <c r="G82" i="2" s="1"/>
  <c r="N68" i="3" l="1"/>
  <c r="L68" i="3" s="1"/>
  <c r="F68" i="3"/>
  <c r="O69" i="3"/>
  <c r="N82" i="2"/>
  <c r="H83" i="2"/>
  <c r="F83" i="2" s="1"/>
  <c r="O83" i="2"/>
  <c r="M83" i="2" s="1"/>
  <c r="P83" i="2" s="1"/>
  <c r="N83" i="2" s="1"/>
  <c r="M69" i="3" l="1"/>
  <c r="K69" i="3" s="1"/>
  <c r="G69" i="3"/>
  <c r="E69" i="3" s="1"/>
  <c r="P69" i="3"/>
  <c r="Q84" i="2"/>
  <c r="R84" i="2" s="1"/>
  <c r="G83" i="2"/>
  <c r="O70" i="3" l="1"/>
  <c r="N69" i="3"/>
  <c r="F69" i="3" s="1"/>
  <c r="H84" i="2"/>
  <c r="F84" i="2" s="1"/>
  <c r="O84" i="2"/>
  <c r="M84" i="2" s="1"/>
  <c r="L69" i="3" l="1"/>
  <c r="M70" i="3"/>
  <c r="K70" i="3" s="1"/>
  <c r="P70" i="3"/>
  <c r="G70" i="3"/>
  <c r="E70" i="3" s="1"/>
  <c r="Q85" i="2"/>
  <c r="R85" i="2" s="1"/>
  <c r="P84" i="2"/>
  <c r="N84" i="2" s="1"/>
  <c r="G84" i="2"/>
  <c r="O71" i="3" l="1"/>
  <c r="N70" i="3"/>
  <c r="F70" i="3" s="1"/>
  <c r="L70" i="3"/>
  <c r="H85" i="2"/>
  <c r="F85" i="2" s="1"/>
  <c r="O85" i="2"/>
  <c r="M85" i="2" s="1"/>
  <c r="P85" i="2" s="1"/>
  <c r="N85" i="2" s="1"/>
  <c r="P71" i="3" l="1"/>
  <c r="M71" i="3"/>
  <c r="K71" i="3" s="1"/>
  <c r="G71" i="3"/>
  <c r="E71" i="3" s="1"/>
  <c r="Q86" i="2"/>
  <c r="R86" i="2" s="1"/>
  <c r="G85" i="2"/>
  <c r="O72" i="3" l="1"/>
  <c r="N71" i="3"/>
  <c r="F71" i="3" s="1"/>
  <c r="L71" i="3"/>
  <c r="H86" i="2"/>
  <c r="F86" i="2" s="1"/>
  <c r="O86" i="2"/>
  <c r="M86" i="2" s="1"/>
  <c r="P86" i="2" s="1"/>
  <c r="N86" i="2" s="1"/>
  <c r="P72" i="3" l="1"/>
  <c r="G72" i="3"/>
  <c r="E72" i="3" s="1"/>
  <c r="M72" i="3"/>
  <c r="K72" i="3" s="1"/>
  <c r="Q87" i="2"/>
  <c r="R87" i="2" s="1"/>
  <c r="G86" i="2"/>
  <c r="N72" i="3" l="1"/>
  <c r="L72" i="3" s="1"/>
  <c r="F72" i="3"/>
  <c r="O73" i="3"/>
  <c r="O87" i="2"/>
  <c r="M87" i="2" s="1"/>
  <c r="H87" i="2"/>
  <c r="F87" i="2" s="1"/>
  <c r="Q88" i="2" s="1"/>
  <c r="R88" i="2" s="1"/>
  <c r="P73" i="3" l="1"/>
  <c r="M73" i="3"/>
  <c r="K73" i="3" s="1"/>
  <c r="G73" i="3"/>
  <c r="E73" i="3" s="1"/>
  <c r="O88" i="2"/>
  <c r="M88" i="2" s="1"/>
  <c r="H88" i="2"/>
  <c r="F88" i="2" s="1"/>
  <c r="Q89" i="2" s="1"/>
  <c r="R89" i="2" s="1"/>
  <c r="P87" i="2"/>
  <c r="G87" i="2" s="1"/>
  <c r="N87" i="2"/>
  <c r="O74" i="3" l="1"/>
  <c r="N73" i="3"/>
  <c r="F73" i="3" s="1"/>
  <c r="L73" i="3"/>
  <c r="O89" i="2"/>
  <c r="M89" i="2" s="1"/>
  <c r="H89" i="2"/>
  <c r="F89" i="2" s="1"/>
  <c r="Q90" i="2" s="1"/>
  <c r="R90" i="2" s="1"/>
  <c r="P88" i="2"/>
  <c r="G88" i="2" s="1"/>
  <c r="N88" i="2"/>
  <c r="P74" i="3" l="1"/>
  <c r="M74" i="3"/>
  <c r="K74" i="3" s="1"/>
  <c r="G74" i="3"/>
  <c r="E74" i="3" s="1"/>
  <c r="O90" i="2"/>
  <c r="M90" i="2" s="1"/>
  <c r="H90" i="2"/>
  <c r="F90" i="2" s="1"/>
  <c r="P89" i="2"/>
  <c r="G89" i="2" s="1"/>
  <c r="O75" i="3" l="1"/>
  <c r="N74" i="3"/>
  <c r="F74" i="3" s="1"/>
  <c r="L74" i="3"/>
  <c r="N89" i="2"/>
  <c r="Q91" i="2"/>
  <c r="R91" i="2" s="1"/>
  <c r="H91" i="2"/>
  <c r="F91" i="2" s="1"/>
  <c r="P90" i="2"/>
  <c r="G90" i="2" s="1"/>
  <c r="N90" i="2"/>
  <c r="O91" i="2" l="1"/>
  <c r="M91" i="2" s="1"/>
  <c r="Q92" i="2"/>
  <c r="R92" i="2" s="1"/>
  <c r="G75" i="3"/>
  <c r="E75" i="3" s="1"/>
  <c r="M75" i="3"/>
  <c r="K75" i="3" s="1"/>
  <c r="P75" i="3"/>
  <c r="P91" i="2"/>
  <c r="N91" i="2" s="1"/>
  <c r="N75" i="3" l="1"/>
  <c r="L75" i="3"/>
  <c r="F75" i="3"/>
  <c r="O76" i="3"/>
  <c r="G91" i="2"/>
  <c r="H92" i="2"/>
  <c r="F92" i="2" s="1"/>
  <c r="O92" i="2"/>
  <c r="M92" i="2" s="1"/>
  <c r="G76" i="3" l="1"/>
  <c r="E76" i="3" s="1"/>
  <c r="M76" i="3"/>
  <c r="K76" i="3" s="1"/>
  <c r="P76" i="3"/>
  <c r="Q93" i="2"/>
  <c r="R93" i="2" s="1"/>
  <c r="P92" i="2"/>
  <c r="G92" i="2" s="1"/>
  <c r="N92" i="2"/>
  <c r="N76" i="3" l="1"/>
  <c r="L76" i="3" s="1"/>
  <c r="F76" i="3"/>
  <c r="O77" i="3"/>
  <c r="O93" i="2"/>
  <c r="M93" i="2" s="1"/>
  <c r="H93" i="2"/>
  <c r="F93" i="2" s="1"/>
  <c r="Q94" i="2" s="1"/>
  <c r="R94" i="2" s="1"/>
  <c r="G77" i="3" l="1"/>
  <c r="E77" i="3" s="1"/>
  <c r="P77" i="3"/>
  <c r="M77" i="3"/>
  <c r="K77" i="3" s="1"/>
  <c r="O94" i="2"/>
  <c r="M94" i="2" s="1"/>
  <c r="H94" i="2"/>
  <c r="F94" i="2" s="1"/>
  <c r="Q95" i="2" s="1"/>
  <c r="R95" i="2" s="1"/>
  <c r="P93" i="2"/>
  <c r="G93" i="2" s="1"/>
  <c r="N77" i="3" l="1"/>
  <c r="L77" i="3"/>
  <c r="O78" i="3"/>
  <c r="F77" i="3"/>
  <c r="N93" i="2"/>
  <c r="P94" i="2"/>
  <c r="N94" i="2" s="1"/>
  <c r="P78" i="3" l="1"/>
  <c r="M78" i="3"/>
  <c r="K78" i="3" s="1"/>
  <c r="G78" i="3"/>
  <c r="E78" i="3" s="1"/>
  <c r="G94" i="2"/>
  <c r="H95" i="2"/>
  <c r="F95" i="2" s="1"/>
  <c r="O95" i="2"/>
  <c r="M95" i="2" s="1"/>
  <c r="P95" i="2" s="1"/>
  <c r="N95" i="2" s="1"/>
  <c r="O79" i="3" l="1"/>
  <c r="N78" i="3"/>
  <c r="F78" i="3" s="1"/>
  <c r="Q96" i="2"/>
  <c r="R96" i="2" s="1"/>
  <c r="G95" i="2"/>
  <c r="L78" i="3" l="1"/>
  <c r="M79" i="3"/>
  <c r="K79" i="3" s="1"/>
  <c r="G79" i="3"/>
  <c r="E79" i="3" s="1"/>
  <c r="P79" i="3"/>
  <c r="O96" i="2"/>
  <c r="M96" i="2" s="1"/>
  <c r="H96" i="2"/>
  <c r="F96" i="2" s="1"/>
  <c r="Q97" i="2" s="1"/>
  <c r="R97" i="2" s="1"/>
  <c r="O80" i="3" l="1"/>
  <c r="N79" i="3"/>
  <c r="F79" i="3" s="1"/>
  <c r="P96" i="2"/>
  <c r="N96" i="2" s="1"/>
  <c r="L79" i="3" l="1"/>
  <c r="M80" i="3"/>
  <c r="K80" i="3" s="1"/>
  <c r="G80" i="3"/>
  <c r="E80" i="3" s="1"/>
  <c r="P80" i="3"/>
  <c r="G96" i="2"/>
  <c r="H97" i="2"/>
  <c r="F97" i="2" s="1"/>
  <c r="O97" i="2"/>
  <c r="M97" i="2" s="1"/>
  <c r="O81" i="3" l="1"/>
  <c r="N80" i="3"/>
  <c r="F80" i="3" s="1"/>
  <c r="L80" i="3"/>
  <c r="Q98" i="2"/>
  <c r="R98" i="2" s="1"/>
  <c r="P97" i="2"/>
  <c r="N97" i="2"/>
  <c r="G97" i="2"/>
  <c r="P81" i="3" l="1"/>
  <c r="M81" i="3"/>
  <c r="K81" i="3" s="1"/>
  <c r="G81" i="3"/>
  <c r="E81" i="3" s="1"/>
  <c r="O98" i="2"/>
  <c r="M98" i="2" s="1"/>
  <c r="H98" i="2"/>
  <c r="F98" i="2" s="1"/>
  <c r="Q99" i="2" s="1"/>
  <c r="R99" i="2" s="1"/>
  <c r="O82" i="3" l="1"/>
  <c r="N81" i="3"/>
  <c r="F81" i="3" s="1"/>
  <c r="L81" i="3"/>
  <c r="H99" i="2"/>
  <c r="F99" i="2" s="1"/>
  <c r="O99" i="2"/>
  <c r="M99" i="2" s="1"/>
  <c r="P98" i="2"/>
  <c r="G98" i="2" s="1"/>
  <c r="P82" i="3" l="1"/>
  <c r="G82" i="3"/>
  <c r="E82" i="3" s="1"/>
  <c r="M82" i="3"/>
  <c r="K82" i="3" s="1"/>
  <c r="N98" i="2"/>
  <c r="Q100" i="2"/>
  <c r="R100" i="2" s="1"/>
  <c r="P99" i="2"/>
  <c r="N99" i="2"/>
  <c r="G99" i="2"/>
  <c r="N82" i="3" l="1"/>
  <c r="L82" i="3"/>
  <c r="F82" i="3"/>
  <c r="O83" i="3"/>
  <c r="O100" i="2"/>
  <c r="M100" i="2" s="1"/>
  <c r="H100" i="2"/>
  <c r="F100" i="2" s="1"/>
  <c r="Q101" i="2" s="1"/>
  <c r="R101" i="2" s="1"/>
  <c r="P83" i="3" l="1"/>
  <c r="G83" i="3"/>
  <c r="E83" i="3" s="1"/>
  <c r="M83" i="3"/>
  <c r="K83" i="3" s="1"/>
  <c r="O101" i="2"/>
  <c r="M101" i="2" s="1"/>
  <c r="H101" i="2"/>
  <c r="F101" i="2" s="1"/>
  <c r="Q102" i="2" s="1"/>
  <c r="R102" i="2" s="1"/>
  <c r="P100" i="2"/>
  <c r="G100" i="2" s="1"/>
  <c r="N83" i="3" l="1"/>
  <c r="L83" i="3" s="1"/>
  <c r="O84" i="3"/>
  <c r="F83" i="3"/>
  <c r="N100" i="2"/>
  <c r="P101" i="2"/>
  <c r="N101" i="2" s="1"/>
  <c r="M84" i="3" l="1"/>
  <c r="K84" i="3" s="1"/>
  <c r="P84" i="3"/>
  <c r="G84" i="3"/>
  <c r="E84" i="3" s="1"/>
  <c r="G101" i="2"/>
  <c r="H102" i="2"/>
  <c r="F102" i="2" s="1"/>
  <c r="O102" i="2"/>
  <c r="M102" i="2" s="1"/>
  <c r="O85" i="3" l="1"/>
  <c r="N84" i="3"/>
  <c r="F84" i="3" s="1"/>
  <c r="L84" i="3"/>
  <c r="Q103" i="2"/>
  <c r="R103" i="2" s="1"/>
  <c r="P102" i="2"/>
  <c r="G102" i="2" s="1"/>
  <c r="N102" i="2"/>
  <c r="P85" i="3" l="1"/>
  <c r="M85" i="3"/>
  <c r="K85" i="3" s="1"/>
  <c r="G85" i="3"/>
  <c r="E85" i="3" s="1"/>
  <c r="O103" i="2"/>
  <c r="M103" i="2" s="1"/>
  <c r="H103" i="2"/>
  <c r="F103" i="2" s="1"/>
  <c r="Q104" i="2" s="1"/>
  <c r="R104" i="2" s="1"/>
  <c r="O86" i="3" l="1"/>
  <c r="N85" i="3"/>
  <c r="F85" i="3" s="1"/>
  <c r="L85" i="3"/>
  <c r="P103" i="2"/>
  <c r="G103" i="2" s="1"/>
  <c r="N103" i="2" l="1"/>
  <c r="G86" i="3"/>
  <c r="E86" i="3" s="1"/>
  <c r="P86" i="3"/>
  <c r="M86" i="3"/>
  <c r="K86" i="3" s="1"/>
  <c r="O104" i="2"/>
  <c r="M104" i="2" s="1"/>
  <c r="H104" i="2"/>
  <c r="F104" i="2" s="1"/>
  <c r="Q105" i="2" s="1"/>
  <c r="R105" i="2" s="1"/>
  <c r="N86" i="3" l="1"/>
  <c r="L86" i="3" s="1"/>
  <c r="F86" i="3"/>
  <c r="O87" i="3"/>
  <c r="O105" i="2"/>
  <c r="M105" i="2" s="1"/>
  <c r="H105" i="2"/>
  <c r="F105" i="2" s="1"/>
  <c r="Q106" i="2" s="1"/>
  <c r="R106" i="2" s="1"/>
  <c r="P104" i="2"/>
  <c r="G104" i="2" s="1"/>
  <c r="N104" i="2"/>
  <c r="G87" i="3" l="1"/>
  <c r="E87" i="3" s="1"/>
  <c r="M87" i="3"/>
  <c r="K87" i="3" s="1"/>
  <c r="P87" i="3"/>
  <c r="O106" i="2"/>
  <c r="M106" i="2" s="1"/>
  <c r="H106" i="2"/>
  <c r="F106" i="2" s="1"/>
  <c r="P105" i="2"/>
  <c r="G105" i="2" s="1"/>
  <c r="N105" i="2"/>
  <c r="N87" i="3" l="1"/>
  <c r="L87" i="3"/>
  <c r="O88" i="3"/>
  <c r="F87" i="3"/>
  <c r="Q107" i="2"/>
  <c r="R107" i="2" s="1"/>
  <c r="O107" i="2"/>
  <c r="M107" i="2" s="1"/>
  <c r="P106" i="2"/>
  <c r="G106" i="2" s="1"/>
  <c r="P88" i="3" l="1"/>
  <c r="M88" i="3"/>
  <c r="K88" i="3" s="1"/>
  <c r="G88" i="3"/>
  <c r="E88" i="3" s="1"/>
  <c r="H107" i="2"/>
  <c r="F107" i="2" s="1"/>
  <c r="Q108" i="2"/>
  <c r="R108" i="2" s="1"/>
  <c r="N106" i="2"/>
  <c r="P107" i="2"/>
  <c r="N107" i="2" s="1"/>
  <c r="O89" i="3" l="1"/>
  <c r="N88" i="3"/>
  <c r="F88" i="3" s="1"/>
  <c r="G107" i="2"/>
  <c r="H108" i="2"/>
  <c r="F108" i="2" s="1"/>
  <c r="O108" i="2"/>
  <c r="M108" i="2" s="1"/>
  <c r="L88" i="3" l="1"/>
  <c r="M89" i="3"/>
  <c r="K89" i="3" s="1"/>
  <c r="G89" i="3"/>
  <c r="E89" i="3" s="1"/>
  <c r="P89" i="3"/>
  <c r="Q109" i="2"/>
  <c r="R109" i="2" s="1"/>
  <c r="P108" i="2"/>
  <c r="N108" i="2" s="1"/>
  <c r="G108" i="2"/>
  <c r="O90" i="3" l="1"/>
  <c r="N89" i="3"/>
  <c r="F89" i="3" s="1"/>
  <c r="H109" i="2"/>
  <c r="F109" i="2" s="1"/>
  <c r="O109" i="2"/>
  <c r="M109" i="2" s="1"/>
  <c r="L89" i="3" l="1"/>
  <c r="M90" i="3"/>
  <c r="K90" i="3" s="1"/>
  <c r="G90" i="3"/>
  <c r="E90" i="3" s="1"/>
  <c r="P90" i="3"/>
  <c r="Q110" i="2"/>
  <c r="R110" i="2" s="1"/>
  <c r="P109" i="2"/>
  <c r="N109" i="2" s="1"/>
  <c r="G109" i="2"/>
  <c r="O91" i="3" l="1"/>
  <c r="N90" i="3"/>
  <c r="F90" i="3" s="1"/>
  <c r="L90" i="3"/>
  <c r="O110" i="2"/>
  <c r="M110" i="2" s="1"/>
  <c r="H110" i="2"/>
  <c r="F110" i="2" s="1"/>
  <c r="Q111" i="2" s="1"/>
  <c r="R111" i="2" s="1"/>
  <c r="P91" i="3" l="1"/>
  <c r="M91" i="3"/>
  <c r="K91" i="3" s="1"/>
  <c r="G91" i="3"/>
  <c r="E91" i="3" s="1"/>
  <c r="O111" i="2"/>
  <c r="M111" i="2" s="1"/>
  <c r="H111" i="2"/>
  <c r="F111" i="2" s="1"/>
  <c r="Q112" i="2" s="1"/>
  <c r="R112" i="2" s="1"/>
  <c r="P110" i="2"/>
  <c r="G110" i="2" s="1"/>
  <c r="N110" i="2"/>
  <c r="O92" i="3" l="1"/>
  <c r="N91" i="3"/>
  <c r="F91" i="3" s="1"/>
  <c r="L91" i="3"/>
  <c r="H112" i="2"/>
  <c r="F112" i="2" s="1"/>
  <c r="O112" i="2"/>
  <c r="M112" i="2" s="1"/>
  <c r="P111" i="2"/>
  <c r="G111" i="2" s="1"/>
  <c r="N111" i="2"/>
  <c r="P92" i="3" l="1"/>
  <c r="G92" i="3"/>
  <c r="E92" i="3" s="1"/>
  <c r="M92" i="3"/>
  <c r="K92" i="3" s="1"/>
  <c r="Q113" i="2"/>
  <c r="R113" i="2" s="1"/>
  <c r="P112" i="2"/>
  <c r="G112" i="2" s="1"/>
  <c r="N112" i="2"/>
  <c r="N92" i="3" l="1"/>
  <c r="L92" i="3"/>
  <c r="F92" i="3"/>
  <c r="O93" i="3"/>
  <c r="O113" i="2"/>
  <c r="M113" i="2" s="1"/>
  <c r="H113" i="2"/>
  <c r="F113" i="2" s="1"/>
  <c r="Q114" i="2" s="1"/>
  <c r="R114" i="2" s="1"/>
  <c r="P93" i="3" l="1"/>
  <c r="G93" i="3"/>
  <c r="E93" i="3" s="1"/>
  <c r="M93" i="3"/>
  <c r="K93" i="3" s="1"/>
  <c r="O114" i="2"/>
  <c r="M114" i="2" s="1"/>
  <c r="H114" i="2"/>
  <c r="F114" i="2" s="1"/>
  <c r="Q115" i="2" s="1"/>
  <c r="R115" i="2" s="1"/>
  <c r="P113" i="2"/>
  <c r="G113" i="2" s="1"/>
  <c r="N93" i="3" l="1"/>
  <c r="L93" i="3"/>
  <c r="F93" i="3"/>
  <c r="O94" i="3"/>
  <c r="N113" i="2"/>
  <c r="H115" i="2"/>
  <c r="F115" i="2" s="1"/>
  <c r="O115" i="2"/>
  <c r="M115" i="2" s="1"/>
  <c r="P115" i="2" s="1"/>
  <c r="N115" i="2" s="1"/>
  <c r="P114" i="2"/>
  <c r="G114" i="2" s="1"/>
  <c r="M94" i="3" l="1"/>
  <c r="K94" i="3" s="1"/>
  <c r="G94" i="3"/>
  <c r="E94" i="3" s="1"/>
  <c r="P94" i="3"/>
  <c r="N114" i="2"/>
  <c r="Q116" i="2"/>
  <c r="R116" i="2" s="1"/>
  <c r="G115" i="2"/>
  <c r="O95" i="3" l="1"/>
  <c r="N94" i="3"/>
  <c r="F94" i="3" s="1"/>
  <c r="O116" i="2"/>
  <c r="M116" i="2" s="1"/>
  <c r="H116" i="2"/>
  <c r="F116" i="2" s="1"/>
  <c r="Q117" i="2" s="1"/>
  <c r="R117" i="2" s="1"/>
  <c r="L94" i="3" l="1"/>
  <c r="P95" i="3"/>
  <c r="M95" i="3"/>
  <c r="K95" i="3" s="1"/>
  <c r="G95" i="3"/>
  <c r="E95" i="3" s="1"/>
  <c r="P116" i="2"/>
  <c r="N116" i="2" s="1"/>
  <c r="O96" i="3" l="1"/>
  <c r="N95" i="3"/>
  <c r="F95" i="3" s="1"/>
  <c r="L95" i="3"/>
  <c r="G116" i="2"/>
  <c r="H117" i="2"/>
  <c r="F117" i="2" s="1"/>
  <c r="O117" i="2"/>
  <c r="M117" i="2" s="1"/>
  <c r="G96" i="3" l="1"/>
  <c r="E96" i="3" s="1"/>
  <c r="P96" i="3"/>
  <c r="M96" i="3"/>
  <c r="K96" i="3" s="1"/>
  <c r="Q118" i="2"/>
  <c r="R118" i="2" s="1"/>
  <c r="P117" i="2"/>
  <c r="N117" i="2" s="1"/>
  <c r="G117" i="2"/>
  <c r="N96" i="3" l="1"/>
  <c r="L96" i="3"/>
  <c r="F96" i="3"/>
  <c r="O97" i="3"/>
  <c r="H118" i="2"/>
  <c r="F118" i="2" s="1"/>
  <c r="O118" i="2"/>
  <c r="M118" i="2" s="1"/>
  <c r="G97" i="3" l="1"/>
  <c r="E97" i="3" s="1"/>
  <c r="M97" i="3"/>
  <c r="K97" i="3" s="1"/>
  <c r="P97" i="3"/>
  <c r="Q119" i="2"/>
  <c r="R119" i="2" s="1"/>
  <c r="P118" i="2"/>
  <c r="N118" i="2"/>
  <c r="G118" i="2"/>
  <c r="N97" i="3" l="1"/>
  <c r="L97" i="3" s="1"/>
  <c r="O98" i="3"/>
  <c r="F97" i="3"/>
  <c r="H119" i="2"/>
  <c r="F119" i="2" s="1"/>
  <c r="O119" i="2"/>
  <c r="M119" i="2" s="1"/>
  <c r="M98" i="3" l="1"/>
  <c r="K98" i="3" s="1"/>
  <c r="G98" i="3"/>
  <c r="E98" i="3" s="1"/>
  <c r="P98" i="3"/>
  <c r="Q120" i="2"/>
  <c r="R120" i="2" s="1"/>
  <c r="P119" i="2"/>
  <c r="N119" i="2"/>
  <c r="G119" i="2"/>
  <c r="O99" i="3" l="1"/>
  <c r="N98" i="3"/>
  <c r="F98" i="3" s="1"/>
  <c r="H120" i="2"/>
  <c r="F120" i="2" s="1"/>
  <c r="O120" i="2"/>
  <c r="M120" i="2" s="1"/>
  <c r="L98" i="3" l="1"/>
  <c r="M99" i="3"/>
  <c r="K99" i="3" s="1"/>
  <c r="P99" i="3"/>
  <c r="G99" i="3"/>
  <c r="E99" i="3" s="1"/>
  <c r="Q121" i="2"/>
  <c r="R121" i="2" s="1"/>
  <c r="P120" i="2"/>
  <c r="N120" i="2"/>
  <c r="G120" i="2"/>
  <c r="O100" i="3" l="1"/>
  <c r="N99" i="3"/>
  <c r="F99" i="3" s="1"/>
  <c r="O121" i="2"/>
  <c r="M121" i="2" s="1"/>
  <c r="H121" i="2"/>
  <c r="F121" i="2" s="1"/>
  <c r="Q122" i="2" s="1"/>
  <c r="R122" i="2" s="1"/>
  <c r="L99" i="3" l="1"/>
  <c r="M100" i="3"/>
  <c r="K100" i="3" s="1"/>
  <c r="G100" i="3"/>
  <c r="E100" i="3" s="1"/>
  <c r="P100" i="3"/>
  <c r="P121" i="2"/>
  <c r="N121" i="2" s="1"/>
  <c r="O101" i="3" l="1"/>
  <c r="N100" i="3"/>
  <c r="F100" i="3" s="1"/>
  <c r="L100" i="3"/>
  <c r="G121" i="2"/>
  <c r="O122" i="2"/>
  <c r="M122" i="2" s="1"/>
  <c r="H122" i="2"/>
  <c r="F122" i="2" s="1"/>
  <c r="Q123" i="2" s="1"/>
  <c r="R123" i="2" s="1"/>
  <c r="P101" i="3" l="1"/>
  <c r="M101" i="3"/>
  <c r="K101" i="3" s="1"/>
  <c r="G101" i="3"/>
  <c r="E101" i="3" s="1"/>
  <c r="O123" i="2"/>
  <c r="M123" i="2" s="1"/>
  <c r="H123" i="2"/>
  <c r="F123" i="2" s="1"/>
  <c r="Q124" i="2" s="1"/>
  <c r="R124" i="2" s="1"/>
  <c r="P122" i="2"/>
  <c r="G122" i="2" s="1"/>
  <c r="O102" i="3" l="1"/>
  <c r="N101" i="3"/>
  <c r="F101" i="3" s="1"/>
  <c r="L101" i="3"/>
  <c r="N122" i="2"/>
  <c r="H124" i="2"/>
  <c r="F124" i="2" s="1"/>
  <c r="O124" i="2"/>
  <c r="M124" i="2" s="1"/>
  <c r="P124" i="2" s="1"/>
  <c r="N124" i="2" s="1"/>
  <c r="P123" i="2"/>
  <c r="G123" i="2" s="1"/>
  <c r="P102" i="3" l="1"/>
  <c r="M102" i="3"/>
  <c r="K102" i="3" s="1"/>
  <c r="G102" i="3"/>
  <c r="E102" i="3" s="1"/>
  <c r="Q125" i="2"/>
  <c r="R125" i="2" s="1"/>
  <c r="N123" i="2"/>
  <c r="G124" i="2"/>
  <c r="O103" i="3" l="1"/>
  <c r="N102" i="3"/>
  <c r="F102" i="3" s="1"/>
  <c r="L102" i="3"/>
  <c r="H125" i="2"/>
  <c r="F125" i="2" s="1"/>
  <c r="O125" i="2"/>
  <c r="M125" i="2" s="1"/>
  <c r="P125" i="2" s="1"/>
  <c r="N125" i="2" s="1"/>
  <c r="P103" i="3" l="1"/>
  <c r="G103" i="3"/>
  <c r="E103" i="3" s="1"/>
  <c r="M103" i="3"/>
  <c r="K103" i="3" s="1"/>
  <c r="Q126" i="2"/>
  <c r="R126" i="2" s="1"/>
  <c r="G125" i="2"/>
  <c r="N103" i="3" l="1"/>
  <c r="L103" i="3" s="1"/>
  <c r="O104" i="3"/>
  <c r="F103" i="3"/>
  <c r="O126" i="2"/>
  <c r="M126" i="2" s="1"/>
  <c r="H126" i="2"/>
  <c r="F126" i="2" s="1"/>
  <c r="Q127" i="2" s="1"/>
  <c r="R127" i="2" s="1"/>
  <c r="M104" i="3" l="1"/>
  <c r="K104" i="3" s="1"/>
  <c r="P104" i="3"/>
  <c r="G104" i="3"/>
  <c r="E104" i="3" s="1"/>
  <c r="R131" i="2"/>
  <c r="O127" i="2"/>
  <c r="I135" i="2" s="1"/>
  <c r="H127" i="2"/>
  <c r="P126" i="2"/>
  <c r="G126" i="2" s="1"/>
  <c r="N126" i="2"/>
  <c r="O105" i="3" l="1"/>
  <c r="N104" i="3"/>
  <c r="F104" i="3" s="1"/>
  <c r="L104" i="3"/>
  <c r="D135" i="2"/>
  <c r="M127" i="2"/>
  <c r="P127" i="2" s="1"/>
  <c r="G127" i="2" s="1"/>
  <c r="J135" i="2"/>
  <c r="K135" i="2"/>
  <c r="Q135" i="2"/>
  <c r="R135" i="2"/>
  <c r="P135" i="2"/>
  <c r="F127" i="2"/>
  <c r="C135" i="2"/>
  <c r="G105" i="3" l="1"/>
  <c r="E105" i="3" s="1"/>
  <c r="P105" i="3"/>
  <c r="M105" i="3"/>
  <c r="K105" i="3" s="1"/>
  <c r="Q237" i="2"/>
  <c r="Q227" i="2"/>
  <c r="Q217" i="2"/>
  <c r="Q207" i="2"/>
  <c r="Q197" i="2"/>
  <c r="Q187" i="2"/>
  <c r="Q177" i="2"/>
  <c r="Q167" i="2"/>
  <c r="Q157" i="2"/>
  <c r="Q147" i="2"/>
  <c r="Q240" i="2"/>
  <c r="Q230" i="2"/>
  <c r="Q220" i="2"/>
  <c r="Q210" i="2"/>
  <c r="Q200" i="2"/>
  <c r="Q190" i="2"/>
  <c r="Q180" i="2"/>
  <c r="Q170" i="2"/>
  <c r="Q160" i="2"/>
  <c r="Q150" i="2"/>
  <c r="Q233" i="2"/>
  <c r="Q223" i="2"/>
  <c r="Q213" i="2"/>
  <c r="Q203" i="2"/>
  <c r="Q193" i="2"/>
  <c r="Q183" i="2"/>
  <c r="Q173" i="2"/>
  <c r="Q163" i="2"/>
  <c r="Q153" i="2"/>
  <c r="Q143" i="2"/>
  <c r="Q236" i="2"/>
  <c r="Q226" i="2"/>
  <c r="Q216" i="2"/>
  <c r="Q206" i="2"/>
  <c r="Q196" i="2"/>
  <c r="Q186" i="2"/>
  <c r="Q176" i="2"/>
  <c r="Q166" i="2"/>
  <c r="Q156" i="2"/>
  <c r="Q146" i="2"/>
  <c r="Q239" i="2"/>
  <c r="Q229" i="2"/>
  <c r="Q219" i="2"/>
  <c r="Q209" i="2"/>
  <c r="Q199" i="2"/>
  <c r="Q189" i="2"/>
  <c r="Q179" i="2"/>
  <c r="Q169" i="2"/>
  <c r="Q159" i="2"/>
  <c r="Q149" i="2"/>
  <c r="Q224" i="2"/>
  <c r="Q204" i="2"/>
  <c r="Q184" i="2"/>
  <c r="Q164" i="2"/>
  <c r="Q144" i="2"/>
  <c r="Q154" i="2"/>
  <c r="Q232" i="2"/>
  <c r="Q192" i="2"/>
  <c r="Q152" i="2"/>
  <c r="Q205" i="2"/>
  <c r="Q178" i="2"/>
  <c r="Q211" i="2"/>
  <c r="Q171" i="2"/>
  <c r="Q222" i="2"/>
  <c r="Q202" i="2"/>
  <c r="Q182" i="2"/>
  <c r="Q162" i="2"/>
  <c r="Q142" i="2"/>
  <c r="Q172" i="2"/>
  <c r="Q145" i="2"/>
  <c r="Q158" i="2"/>
  <c r="Q231" i="2"/>
  <c r="Q191" i="2"/>
  <c r="Q151" i="2"/>
  <c r="Q235" i="2"/>
  <c r="Q215" i="2"/>
  <c r="Q195" i="2"/>
  <c r="Q175" i="2"/>
  <c r="Q155" i="2"/>
  <c r="Q185" i="2"/>
  <c r="Q218" i="2"/>
  <c r="Q198" i="2"/>
  <c r="Q228" i="2"/>
  <c r="Q208" i="2"/>
  <c r="Q188" i="2"/>
  <c r="Q168" i="2"/>
  <c r="Q148" i="2"/>
  <c r="Q238" i="2"/>
  <c r="Q221" i="2"/>
  <c r="Q201" i="2"/>
  <c r="Q181" i="2"/>
  <c r="Q161" i="2"/>
  <c r="Q141" i="2"/>
  <c r="Q212" i="2"/>
  <c r="Q225" i="2"/>
  <c r="Q165" i="2"/>
  <c r="Q234" i="2"/>
  <c r="Q214" i="2"/>
  <c r="Q194" i="2"/>
  <c r="Q174" i="2"/>
  <c r="R240" i="2"/>
  <c r="R230" i="2"/>
  <c r="R220" i="2"/>
  <c r="R210" i="2"/>
  <c r="R200" i="2"/>
  <c r="R190" i="2"/>
  <c r="R180" i="2"/>
  <c r="R170" i="2"/>
  <c r="R160" i="2"/>
  <c r="R150" i="2"/>
  <c r="R233" i="2"/>
  <c r="R223" i="2"/>
  <c r="R213" i="2"/>
  <c r="R203" i="2"/>
  <c r="R193" i="2"/>
  <c r="R183" i="2"/>
  <c r="R173" i="2"/>
  <c r="R163" i="2"/>
  <c r="R153" i="2"/>
  <c r="R143" i="2"/>
  <c r="R236" i="2"/>
  <c r="R226" i="2"/>
  <c r="R216" i="2"/>
  <c r="R206" i="2"/>
  <c r="R196" i="2"/>
  <c r="R186" i="2"/>
  <c r="R176" i="2"/>
  <c r="R166" i="2"/>
  <c r="R156" i="2"/>
  <c r="R146" i="2"/>
  <c r="R239" i="2"/>
  <c r="R229" i="2"/>
  <c r="R219" i="2"/>
  <c r="R209" i="2"/>
  <c r="R199" i="2"/>
  <c r="R189" i="2"/>
  <c r="R179" i="2"/>
  <c r="R169" i="2"/>
  <c r="R159" i="2"/>
  <c r="R149" i="2"/>
  <c r="R232" i="2"/>
  <c r="R222" i="2"/>
  <c r="R212" i="2"/>
  <c r="R202" i="2"/>
  <c r="R192" i="2"/>
  <c r="R182" i="2"/>
  <c r="R172" i="2"/>
  <c r="R162" i="2"/>
  <c r="R152" i="2"/>
  <c r="R142" i="2"/>
  <c r="R237" i="2"/>
  <c r="R217" i="2"/>
  <c r="R197" i="2"/>
  <c r="R177" i="2"/>
  <c r="R157" i="2"/>
  <c r="R158" i="2"/>
  <c r="R231" i="2"/>
  <c r="R235" i="2"/>
  <c r="R215" i="2"/>
  <c r="R195" i="2"/>
  <c r="R175" i="2"/>
  <c r="R155" i="2"/>
  <c r="R167" i="2"/>
  <c r="R228" i="2"/>
  <c r="R208" i="2"/>
  <c r="R188" i="2"/>
  <c r="R168" i="2"/>
  <c r="R148" i="2"/>
  <c r="R147" i="2"/>
  <c r="R225" i="2"/>
  <c r="R218" i="2"/>
  <c r="R171" i="2"/>
  <c r="R151" i="2"/>
  <c r="R221" i="2"/>
  <c r="R201" i="2"/>
  <c r="R181" i="2"/>
  <c r="R161" i="2"/>
  <c r="R141" i="2"/>
  <c r="R178" i="2"/>
  <c r="R191" i="2"/>
  <c r="R204" i="2"/>
  <c r="R234" i="2"/>
  <c r="R214" i="2"/>
  <c r="R194" i="2"/>
  <c r="R174" i="2"/>
  <c r="R154" i="2"/>
  <c r="R185" i="2"/>
  <c r="R145" i="2"/>
  <c r="R198" i="2"/>
  <c r="R211" i="2"/>
  <c r="R224" i="2"/>
  <c r="R184" i="2"/>
  <c r="R144" i="2"/>
  <c r="R227" i="2"/>
  <c r="R207" i="2"/>
  <c r="R187" i="2"/>
  <c r="R205" i="2"/>
  <c r="R165" i="2"/>
  <c r="R238" i="2"/>
  <c r="R164" i="2"/>
  <c r="I151" i="2"/>
  <c r="I161" i="2"/>
  <c r="I171" i="2"/>
  <c r="I181" i="2"/>
  <c r="I191" i="2"/>
  <c r="I201" i="2"/>
  <c r="I211" i="2"/>
  <c r="I221" i="2"/>
  <c r="I148" i="2"/>
  <c r="I158" i="2"/>
  <c r="I168" i="2"/>
  <c r="I178" i="2"/>
  <c r="I188" i="2"/>
  <c r="I198" i="2"/>
  <c r="I208" i="2"/>
  <c r="I218" i="2"/>
  <c r="I145" i="2"/>
  <c r="I155" i="2"/>
  <c r="I165" i="2"/>
  <c r="I175" i="2"/>
  <c r="I185" i="2"/>
  <c r="I195" i="2"/>
  <c r="I205" i="2"/>
  <c r="I215" i="2"/>
  <c r="I142" i="2"/>
  <c r="I152" i="2"/>
  <c r="I162" i="2"/>
  <c r="I172" i="2"/>
  <c r="I182" i="2"/>
  <c r="I192" i="2"/>
  <c r="I149" i="2"/>
  <c r="I159" i="2"/>
  <c r="I169" i="2"/>
  <c r="I179" i="2"/>
  <c r="I189" i="2"/>
  <c r="I144" i="2"/>
  <c r="I164" i="2"/>
  <c r="I184" i="2"/>
  <c r="I197" i="2"/>
  <c r="I207" i="2"/>
  <c r="I222" i="2"/>
  <c r="I232" i="2"/>
  <c r="I219" i="2"/>
  <c r="I174" i="2"/>
  <c r="I163" i="2"/>
  <c r="I206" i="2"/>
  <c r="I150" i="2"/>
  <c r="I190" i="2"/>
  <c r="I146" i="2"/>
  <c r="I166" i="2"/>
  <c r="I186" i="2"/>
  <c r="I203" i="2"/>
  <c r="I217" i="2"/>
  <c r="I229" i="2"/>
  <c r="I239" i="2"/>
  <c r="I237" i="2"/>
  <c r="I176" i="2"/>
  <c r="I170" i="2"/>
  <c r="I153" i="2"/>
  <c r="I173" i="2"/>
  <c r="I193" i="2"/>
  <c r="I199" i="2"/>
  <c r="I213" i="2"/>
  <c r="I226" i="2"/>
  <c r="I236" i="2"/>
  <c r="I240" i="2"/>
  <c r="I200" i="2"/>
  <c r="I227" i="2"/>
  <c r="I210" i="2"/>
  <c r="I234" i="2"/>
  <c r="I231" i="2"/>
  <c r="I202" i="2"/>
  <c r="I228" i="2"/>
  <c r="I177" i="2"/>
  <c r="I160" i="2"/>
  <c r="I180" i="2"/>
  <c r="I209" i="2"/>
  <c r="I223" i="2"/>
  <c r="I233" i="2"/>
  <c r="I230" i="2"/>
  <c r="I143" i="2"/>
  <c r="I183" i="2"/>
  <c r="I220" i="2"/>
  <c r="I225" i="2"/>
  <c r="I147" i="2"/>
  <c r="I167" i="2"/>
  <c r="I187" i="2"/>
  <c r="I204" i="2"/>
  <c r="I154" i="2"/>
  <c r="I214" i="2"/>
  <c r="I216" i="2"/>
  <c r="I238" i="2"/>
  <c r="I235" i="2"/>
  <c r="I194" i="2"/>
  <c r="I156" i="2"/>
  <c r="I224" i="2"/>
  <c r="I196" i="2"/>
  <c r="I157" i="2"/>
  <c r="I212" i="2"/>
  <c r="I141" i="2"/>
  <c r="J144" i="2"/>
  <c r="J154" i="2"/>
  <c r="J164" i="2"/>
  <c r="J174" i="2"/>
  <c r="J184" i="2"/>
  <c r="J194" i="2"/>
  <c r="J204" i="2"/>
  <c r="J214" i="2"/>
  <c r="J151" i="2"/>
  <c r="J161" i="2"/>
  <c r="J171" i="2"/>
  <c r="J181" i="2"/>
  <c r="J191" i="2"/>
  <c r="J201" i="2"/>
  <c r="J211" i="2"/>
  <c r="J221" i="2"/>
  <c r="J148" i="2"/>
  <c r="J158" i="2"/>
  <c r="J168" i="2"/>
  <c r="J178" i="2"/>
  <c r="J188" i="2"/>
  <c r="J198" i="2"/>
  <c r="J208" i="2"/>
  <c r="J218" i="2"/>
  <c r="J145" i="2"/>
  <c r="J155" i="2"/>
  <c r="J165" i="2"/>
  <c r="J175" i="2"/>
  <c r="J185" i="2"/>
  <c r="J195" i="2"/>
  <c r="J142" i="2"/>
  <c r="J152" i="2"/>
  <c r="J162" i="2"/>
  <c r="J172" i="2"/>
  <c r="J182" i="2"/>
  <c r="J192" i="2"/>
  <c r="J157" i="2"/>
  <c r="J177" i="2"/>
  <c r="J212" i="2"/>
  <c r="J225" i="2"/>
  <c r="J235" i="2"/>
  <c r="J200" i="2"/>
  <c r="J227" i="2"/>
  <c r="J234" i="2"/>
  <c r="J220" i="2"/>
  <c r="J150" i="2"/>
  <c r="J190" i="2"/>
  <c r="J238" i="2"/>
  <c r="J159" i="2"/>
  <c r="J179" i="2"/>
  <c r="J197" i="2"/>
  <c r="J207" i="2"/>
  <c r="J222" i="2"/>
  <c r="J232" i="2"/>
  <c r="J219" i="2"/>
  <c r="J176" i="2"/>
  <c r="J210" i="2"/>
  <c r="J206" i="2"/>
  <c r="J231" i="2"/>
  <c r="J170" i="2"/>
  <c r="J146" i="2"/>
  <c r="J166" i="2"/>
  <c r="J186" i="2"/>
  <c r="J203" i="2"/>
  <c r="J217" i="2"/>
  <c r="J229" i="2"/>
  <c r="J239" i="2"/>
  <c r="J167" i="2"/>
  <c r="J149" i="2"/>
  <c r="J189" i="2"/>
  <c r="J163" i="2"/>
  <c r="J202" i="2"/>
  <c r="J228" i="2"/>
  <c r="J153" i="2"/>
  <c r="J173" i="2"/>
  <c r="J193" i="2"/>
  <c r="J199" i="2"/>
  <c r="J213" i="2"/>
  <c r="J226" i="2"/>
  <c r="J236" i="2"/>
  <c r="J205" i="2"/>
  <c r="J230" i="2"/>
  <c r="J169" i="2"/>
  <c r="J215" i="2"/>
  <c r="J141" i="2"/>
  <c r="J143" i="2"/>
  <c r="J196" i="2"/>
  <c r="J160" i="2"/>
  <c r="J180" i="2"/>
  <c r="J209" i="2"/>
  <c r="J223" i="2"/>
  <c r="J233" i="2"/>
  <c r="J147" i="2"/>
  <c r="J187" i="2"/>
  <c r="J240" i="2"/>
  <c r="J156" i="2"/>
  <c r="J224" i="2"/>
  <c r="J183" i="2"/>
  <c r="J216" i="2"/>
  <c r="J237" i="2"/>
  <c r="P234" i="2"/>
  <c r="P224" i="2"/>
  <c r="P214" i="2"/>
  <c r="P204" i="2"/>
  <c r="P194" i="2"/>
  <c r="P184" i="2"/>
  <c r="P174" i="2"/>
  <c r="P164" i="2"/>
  <c r="P154" i="2"/>
  <c r="P144" i="2"/>
  <c r="P237" i="2"/>
  <c r="P227" i="2"/>
  <c r="P217" i="2"/>
  <c r="P207" i="2"/>
  <c r="P197" i="2"/>
  <c r="P187" i="2"/>
  <c r="P177" i="2"/>
  <c r="P167" i="2"/>
  <c r="P157" i="2"/>
  <c r="P147" i="2"/>
  <c r="P240" i="2"/>
  <c r="P230" i="2"/>
  <c r="P220" i="2"/>
  <c r="P210" i="2"/>
  <c r="P200" i="2"/>
  <c r="P190" i="2"/>
  <c r="P180" i="2"/>
  <c r="P170" i="2"/>
  <c r="P160" i="2"/>
  <c r="P150" i="2"/>
  <c r="P233" i="2"/>
  <c r="P223" i="2"/>
  <c r="P213" i="2"/>
  <c r="P203" i="2"/>
  <c r="P193" i="2"/>
  <c r="P183" i="2"/>
  <c r="P173" i="2"/>
  <c r="P163" i="2"/>
  <c r="P153" i="2"/>
  <c r="P143" i="2"/>
  <c r="P236" i="2"/>
  <c r="P226" i="2"/>
  <c r="P216" i="2"/>
  <c r="P206" i="2"/>
  <c r="P196" i="2"/>
  <c r="P186" i="2"/>
  <c r="P176" i="2"/>
  <c r="P166" i="2"/>
  <c r="P156" i="2"/>
  <c r="P146" i="2"/>
  <c r="P231" i="2"/>
  <c r="P211" i="2"/>
  <c r="P191" i="2"/>
  <c r="P171" i="2"/>
  <c r="P151" i="2"/>
  <c r="P229" i="2"/>
  <c r="P209" i="2"/>
  <c r="P189" i="2"/>
  <c r="P169" i="2"/>
  <c r="P149" i="2"/>
  <c r="P239" i="2"/>
  <c r="P199" i="2"/>
  <c r="P192" i="2"/>
  <c r="P205" i="2"/>
  <c r="P222" i="2"/>
  <c r="P202" i="2"/>
  <c r="P182" i="2"/>
  <c r="P162" i="2"/>
  <c r="P142" i="2"/>
  <c r="P179" i="2"/>
  <c r="P152" i="2"/>
  <c r="P218" i="2"/>
  <c r="P178" i="2"/>
  <c r="P235" i="2"/>
  <c r="P215" i="2"/>
  <c r="P195" i="2"/>
  <c r="P175" i="2"/>
  <c r="P155" i="2"/>
  <c r="P219" i="2"/>
  <c r="P159" i="2"/>
  <c r="P232" i="2"/>
  <c r="P158" i="2"/>
  <c r="P228" i="2"/>
  <c r="P208" i="2"/>
  <c r="P188" i="2"/>
  <c r="P168" i="2"/>
  <c r="P148" i="2"/>
  <c r="P161" i="2"/>
  <c r="P165" i="2"/>
  <c r="P221" i="2"/>
  <c r="P201" i="2"/>
  <c r="P181" i="2"/>
  <c r="P141" i="2"/>
  <c r="P212" i="2"/>
  <c r="P172" i="2"/>
  <c r="P225" i="2"/>
  <c r="P185" i="2"/>
  <c r="P145" i="2"/>
  <c r="P238" i="2"/>
  <c r="P198" i="2"/>
  <c r="K147" i="2"/>
  <c r="K157" i="2"/>
  <c r="K167" i="2"/>
  <c r="K177" i="2"/>
  <c r="K187" i="2"/>
  <c r="K197" i="2"/>
  <c r="K207" i="2"/>
  <c r="K217" i="2"/>
  <c r="K144" i="2"/>
  <c r="K154" i="2"/>
  <c r="K164" i="2"/>
  <c r="K174" i="2"/>
  <c r="K184" i="2"/>
  <c r="K194" i="2"/>
  <c r="K204" i="2"/>
  <c r="K214" i="2"/>
  <c r="K151" i="2"/>
  <c r="K161" i="2"/>
  <c r="K171" i="2"/>
  <c r="K181" i="2"/>
  <c r="K191" i="2"/>
  <c r="K201" i="2"/>
  <c r="K211" i="2"/>
  <c r="K221" i="2"/>
  <c r="K148" i="2"/>
  <c r="K158" i="2"/>
  <c r="K168" i="2"/>
  <c r="K178" i="2"/>
  <c r="K188" i="2"/>
  <c r="K198" i="2"/>
  <c r="K145" i="2"/>
  <c r="K155" i="2"/>
  <c r="K165" i="2"/>
  <c r="K175" i="2"/>
  <c r="K185" i="2"/>
  <c r="K150" i="2"/>
  <c r="K170" i="2"/>
  <c r="K190" i="2"/>
  <c r="K202" i="2"/>
  <c r="K216" i="2"/>
  <c r="K228" i="2"/>
  <c r="K238" i="2"/>
  <c r="K236" i="2"/>
  <c r="K209" i="2"/>
  <c r="K233" i="2"/>
  <c r="K162" i="2"/>
  <c r="K141" i="2"/>
  <c r="K220" i="2"/>
  <c r="K152" i="2"/>
  <c r="K172" i="2"/>
  <c r="K192" i="2"/>
  <c r="K212" i="2"/>
  <c r="K225" i="2"/>
  <c r="K235" i="2"/>
  <c r="K180" i="2"/>
  <c r="K142" i="2"/>
  <c r="K205" i="2"/>
  <c r="K230" i="2"/>
  <c r="K237" i="2"/>
  <c r="K206" i="2"/>
  <c r="K231" i="2"/>
  <c r="K159" i="2"/>
  <c r="K179" i="2"/>
  <c r="K208" i="2"/>
  <c r="K222" i="2"/>
  <c r="K232" i="2"/>
  <c r="K226" i="2"/>
  <c r="K169" i="2"/>
  <c r="K189" i="2"/>
  <c r="K215" i="2"/>
  <c r="K143" i="2"/>
  <c r="K146" i="2"/>
  <c r="K166" i="2"/>
  <c r="K186" i="2"/>
  <c r="K203" i="2"/>
  <c r="K218" i="2"/>
  <c r="K229" i="2"/>
  <c r="K239" i="2"/>
  <c r="K240" i="2"/>
  <c r="K224" i="2"/>
  <c r="K163" i="2"/>
  <c r="K196" i="2"/>
  <c r="K153" i="2"/>
  <c r="K173" i="2"/>
  <c r="K193" i="2"/>
  <c r="K199" i="2"/>
  <c r="K213" i="2"/>
  <c r="K182" i="2"/>
  <c r="K219" i="2"/>
  <c r="K200" i="2"/>
  <c r="K156" i="2"/>
  <c r="K183" i="2"/>
  <c r="K160" i="2"/>
  <c r="K223" i="2"/>
  <c r="K195" i="2"/>
  <c r="K149" i="2"/>
  <c r="K227" i="2"/>
  <c r="K176" i="2"/>
  <c r="K210" i="2"/>
  <c r="K234" i="2"/>
  <c r="N127" i="2"/>
  <c r="B142" i="2"/>
  <c r="B152" i="2"/>
  <c r="B162" i="2"/>
  <c r="B172" i="2"/>
  <c r="B182" i="2"/>
  <c r="B192" i="2"/>
  <c r="B202" i="2"/>
  <c r="B212" i="2"/>
  <c r="B222" i="2"/>
  <c r="B232" i="2"/>
  <c r="B173" i="2"/>
  <c r="B183" i="2"/>
  <c r="B193" i="2"/>
  <c r="B203" i="2"/>
  <c r="U203" i="2" s="1"/>
  <c r="B223" i="2"/>
  <c r="B233" i="2"/>
  <c r="B174" i="2"/>
  <c r="B214" i="2"/>
  <c r="B224" i="2"/>
  <c r="B151" i="2"/>
  <c r="B149" i="2"/>
  <c r="B159" i="2"/>
  <c r="B169" i="2"/>
  <c r="B179" i="2"/>
  <c r="B189" i="2"/>
  <c r="B199" i="2"/>
  <c r="B209" i="2"/>
  <c r="B219" i="2"/>
  <c r="B229" i="2"/>
  <c r="B239" i="2"/>
  <c r="B226" i="2"/>
  <c r="B141" i="2"/>
  <c r="B143" i="2"/>
  <c r="B153" i="2"/>
  <c r="B163" i="2"/>
  <c r="B213" i="2"/>
  <c r="B147" i="2"/>
  <c r="B157" i="2"/>
  <c r="U157" i="2" s="1"/>
  <c r="B167" i="2"/>
  <c r="B177" i="2"/>
  <c r="B187" i="2"/>
  <c r="B197" i="2"/>
  <c r="B207" i="2"/>
  <c r="B227" i="2"/>
  <c r="B237" i="2"/>
  <c r="B144" i="2"/>
  <c r="B154" i="2"/>
  <c r="B164" i="2"/>
  <c r="B184" i="2"/>
  <c r="B194" i="2"/>
  <c r="B204" i="2"/>
  <c r="B146" i="2"/>
  <c r="B156" i="2"/>
  <c r="B166" i="2"/>
  <c r="B176" i="2"/>
  <c r="B186" i="2"/>
  <c r="B196" i="2"/>
  <c r="B206" i="2"/>
  <c r="B216" i="2"/>
  <c r="B236" i="2"/>
  <c r="B150" i="2"/>
  <c r="B160" i="2"/>
  <c r="B170" i="2"/>
  <c r="B180" i="2"/>
  <c r="B190" i="2"/>
  <c r="B200" i="2"/>
  <c r="B210" i="2"/>
  <c r="B220" i="2"/>
  <c r="B230" i="2"/>
  <c r="B240" i="2"/>
  <c r="B217" i="2"/>
  <c r="B234" i="2"/>
  <c r="B148" i="2"/>
  <c r="B158" i="2"/>
  <c r="B168" i="2"/>
  <c r="B178" i="2"/>
  <c r="B188" i="2"/>
  <c r="B198" i="2"/>
  <c r="B208" i="2"/>
  <c r="B218" i="2"/>
  <c r="B228" i="2"/>
  <c r="B238" i="2"/>
  <c r="B145" i="2"/>
  <c r="B155" i="2"/>
  <c r="B165" i="2"/>
  <c r="B175" i="2"/>
  <c r="B185" i="2"/>
  <c r="B195" i="2"/>
  <c r="B205" i="2"/>
  <c r="B215" i="2"/>
  <c r="B225" i="2"/>
  <c r="B235" i="2"/>
  <c r="B221" i="2"/>
  <c r="B191" i="2"/>
  <c r="B231" i="2"/>
  <c r="B201" i="2"/>
  <c r="B171" i="2"/>
  <c r="B161" i="2"/>
  <c r="B211" i="2"/>
  <c r="B181" i="2"/>
  <c r="D148" i="2"/>
  <c r="D158" i="2"/>
  <c r="D168" i="2"/>
  <c r="D178" i="2"/>
  <c r="D188" i="2"/>
  <c r="D198" i="2"/>
  <c r="D208" i="2"/>
  <c r="D218" i="2"/>
  <c r="D228" i="2"/>
  <c r="D238" i="2"/>
  <c r="D149" i="2"/>
  <c r="D189" i="2"/>
  <c r="D199" i="2"/>
  <c r="D209" i="2"/>
  <c r="W209" i="2" s="1"/>
  <c r="D219" i="2"/>
  <c r="D229" i="2"/>
  <c r="D239" i="2"/>
  <c r="D160" i="2"/>
  <c r="D180" i="2"/>
  <c r="D230" i="2"/>
  <c r="D240" i="2"/>
  <c r="D147" i="2"/>
  <c r="D145" i="2"/>
  <c r="D155" i="2"/>
  <c r="W155" i="2" s="1"/>
  <c r="D165" i="2"/>
  <c r="D175" i="2"/>
  <c r="D185" i="2"/>
  <c r="D195" i="2"/>
  <c r="D205" i="2"/>
  <c r="D215" i="2"/>
  <c r="D225" i="2"/>
  <c r="D235" i="2"/>
  <c r="D159" i="2"/>
  <c r="D169" i="2"/>
  <c r="D179" i="2"/>
  <c r="D146" i="2"/>
  <c r="D143" i="2"/>
  <c r="D153" i="2"/>
  <c r="D163" i="2"/>
  <c r="D173" i="2"/>
  <c r="D183" i="2"/>
  <c r="D193" i="2"/>
  <c r="D203" i="2"/>
  <c r="D213" i="2"/>
  <c r="D223" i="2"/>
  <c r="D150" i="2"/>
  <c r="D142" i="2"/>
  <c r="D152" i="2"/>
  <c r="W152" i="2" s="1"/>
  <c r="D162" i="2"/>
  <c r="D172" i="2"/>
  <c r="D182" i="2"/>
  <c r="D192" i="2"/>
  <c r="D202" i="2"/>
  <c r="D212" i="2"/>
  <c r="W212" i="2" s="1"/>
  <c r="D222" i="2"/>
  <c r="D232" i="2"/>
  <c r="D156" i="2"/>
  <c r="D166" i="2"/>
  <c r="D176" i="2"/>
  <c r="D186" i="2"/>
  <c r="D196" i="2"/>
  <c r="D206" i="2"/>
  <c r="D216" i="2"/>
  <c r="D226" i="2"/>
  <c r="D236" i="2"/>
  <c r="D233" i="2"/>
  <c r="D170" i="2"/>
  <c r="D190" i="2"/>
  <c r="D200" i="2"/>
  <c r="D210" i="2"/>
  <c r="D220" i="2"/>
  <c r="D144" i="2"/>
  <c r="D154" i="2"/>
  <c r="D164" i="2"/>
  <c r="D174" i="2"/>
  <c r="D184" i="2"/>
  <c r="D194" i="2"/>
  <c r="D204" i="2"/>
  <c r="D214" i="2"/>
  <c r="D224" i="2"/>
  <c r="D234" i="2"/>
  <c r="D141" i="2"/>
  <c r="D151" i="2"/>
  <c r="D161" i="2"/>
  <c r="D171" i="2"/>
  <c r="D181" i="2"/>
  <c r="D191" i="2"/>
  <c r="D201" i="2"/>
  <c r="D211" i="2"/>
  <c r="D221" i="2"/>
  <c r="D231" i="2"/>
  <c r="D187" i="2"/>
  <c r="D227" i="2"/>
  <c r="D157" i="2"/>
  <c r="W157" i="2" s="1"/>
  <c r="D197" i="2"/>
  <c r="D167" i="2"/>
  <c r="D237" i="2"/>
  <c r="D207" i="2"/>
  <c r="D177" i="2"/>
  <c r="D217" i="2"/>
  <c r="C145" i="2"/>
  <c r="C155" i="2"/>
  <c r="C165" i="2"/>
  <c r="C175" i="2"/>
  <c r="C185" i="2"/>
  <c r="C195" i="2"/>
  <c r="C205" i="2"/>
  <c r="C215" i="2"/>
  <c r="C225" i="2"/>
  <c r="C235" i="2"/>
  <c r="C176" i="2"/>
  <c r="C186" i="2"/>
  <c r="C196" i="2"/>
  <c r="C206" i="2"/>
  <c r="C216" i="2"/>
  <c r="C226" i="2"/>
  <c r="C236" i="2"/>
  <c r="C240" i="2"/>
  <c r="C147" i="2"/>
  <c r="C187" i="2"/>
  <c r="C197" i="2"/>
  <c r="C207" i="2"/>
  <c r="C142" i="2"/>
  <c r="C152" i="2"/>
  <c r="C162" i="2"/>
  <c r="C172" i="2"/>
  <c r="C182" i="2"/>
  <c r="C192" i="2"/>
  <c r="C202" i="2"/>
  <c r="C212" i="2"/>
  <c r="C222" i="2"/>
  <c r="C232" i="2"/>
  <c r="C156" i="2"/>
  <c r="C166" i="2"/>
  <c r="C223" i="2"/>
  <c r="C150" i="2"/>
  <c r="C160" i="2"/>
  <c r="C170" i="2"/>
  <c r="C180" i="2"/>
  <c r="C190" i="2"/>
  <c r="C200" i="2"/>
  <c r="C210" i="2"/>
  <c r="C220" i="2"/>
  <c r="C230" i="2"/>
  <c r="V230" i="2" s="1"/>
  <c r="C157" i="2"/>
  <c r="C167" i="2"/>
  <c r="C177" i="2"/>
  <c r="C217" i="2"/>
  <c r="C227" i="2"/>
  <c r="C237" i="2"/>
  <c r="C144" i="2"/>
  <c r="C149" i="2"/>
  <c r="C159" i="2"/>
  <c r="C169" i="2"/>
  <c r="C179" i="2"/>
  <c r="C189" i="2"/>
  <c r="C199" i="2"/>
  <c r="C209" i="2"/>
  <c r="C219" i="2"/>
  <c r="C229" i="2"/>
  <c r="C239" i="2"/>
  <c r="C146" i="2"/>
  <c r="C143" i="2"/>
  <c r="C153" i="2"/>
  <c r="C163" i="2"/>
  <c r="C173" i="2"/>
  <c r="C183" i="2"/>
  <c r="C193" i="2"/>
  <c r="C203" i="2"/>
  <c r="C213" i="2"/>
  <c r="C233" i="2"/>
  <c r="V233" i="2" s="1"/>
  <c r="C151" i="2"/>
  <c r="C161" i="2"/>
  <c r="C171" i="2"/>
  <c r="V171" i="2" s="1"/>
  <c r="C181" i="2"/>
  <c r="C191" i="2"/>
  <c r="C201" i="2"/>
  <c r="C211" i="2"/>
  <c r="C221" i="2"/>
  <c r="C231" i="2"/>
  <c r="C148" i="2"/>
  <c r="C158" i="2"/>
  <c r="C168" i="2"/>
  <c r="C178" i="2"/>
  <c r="C188" i="2"/>
  <c r="C198" i="2"/>
  <c r="C208" i="2"/>
  <c r="C218" i="2"/>
  <c r="C228" i="2"/>
  <c r="C154" i="2"/>
  <c r="C194" i="2"/>
  <c r="C164" i="2"/>
  <c r="C234" i="2"/>
  <c r="C224" i="2"/>
  <c r="C204" i="2"/>
  <c r="C174" i="2"/>
  <c r="C238" i="2"/>
  <c r="V238" i="2" s="1"/>
  <c r="C141" i="2"/>
  <c r="C214" i="2"/>
  <c r="V214" i="2" s="1"/>
  <c r="C184" i="2"/>
  <c r="V188" i="2" l="1"/>
  <c r="V181" i="2"/>
  <c r="V223" i="2"/>
  <c r="W197" i="2"/>
  <c r="W174" i="2"/>
  <c r="W236" i="2"/>
  <c r="W222" i="2"/>
  <c r="W223" i="2"/>
  <c r="U231" i="2"/>
  <c r="U168" i="2"/>
  <c r="U237" i="2"/>
  <c r="U164" i="2"/>
  <c r="V177" i="2"/>
  <c r="U193" i="2"/>
  <c r="V207" i="2"/>
  <c r="V164" i="2"/>
  <c r="W192" i="2"/>
  <c r="W239" i="2"/>
  <c r="V222" i="2"/>
  <c r="U217" i="2"/>
  <c r="V154" i="2"/>
  <c r="V235" i="2"/>
  <c r="V198" i="2"/>
  <c r="V191" i="2"/>
  <c r="V173" i="2"/>
  <c r="W167" i="2"/>
  <c r="W184" i="2"/>
  <c r="W233" i="2"/>
  <c r="W232" i="2"/>
  <c r="W175" i="2"/>
  <c r="W229" i="2"/>
  <c r="U178" i="2"/>
  <c r="U200" i="2"/>
  <c r="U186" i="2"/>
  <c r="U213" i="2"/>
  <c r="U199" i="2"/>
  <c r="V200" i="2"/>
  <c r="W183" i="2"/>
  <c r="U232" i="2"/>
  <c r="V219" i="2"/>
  <c r="V147" i="2"/>
  <c r="V225" i="2"/>
  <c r="W211" i="2"/>
  <c r="W200" i="2"/>
  <c r="W163" i="2"/>
  <c r="W228" i="2"/>
  <c r="U211" i="2"/>
  <c r="U205" i="2"/>
  <c r="U208" i="2"/>
  <c r="U230" i="2"/>
  <c r="U216" i="2"/>
  <c r="U184" i="2"/>
  <c r="U229" i="2"/>
  <c r="U222" i="2"/>
  <c r="V186" i="2"/>
  <c r="U235" i="2"/>
  <c r="V144" i="2"/>
  <c r="U228" i="2"/>
  <c r="W204" i="2"/>
  <c r="U161" i="2"/>
  <c r="U220" i="2"/>
  <c r="U206" i="2"/>
  <c r="U219" i="2"/>
  <c r="U212" i="2"/>
  <c r="V197" i="2"/>
  <c r="W196" i="2"/>
  <c r="V228" i="2"/>
  <c r="V203" i="2"/>
  <c r="V227" i="2"/>
  <c r="V202" i="2"/>
  <c r="W177" i="2"/>
  <c r="V141" i="2"/>
  <c r="V218" i="2"/>
  <c r="V211" i="2"/>
  <c r="V193" i="2"/>
  <c r="V217" i="2"/>
  <c r="V192" i="2"/>
  <c r="V240" i="2"/>
  <c r="V215" i="2"/>
  <c r="W207" i="2"/>
  <c r="W201" i="2"/>
  <c r="W190" i="2"/>
  <c r="W166" i="2"/>
  <c r="W153" i="2"/>
  <c r="W160" i="2"/>
  <c r="U195" i="2"/>
  <c r="V208" i="2"/>
  <c r="V183" i="2"/>
  <c r="V199" i="2"/>
  <c r="V182" i="2"/>
  <c r="W194" i="2"/>
  <c r="W170" i="2"/>
  <c r="W185" i="2"/>
  <c r="W208" i="2"/>
  <c r="U171" i="2"/>
  <c r="U185" i="2"/>
  <c r="U188" i="2"/>
  <c r="U196" i="2"/>
  <c r="U209" i="2"/>
  <c r="U174" i="2"/>
  <c r="U202" i="2"/>
  <c r="N105" i="3"/>
  <c r="L105" i="3"/>
  <c r="F105" i="3"/>
  <c r="O106" i="3"/>
  <c r="U191" i="2"/>
  <c r="V221" i="2"/>
  <c r="V180" i="2"/>
  <c r="W214" i="2"/>
  <c r="W176" i="2"/>
  <c r="W162" i="2"/>
  <c r="W205" i="2"/>
  <c r="W180" i="2"/>
  <c r="U167" i="2"/>
  <c r="U224" i="2"/>
  <c r="W218" i="2"/>
  <c r="U201" i="2"/>
  <c r="W199" i="2"/>
  <c r="W187" i="2"/>
  <c r="W193" i="2"/>
  <c r="W158" i="2"/>
  <c r="U152" i="2"/>
  <c r="V220" i="2"/>
  <c r="U225" i="2"/>
  <c r="U226" i="2"/>
  <c r="W203" i="2"/>
  <c r="V184" i="2"/>
  <c r="V229" i="2"/>
  <c r="V187" i="2"/>
  <c r="W221" i="2"/>
  <c r="W186" i="2"/>
  <c r="U181" i="2"/>
  <c r="U215" i="2"/>
  <c r="U218" i="2"/>
  <c r="U240" i="2"/>
  <c r="U236" i="2"/>
  <c r="U194" i="2"/>
  <c r="U239" i="2"/>
  <c r="W195" i="2"/>
  <c r="W142" i="2"/>
  <c r="V174" i="2"/>
  <c r="V172" i="2"/>
  <c r="W146" i="2"/>
  <c r="U144" i="2"/>
  <c r="V185" i="2"/>
  <c r="W171" i="2"/>
  <c r="W179" i="2"/>
  <c r="W165" i="2"/>
  <c r="W219" i="2"/>
  <c r="W188" i="2"/>
  <c r="U165" i="2"/>
  <c r="U190" i="2"/>
  <c r="U176" i="2"/>
  <c r="U163" i="2"/>
  <c r="U189" i="2"/>
  <c r="U223" i="2"/>
  <c r="U182" i="2"/>
  <c r="V236" i="2"/>
  <c r="W156" i="2"/>
  <c r="U210" i="2"/>
  <c r="U147" i="2"/>
  <c r="V150" i="2"/>
  <c r="W198" i="2"/>
  <c r="U192" i="2"/>
  <c r="V178" i="2"/>
  <c r="V152" i="2"/>
  <c r="W161" i="2"/>
  <c r="W164" i="2"/>
  <c r="W226" i="2"/>
  <c r="W213" i="2"/>
  <c r="W169" i="2"/>
  <c r="W178" i="2"/>
  <c r="U155" i="2"/>
  <c r="U158" i="2"/>
  <c r="U180" i="2"/>
  <c r="U166" i="2"/>
  <c r="U227" i="2"/>
  <c r="U153" i="2"/>
  <c r="U179" i="2"/>
  <c r="U172" i="2"/>
  <c r="V205" i="2"/>
  <c r="U233" i="2"/>
  <c r="V163" i="2"/>
  <c r="V216" i="2"/>
  <c r="V166" i="2"/>
  <c r="V234" i="2"/>
  <c r="V161" i="2"/>
  <c r="V143" i="2"/>
  <c r="V159" i="2"/>
  <c r="V156" i="2"/>
  <c r="V142" i="2"/>
  <c r="V196" i="2"/>
  <c r="V165" i="2"/>
  <c r="W227" i="2"/>
  <c r="W151" i="2"/>
  <c r="W154" i="2"/>
  <c r="W216" i="2"/>
  <c r="W202" i="2"/>
  <c r="W159" i="2"/>
  <c r="W145" i="2"/>
  <c r="W168" i="2"/>
  <c r="U221" i="2"/>
  <c r="U145" i="2"/>
  <c r="U148" i="2"/>
  <c r="U170" i="2"/>
  <c r="U156" i="2"/>
  <c r="U207" i="2"/>
  <c r="U143" i="2"/>
  <c r="U169" i="2"/>
  <c r="U162" i="2"/>
  <c r="V209" i="2"/>
  <c r="V160" i="2"/>
  <c r="W191" i="2"/>
  <c r="V226" i="2"/>
  <c r="V157" i="2"/>
  <c r="V151" i="2"/>
  <c r="V146" i="2"/>
  <c r="V149" i="2"/>
  <c r="V210" i="2"/>
  <c r="V232" i="2"/>
  <c r="V155" i="2"/>
  <c r="W141" i="2"/>
  <c r="W144" i="2"/>
  <c r="W206" i="2"/>
  <c r="W235" i="2"/>
  <c r="W147" i="2"/>
  <c r="W189" i="2"/>
  <c r="U238" i="2"/>
  <c r="U234" i="2"/>
  <c r="U160" i="2"/>
  <c r="U146" i="2"/>
  <c r="U197" i="2"/>
  <c r="U141" i="2"/>
  <c r="U159" i="2"/>
  <c r="U183" i="2"/>
  <c r="U198" i="2"/>
  <c r="U214" i="2"/>
  <c r="W237" i="2"/>
  <c r="V167" i="2"/>
  <c r="V195" i="2"/>
  <c r="W150" i="2"/>
  <c r="U175" i="2"/>
  <c r="V179" i="2"/>
  <c r="V224" i="2"/>
  <c r="V169" i="2"/>
  <c r="V206" i="2"/>
  <c r="V168" i="2"/>
  <c r="V158" i="2"/>
  <c r="V148" i="2"/>
  <c r="V145" i="2"/>
  <c r="W231" i="2"/>
  <c r="W234" i="2"/>
  <c r="W220" i="2"/>
  <c r="W182" i="2"/>
  <c r="W225" i="2"/>
  <c r="W240" i="2"/>
  <c r="W149" i="2"/>
  <c r="W148" i="2"/>
  <c r="U150" i="2"/>
  <c r="U204" i="2"/>
  <c r="U187" i="2"/>
  <c r="U149" i="2"/>
  <c r="U173" i="2"/>
  <c r="U142" i="2"/>
  <c r="V170" i="2"/>
  <c r="V201" i="2"/>
  <c r="W143" i="2"/>
  <c r="U154" i="2"/>
  <c r="V189" i="2"/>
  <c r="W181" i="2"/>
  <c r="V204" i="2"/>
  <c r="V162" i="2"/>
  <c r="V153" i="2"/>
  <c r="V175" i="2"/>
  <c r="V194" i="2"/>
  <c r="V239" i="2"/>
  <c r="V176" i="2"/>
  <c r="V231" i="2"/>
  <c r="V213" i="2"/>
  <c r="V237" i="2"/>
  <c r="V190" i="2"/>
  <c r="V212" i="2"/>
  <c r="W217" i="2"/>
  <c r="W224" i="2"/>
  <c r="W210" i="2"/>
  <c r="W172" i="2"/>
  <c r="W173" i="2"/>
  <c r="W215" i="2"/>
  <c r="W230" i="2"/>
  <c r="W238" i="2"/>
  <c r="U177" i="2"/>
  <c r="U151" i="2"/>
  <c r="G106" i="3" l="1"/>
  <c r="E106" i="3" s="1"/>
  <c r="M106" i="3"/>
  <c r="K106" i="3" s="1"/>
  <c r="P106" i="3"/>
  <c r="N106" i="3" l="1"/>
  <c r="L106" i="3" s="1"/>
  <c r="F106" i="3"/>
  <c r="O107" i="3"/>
  <c r="G107" i="3" l="1"/>
  <c r="E107" i="3" s="1"/>
  <c r="P107" i="3"/>
  <c r="M107" i="3"/>
  <c r="K107" i="3" s="1"/>
  <c r="N107" i="3" l="1"/>
  <c r="L107" i="3" s="1"/>
  <c r="F107" i="3"/>
  <c r="O108" i="3"/>
  <c r="M108" i="3" l="1"/>
  <c r="K108" i="3" s="1"/>
  <c r="P108" i="3"/>
  <c r="G108" i="3"/>
  <c r="E108" i="3" s="1"/>
  <c r="O109" i="3" l="1"/>
  <c r="N108" i="3"/>
  <c r="F108" i="3" s="1"/>
  <c r="L108" i="3" l="1"/>
  <c r="M109" i="3"/>
  <c r="K109" i="3" s="1"/>
  <c r="G109" i="3"/>
  <c r="E109" i="3" s="1"/>
  <c r="P109" i="3"/>
  <c r="O110" i="3" l="1"/>
  <c r="N109" i="3"/>
  <c r="F109" i="3" s="1"/>
  <c r="L109" i="3" l="1"/>
  <c r="M110" i="3"/>
  <c r="K110" i="3" s="1"/>
  <c r="P110" i="3"/>
  <c r="G110" i="3"/>
  <c r="E110" i="3" s="1"/>
  <c r="O111" i="3" l="1"/>
  <c r="N110" i="3"/>
  <c r="F110" i="3" s="1"/>
  <c r="L110" i="3"/>
  <c r="P111" i="3" l="1"/>
  <c r="G111" i="3"/>
  <c r="E111" i="3" s="1"/>
  <c r="M111" i="3"/>
  <c r="K111" i="3" s="1"/>
  <c r="N111" i="3" l="1"/>
  <c r="L111" i="3"/>
  <c r="O112" i="3"/>
  <c r="F111" i="3"/>
  <c r="P112" i="3" l="1"/>
  <c r="M112" i="3"/>
  <c r="K112" i="3" s="1"/>
  <c r="G112" i="3"/>
  <c r="E112" i="3" s="1"/>
  <c r="O113" i="3" l="1"/>
  <c r="N112" i="3"/>
  <c r="F112" i="3" s="1"/>
  <c r="L112" i="3"/>
  <c r="P113" i="3" l="1"/>
  <c r="M113" i="3"/>
  <c r="K113" i="3" s="1"/>
  <c r="G113" i="3"/>
  <c r="E113" i="3" s="1"/>
  <c r="O114" i="3" l="1"/>
  <c r="N113" i="3"/>
  <c r="F113" i="3" s="1"/>
  <c r="L113" i="3" l="1"/>
  <c r="G114" i="3"/>
  <c r="E114" i="3" s="1"/>
  <c r="M114" i="3"/>
  <c r="K114" i="3" s="1"/>
  <c r="P114" i="3"/>
  <c r="N114" i="3" l="1"/>
  <c r="L114" i="3" s="1"/>
  <c r="F114" i="3"/>
  <c r="O115" i="3"/>
  <c r="G115" i="3" l="1"/>
  <c r="E115" i="3" s="1"/>
  <c r="P115" i="3"/>
  <c r="M115" i="3"/>
  <c r="K115" i="3" s="1"/>
  <c r="N115" i="3" l="1"/>
  <c r="L115" i="3"/>
  <c r="F115" i="3"/>
  <c r="O116" i="3"/>
  <c r="G116" i="3" l="1"/>
  <c r="E116" i="3" s="1"/>
  <c r="M116" i="3"/>
  <c r="K116" i="3" s="1"/>
  <c r="P116" i="3"/>
  <c r="N116" i="3" l="1"/>
  <c r="L116" i="3"/>
  <c r="F116" i="3"/>
  <c r="O117" i="3"/>
  <c r="G117" i="3" l="1"/>
  <c r="E117" i="3" s="1"/>
  <c r="M117" i="3"/>
  <c r="K117" i="3" s="1"/>
  <c r="P117" i="3"/>
  <c r="N117" i="3" l="1"/>
  <c r="L117" i="3" s="1"/>
  <c r="F117" i="3"/>
  <c r="O118" i="3"/>
  <c r="M118" i="3" l="1"/>
  <c r="K118" i="3" s="1"/>
  <c r="P118" i="3"/>
  <c r="G118" i="3"/>
  <c r="E118" i="3" s="1"/>
  <c r="O119" i="3" l="1"/>
  <c r="N118" i="3"/>
  <c r="F118" i="3" s="1"/>
  <c r="L118" i="3" l="1"/>
  <c r="M119" i="3"/>
  <c r="K119" i="3" s="1"/>
  <c r="G119" i="3"/>
  <c r="E119" i="3" s="1"/>
  <c r="P119" i="3"/>
  <c r="O120" i="3" l="1"/>
  <c r="N119" i="3"/>
  <c r="F119" i="3" s="1"/>
  <c r="L119" i="3" l="1"/>
  <c r="M120" i="3"/>
  <c r="K120" i="3" s="1"/>
  <c r="P120" i="3"/>
  <c r="G120" i="3"/>
  <c r="E120" i="3" s="1"/>
  <c r="O121" i="3" l="1"/>
  <c r="N120" i="3"/>
  <c r="F120" i="3" s="1"/>
  <c r="L120" i="3"/>
  <c r="P121" i="3" l="1"/>
  <c r="M121" i="3"/>
  <c r="K121" i="3" s="1"/>
  <c r="G121" i="3"/>
  <c r="E121" i="3" s="1"/>
  <c r="O122" i="3" l="1"/>
  <c r="N121" i="3"/>
  <c r="F121" i="3" s="1"/>
  <c r="L121" i="3"/>
  <c r="P122" i="3" l="1"/>
  <c r="G122" i="3"/>
  <c r="E122" i="3" s="1"/>
  <c r="M122" i="3"/>
  <c r="K122" i="3" s="1"/>
  <c r="N122" i="3" l="1"/>
  <c r="L122" i="3" s="1"/>
  <c r="O123" i="3"/>
  <c r="F122" i="3"/>
  <c r="P123" i="3" l="1"/>
  <c r="M123" i="3"/>
  <c r="K123" i="3" s="1"/>
  <c r="G123" i="3"/>
  <c r="E123" i="3" s="1"/>
  <c r="O124" i="3" l="1"/>
  <c r="N123" i="3"/>
  <c r="F123" i="3" s="1"/>
  <c r="L123" i="3"/>
  <c r="P124" i="3" l="1"/>
  <c r="G124" i="3"/>
  <c r="E124" i="3" s="1"/>
  <c r="M124" i="3"/>
  <c r="K124" i="3" s="1"/>
  <c r="N124" i="3" l="1"/>
  <c r="L124" i="3"/>
  <c r="F124" i="3"/>
  <c r="O125" i="3"/>
  <c r="G125" i="3" l="1"/>
  <c r="E125" i="3" s="1"/>
  <c r="M125" i="3"/>
  <c r="K125" i="3" s="1"/>
  <c r="P125" i="3"/>
  <c r="N125" i="3" l="1"/>
  <c r="L125" i="3" s="1"/>
  <c r="F125" i="3"/>
  <c r="O126" i="3"/>
  <c r="G126" i="3" l="1"/>
  <c r="E126" i="3" s="1"/>
  <c r="P126" i="3"/>
  <c r="M126" i="3"/>
  <c r="K126" i="3" s="1"/>
  <c r="N126" i="3" l="1"/>
  <c r="L126" i="3"/>
  <c r="F126" i="3"/>
  <c r="O127" i="3"/>
  <c r="G127" i="3" l="1"/>
  <c r="P127" i="3"/>
  <c r="M127" i="3"/>
  <c r="K127" i="3" l="1"/>
  <c r="J135" i="3"/>
  <c r="I135" i="3"/>
  <c r="H135" i="3"/>
  <c r="P129" i="3"/>
  <c r="P130" i="3"/>
  <c r="P131" i="3"/>
  <c r="E127" i="3"/>
  <c r="B135" i="3"/>
  <c r="D135" i="3"/>
  <c r="C135" i="3"/>
  <c r="I238" i="3" l="1"/>
  <c r="I233" i="3"/>
  <c r="I228" i="3"/>
  <c r="I223" i="3"/>
  <c r="I218" i="3"/>
  <c r="I213" i="3"/>
  <c r="I208" i="3"/>
  <c r="I237" i="3"/>
  <c r="I232" i="3"/>
  <c r="I227" i="3"/>
  <c r="I222" i="3"/>
  <c r="I217" i="3"/>
  <c r="I212" i="3"/>
  <c r="I207" i="3"/>
  <c r="I239" i="3"/>
  <c r="I234" i="3"/>
  <c r="I229" i="3"/>
  <c r="I224" i="3"/>
  <c r="I219" i="3"/>
  <c r="I214" i="3"/>
  <c r="I209" i="3"/>
  <c r="I204" i="3"/>
  <c r="I199" i="3"/>
  <c r="I194" i="3"/>
  <c r="I189" i="3"/>
  <c r="I184" i="3"/>
  <c r="I179" i="3"/>
  <c r="I174" i="3"/>
  <c r="I236" i="3"/>
  <c r="I225" i="3"/>
  <c r="I211" i="3"/>
  <c r="I203" i="3"/>
  <c r="I191" i="3"/>
  <c r="I178" i="3"/>
  <c r="I168" i="3"/>
  <c r="I163" i="3"/>
  <c r="I158" i="3"/>
  <c r="I153" i="3"/>
  <c r="I202" i="3"/>
  <c r="I240" i="3"/>
  <c r="I226" i="3"/>
  <c r="I215" i="3"/>
  <c r="I201" i="3"/>
  <c r="I220" i="3"/>
  <c r="I205" i="3"/>
  <c r="I210" i="3"/>
  <c r="I195" i="3"/>
  <c r="I159" i="3"/>
  <c r="I150" i="3"/>
  <c r="I145" i="3"/>
  <c r="I206" i="3"/>
  <c r="I196" i="3"/>
  <c r="I230" i="3"/>
  <c r="I216" i="3"/>
  <c r="I198" i="3"/>
  <c r="I192" i="3"/>
  <c r="I186" i="3"/>
  <c r="I183" i="3"/>
  <c r="I177" i="3"/>
  <c r="I167" i="3"/>
  <c r="I144" i="3"/>
  <c r="I180" i="3"/>
  <c r="I171" i="3"/>
  <c r="I143" i="3"/>
  <c r="I142" i="3"/>
  <c r="I193" i="3"/>
  <c r="I190" i="3"/>
  <c r="I187" i="3"/>
  <c r="I141" i="3"/>
  <c r="I200" i="3"/>
  <c r="I146" i="3"/>
  <c r="I181" i="3"/>
  <c r="I175" i="3"/>
  <c r="I172" i="3"/>
  <c r="I156" i="3"/>
  <c r="I154" i="3"/>
  <c r="I152" i="3"/>
  <c r="I231" i="3"/>
  <c r="I169" i="3"/>
  <c r="I162" i="3"/>
  <c r="I160" i="3"/>
  <c r="I164" i="3"/>
  <c r="I148" i="3"/>
  <c r="I170" i="3"/>
  <c r="I147" i="3"/>
  <c r="I166" i="3"/>
  <c r="I235" i="3"/>
  <c r="I157" i="3"/>
  <c r="I176" i="3"/>
  <c r="I165" i="3"/>
  <c r="I221" i="3"/>
  <c r="I188" i="3"/>
  <c r="I161" i="3"/>
  <c r="I149" i="3"/>
  <c r="I182" i="3"/>
  <c r="I185" i="3"/>
  <c r="I173" i="3"/>
  <c r="I197" i="3"/>
  <c r="I155" i="3"/>
  <c r="I151" i="3"/>
  <c r="D239" i="3"/>
  <c r="D234" i="3"/>
  <c r="D229" i="3"/>
  <c r="D224" i="3"/>
  <c r="D219" i="3"/>
  <c r="D214" i="3"/>
  <c r="D209" i="3"/>
  <c r="D238" i="3"/>
  <c r="D233" i="3"/>
  <c r="D228" i="3"/>
  <c r="D223" i="3"/>
  <c r="D218" i="3"/>
  <c r="D213" i="3"/>
  <c r="D208" i="3"/>
  <c r="D240" i="3"/>
  <c r="D235" i="3"/>
  <c r="D230" i="3"/>
  <c r="D225" i="3"/>
  <c r="D220" i="3"/>
  <c r="D215" i="3"/>
  <c r="D210" i="3"/>
  <c r="D205" i="3"/>
  <c r="D200" i="3"/>
  <c r="D195" i="3"/>
  <c r="D190" i="3"/>
  <c r="D185" i="3"/>
  <c r="D180" i="3"/>
  <c r="D175" i="3"/>
  <c r="D170" i="3"/>
  <c r="D232" i="3"/>
  <c r="D221" i="3"/>
  <c r="D207" i="3"/>
  <c r="D206" i="3"/>
  <c r="D193" i="3"/>
  <c r="D181" i="3"/>
  <c r="D169" i="3"/>
  <c r="D164" i="3"/>
  <c r="D159" i="3"/>
  <c r="D154" i="3"/>
  <c r="D204" i="3"/>
  <c r="D236" i="3"/>
  <c r="D222" i="3"/>
  <c r="D211" i="3"/>
  <c r="D203" i="3"/>
  <c r="D226" i="3"/>
  <c r="D212" i="3"/>
  <c r="D201" i="3"/>
  <c r="D192" i="3"/>
  <c r="D191" i="3"/>
  <c r="D216" i="3"/>
  <c r="D194" i="3"/>
  <c r="D161" i="3"/>
  <c r="D151" i="3"/>
  <c r="D146" i="3"/>
  <c r="D141" i="3"/>
  <c r="D202" i="3"/>
  <c r="D166" i="3"/>
  <c r="D147" i="3"/>
  <c r="D189" i="3"/>
  <c r="D145" i="3"/>
  <c r="D198" i="3"/>
  <c r="D186" i="3"/>
  <c r="D183" i="3"/>
  <c r="D177" i="3"/>
  <c r="D174" i="3"/>
  <c r="D167" i="3"/>
  <c r="D144" i="3"/>
  <c r="D171" i="3"/>
  <c r="D143" i="3"/>
  <c r="D217" i="3"/>
  <c r="D182" i="3"/>
  <c r="D176" i="3"/>
  <c r="D173" i="3"/>
  <c r="D165" i="3"/>
  <c r="D148" i="3"/>
  <c r="D196" i="3"/>
  <c r="D187" i="3"/>
  <c r="D184" i="3"/>
  <c r="D178" i="3"/>
  <c r="D199" i="3"/>
  <c r="D172" i="3"/>
  <c r="D158" i="3"/>
  <c r="D156" i="3"/>
  <c r="D152" i="3"/>
  <c r="D237" i="3"/>
  <c r="D231" i="3"/>
  <c r="D160" i="3"/>
  <c r="D150" i="3"/>
  <c r="D227" i="3"/>
  <c r="D197" i="3"/>
  <c r="D188" i="3"/>
  <c r="D179" i="3"/>
  <c r="D163" i="3"/>
  <c r="D149" i="3"/>
  <c r="D162" i="3"/>
  <c r="D142" i="3"/>
  <c r="D153" i="3"/>
  <c r="D157" i="3"/>
  <c r="D168" i="3"/>
  <c r="D155" i="3"/>
  <c r="B240" i="3"/>
  <c r="B235" i="3"/>
  <c r="B230" i="3"/>
  <c r="B225" i="3"/>
  <c r="B220" i="3"/>
  <c r="B215" i="3"/>
  <c r="B210" i="3"/>
  <c r="B239" i="3"/>
  <c r="B234" i="3"/>
  <c r="B229" i="3"/>
  <c r="B224" i="3"/>
  <c r="B219" i="3"/>
  <c r="B214" i="3"/>
  <c r="B209" i="3"/>
  <c r="B236" i="3"/>
  <c r="B231" i="3"/>
  <c r="B226" i="3"/>
  <c r="B221" i="3"/>
  <c r="B216" i="3"/>
  <c r="B211" i="3"/>
  <c r="B206" i="3"/>
  <c r="B201" i="3"/>
  <c r="B196" i="3"/>
  <c r="B191" i="3"/>
  <c r="B186" i="3"/>
  <c r="B181" i="3"/>
  <c r="B176" i="3"/>
  <c r="B171" i="3"/>
  <c r="B228" i="3"/>
  <c r="B217" i="3"/>
  <c r="B195" i="3"/>
  <c r="B183" i="3"/>
  <c r="B170" i="3"/>
  <c r="B165" i="3"/>
  <c r="B160" i="3"/>
  <c r="B155" i="3"/>
  <c r="B232" i="3"/>
  <c r="B218" i="3"/>
  <c r="B207" i="3"/>
  <c r="B205" i="3"/>
  <c r="B200" i="3"/>
  <c r="B185" i="3"/>
  <c r="B184" i="3"/>
  <c r="B238" i="3"/>
  <c r="B222" i="3"/>
  <c r="B208" i="3"/>
  <c r="B190" i="3"/>
  <c r="B189" i="3"/>
  <c r="B188" i="3"/>
  <c r="B187" i="3"/>
  <c r="B163" i="3"/>
  <c r="B152" i="3"/>
  <c r="B147" i="3"/>
  <c r="B142" i="3"/>
  <c r="B212" i="3"/>
  <c r="B194" i="3"/>
  <c r="B193" i="3"/>
  <c r="B192" i="3"/>
  <c r="B233" i="3"/>
  <c r="B227" i="3"/>
  <c r="B197" i="3"/>
  <c r="B182" i="3"/>
  <c r="B179" i="3"/>
  <c r="B164" i="3"/>
  <c r="B149" i="3"/>
  <c r="B223" i="3"/>
  <c r="B173" i="3"/>
  <c r="B148" i="3"/>
  <c r="B166" i="3"/>
  <c r="B146" i="3"/>
  <c r="B213" i="3"/>
  <c r="B180" i="3"/>
  <c r="B145" i="3"/>
  <c r="B237" i="3"/>
  <c r="B204" i="3"/>
  <c r="B202" i="3"/>
  <c r="B162" i="3"/>
  <c r="B161" i="3"/>
  <c r="B150" i="3"/>
  <c r="B203" i="3"/>
  <c r="B167" i="3"/>
  <c r="B143" i="3"/>
  <c r="B141" i="3"/>
  <c r="B178" i="3"/>
  <c r="B175" i="3"/>
  <c r="B154" i="3"/>
  <c r="B159" i="3"/>
  <c r="B157" i="3"/>
  <c r="B151" i="3"/>
  <c r="B172" i="3"/>
  <c r="B158" i="3"/>
  <c r="B177" i="3"/>
  <c r="B156" i="3"/>
  <c r="B169" i="3"/>
  <c r="B153" i="3"/>
  <c r="B199" i="3"/>
  <c r="B168" i="3"/>
  <c r="B174" i="3"/>
  <c r="B144" i="3"/>
  <c r="B198" i="3"/>
  <c r="N135" i="3"/>
  <c r="P135" i="3"/>
  <c r="O135" i="3"/>
  <c r="H237" i="3"/>
  <c r="H232" i="3"/>
  <c r="H227" i="3"/>
  <c r="H222" i="3"/>
  <c r="H217" i="3"/>
  <c r="H212" i="3"/>
  <c r="H207" i="3"/>
  <c r="H239" i="3"/>
  <c r="H214" i="3"/>
  <c r="H205" i="3"/>
  <c r="H204" i="3"/>
  <c r="H192" i="3"/>
  <c r="H180" i="3"/>
  <c r="H179" i="3"/>
  <c r="H236" i="3"/>
  <c r="H225" i="3"/>
  <c r="H218" i="3"/>
  <c r="H211" i="3"/>
  <c r="H203" i="3"/>
  <c r="H229" i="3"/>
  <c r="H202" i="3"/>
  <c r="H240" i="3"/>
  <c r="H238" i="3"/>
  <c r="H234" i="3"/>
  <c r="H230" i="3"/>
  <c r="H216" i="3"/>
  <c r="H208" i="3"/>
  <c r="H194" i="3"/>
  <c r="H193" i="3"/>
  <c r="H228" i="3"/>
  <c r="H224" i="3"/>
  <c r="H220" i="3"/>
  <c r="H160" i="3"/>
  <c r="H210" i="3"/>
  <c r="H195" i="3"/>
  <c r="H226" i="3"/>
  <c r="H223" i="3"/>
  <c r="H200" i="3"/>
  <c r="H189" i="3"/>
  <c r="H146" i="3"/>
  <c r="H145" i="3"/>
  <c r="H198" i="3"/>
  <c r="H186" i="3"/>
  <c r="H183" i="3"/>
  <c r="H177" i="3"/>
  <c r="H174" i="3"/>
  <c r="H167" i="3"/>
  <c r="H144" i="3"/>
  <c r="H219" i="3"/>
  <c r="H213" i="3"/>
  <c r="H171" i="3"/>
  <c r="H143" i="3"/>
  <c r="H196" i="3"/>
  <c r="H168" i="3"/>
  <c r="H142" i="3"/>
  <c r="H233" i="3"/>
  <c r="H170" i="3"/>
  <c r="H166" i="3"/>
  <c r="H147" i="3"/>
  <c r="H190" i="3"/>
  <c r="H187" i="3"/>
  <c r="H184" i="3"/>
  <c r="H178" i="3"/>
  <c r="H141" i="3"/>
  <c r="H199" i="3"/>
  <c r="H181" i="3"/>
  <c r="H175" i="3"/>
  <c r="H172" i="3"/>
  <c r="H158" i="3"/>
  <c r="H156" i="3"/>
  <c r="H154" i="3"/>
  <c r="H152" i="3"/>
  <c r="H231" i="3"/>
  <c r="H169" i="3"/>
  <c r="H150" i="3"/>
  <c r="H206" i="3"/>
  <c r="H162" i="3"/>
  <c r="H185" i="3"/>
  <c r="H182" i="3"/>
  <c r="H176" i="3"/>
  <c r="H173" i="3"/>
  <c r="H165" i="3"/>
  <c r="H164" i="3"/>
  <c r="H201" i="3"/>
  <c r="H153" i="3"/>
  <c r="H221" i="3"/>
  <c r="H149" i="3"/>
  <c r="H235" i="3"/>
  <c r="H157" i="3"/>
  <c r="H148" i="3"/>
  <c r="H209" i="3"/>
  <c r="H188" i="3"/>
  <c r="H161" i="3"/>
  <c r="H197" i="3"/>
  <c r="H191" i="3"/>
  <c r="H163" i="3"/>
  <c r="H155" i="3"/>
  <c r="H159" i="3"/>
  <c r="H151" i="3"/>
  <c r="H215" i="3"/>
  <c r="J236" i="3"/>
  <c r="J231" i="3"/>
  <c r="J226" i="3"/>
  <c r="J221" i="3"/>
  <c r="J216" i="3"/>
  <c r="J211" i="3"/>
  <c r="J218" i="3"/>
  <c r="J202" i="3"/>
  <c r="J190" i="3"/>
  <c r="J177" i="3"/>
  <c r="J240" i="3"/>
  <c r="J229" i="3"/>
  <c r="J222" i="3"/>
  <c r="J215" i="3"/>
  <c r="J201" i="3"/>
  <c r="J233" i="3"/>
  <c r="J208" i="3"/>
  <c r="J200" i="3"/>
  <c r="J232" i="3"/>
  <c r="J228" i="3"/>
  <c r="J224" i="3"/>
  <c r="J210" i="3"/>
  <c r="J195" i="3"/>
  <c r="J214" i="3"/>
  <c r="J206" i="3"/>
  <c r="J196" i="3"/>
  <c r="J158" i="3"/>
  <c r="J157" i="3"/>
  <c r="J197" i="3"/>
  <c r="J173" i="3"/>
  <c r="J172" i="3"/>
  <c r="J171" i="3"/>
  <c r="J170" i="3"/>
  <c r="J169" i="3"/>
  <c r="J238" i="3"/>
  <c r="J234" i="3"/>
  <c r="J220" i="3"/>
  <c r="J180" i="3"/>
  <c r="J174" i="3"/>
  <c r="J143" i="3"/>
  <c r="J219" i="3"/>
  <c r="J213" i="3"/>
  <c r="J142" i="3"/>
  <c r="J239" i="3"/>
  <c r="J203" i="3"/>
  <c r="J193" i="3"/>
  <c r="J187" i="3"/>
  <c r="J168" i="3"/>
  <c r="J141" i="3"/>
  <c r="J235" i="3"/>
  <c r="J207" i="3"/>
  <c r="J205" i="3"/>
  <c r="J184" i="3"/>
  <c r="J181" i="3"/>
  <c r="J178" i="3"/>
  <c r="J175" i="3"/>
  <c r="J156" i="3"/>
  <c r="J155" i="3"/>
  <c r="J154" i="3"/>
  <c r="J153" i="3"/>
  <c r="J152" i="3"/>
  <c r="J230" i="3"/>
  <c r="J223" i="3"/>
  <c r="J198" i="3"/>
  <c r="J192" i="3"/>
  <c r="J189" i="3"/>
  <c r="J186" i="3"/>
  <c r="J183" i="3"/>
  <c r="J167" i="3"/>
  <c r="J145" i="3"/>
  <c r="J144" i="3"/>
  <c r="J225" i="3"/>
  <c r="J199" i="3"/>
  <c r="J212" i="3"/>
  <c r="J162" i="3"/>
  <c r="J160" i="3"/>
  <c r="J150" i="3"/>
  <c r="J237" i="3"/>
  <c r="J164" i="3"/>
  <c r="J148" i="3"/>
  <c r="J166" i="3"/>
  <c r="J204" i="3"/>
  <c r="J146" i="3"/>
  <c r="J209" i="3"/>
  <c r="J188" i="3"/>
  <c r="J161" i="3"/>
  <c r="J149" i="3"/>
  <c r="J194" i="3"/>
  <c r="J182" i="3"/>
  <c r="J176" i="3"/>
  <c r="J165" i="3"/>
  <c r="J227" i="3"/>
  <c r="J179" i="3"/>
  <c r="J147" i="3"/>
  <c r="J217" i="3"/>
  <c r="J159" i="3"/>
  <c r="J151" i="3"/>
  <c r="J191" i="3"/>
  <c r="J163" i="3"/>
  <c r="J185" i="3"/>
  <c r="C238" i="3"/>
  <c r="C233" i="3"/>
  <c r="C228" i="3"/>
  <c r="C223" i="3"/>
  <c r="C218" i="3"/>
  <c r="C213" i="3"/>
  <c r="C208" i="3"/>
  <c r="C235" i="3"/>
  <c r="C210" i="3"/>
  <c r="C194" i="3"/>
  <c r="C182" i="3"/>
  <c r="C239" i="3"/>
  <c r="C232" i="3"/>
  <c r="C221" i="3"/>
  <c r="C214" i="3"/>
  <c r="C207" i="3"/>
  <c r="C206" i="3"/>
  <c r="C205" i="3"/>
  <c r="C225" i="3"/>
  <c r="C204" i="3"/>
  <c r="C236" i="3"/>
  <c r="C222" i="3"/>
  <c r="C190" i="3"/>
  <c r="C189" i="3"/>
  <c r="C188" i="3"/>
  <c r="C187" i="3"/>
  <c r="C186" i="3"/>
  <c r="C240" i="3"/>
  <c r="C234" i="3"/>
  <c r="C230" i="3"/>
  <c r="C226" i="3"/>
  <c r="C212" i="3"/>
  <c r="C201" i="3"/>
  <c r="C193" i="3"/>
  <c r="C192" i="3"/>
  <c r="C191" i="3"/>
  <c r="C162" i="3"/>
  <c r="C224" i="3"/>
  <c r="C220" i="3"/>
  <c r="C216" i="3"/>
  <c r="C217" i="3"/>
  <c r="C195" i="3"/>
  <c r="C176" i="3"/>
  <c r="C173" i="3"/>
  <c r="C170" i="3"/>
  <c r="C165" i="3"/>
  <c r="C148" i="3"/>
  <c r="C200" i="3"/>
  <c r="C166" i="3"/>
  <c r="C147" i="3"/>
  <c r="C146" i="3"/>
  <c r="C229" i="3"/>
  <c r="C180" i="3"/>
  <c r="C145" i="3"/>
  <c r="C219" i="3"/>
  <c r="C203" i="3"/>
  <c r="C198" i="3"/>
  <c r="C183" i="3"/>
  <c r="C177" i="3"/>
  <c r="C174" i="3"/>
  <c r="C167" i="3"/>
  <c r="C144" i="3"/>
  <c r="C227" i="3"/>
  <c r="C211" i="3"/>
  <c r="C197" i="3"/>
  <c r="C185" i="3"/>
  <c r="C179" i="3"/>
  <c r="C164" i="3"/>
  <c r="C163" i="3"/>
  <c r="C149" i="3"/>
  <c r="C143" i="3"/>
  <c r="C196" i="3"/>
  <c r="C141" i="3"/>
  <c r="C184" i="3"/>
  <c r="C181" i="3"/>
  <c r="C178" i="3"/>
  <c r="C175" i="3"/>
  <c r="C154" i="3"/>
  <c r="C199" i="3"/>
  <c r="C172" i="3"/>
  <c r="C169" i="3"/>
  <c r="C158" i="3"/>
  <c r="C156" i="3"/>
  <c r="C152" i="3"/>
  <c r="C161" i="3"/>
  <c r="C237" i="3"/>
  <c r="C202" i="3"/>
  <c r="C150" i="3"/>
  <c r="C231" i="3"/>
  <c r="C171" i="3"/>
  <c r="C157" i="3"/>
  <c r="C142" i="3"/>
  <c r="C153" i="3"/>
  <c r="C209" i="3"/>
  <c r="C159" i="3"/>
  <c r="C155" i="3"/>
  <c r="C151" i="3"/>
  <c r="C160" i="3"/>
  <c r="C215" i="3"/>
  <c r="C168" i="3"/>
  <c r="N127" i="3"/>
  <c r="F127" i="3" s="1"/>
  <c r="T156" i="3" l="1"/>
  <c r="U184" i="3"/>
  <c r="S189" i="3"/>
  <c r="U150" i="3"/>
  <c r="T141" i="3"/>
  <c r="U160" i="3"/>
  <c r="U169" i="3"/>
  <c r="U237" i="3"/>
  <c r="U226" i="3"/>
  <c r="T149" i="3"/>
  <c r="T165" i="3"/>
  <c r="T191" i="3"/>
  <c r="T207" i="3"/>
  <c r="S227" i="3"/>
  <c r="S205" i="3"/>
  <c r="S211" i="3"/>
  <c r="U199" i="3"/>
  <c r="U215" i="3"/>
  <c r="T181" i="3"/>
  <c r="T197" i="3"/>
  <c r="T188" i="3"/>
  <c r="T214" i="3"/>
  <c r="S166" i="3"/>
  <c r="S216" i="3"/>
  <c r="U189" i="3"/>
  <c r="U220" i="3"/>
  <c r="U144" i="3"/>
  <c r="U180" i="3"/>
  <c r="T222" i="3"/>
  <c r="S155" i="3"/>
  <c r="U148" i="3"/>
  <c r="P236" i="3"/>
  <c r="P231" i="3"/>
  <c r="U231" i="3" s="1"/>
  <c r="P226" i="3"/>
  <c r="P221" i="3"/>
  <c r="P216" i="3"/>
  <c r="U216" i="3" s="1"/>
  <c r="P211" i="3"/>
  <c r="P240" i="3"/>
  <c r="U240" i="3" s="1"/>
  <c r="P235" i="3"/>
  <c r="U235" i="3" s="1"/>
  <c r="P230" i="3"/>
  <c r="P225" i="3"/>
  <c r="U225" i="3" s="1"/>
  <c r="P220" i="3"/>
  <c r="P215" i="3"/>
  <c r="P210" i="3"/>
  <c r="P237" i="3"/>
  <c r="P232" i="3"/>
  <c r="U232" i="3" s="1"/>
  <c r="P227" i="3"/>
  <c r="U227" i="3" s="1"/>
  <c r="P222" i="3"/>
  <c r="P217" i="3"/>
  <c r="U217" i="3" s="1"/>
  <c r="P212" i="3"/>
  <c r="U212" i="3" s="1"/>
  <c r="P207" i="3"/>
  <c r="U207" i="3" s="1"/>
  <c r="P202" i="3"/>
  <c r="P197" i="3"/>
  <c r="U197" i="3" s="1"/>
  <c r="P192" i="3"/>
  <c r="U192" i="3" s="1"/>
  <c r="P187" i="3"/>
  <c r="P182" i="3"/>
  <c r="P177" i="3"/>
  <c r="U177" i="3" s="1"/>
  <c r="P172" i="3"/>
  <c r="U172" i="3" s="1"/>
  <c r="P233" i="3"/>
  <c r="U233" i="3" s="1"/>
  <c r="P219" i="3"/>
  <c r="U219" i="3" s="1"/>
  <c r="P208" i="3"/>
  <c r="U208" i="3" s="1"/>
  <c r="P199" i="3"/>
  <c r="P186" i="3"/>
  <c r="P174" i="3"/>
  <c r="P166" i="3"/>
  <c r="P161" i="3"/>
  <c r="P156" i="3"/>
  <c r="U156" i="3" s="1"/>
  <c r="P234" i="3"/>
  <c r="P223" i="3"/>
  <c r="P209" i="3"/>
  <c r="U209" i="3" s="1"/>
  <c r="P196" i="3"/>
  <c r="U196" i="3" s="1"/>
  <c r="P173" i="3"/>
  <c r="P168" i="3"/>
  <c r="U168" i="3" s="1"/>
  <c r="P176" i="3"/>
  <c r="P175" i="3"/>
  <c r="U175" i="3" s="1"/>
  <c r="P167" i="3"/>
  <c r="U167" i="3" s="1"/>
  <c r="P154" i="3"/>
  <c r="U154" i="3" s="1"/>
  <c r="P148" i="3"/>
  <c r="P143" i="3"/>
  <c r="U143" i="3" s="1"/>
  <c r="P203" i="3"/>
  <c r="U203" i="3" s="1"/>
  <c r="P198" i="3"/>
  <c r="U198" i="3" s="1"/>
  <c r="P181" i="3"/>
  <c r="P180" i="3"/>
  <c r="P179" i="3"/>
  <c r="P178" i="3"/>
  <c r="U178" i="3" s="1"/>
  <c r="P218" i="3"/>
  <c r="P239" i="3"/>
  <c r="U239" i="3" s="1"/>
  <c r="P229" i="3"/>
  <c r="P205" i="3"/>
  <c r="P193" i="3"/>
  <c r="P190" i="3"/>
  <c r="U190" i="3" s="1"/>
  <c r="P184" i="3"/>
  <c r="P171" i="3"/>
  <c r="U171" i="3" s="1"/>
  <c r="P153" i="3"/>
  <c r="P152" i="3"/>
  <c r="P155" i="3"/>
  <c r="U155" i="3" s="1"/>
  <c r="P151" i="3"/>
  <c r="U151" i="3" s="1"/>
  <c r="P201" i="3"/>
  <c r="U201" i="3" s="1"/>
  <c r="P160" i="3"/>
  <c r="P159" i="3"/>
  <c r="U159" i="3" s="1"/>
  <c r="P158" i="3"/>
  <c r="U158" i="3" s="1"/>
  <c r="P157" i="3"/>
  <c r="U157" i="3" s="1"/>
  <c r="P150" i="3"/>
  <c r="P194" i="3"/>
  <c r="P191" i="3"/>
  <c r="U191" i="3" s="1"/>
  <c r="P185" i="3"/>
  <c r="U185" i="3" s="1"/>
  <c r="P165" i="3"/>
  <c r="U165" i="3" s="1"/>
  <c r="P164" i="3"/>
  <c r="P163" i="3"/>
  <c r="U163" i="3" s="1"/>
  <c r="P162" i="3"/>
  <c r="P149" i="3"/>
  <c r="U149" i="3" s="1"/>
  <c r="P213" i="3"/>
  <c r="P141" i="3"/>
  <c r="P238" i="3"/>
  <c r="U238" i="3" s="1"/>
  <c r="P169" i="3"/>
  <c r="P146" i="3"/>
  <c r="P224" i="3"/>
  <c r="U224" i="3" s="1"/>
  <c r="P206" i="3"/>
  <c r="P195" i="3"/>
  <c r="U195" i="3" s="1"/>
  <c r="P189" i="3"/>
  <c r="P183" i="3"/>
  <c r="U183" i="3" s="1"/>
  <c r="P144" i="3"/>
  <c r="P142" i="3"/>
  <c r="P200" i="3"/>
  <c r="P188" i="3"/>
  <c r="U188" i="3" s="1"/>
  <c r="P145" i="3"/>
  <c r="U145" i="3" s="1"/>
  <c r="P170" i="3"/>
  <c r="U170" i="3" s="1"/>
  <c r="P214" i="3"/>
  <c r="U214" i="3" s="1"/>
  <c r="P204" i="3"/>
  <c r="U204" i="3" s="1"/>
  <c r="P228" i="3"/>
  <c r="U228" i="3" s="1"/>
  <c r="P147" i="3"/>
  <c r="U147" i="3" s="1"/>
  <c r="S184" i="3"/>
  <c r="S196" i="3"/>
  <c r="S214" i="3"/>
  <c r="S230" i="3"/>
  <c r="U173" i="3"/>
  <c r="U211" i="3"/>
  <c r="U206" i="3"/>
  <c r="U200" i="3"/>
  <c r="U213" i="3"/>
  <c r="U229" i="3"/>
  <c r="S190" i="3"/>
  <c r="U187" i="3"/>
  <c r="U164" i="3"/>
  <c r="T212" i="3"/>
  <c r="S199" i="3"/>
  <c r="U202" i="3"/>
  <c r="T143" i="3"/>
  <c r="T236" i="3"/>
  <c r="S175" i="3"/>
  <c r="S222" i="3"/>
  <c r="S220" i="3"/>
  <c r="U141" i="3"/>
  <c r="O240" i="3"/>
  <c r="O235" i="3"/>
  <c r="T235" i="3" s="1"/>
  <c r="O230" i="3"/>
  <c r="T230" i="3" s="1"/>
  <c r="O225" i="3"/>
  <c r="T225" i="3" s="1"/>
  <c r="O220" i="3"/>
  <c r="T220" i="3" s="1"/>
  <c r="O215" i="3"/>
  <c r="T215" i="3" s="1"/>
  <c r="O210" i="3"/>
  <c r="T210" i="3" s="1"/>
  <c r="O222" i="3"/>
  <c r="O200" i="3"/>
  <c r="O188" i="3"/>
  <c r="O187" i="3"/>
  <c r="T187" i="3" s="1"/>
  <c r="O175" i="3"/>
  <c r="T175" i="3" s="1"/>
  <c r="O233" i="3"/>
  <c r="T233" i="3" s="1"/>
  <c r="O226" i="3"/>
  <c r="T226" i="3" s="1"/>
  <c r="O219" i="3"/>
  <c r="T219" i="3" s="1"/>
  <c r="O208" i="3"/>
  <c r="T208" i="3" s="1"/>
  <c r="O237" i="3"/>
  <c r="T237" i="3" s="1"/>
  <c r="O212" i="3"/>
  <c r="O198" i="3"/>
  <c r="O197" i="3"/>
  <c r="O218" i="3"/>
  <c r="T218" i="3" s="1"/>
  <c r="O206" i="3"/>
  <c r="O202" i="3"/>
  <c r="T202" i="3" s="1"/>
  <c r="O172" i="3"/>
  <c r="T172" i="3" s="1"/>
  <c r="O171" i="3"/>
  <c r="T171" i="3" s="1"/>
  <c r="O170" i="3"/>
  <c r="T170" i="3" s="1"/>
  <c r="O169" i="3"/>
  <c r="T169" i="3" s="1"/>
  <c r="O174" i="3"/>
  <c r="T174" i="3" s="1"/>
  <c r="O173" i="3"/>
  <c r="T173" i="3" s="1"/>
  <c r="O168" i="3"/>
  <c r="T168" i="3" s="1"/>
  <c r="O155" i="3"/>
  <c r="T155" i="3" s="1"/>
  <c r="O177" i="3"/>
  <c r="T177" i="3" s="1"/>
  <c r="O176" i="3"/>
  <c r="O167" i="3"/>
  <c r="T167" i="3" s="1"/>
  <c r="O166" i="3"/>
  <c r="T166" i="3" s="1"/>
  <c r="O236" i="3"/>
  <c r="O232" i="3"/>
  <c r="T232" i="3" s="1"/>
  <c r="O228" i="3"/>
  <c r="T228" i="3" s="1"/>
  <c r="O213" i="3"/>
  <c r="T213" i="3" s="1"/>
  <c r="O141" i="3"/>
  <c r="O239" i="3"/>
  <c r="O229" i="3"/>
  <c r="T229" i="3" s="1"/>
  <c r="O216" i="3"/>
  <c r="T216" i="3" s="1"/>
  <c r="O205" i="3"/>
  <c r="O203" i="3"/>
  <c r="T203" i="3" s="1"/>
  <c r="O193" i="3"/>
  <c r="T193" i="3" s="1"/>
  <c r="O190" i="3"/>
  <c r="T190" i="3" s="1"/>
  <c r="O184" i="3"/>
  <c r="T184" i="3" s="1"/>
  <c r="O181" i="3"/>
  <c r="O154" i="3"/>
  <c r="O153" i="3"/>
  <c r="T153" i="3" s="1"/>
  <c r="O152" i="3"/>
  <c r="T152" i="3" s="1"/>
  <c r="O207" i="3"/>
  <c r="O196" i="3"/>
  <c r="T196" i="3" s="1"/>
  <c r="O178" i="3"/>
  <c r="T178" i="3" s="1"/>
  <c r="O156" i="3"/>
  <c r="O151" i="3"/>
  <c r="T151" i="3" s="1"/>
  <c r="O209" i="3"/>
  <c r="T209" i="3" s="1"/>
  <c r="O201" i="3"/>
  <c r="T201" i="3" s="1"/>
  <c r="O199" i="3"/>
  <c r="T199" i="3" s="1"/>
  <c r="O161" i="3"/>
  <c r="T161" i="3" s="1"/>
  <c r="O160" i="3"/>
  <c r="O159" i="3"/>
  <c r="T159" i="3" s="1"/>
  <c r="O158" i="3"/>
  <c r="T158" i="3" s="1"/>
  <c r="O157" i="3"/>
  <c r="T157" i="3" s="1"/>
  <c r="O150" i="3"/>
  <c r="T150" i="3" s="1"/>
  <c r="O142" i="3"/>
  <c r="T142" i="3" s="1"/>
  <c r="O231" i="3"/>
  <c r="T231" i="3" s="1"/>
  <c r="O164" i="3"/>
  <c r="O162" i="3"/>
  <c r="O148" i="3"/>
  <c r="O238" i="3"/>
  <c r="T238" i="3" s="1"/>
  <c r="O146" i="3"/>
  <c r="T146" i="3" s="1"/>
  <c r="O224" i="3"/>
  <c r="O217" i="3"/>
  <c r="T217" i="3" s="1"/>
  <c r="O192" i="3"/>
  <c r="T192" i="3" s="1"/>
  <c r="O186" i="3"/>
  <c r="T186" i="3" s="1"/>
  <c r="O214" i="3"/>
  <c r="O143" i="3"/>
  <c r="O223" i="3"/>
  <c r="T223" i="3" s="1"/>
  <c r="O211" i="3"/>
  <c r="T211" i="3" s="1"/>
  <c r="O195" i="3"/>
  <c r="T195" i="3" s="1"/>
  <c r="O189" i="3"/>
  <c r="T189" i="3" s="1"/>
  <c r="O183" i="3"/>
  <c r="T183" i="3" s="1"/>
  <c r="O180" i="3"/>
  <c r="T180" i="3" s="1"/>
  <c r="O144" i="3"/>
  <c r="O194" i="3"/>
  <c r="T194" i="3" s="1"/>
  <c r="O182" i="3"/>
  <c r="O165" i="3"/>
  <c r="O149" i="3"/>
  <c r="O221" i="3"/>
  <c r="T221" i="3" s="1"/>
  <c r="O234" i="3"/>
  <c r="T234" i="3" s="1"/>
  <c r="O145" i="3"/>
  <c r="T145" i="3" s="1"/>
  <c r="O147" i="3"/>
  <c r="T147" i="3" s="1"/>
  <c r="O185" i="3"/>
  <c r="T185" i="3" s="1"/>
  <c r="O163" i="3"/>
  <c r="T163" i="3" s="1"/>
  <c r="O204" i="3"/>
  <c r="T204" i="3" s="1"/>
  <c r="O227" i="3"/>
  <c r="T227" i="3" s="1"/>
  <c r="O191" i="3"/>
  <c r="O179" i="3"/>
  <c r="S238" i="3"/>
  <c r="U152" i="3"/>
  <c r="U146" i="3"/>
  <c r="T160" i="3"/>
  <c r="T154" i="3"/>
  <c r="T164" i="3"/>
  <c r="T200" i="3"/>
  <c r="T224" i="3"/>
  <c r="T240" i="3"/>
  <c r="T205" i="3"/>
  <c r="N237" i="3"/>
  <c r="S237" i="3" s="1"/>
  <c r="N232" i="3"/>
  <c r="N227" i="3"/>
  <c r="N222" i="3"/>
  <c r="N217" i="3"/>
  <c r="S217" i="3" s="1"/>
  <c r="N212" i="3"/>
  <c r="S212" i="3" s="1"/>
  <c r="N207" i="3"/>
  <c r="S207" i="3" s="1"/>
  <c r="N236" i="3"/>
  <c r="S236" i="3" s="1"/>
  <c r="N231" i="3"/>
  <c r="S231" i="3" s="1"/>
  <c r="N226" i="3"/>
  <c r="S226" i="3" s="1"/>
  <c r="N221" i="3"/>
  <c r="S221" i="3" s="1"/>
  <c r="N216" i="3"/>
  <c r="N211" i="3"/>
  <c r="N206" i="3"/>
  <c r="N238" i="3"/>
  <c r="N233" i="3"/>
  <c r="S233" i="3" s="1"/>
  <c r="N228" i="3"/>
  <c r="S228" i="3" s="1"/>
  <c r="N223" i="3"/>
  <c r="S223" i="3" s="1"/>
  <c r="N218" i="3"/>
  <c r="S218" i="3" s="1"/>
  <c r="N213" i="3"/>
  <c r="N208" i="3"/>
  <c r="S208" i="3" s="1"/>
  <c r="N203" i="3"/>
  <c r="S203" i="3" s="1"/>
  <c r="N198" i="3"/>
  <c r="S198" i="3" s="1"/>
  <c r="N193" i="3"/>
  <c r="N188" i="3"/>
  <c r="S188" i="3" s="1"/>
  <c r="N183" i="3"/>
  <c r="N178" i="3"/>
  <c r="S178" i="3" s="1"/>
  <c r="N173" i="3"/>
  <c r="S173" i="3" s="1"/>
  <c r="N240" i="3"/>
  <c r="S240" i="3" s="1"/>
  <c r="N229" i="3"/>
  <c r="S229" i="3" s="1"/>
  <c r="N215" i="3"/>
  <c r="S215" i="3" s="1"/>
  <c r="N201" i="3"/>
  <c r="N189" i="3"/>
  <c r="N176" i="3"/>
  <c r="S176" i="3" s="1"/>
  <c r="N167" i="3"/>
  <c r="S167" i="3" s="1"/>
  <c r="N162" i="3"/>
  <c r="S162" i="3" s="1"/>
  <c r="N157" i="3"/>
  <c r="S157" i="3" s="1"/>
  <c r="N230" i="3"/>
  <c r="N219" i="3"/>
  <c r="N199" i="3"/>
  <c r="N239" i="3"/>
  <c r="S239" i="3" s="1"/>
  <c r="N214" i="3"/>
  <c r="N196" i="3"/>
  <c r="N202" i="3"/>
  <c r="S202" i="3" s="1"/>
  <c r="N197" i="3"/>
  <c r="N172" i="3"/>
  <c r="S172" i="3" s="1"/>
  <c r="N171" i="3"/>
  <c r="S171" i="3" s="1"/>
  <c r="N170" i="3"/>
  <c r="S170" i="3" s="1"/>
  <c r="N169" i="3"/>
  <c r="N156" i="3"/>
  <c r="S156" i="3" s="1"/>
  <c r="N149" i="3"/>
  <c r="S149" i="3" s="1"/>
  <c r="N144" i="3"/>
  <c r="S144" i="3" s="1"/>
  <c r="N175" i="3"/>
  <c r="N174" i="3"/>
  <c r="S174" i="3" s="1"/>
  <c r="N168" i="3"/>
  <c r="S168" i="3" s="1"/>
  <c r="N224" i="3"/>
  <c r="N142" i="3"/>
  <c r="N187" i="3"/>
  <c r="S187" i="3" s="1"/>
  <c r="N141" i="3"/>
  <c r="S141" i="3" s="1"/>
  <c r="N235" i="3"/>
  <c r="N210" i="3"/>
  <c r="S210" i="3" s="1"/>
  <c r="N205" i="3"/>
  <c r="N190" i="3"/>
  <c r="N184" i="3"/>
  <c r="N181" i="3"/>
  <c r="N155" i="3"/>
  <c r="N154" i="3"/>
  <c r="S154" i="3" s="1"/>
  <c r="N153" i="3"/>
  <c r="S153" i="3" s="1"/>
  <c r="N152" i="3"/>
  <c r="S152" i="3" s="1"/>
  <c r="N225" i="3"/>
  <c r="S225" i="3" s="1"/>
  <c r="N151" i="3"/>
  <c r="S151" i="3" s="1"/>
  <c r="N220" i="3"/>
  <c r="N195" i="3"/>
  <c r="N180" i="3"/>
  <c r="S180" i="3" s="1"/>
  <c r="N177" i="3"/>
  <c r="N143" i="3"/>
  <c r="S143" i="3" s="1"/>
  <c r="N160" i="3"/>
  <c r="S160" i="3" s="1"/>
  <c r="N158" i="3"/>
  <c r="S158" i="3" s="1"/>
  <c r="N150" i="3"/>
  <c r="S150" i="3" s="1"/>
  <c r="N164" i="3"/>
  <c r="S164" i="3" s="1"/>
  <c r="N148" i="3"/>
  <c r="S148" i="3" s="1"/>
  <c r="N166" i="3"/>
  <c r="N146" i="3"/>
  <c r="S146" i="3" s="1"/>
  <c r="N200" i="3"/>
  <c r="N145" i="3"/>
  <c r="S145" i="3" s="1"/>
  <c r="N186" i="3"/>
  <c r="S186" i="3" s="1"/>
  <c r="N209" i="3"/>
  <c r="S209" i="3" s="1"/>
  <c r="N161" i="3"/>
  <c r="S161" i="3" s="1"/>
  <c r="N194" i="3"/>
  <c r="S194" i="3" s="1"/>
  <c r="N182" i="3"/>
  <c r="S182" i="3" s="1"/>
  <c r="N165" i="3"/>
  <c r="S165" i="3" s="1"/>
  <c r="N234" i="3"/>
  <c r="S234" i="3" s="1"/>
  <c r="N192" i="3"/>
  <c r="S192" i="3" s="1"/>
  <c r="N204" i="3"/>
  <c r="N179" i="3"/>
  <c r="S179" i="3" s="1"/>
  <c r="N159" i="3"/>
  <c r="S159" i="3" s="1"/>
  <c r="N147" i="3"/>
  <c r="S147" i="3" s="1"/>
  <c r="N191" i="3"/>
  <c r="N185" i="3"/>
  <c r="S185" i="3" s="1"/>
  <c r="N163" i="3"/>
  <c r="S177" i="3"/>
  <c r="S183" i="3"/>
  <c r="S201" i="3"/>
  <c r="S219" i="3"/>
  <c r="S235" i="3"/>
  <c r="U179" i="3"/>
  <c r="U176" i="3"/>
  <c r="U186" i="3"/>
  <c r="U161" i="3"/>
  <c r="U222" i="3"/>
  <c r="U205" i="3"/>
  <c r="U218" i="3"/>
  <c r="U234" i="3"/>
  <c r="T176" i="3"/>
  <c r="S193" i="3"/>
  <c r="S232" i="3"/>
  <c r="U153" i="3"/>
  <c r="U166" i="3"/>
  <c r="U230" i="3"/>
  <c r="T144" i="3"/>
  <c r="T239" i="3"/>
  <c r="S181" i="3"/>
  <c r="U142" i="3"/>
  <c r="L127" i="3"/>
  <c r="T182" i="3"/>
  <c r="S204" i="3"/>
  <c r="U162" i="3"/>
  <c r="U174" i="3"/>
  <c r="U181" i="3"/>
  <c r="S169" i="3"/>
  <c r="S142" i="3"/>
  <c r="S191" i="3"/>
  <c r="U193" i="3"/>
  <c r="T179" i="3"/>
  <c r="T198" i="3"/>
  <c r="T148" i="3"/>
  <c r="T162" i="3"/>
  <c r="T206" i="3"/>
  <c r="S213" i="3"/>
  <c r="S197" i="3"/>
  <c r="S163" i="3"/>
  <c r="S200" i="3"/>
  <c r="S195" i="3"/>
  <c r="S206" i="3"/>
  <c r="S224" i="3"/>
  <c r="U182" i="3"/>
  <c r="U194" i="3"/>
  <c r="U236" i="3"/>
  <c r="U221" i="3"/>
  <c r="U210" i="3"/>
  <c r="U223" i="3"/>
</calcChain>
</file>

<file path=xl/sharedStrings.xml><?xml version="1.0" encoding="utf-8"?>
<sst xmlns="http://schemas.openxmlformats.org/spreadsheetml/2006/main" count="125" uniqueCount="43">
  <si>
    <t>VaR</t>
  </si>
  <si>
    <t>Compute the parametric single and joint  Normal VaR at (95%, 99% , 99,5%) with T=1,..,100 days horizon (estimation of sigma flat)</t>
  </si>
  <si>
    <t>Same as in 2 with sigma estimanted following Riskmetrics EWMA with lambda=0,94</t>
  </si>
  <si>
    <t>Compute the MonteCarlo VaR with N (free input) simulations with T (free input) at the levels (99%,99,5%,95%)</t>
  </si>
  <si>
    <t>Check in all cases the additivity (non additivity) of the VaR</t>
  </si>
  <si>
    <t>Compute average and variance of an equibalanced portfolio of 2 assets (6 months time window of daily returns) selected in Refinitiv</t>
  </si>
  <si>
    <t>Compute the historical VaR (according to the historical value of the returns)</t>
  </si>
  <si>
    <t>Compute the VaR with the method of historical simulation</t>
  </si>
  <si>
    <t>REPORT4</t>
  </si>
  <si>
    <t xml:space="preserve">Deadline 12 April </t>
  </si>
  <si>
    <t>https://www-2.rotman.utoronto.ca/~hull/ofodslides/index.html</t>
  </si>
  <si>
    <t>XOM History     Daily     6 Months</t>
  </si>
  <si>
    <t>Exchange Date</t>
  </si>
  <si>
    <t>Close</t>
  </si>
  <si>
    <t>Net</t>
  </si>
  <si>
    <t>%Chg</t>
  </si>
  <si>
    <t>MSFT.O History     Daily     6 Months</t>
  </si>
  <si>
    <t>n shares XON</t>
  </si>
  <si>
    <t>n shares MSFT</t>
  </si>
  <si>
    <t>% XON</t>
  </si>
  <si>
    <t>% MSFT</t>
  </si>
  <si>
    <t>MSFT value</t>
  </si>
  <si>
    <t>total n shares</t>
  </si>
  <si>
    <t>portfolio value</t>
  </si>
  <si>
    <t>XON value</t>
  </si>
  <si>
    <t>daily vol</t>
  </si>
  <si>
    <t>MSFT</t>
  </si>
  <si>
    <t>var</t>
  </si>
  <si>
    <t>avg</t>
  </si>
  <si>
    <t>return</t>
  </si>
  <si>
    <t>portfolio</t>
  </si>
  <si>
    <t>corr</t>
  </si>
  <si>
    <t>PARAMETRIC SINGLE NORMAL VAR</t>
  </si>
  <si>
    <t>X</t>
  </si>
  <si>
    <t>T</t>
  </si>
  <si>
    <t>flat volatility</t>
  </si>
  <si>
    <t>1 day VaR</t>
  </si>
  <si>
    <t>PARAMETRIC JOINT NORMAL VAR</t>
  </si>
  <si>
    <t>BENEFIT OF DIVERSIFICATION</t>
  </si>
  <si>
    <t>z</t>
  </si>
  <si>
    <t>XOM</t>
  </si>
  <si>
    <t>EWMA</t>
  </si>
  <si>
    <t>lambda EWMA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</si>
</sst>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#,##0.00;\-#,##0.00;#,##0.00;&quot;--&quot;"/>
    <numFmt numFmtId="166" formatCode="\+#,##0.00;\-#,##0.00;#,##0.00;&quot;--&quot;"/>
    <numFmt numFmtId="167" formatCode="0.00000%"/>
    <numFmt numFmtId="168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rgb="FFA6A6A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A6A6A6"/>
      </patternFill>
    </fill>
    <fill>
      <patternFill patternType="solid">
        <fgColor theme="8" tint="0.39997558519241921"/>
        <bgColor rgb="FFA6A6A6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2"/>
    <xf numFmtId="10" fontId="4" fillId="0" borderId="0" xfId="1" applyNumberFormat="1" applyFont="1" applyBorder="1"/>
    <xf numFmtId="2" fontId="4" fillId="0" borderId="0" xfId="1" applyNumberFormat="1" applyFont="1" applyBorder="1"/>
    <xf numFmtId="2" fontId="0" fillId="0" borderId="0" xfId="0" applyNumberFormat="1"/>
    <xf numFmtId="10" fontId="0" fillId="0" borderId="0" xfId="1" applyNumberFormat="1" applyFont="1" applyBorder="1"/>
    <xf numFmtId="2" fontId="0" fillId="0" borderId="0" xfId="1" applyNumberFormat="1" applyFont="1" applyBorder="1"/>
    <xf numFmtId="9" fontId="0" fillId="0" borderId="0" xfId="1" applyFont="1" applyBorder="1"/>
    <xf numFmtId="167" fontId="0" fillId="0" borderId="0" xfId="1" applyNumberFormat="1" applyFont="1"/>
    <xf numFmtId="2" fontId="0" fillId="0" borderId="0" xfId="1" applyNumberFormat="1" applyFont="1" applyBorder="1" applyAlignment="1">
      <alignment horizontal="right"/>
    </xf>
    <xf numFmtId="2" fontId="0" fillId="0" borderId="0" xfId="1" applyNumberFormat="1" applyFont="1"/>
    <xf numFmtId="168" fontId="0" fillId="0" borderId="0" xfId="0" applyNumberFormat="1"/>
    <xf numFmtId="168" fontId="4" fillId="0" borderId="0" xfId="1" applyNumberFormat="1" applyFont="1" applyBorder="1"/>
    <xf numFmtId="9" fontId="4" fillId="0" borderId="0" xfId="1" applyFont="1" applyBorder="1"/>
    <xf numFmtId="168" fontId="0" fillId="0" borderId="0" xfId="1" applyNumberFormat="1" applyFont="1" applyBorder="1"/>
    <xf numFmtId="164" fontId="4" fillId="0" borderId="3" xfId="0" applyNumberFormat="1" applyFont="1" applyBorder="1"/>
    <xf numFmtId="164" fontId="3" fillId="0" borderId="4" xfId="0" applyNumberFormat="1" applyFont="1" applyBorder="1"/>
    <xf numFmtId="0" fontId="3" fillId="3" borderId="2" xfId="0" applyFont="1" applyFill="1" applyBorder="1"/>
    <xf numFmtId="0" fontId="4" fillId="3" borderId="5" xfId="0" applyFont="1" applyFill="1" applyBorder="1"/>
    <xf numFmtId="2" fontId="4" fillId="3" borderId="5" xfId="1" applyNumberFormat="1" applyFont="1" applyFill="1" applyBorder="1"/>
    <xf numFmtId="10" fontId="4" fillId="3" borderId="5" xfId="1" applyNumberFormat="1" applyFont="1" applyFill="1" applyBorder="1"/>
    <xf numFmtId="2" fontId="4" fillId="3" borderId="6" xfId="1" applyNumberFormat="1" applyFont="1" applyFill="1" applyBorder="1"/>
    <xf numFmtId="165" fontId="4" fillId="0" borderId="3" xfId="0" applyNumberFormat="1" applyFont="1" applyBorder="1"/>
    <xf numFmtId="166" fontId="4" fillId="0" borderId="0" xfId="0" applyNumberFormat="1" applyFont="1"/>
    <xf numFmtId="2" fontId="4" fillId="0" borderId="7" xfId="1" applyNumberFormat="1" applyFont="1" applyBorder="1"/>
    <xf numFmtId="165" fontId="3" fillId="0" borderId="4" xfId="0" applyNumberFormat="1" applyFont="1" applyBorder="1"/>
    <xf numFmtId="166" fontId="3" fillId="0" borderId="8" xfId="0" applyNumberFormat="1" applyFont="1" applyBorder="1"/>
    <xf numFmtId="168" fontId="3" fillId="0" borderId="8" xfId="1" applyNumberFormat="1" applyFont="1" applyBorder="1"/>
    <xf numFmtId="2" fontId="3" fillId="0" borderId="8" xfId="1" applyNumberFormat="1" applyFont="1" applyBorder="1"/>
    <xf numFmtId="9" fontId="3" fillId="0" borderId="8" xfId="1" applyFont="1" applyBorder="1"/>
    <xf numFmtId="2" fontId="3" fillId="0" borderId="9" xfId="1" applyNumberFormat="1" applyFont="1" applyBorder="1"/>
    <xf numFmtId="0" fontId="3" fillId="5" borderId="2" xfId="0" applyFont="1" applyFill="1" applyBorder="1"/>
    <xf numFmtId="0" fontId="4" fillId="5" borderId="5" xfId="0" applyFont="1" applyFill="1" applyBorder="1"/>
    <xf numFmtId="10" fontId="4" fillId="5" borderId="5" xfId="1" applyNumberFormat="1" applyFont="1" applyFill="1" applyBorder="1"/>
    <xf numFmtId="0" fontId="0" fillId="5" borderId="5" xfId="0" applyFill="1" applyBorder="1"/>
    <xf numFmtId="0" fontId="0" fillId="5" borderId="6" xfId="0" applyFill="1" applyBorder="1"/>
    <xf numFmtId="2" fontId="0" fillId="0" borderId="7" xfId="0" applyNumberFormat="1" applyBorder="1"/>
    <xf numFmtId="2" fontId="5" fillId="0" borderId="8" xfId="0" applyNumberFormat="1" applyFont="1" applyBorder="1"/>
    <xf numFmtId="9" fontId="5" fillId="0" borderId="8" xfId="1" applyFont="1" applyBorder="1"/>
    <xf numFmtId="2" fontId="5" fillId="0" borderId="9" xfId="0" applyNumberFormat="1" applyFont="1" applyBorder="1"/>
    <xf numFmtId="2" fontId="0" fillId="0" borderId="3" xfId="0" applyNumberFormat="1" applyBorder="1"/>
    <xf numFmtId="168" fontId="0" fillId="0" borderId="7" xfId="0" applyNumberFormat="1" applyBorder="1"/>
    <xf numFmtId="168" fontId="0" fillId="0" borderId="7" xfId="1" applyNumberFormat="1" applyFont="1" applyBorder="1"/>
    <xf numFmtId="2" fontId="5" fillId="0" borderId="4" xfId="0" applyNumberFormat="1" applyFont="1" applyBorder="1"/>
    <xf numFmtId="168" fontId="5" fillId="0" borderId="9" xfId="1" applyNumberFormat="1" applyFont="1" applyBorder="1"/>
    <xf numFmtId="0" fontId="3" fillId="2" borderId="10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right"/>
    </xf>
    <xf numFmtId="0" fontId="3" fillId="4" borderId="11" xfId="0" applyFont="1" applyFill="1" applyBorder="1" applyAlignment="1">
      <alignment horizontal="right"/>
    </xf>
    <xf numFmtId="2" fontId="3" fillId="4" borderId="11" xfId="1" applyNumberFormat="1" applyFont="1" applyFill="1" applyBorder="1" applyAlignment="1">
      <alignment horizontal="right"/>
    </xf>
    <xf numFmtId="10" fontId="3" fillId="4" borderId="11" xfId="1" applyNumberFormat="1" applyFont="1" applyFill="1" applyBorder="1" applyAlignment="1">
      <alignment horizontal="right"/>
    </xf>
    <xf numFmtId="2" fontId="3" fillId="4" borderId="12" xfId="1" applyNumberFormat="1" applyFont="1" applyFill="1" applyBorder="1" applyAlignment="1">
      <alignment horizontal="right"/>
    </xf>
    <xf numFmtId="0" fontId="3" fillId="6" borderId="10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right"/>
    </xf>
    <xf numFmtId="10" fontId="3" fillId="6" borderId="11" xfId="1" applyNumberFormat="1" applyFont="1" applyFill="1" applyBorder="1" applyAlignment="1">
      <alignment horizontal="right"/>
    </xf>
    <xf numFmtId="10" fontId="3" fillId="6" borderId="12" xfId="1" applyNumberFormat="1" applyFont="1" applyFill="1" applyBorder="1" applyAlignment="1">
      <alignment horizontal="right"/>
    </xf>
    <xf numFmtId="10" fontId="3" fillId="7" borderId="10" xfId="1" applyNumberFormat="1" applyFont="1" applyFill="1" applyBorder="1" applyAlignment="1">
      <alignment horizontal="right"/>
    </xf>
    <xf numFmtId="10" fontId="3" fillId="7" borderId="11" xfId="1" applyNumberFormat="1" applyFont="1" applyFill="1" applyBorder="1" applyAlignment="1">
      <alignment horizontal="right"/>
    </xf>
    <xf numFmtId="168" fontId="3" fillId="7" borderId="12" xfId="1" applyNumberFormat="1" applyFont="1" applyFill="1" applyBorder="1" applyAlignment="1">
      <alignment horizontal="right"/>
    </xf>
    <xf numFmtId="0" fontId="0" fillId="0" borderId="2" xfId="0" applyBorder="1"/>
    <xf numFmtId="2" fontId="0" fillId="0" borderId="6" xfId="1" applyNumberFormat="1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0" xfId="0" applyBorder="1"/>
    <xf numFmtId="2" fontId="0" fillId="0" borderId="12" xfId="0" applyNumberFormat="1" applyBorder="1"/>
    <xf numFmtId="0" fontId="0" fillId="0" borderId="5" xfId="0" applyBorder="1"/>
    <xf numFmtId="0" fontId="0" fillId="0" borderId="6" xfId="0" applyBorder="1"/>
    <xf numFmtId="10" fontId="0" fillId="0" borderId="6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" fontId="0" fillId="0" borderId="0" xfId="0" applyNumberFormat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0" fontId="0" fillId="0" borderId="0" xfId="1" applyNumberFormat="1" applyFont="1" applyFill="1" applyBorder="1"/>
    <xf numFmtId="2" fontId="0" fillId="0" borderId="0" xfId="1" applyNumberFormat="1" applyFont="1" applyFill="1" applyBorder="1"/>
    <xf numFmtId="2" fontId="0" fillId="0" borderId="7" xfId="1" applyNumberFormat="1" applyFont="1" applyFill="1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/>
    <xf numFmtId="0" fontId="5" fillId="0" borderId="0" xfId="0" applyFont="1"/>
    <xf numFmtId="10" fontId="3" fillId="0" borderId="8" xfId="1" applyNumberFormat="1" applyFont="1" applyBorder="1"/>
    <xf numFmtId="0" fontId="0" fillId="8" borderId="0" xfId="0" applyFill="1"/>
    <xf numFmtId="168" fontId="3" fillId="7" borderId="13" xfId="1" applyNumberFormat="1" applyFont="1" applyFill="1" applyBorder="1" applyAlignment="1">
      <alignment horizontal="right"/>
    </xf>
    <xf numFmtId="0" fontId="0" fillId="0" borderId="14" xfId="0" applyBorder="1"/>
    <xf numFmtId="10" fontId="0" fillId="0" borderId="14" xfId="1" applyNumberFormat="1" applyFont="1" applyBorder="1"/>
    <xf numFmtId="10" fontId="4" fillId="0" borderId="14" xfId="1" applyNumberFormat="1" applyFont="1" applyBorder="1"/>
    <xf numFmtId="10" fontId="3" fillId="0" borderId="15" xfId="1" applyNumberFormat="1" applyFont="1" applyBorder="1"/>
  </cellXfs>
  <cellStyles count="3">
    <cellStyle name="Collegamento ipertestuale" xfId="2" builtinId="8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-2.rotman.utoronto.ca/~hull/ofodslide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54" workbookViewId="0">
      <selection activeCell="F5" sqref="F5"/>
    </sheetView>
  </sheetViews>
  <sheetFormatPr baseColWidth="10" defaultColWidth="8.83203125" defaultRowHeight="15" x14ac:dyDescent="0.2"/>
  <sheetData>
    <row r="1" spans="1:3" x14ac:dyDescent="0.2">
      <c r="B1" t="s">
        <v>8</v>
      </c>
    </row>
    <row r="2" spans="1:3" x14ac:dyDescent="0.2">
      <c r="A2" t="s">
        <v>0</v>
      </c>
    </row>
    <row r="3" spans="1:3" x14ac:dyDescent="0.2">
      <c r="B3">
        <v>1</v>
      </c>
      <c r="C3" t="s">
        <v>5</v>
      </c>
    </row>
    <row r="4" spans="1:3" x14ac:dyDescent="0.2">
      <c r="B4">
        <v>2</v>
      </c>
      <c r="C4" t="s">
        <v>1</v>
      </c>
    </row>
    <row r="5" spans="1:3" x14ac:dyDescent="0.2">
      <c r="B5">
        <v>3</v>
      </c>
      <c r="C5" t="s">
        <v>2</v>
      </c>
    </row>
    <row r="6" spans="1:3" x14ac:dyDescent="0.2">
      <c r="B6">
        <v>4</v>
      </c>
      <c r="C6" t="s">
        <v>3</v>
      </c>
    </row>
    <row r="7" spans="1:3" x14ac:dyDescent="0.2">
      <c r="B7">
        <v>5</v>
      </c>
      <c r="C7" t="s">
        <v>6</v>
      </c>
    </row>
    <row r="8" spans="1:3" x14ac:dyDescent="0.2">
      <c r="B8">
        <v>6</v>
      </c>
      <c r="C8" t="s">
        <v>7</v>
      </c>
    </row>
    <row r="9" spans="1:3" x14ac:dyDescent="0.2">
      <c r="B9">
        <v>7</v>
      </c>
      <c r="C9" t="s">
        <v>4</v>
      </c>
    </row>
    <row r="11" spans="1:3" x14ac:dyDescent="0.2">
      <c r="C11" t="s">
        <v>9</v>
      </c>
    </row>
    <row r="14" spans="1:3" x14ac:dyDescent="0.2">
      <c r="C14" s="1" t="s">
        <v>10</v>
      </c>
    </row>
  </sheetData>
  <hyperlinks>
    <hyperlink ref="C14" r:id="rId1" xr:uid="{6D109244-26B5-4B49-B01B-8EAEEBC9DA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3D46-DA7B-4D4A-83D8-DC7EE919E4DC}">
  <dimension ref="A1:U240"/>
  <sheetViews>
    <sheetView workbookViewId="0">
      <selection activeCell="R2" sqref="R2:R3"/>
    </sheetView>
  </sheetViews>
  <sheetFormatPr baseColWidth="10" defaultRowHeight="15" x14ac:dyDescent="0.2"/>
  <cols>
    <col min="4" max="5" width="10.83203125" style="6"/>
    <col min="6" max="6" width="10.83203125" style="5"/>
    <col min="7" max="7" width="8.6640625" style="6" bestFit="1" customWidth="1"/>
    <col min="10" max="10" width="10.83203125" style="5"/>
    <col min="11" max="11" width="11.6640625" bestFit="1" customWidth="1"/>
    <col min="15" max="15" width="12.33203125" bestFit="1" customWidth="1"/>
    <col min="16" max="16" width="10.83203125" style="11"/>
  </cols>
  <sheetData>
    <row r="1" spans="1:16" x14ac:dyDescent="0.2">
      <c r="B1" s="17" t="s">
        <v>11</v>
      </c>
      <c r="C1" s="18"/>
      <c r="D1" s="19"/>
      <c r="E1" s="19"/>
      <c r="F1" s="20"/>
      <c r="G1" s="21"/>
      <c r="H1" s="31" t="s">
        <v>16</v>
      </c>
      <c r="I1" s="32"/>
      <c r="J1" s="33"/>
      <c r="K1" s="32"/>
      <c r="L1" s="34"/>
      <c r="M1" s="35"/>
    </row>
    <row r="2" spans="1:16" x14ac:dyDescent="0.2">
      <c r="A2" s="45" t="s">
        <v>12</v>
      </c>
      <c r="B2" s="46" t="s">
        <v>13</v>
      </c>
      <c r="C2" s="47" t="s">
        <v>14</v>
      </c>
      <c r="D2" s="48" t="s">
        <v>15</v>
      </c>
      <c r="E2" s="48" t="s">
        <v>17</v>
      </c>
      <c r="F2" s="49" t="s">
        <v>19</v>
      </c>
      <c r="G2" s="50" t="s">
        <v>24</v>
      </c>
      <c r="H2" s="51" t="s">
        <v>13</v>
      </c>
      <c r="I2" s="52" t="s">
        <v>14</v>
      </c>
      <c r="J2" s="53" t="s">
        <v>15</v>
      </c>
      <c r="K2" s="53" t="s">
        <v>18</v>
      </c>
      <c r="L2" s="53" t="s">
        <v>20</v>
      </c>
      <c r="M2" s="54" t="s">
        <v>21</v>
      </c>
      <c r="N2" s="55" t="s">
        <v>22</v>
      </c>
      <c r="O2" s="56" t="s">
        <v>23</v>
      </c>
      <c r="P2" s="57" t="s">
        <v>29</v>
      </c>
    </row>
    <row r="3" spans="1:16" x14ac:dyDescent="0.2">
      <c r="A3" s="15">
        <v>45932</v>
      </c>
      <c r="B3" s="22">
        <v>111.29</v>
      </c>
      <c r="C3" s="23"/>
      <c r="D3" s="3"/>
      <c r="E3" s="3">
        <f t="shared" ref="E3:E66" si="0">G3/B3</f>
        <v>449.27666457004221</v>
      </c>
      <c r="F3" s="13">
        <f t="shared" ref="F3:F66" si="1">E3/N3</f>
        <v>0.82251247946669215</v>
      </c>
      <c r="G3" s="24">
        <f t="shared" ref="G3:G66" si="2">O3/2</f>
        <v>50000</v>
      </c>
      <c r="H3" s="22">
        <v>515.74</v>
      </c>
      <c r="I3" s="23"/>
      <c r="J3" s="2"/>
      <c r="K3" s="4">
        <f t="shared" ref="K3:K66" si="3">M3/H3</f>
        <v>96.948074611238212</v>
      </c>
      <c r="L3" s="7">
        <f t="shared" ref="L3:L66" si="4">K3/N3</f>
        <v>0.1774875205333078</v>
      </c>
      <c r="M3" s="36">
        <f t="shared" ref="M3:M66" si="5">O3/2</f>
        <v>50000</v>
      </c>
      <c r="N3" s="40">
        <f t="shared" ref="N3:N66" si="6">K3+E3</f>
        <v>546.22473918128048</v>
      </c>
      <c r="O3" s="4">
        <v>100000</v>
      </c>
      <c r="P3" s="41"/>
    </row>
    <row r="4" spans="1:16" x14ac:dyDescent="0.2">
      <c r="A4" s="15">
        <v>45933</v>
      </c>
      <c r="B4" s="22">
        <v>113.26</v>
      </c>
      <c r="C4" s="23">
        <v>1.97</v>
      </c>
      <c r="D4" s="12">
        <v>1.7701500584059698E-2</v>
      </c>
      <c r="E4" s="3">
        <f t="shared" si="0"/>
        <v>446.05845589496317</v>
      </c>
      <c r="F4" s="13">
        <f t="shared" si="1"/>
        <v>0.82039612438749776</v>
      </c>
      <c r="G4" s="24">
        <f t="shared" si="2"/>
        <v>50520.580714663534</v>
      </c>
      <c r="H4" s="22">
        <v>517.35</v>
      </c>
      <c r="I4" s="23">
        <v>1.6100000000000101</v>
      </c>
      <c r="J4" s="12">
        <v>3.1217280024818999E-3</v>
      </c>
      <c r="K4" s="4">
        <f t="shared" si="3"/>
        <v>97.652615665726358</v>
      </c>
      <c r="L4" s="7">
        <f t="shared" si="4"/>
        <v>0.17960387561250218</v>
      </c>
      <c r="M4" s="36">
        <f t="shared" si="5"/>
        <v>50520.580714663534</v>
      </c>
      <c r="N4" s="40">
        <f t="shared" si="6"/>
        <v>543.71107156068956</v>
      </c>
      <c r="O4" s="4">
        <f>E3*B4+K3*H4</f>
        <v>101041.16142932707</v>
      </c>
      <c r="P4" s="42">
        <f>(O4-O3)/O3</f>
        <v>1.0411614293270687E-2</v>
      </c>
    </row>
    <row r="5" spans="1:16" x14ac:dyDescent="0.2">
      <c r="A5" s="15">
        <v>45936</v>
      </c>
      <c r="B5" s="22">
        <v>114.2</v>
      </c>
      <c r="C5" s="23">
        <v>0.93999999999999795</v>
      </c>
      <c r="D5" s="12">
        <v>8.2994879039378199E-3</v>
      </c>
      <c r="E5" s="3">
        <f t="shared" si="0"/>
        <v>449.01978426286246</v>
      </c>
      <c r="F5" s="13">
        <f t="shared" si="1"/>
        <v>0.8223314715994835</v>
      </c>
      <c r="G5" s="24">
        <f t="shared" si="2"/>
        <v>51278.059362818894</v>
      </c>
      <c r="H5" s="22">
        <v>528.57000000000005</v>
      </c>
      <c r="I5" s="23">
        <v>11.22</v>
      </c>
      <c r="J5" s="12">
        <v>2.1687445636416398E-2</v>
      </c>
      <c r="K5" s="4">
        <f t="shared" si="3"/>
        <v>97.012806937243681</v>
      </c>
      <c r="L5" s="7">
        <f t="shared" si="4"/>
        <v>0.1776685284005165</v>
      </c>
      <c r="M5" s="36">
        <f t="shared" si="5"/>
        <v>51278.059362818894</v>
      </c>
      <c r="N5" s="40">
        <f t="shared" si="6"/>
        <v>546.03259120010614</v>
      </c>
      <c r="O5" s="4">
        <f t="shared" ref="O5:O68" si="7">E4*B5+K4*H5</f>
        <v>102556.11872563779</v>
      </c>
      <c r="P5" s="42">
        <f t="shared" ref="P5:P68" si="8">(O5-O4)/O4</f>
        <v>1.4993466770177146E-2</v>
      </c>
    </row>
    <row r="6" spans="1:16" x14ac:dyDescent="0.2">
      <c r="A6" s="15">
        <v>45937</v>
      </c>
      <c r="B6" s="22">
        <v>114.26</v>
      </c>
      <c r="C6" s="23">
        <v>6.0000000000002301E-2</v>
      </c>
      <c r="D6" s="12">
        <v>5.2539404553417104E-4</v>
      </c>
      <c r="E6" s="3">
        <f t="shared" si="0"/>
        <v>446.95331318419221</v>
      </c>
      <c r="F6" s="13">
        <f t="shared" si="1"/>
        <v>0.82097643519679109</v>
      </c>
      <c r="G6" s="24">
        <f t="shared" si="2"/>
        <v>51068.885564425807</v>
      </c>
      <c r="H6" s="22">
        <v>523.98</v>
      </c>
      <c r="I6" s="23">
        <v>-4.5900000000000301</v>
      </c>
      <c r="J6" s="12">
        <v>-8.6838072535331805E-3</v>
      </c>
      <c r="K6" s="4">
        <f t="shared" si="3"/>
        <v>97.463425253684889</v>
      </c>
      <c r="L6" s="7">
        <f t="shared" si="4"/>
        <v>0.17902356480320883</v>
      </c>
      <c r="M6" s="36">
        <f t="shared" si="5"/>
        <v>51068.885564425807</v>
      </c>
      <c r="N6" s="40">
        <f t="shared" si="6"/>
        <v>544.41673843787714</v>
      </c>
      <c r="O6" s="4">
        <f t="shared" si="7"/>
        <v>102137.77112885161</v>
      </c>
      <c r="P6" s="42">
        <f t="shared" si="8"/>
        <v>-4.0792066039994574E-3</v>
      </c>
    </row>
    <row r="7" spans="1:16" x14ac:dyDescent="0.2">
      <c r="A7" s="15">
        <v>45938</v>
      </c>
      <c r="B7" s="22">
        <v>114.02</v>
      </c>
      <c r="C7" s="23">
        <v>-0.24000000000000901</v>
      </c>
      <c r="D7" s="12">
        <v>-2.10047260633651E-3</v>
      </c>
      <c r="E7" s="3">
        <f t="shared" si="0"/>
        <v>447.79554250858672</v>
      </c>
      <c r="F7" s="13">
        <f t="shared" si="1"/>
        <v>0.82152863649881835</v>
      </c>
      <c r="G7" s="24">
        <f t="shared" si="2"/>
        <v>51057.647756829057</v>
      </c>
      <c r="H7" s="22">
        <v>524.85</v>
      </c>
      <c r="I7" s="23">
        <v>0.87000000000000499</v>
      </c>
      <c r="J7" s="12">
        <v>1.66036871636323E-3</v>
      </c>
      <c r="K7" s="4">
        <f t="shared" si="3"/>
        <v>97.280456810191595</v>
      </c>
      <c r="L7" s="7">
        <f t="shared" si="4"/>
        <v>0.17847136350118178</v>
      </c>
      <c r="M7" s="36">
        <f t="shared" si="5"/>
        <v>51057.647756829057</v>
      </c>
      <c r="N7" s="40">
        <f t="shared" si="6"/>
        <v>545.07599931877826</v>
      </c>
      <c r="O7" s="4">
        <f t="shared" si="7"/>
        <v>102115.29551365811</v>
      </c>
      <c r="P7" s="42">
        <f t="shared" si="8"/>
        <v>-2.2005194498659841E-4</v>
      </c>
    </row>
    <row r="8" spans="1:16" x14ac:dyDescent="0.2">
      <c r="A8" s="15">
        <v>45939</v>
      </c>
      <c r="B8" s="22">
        <v>112.91</v>
      </c>
      <c r="C8" s="23">
        <v>-1.1100000000000001</v>
      </c>
      <c r="D8" s="12">
        <v>-9.7351341869847292E-3</v>
      </c>
      <c r="E8" s="3">
        <f t="shared" si="0"/>
        <v>448.94121575718987</v>
      </c>
      <c r="F8" s="13">
        <f t="shared" si="1"/>
        <v>0.82227573940281118</v>
      </c>
      <c r="G8" s="24">
        <f t="shared" si="2"/>
        <v>50689.952671144303</v>
      </c>
      <c r="H8" s="22">
        <v>522.4</v>
      </c>
      <c r="I8" s="23">
        <v>-2.4500000000000499</v>
      </c>
      <c r="J8" s="12">
        <v>-4.6680003810613399E-3</v>
      </c>
      <c r="K8" s="4">
        <f t="shared" si="3"/>
        <v>97.032834362833668</v>
      </c>
      <c r="L8" s="7">
        <f t="shared" si="4"/>
        <v>0.17772426059718877</v>
      </c>
      <c r="M8" s="36">
        <f t="shared" si="5"/>
        <v>50689.952671144303</v>
      </c>
      <c r="N8" s="40">
        <f t="shared" si="6"/>
        <v>545.97405012002355</v>
      </c>
      <c r="O8" s="4">
        <f t="shared" si="7"/>
        <v>101379.90534228861</v>
      </c>
      <c r="P8" s="42">
        <f t="shared" si="8"/>
        <v>-7.2015672840230758E-3</v>
      </c>
    </row>
    <row r="9" spans="1:16" x14ac:dyDescent="0.2">
      <c r="A9" s="15">
        <v>45940</v>
      </c>
      <c r="B9" s="22">
        <v>110.73</v>
      </c>
      <c r="C9" s="23">
        <v>-2.1799999999999899</v>
      </c>
      <c r="D9" s="12">
        <v>-1.9307412983792301E-2</v>
      </c>
      <c r="E9" s="3">
        <f t="shared" si="0"/>
        <v>448.34804419230164</v>
      </c>
      <c r="F9" s="13">
        <f t="shared" si="1"/>
        <v>0.82188872267528834</v>
      </c>
      <c r="G9" s="24">
        <f t="shared" si="2"/>
        <v>49645.578933413562</v>
      </c>
      <c r="H9" s="22">
        <v>510.96</v>
      </c>
      <c r="I9" s="23">
        <v>-11.44</v>
      </c>
      <c r="J9" s="12">
        <v>-2.1898928024502301E-2</v>
      </c>
      <c r="K9" s="4">
        <f t="shared" si="3"/>
        <v>97.16138040827768</v>
      </c>
      <c r="L9" s="7">
        <f t="shared" si="4"/>
        <v>0.17811127732471169</v>
      </c>
      <c r="M9" s="36">
        <f t="shared" si="5"/>
        <v>49645.578933413562</v>
      </c>
      <c r="N9" s="40">
        <f t="shared" si="6"/>
        <v>545.50942460057934</v>
      </c>
      <c r="O9" s="4">
        <f t="shared" si="7"/>
        <v>99291.157866827125</v>
      </c>
      <c r="P9" s="42">
        <f t="shared" si="8"/>
        <v>-2.0603170504147256E-2</v>
      </c>
    </row>
    <row r="10" spans="1:16" x14ac:dyDescent="0.2">
      <c r="A10" s="15">
        <v>45943</v>
      </c>
      <c r="B10" s="22">
        <v>112.24</v>
      </c>
      <c r="C10" s="23">
        <v>1.50999999999999</v>
      </c>
      <c r="D10" s="12">
        <v>1.3636774135283899E-2</v>
      </c>
      <c r="E10" s="3">
        <f t="shared" si="0"/>
        <v>446.66960120731949</v>
      </c>
      <c r="F10" s="13">
        <f t="shared" si="1"/>
        <v>0.82078589790672052</v>
      </c>
      <c r="G10" s="24">
        <f t="shared" si="2"/>
        <v>50134.196039509538</v>
      </c>
      <c r="H10" s="22">
        <v>514.04999999999995</v>
      </c>
      <c r="I10" s="23">
        <v>3.0899999999999799</v>
      </c>
      <c r="J10" s="12">
        <v>6.0474401127289298E-3</v>
      </c>
      <c r="K10" s="4">
        <f t="shared" si="3"/>
        <v>97.527859234528819</v>
      </c>
      <c r="L10" s="7">
        <f t="shared" si="4"/>
        <v>0.17921410209327948</v>
      </c>
      <c r="M10" s="36">
        <f t="shared" si="5"/>
        <v>50134.196039509538</v>
      </c>
      <c r="N10" s="40">
        <f t="shared" si="6"/>
        <v>544.19746044184831</v>
      </c>
      <c r="O10" s="4">
        <f t="shared" si="7"/>
        <v>100268.39207901908</v>
      </c>
      <c r="P10" s="42">
        <f t="shared" si="8"/>
        <v>9.8421071240064675E-3</v>
      </c>
    </row>
    <row r="11" spans="1:16" x14ac:dyDescent="0.2">
      <c r="A11" s="15">
        <v>45944</v>
      </c>
      <c r="B11" s="22">
        <v>112.29</v>
      </c>
      <c r="C11" s="23">
        <v>5.0000000000011403E-2</v>
      </c>
      <c r="D11" s="12">
        <v>4.4547398431941699E-4</v>
      </c>
      <c r="E11" s="3">
        <f t="shared" si="0"/>
        <v>446.3617071272904</v>
      </c>
      <c r="F11" s="13">
        <f t="shared" si="1"/>
        <v>0.82058287795992724</v>
      </c>
      <c r="G11" s="24">
        <f t="shared" si="2"/>
        <v>50121.956093323439</v>
      </c>
      <c r="H11" s="22">
        <v>513.57000000000005</v>
      </c>
      <c r="I11" s="23">
        <v>-0.479999999999905</v>
      </c>
      <c r="J11" s="12">
        <v>-9.3376130726564497E-4</v>
      </c>
      <c r="K11" s="4">
        <f t="shared" si="3"/>
        <v>97.59517902783152</v>
      </c>
      <c r="L11" s="7">
        <f t="shared" si="4"/>
        <v>0.17941712204007285</v>
      </c>
      <c r="M11" s="36">
        <f t="shared" si="5"/>
        <v>50121.956093323439</v>
      </c>
      <c r="N11" s="40">
        <f t="shared" si="6"/>
        <v>543.95688615512188</v>
      </c>
      <c r="O11" s="4">
        <f t="shared" si="7"/>
        <v>100243.91218664688</v>
      </c>
      <c r="P11" s="42">
        <f t="shared" si="8"/>
        <v>-2.4414366147315245E-4</v>
      </c>
    </row>
    <row r="12" spans="1:16" x14ac:dyDescent="0.2">
      <c r="A12" s="15">
        <v>45945</v>
      </c>
      <c r="B12" s="22">
        <v>111.61</v>
      </c>
      <c r="C12" s="23">
        <v>-0.68000000000000704</v>
      </c>
      <c r="D12" s="12">
        <v>-6.0557485083267103E-3</v>
      </c>
      <c r="E12" s="3">
        <f t="shared" si="0"/>
        <v>447.66025849268169</v>
      </c>
      <c r="F12" s="13">
        <f t="shared" si="1"/>
        <v>0.82143542813259951</v>
      </c>
      <c r="G12" s="24">
        <f t="shared" si="2"/>
        <v>49963.361450368204</v>
      </c>
      <c r="H12" s="22">
        <v>513.42999999999995</v>
      </c>
      <c r="I12" s="23">
        <v>-0.14000000000009999</v>
      </c>
      <c r="J12" s="12">
        <v>-2.7260159277235797E-4</v>
      </c>
      <c r="K12" s="4">
        <f t="shared" si="3"/>
        <v>97.312898448412071</v>
      </c>
      <c r="L12" s="7">
        <f t="shared" si="4"/>
        <v>0.17856457186740052</v>
      </c>
      <c r="M12" s="36">
        <f t="shared" si="5"/>
        <v>49963.361450368204</v>
      </c>
      <c r="N12" s="40">
        <f t="shared" si="6"/>
        <v>544.97315694109375</v>
      </c>
      <c r="O12" s="4">
        <f t="shared" si="7"/>
        <v>99926.722900736408</v>
      </c>
      <c r="P12" s="42">
        <f t="shared" si="8"/>
        <v>-3.1641750505495701E-3</v>
      </c>
    </row>
    <row r="13" spans="1:16" x14ac:dyDescent="0.2">
      <c r="A13" s="15">
        <v>45946</v>
      </c>
      <c r="B13" s="22">
        <v>110.64</v>
      </c>
      <c r="C13" s="23">
        <v>-0.96999999999999897</v>
      </c>
      <c r="D13" s="12">
        <v>-8.6909775109757104E-3</v>
      </c>
      <c r="E13" s="3">
        <f t="shared" si="0"/>
        <v>448.82222964037595</v>
      </c>
      <c r="F13" s="13">
        <f t="shared" si="1"/>
        <v>0.822193652069104</v>
      </c>
      <c r="G13" s="24">
        <f t="shared" si="2"/>
        <v>49657.691487411197</v>
      </c>
      <c r="H13" s="22">
        <v>511.61</v>
      </c>
      <c r="I13" s="23">
        <v>-1.8199999999999401</v>
      </c>
      <c r="J13" s="12">
        <v>-3.5447870206258602E-3</v>
      </c>
      <c r="K13" s="4">
        <f t="shared" si="3"/>
        <v>97.061612336371837</v>
      </c>
      <c r="L13" s="7">
        <f t="shared" si="4"/>
        <v>0.17780634793089595</v>
      </c>
      <c r="M13" s="36">
        <f t="shared" si="5"/>
        <v>49657.691487411197</v>
      </c>
      <c r="N13" s="40">
        <f t="shared" si="6"/>
        <v>545.88384197674782</v>
      </c>
      <c r="O13" s="4">
        <f t="shared" si="7"/>
        <v>99315.382974822394</v>
      </c>
      <c r="P13" s="42">
        <f t="shared" si="8"/>
        <v>-6.1178822658008733E-3</v>
      </c>
    </row>
    <row r="14" spans="1:16" x14ac:dyDescent="0.2">
      <c r="A14" s="15">
        <v>45947</v>
      </c>
      <c r="B14" s="22">
        <v>112.24</v>
      </c>
      <c r="C14" s="23">
        <v>1.5999999999999901</v>
      </c>
      <c r="D14" s="12">
        <v>1.44613159797541E-2</v>
      </c>
      <c r="E14" s="3">
        <f t="shared" si="0"/>
        <v>446.47500854663957</v>
      </c>
      <c r="F14" s="13">
        <f t="shared" si="1"/>
        <v>0.82065130548720078</v>
      </c>
      <c r="G14" s="24">
        <f t="shared" si="2"/>
        <v>50112.354959274824</v>
      </c>
      <c r="H14" s="22">
        <v>513.58000000000004</v>
      </c>
      <c r="I14" s="23">
        <v>1.9700000000000299</v>
      </c>
      <c r="J14" s="12">
        <v>3.8505893160806601E-3</v>
      </c>
      <c r="K14" s="4">
        <f t="shared" si="3"/>
        <v>97.574584211368858</v>
      </c>
      <c r="L14" s="7">
        <f t="shared" si="4"/>
        <v>0.17934869451279919</v>
      </c>
      <c r="M14" s="36">
        <f t="shared" si="5"/>
        <v>50112.354959274824</v>
      </c>
      <c r="N14" s="40">
        <f t="shared" si="6"/>
        <v>544.04959275800843</v>
      </c>
      <c r="O14" s="4">
        <f t="shared" si="7"/>
        <v>100224.70991854965</v>
      </c>
      <c r="P14" s="42">
        <f t="shared" si="8"/>
        <v>9.1559526479173797E-3</v>
      </c>
    </row>
    <row r="15" spans="1:16" x14ac:dyDescent="0.2">
      <c r="A15" s="15">
        <v>45950</v>
      </c>
      <c r="B15" s="22">
        <v>112.7</v>
      </c>
      <c r="C15" s="23">
        <v>0.46000000000000801</v>
      </c>
      <c r="D15" s="12">
        <v>4.0983606557377797E-3</v>
      </c>
      <c r="E15" s="3">
        <f t="shared" si="0"/>
        <v>446.95342873912864</v>
      </c>
      <c r="F15" s="13">
        <f t="shared" si="1"/>
        <v>0.82096617897027757</v>
      </c>
      <c r="G15" s="24">
        <f t="shared" si="2"/>
        <v>50371.651418899797</v>
      </c>
      <c r="H15" s="22">
        <v>516.79</v>
      </c>
      <c r="I15" s="23">
        <v>3.20999999999992</v>
      </c>
      <c r="J15" s="12">
        <v>6.2502433895399402E-3</v>
      </c>
      <c r="K15" s="4">
        <f t="shared" si="3"/>
        <v>97.470251782928855</v>
      </c>
      <c r="L15" s="7">
        <f t="shared" si="4"/>
        <v>0.17903382102972251</v>
      </c>
      <c r="M15" s="36">
        <f t="shared" si="5"/>
        <v>50371.651418899797</v>
      </c>
      <c r="N15" s="40">
        <f t="shared" si="6"/>
        <v>544.42368052205745</v>
      </c>
      <c r="O15" s="4">
        <f t="shared" si="7"/>
        <v>100743.30283779959</v>
      </c>
      <c r="P15" s="42">
        <f t="shared" si="8"/>
        <v>5.1743020226388764E-3</v>
      </c>
    </row>
    <row r="16" spans="1:16" x14ac:dyDescent="0.2">
      <c r="A16" s="15">
        <v>45951</v>
      </c>
      <c r="B16" s="22">
        <v>112.71</v>
      </c>
      <c r="C16" s="23">
        <v>9.9999999999909103E-3</v>
      </c>
      <c r="D16" s="12">
        <v>8.8731144631684994E-5</v>
      </c>
      <c r="E16" s="3">
        <f t="shared" si="0"/>
        <v>447.30978391951976</v>
      </c>
      <c r="F16" s="13">
        <f t="shared" si="1"/>
        <v>0.82120024747370601</v>
      </c>
      <c r="G16" s="24">
        <f t="shared" si="2"/>
        <v>50416.285745569068</v>
      </c>
      <c r="H16" s="22">
        <v>517.66</v>
      </c>
      <c r="I16" s="23">
        <v>0.87000000000000499</v>
      </c>
      <c r="J16" s="12">
        <v>1.6834691073743799E-3</v>
      </c>
      <c r="K16" s="4">
        <f t="shared" si="3"/>
        <v>97.392662646464998</v>
      </c>
      <c r="L16" s="7">
        <f t="shared" si="4"/>
        <v>0.1787997525262941</v>
      </c>
      <c r="M16" s="36">
        <f t="shared" si="5"/>
        <v>50416.285745569068</v>
      </c>
      <c r="N16" s="40">
        <f t="shared" si="6"/>
        <v>544.7024465659847</v>
      </c>
      <c r="O16" s="4">
        <f t="shared" si="7"/>
        <v>100832.57149113814</v>
      </c>
      <c r="P16" s="42">
        <f t="shared" si="8"/>
        <v>8.8610012600309534E-4</v>
      </c>
    </row>
    <row r="17" spans="1:16" x14ac:dyDescent="0.2">
      <c r="A17" s="15">
        <v>45952</v>
      </c>
      <c r="B17" s="22">
        <v>114.71</v>
      </c>
      <c r="C17" s="23">
        <v>2</v>
      </c>
      <c r="D17" s="12">
        <v>1.77446544228551E-2</v>
      </c>
      <c r="E17" s="3">
        <f t="shared" si="0"/>
        <v>444.63290875860434</v>
      </c>
      <c r="F17" s="13">
        <f t="shared" si="1"/>
        <v>0.81942542306178667</v>
      </c>
      <c r="G17" s="24">
        <f t="shared" si="2"/>
        <v>51003.840963699498</v>
      </c>
      <c r="H17" s="22">
        <v>520.54</v>
      </c>
      <c r="I17" s="23">
        <v>2.88</v>
      </c>
      <c r="J17" s="12">
        <v>5.5634972762044496E-3</v>
      </c>
      <c r="K17" s="4">
        <f t="shared" si="3"/>
        <v>97.982558427209241</v>
      </c>
      <c r="L17" s="7">
        <f t="shared" si="4"/>
        <v>0.18057457693821327</v>
      </c>
      <c r="M17" s="36">
        <f t="shared" si="5"/>
        <v>51003.840963699498</v>
      </c>
      <c r="N17" s="40">
        <f t="shared" si="6"/>
        <v>542.6154671858136</v>
      </c>
      <c r="O17" s="4">
        <f t="shared" si="7"/>
        <v>102007.681927399</v>
      </c>
      <c r="P17" s="42">
        <f t="shared" si="8"/>
        <v>1.1654075849529804E-2</v>
      </c>
    </row>
    <row r="18" spans="1:16" x14ac:dyDescent="0.2">
      <c r="A18" s="15">
        <v>45953</v>
      </c>
      <c r="B18" s="22">
        <v>115.98</v>
      </c>
      <c r="C18" s="23">
        <v>1.27000000000001</v>
      </c>
      <c r="D18" s="12">
        <v>1.10713974370152E-2</v>
      </c>
      <c r="E18" s="3">
        <f t="shared" si="0"/>
        <v>442.20695539183896</v>
      </c>
      <c r="F18" s="13">
        <f t="shared" si="1"/>
        <v>0.8177962107644452</v>
      </c>
      <c r="G18" s="24">
        <f t="shared" si="2"/>
        <v>51287.162686345488</v>
      </c>
      <c r="H18" s="22">
        <v>520.55999999999995</v>
      </c>
      <c r="I18" s="23">
        <v>1.99999999999818E-2</v>
      </c>
      <c r="J18" s="12">
        <v>3.8421639067087698E-5</v>
      </c>
      <c r="K18" s="4">
        <f t="shared" si="3"/>
        <v>98.52305725823247</v>
      </c>
      <c r="L18" s="7">
        <f t="shared" si="4"/>
        <v>0.18220378923555475</v>
      </c>
      <c r="M18" s="36">
        <f t="shared" si="5"/>
        <v>51287.162686345488</v>
      </c>
      <c r="N18" s="40">
        <f t="shared" si="6"/>
        <v>540.73001265007144</v>
      </c>
      <c r="O18" s="4">
        <f t="shared" si="7"/>
        <v>102574.32537269098</v>
      </c>
      <c r="P18" s="42">
        <f t="shared" si="8"/>
        <v>5.5549095380411683E-3</v>
      </c>
    </row>
    <row r="19" spans="1:16" x14ac:dyDescent="0.2">
      <c r="A19" s="15">
        <v>45954</v>
      </c>
      <c r="B19" s="22">
        <v>115.39</v>
      </c>
      <c r="C19" s="23">
        <v>-0.59000000000000297</v>
      </c>
      <c r="D19" s="12">
        <v>-5.0870839799965796E-3</v>
      </c>
      <c r="E19" s="3">
        <f t="shared" si="0"/>
        <v>444.63956405948261</v>
      </c>
      <c r="F19" s="13">
        <f t="shared" si="1"/>
        <v>0.81942097026604066</v>
      </c>
      <c r="G19" s="24">
        <f t="shared" si="2"/>
        <v>51306.959296823698</v>
      </c>
      <c r="H19" s="22">
        <v>523.61</v>
      </c>
      <c r="I19" s="23">
        <v>3.05000000000007</v>
      </c>
      <c r="J19" s="12">
        <v>5.8590748424774599E-3</v>
      </c>
      <c r="K19" s="4">
        <f t="shared" si="3"/>
        <v>97.98697369573479</v>
      </c>
      <c r="L19" s="7">
        <f t="shared" si="4"/>
        <v>0.18057902973395928</v>
      </c>
      <c r="M19" s="36">
        <f t="shared" si="5"/>
        <v>51306.959296823698</v>
      </c>
      <c r="N19" s="40">
        <f t="shared" si="6"/>
        <v>542.62653775521744</v>
      </c>
      <c r="O19" s="4">
        <f t="shared" si="7"/>
        <v>102613.9185936474</v>
      </c>
      <c r="P19" s="42">
        <f t="shared" si="8"/>
        <v>3.8599543124035E-4</v>
      </c>
    </row>
    <row r="20" spans="1:16" x14ac:dyDescent="0.2">
      <c r="A20" s="15">
        <v>45957</v>
      </c>
      <c r="B20" s="22">
        <v>115.94</v>
      </c>
      <c r="C20" s="23">
        <v>0.54999999999999705</v>
      </c>
      <c r="D20" s="12">
        <v>4.7664442326024502E-3</v>
      </c>
      <c r="E20" s="3">
        <f t="shared" si="0"/>
        <v>446.92749403059071</v>
      </c>
      <c r="F20" s="13">
        <f t="shared" si="1"/>
        <v>0.82093102276588514</v>
      </c>
      <c r="G20" s="24">
        <f t="shared" si="2"/>
        <v>51816.773657906684</v>
      </c>
      <c r="H20" s="22">
        <v>531.52</v>
      </c>
      <c r="I20" s="23">
        <v>7.9099999999999699</v>
      </c>
      <c r="J20" s="12">
        <v>1.51066633563148E-2</v>
      </c>
      <c r="K20" s="4">
        <f t="shared" si="3"/>
        <v>97.487909500878018</v>
      </c>
      <c r="L20" s="7">
        <f t="shared" si="4"/>
        <v>0.17906897723411483</v>
      </c>
      <c r="M20" s="36">
        <f t="shared" si="5"/>
        <v>51816.773657906684</v>
      </c>
      <c r="N20" s="40">
        <f t="shared" si="6"/>
        <v>544.41540353146877</v>
      </c>
      <c r="O20" s="4">
        <f t="shared" si="7"/>
        <v>103633.54731581337</v>
      </c>
      <c r="P20" s="42">
        <f t="shared" si="8"/>
        <v>9.9365537944586021E-3</v>
      </c>
    </row>
    <row r="21" spans="1:16" x14ac:dyDescent="0.2">
      <c r="A21" s="15">
        <v>45958</v>
      </c>
      <c r="B21" s="22">
        <v>115.03</v>
      </c>
      <c r="C21" s="23">
        <v>-0.90999999999999703</v>
      </c>
      <c r="D21" s="12">
        <v>-7.8488873555286904E-3</v>
      </c>
      <c r="E21" s="3">
        <f t="shared" si="0"/>
        <v>453.1658729960871</v>
      </c>
      <c r="F21" s="13">
        <f t="shared" si="1"/>
        <v>0.82494293106072147</v>
      </c>
      <c r="G21" s="24">
        <f t="shared" si="2"/>
        <v>52127.670370739899</v>
      </c>
      <c r="H21" s="22">
        <v>542.07000000000005</v>
      </c>
      <c r="I21" s="23">
        <v>10.5500000000001</v>
      </c>
      <c r="J21" s="12">
        <v>1.98487357013848E-2</v>
      </c>
      <c r="K21" s="4">
        <f t="shared" si="3"/>
        <v>96.164093882229039</v>
      </c>
      <c r="L21" s="7">
        <f t="shared" si="4"/>
        <v>0.17505706893927864</v>
      </c>
      <c r="M21" s="36">
        <f t="shared" si="5"/>
        <v>52127.670370739899</v>
      </c>
      <c r="N21" s="40">
        <f t="shared" si="6"/>
        <v>549.3299668783161</v>
      </c>
      <c r="O21" s="4">
        <f t="shared" si="7"/>
        <v>104255.3407414798</v>
      </c>
      <c r="P21" s="42">
        <f t="shared" si="8"/>
        <v>5.9999241729280384E-3</v>
      </c>
    </row>
    <row r="22" spans="1:16" x14ac:dyDescent="0.2">
      <c r="A22" s="15">
        <v>45959</v>
      </c>
      <c r="B22" s="22">
        <v>116.45</v>
      </c>
      <c r="C22" s="23">
        <v>1.42</v>
      </c>
      <c r="D22" s="12">
        <v>1.23446057550204E-2</v>
      </c>
      <c r="E22" s="3">
        <f t="shared" si="0"/>
        <v>450.18819644618065</v>
      </c>
      <c r="F22" s="13">
        <f t="shared" si="1"/>
        <v>0.82302431610942239</v>
      </c>
      <c r="G22" s="24">
        <f t="shared" si="2"/>
        <v>52424.415476157737</v>
      </c>
      <c r="H22" s="22">
        <v>541.54999999999995</v>
      </c>
      <c r="I22" s="23">
        <v>-0.52000000000009605</v>
      </c>
      <c r="J22" s="12">
        <v>-9.5928570110888898E-4</v>
      </c>
      <c r="K22" s="4">
        <f t="shared" si="3"/>
        <v>96.804386439216586</v>
      </c>
      <c r="L22" s="7">
        <f t="shared" si="4"/>
        <v>0.17697568389057752</v>
      </c>
      <c r="M22" s="36">
        <f t="shared" si="5"/>
        <v>52424.415476157737</v>
      </c>
      <c r="N22" s="40">
        <f t="shared" si="6"/>
        <v>546.99258288539727</v>
      </c>
      <c r="O22" s="4">
        <f t="shared" si="7"/>
        <v>104848.83095231547</v>
      </c>
      <c r="P22" s="42">
        <f t="shared" si="8"/>
        <v>5.6926600269557801E-3</v>
      </c>
    </row>
    <row r="23" spans="1:16" x14ac:dyDescent="0.2">
      <c r="A23" s="15">
        <v>45960</v>
      </c>
      <c r="B23" s="22">
        <v>114.69</v>
      </c>
      <c r="C23" s="23">
        <v>-1.76000000000001</v>
      </c>
      <c r="D23" s="12">
        <v>-1.5113782739373201E-2</v>
      </c>
      <c r="E23" s="3">
        <f t="shared" si="0"/>
        <v>446.978631374553</v>
      </c>
      <c r="F23" s="13">
        <f t="shared" si="1"/>
        <v>0.82092278866422042</v>
      </c>
      <c r="G23" s="24">
        <f t="shared" si="2"/>
        <v>51263.979232347483</v>
      </c>
      <c r="H23" s="22">
        <v>525.76</v>
      </c>
      <c r="I23" s="23">
        <v>-15.79</v>
      </c>
      <c r="J23" s="12">
        <v>-2.9157049210599102E-2</v>
      </c>
      <c r="K23" s="4">
        <f t="shared" si="3"/>
        <v>97.504525320198354</v>
      </c>
      <c r="L23" s="7">
        <f t="shared" si="4"/>
        <v>0.17907721133577953</v>
      </c>
      <c r="M23" s="36">
        <f t="shared" si="5"/>
        <v>51263.979232347483</v>
      </c>
      <c r="N23" s="40">
        <f t="shared" si="6"/>
        <v>544.48315669475141</v>
      </c>
      <c r="O23" s="4">
        <f t="shared" si="7"/>
        <v>102527.95846469497</v>
      </c>
      <c r="P23" s="42">
        <f t="shared" si="8"/>
        <v>-2.2135415974986174E-2</v>
      </c>
    </row>
    <row r="24" spans="1:16" x14ac:dyDescent="0.2">
      <c r="A24" s="15">
        <v>45961</v>
      </c>
      <c r="B24" s="22">
        <v>114.36</v>
      </c>
      <c r="C24" s="23">
        <v>-0.32999999999999802</v>
      </c>
      <c r="D24" s="12">
        <v>-2.8773214752811798E-3</v>
      </c>
      <c r="E24" s="3">
        <f t="shared" si="0"/>
        <v>444.23441124539079</v>
      </c>
      <c r="F24" s="13">
        <f t="shared" si="1"/>
        <v>0.81909929291171679</v>
      </c>
      <c r="G24" s="24">
        <f t="shared" si="2"/>
        <v>50802.647270022891</v>
      </c>
      <c r="H24" s="22">
        <v>517.80999999999995</v>
      </c>
      <c r="I24" s="23">
        <v>-7.9500000000000499</v>
      </c>
      <c r="J24" s="12">
        <v>-1.5120967741935601E-2</v>
      </c>
      <c r="K24" s="4">
        <f t="shared" si="3"/>
        <v>98.110595141119134</v>
      </c>
      <c r="L24" s="7">
        <f t="shared" si="4"/>
        <v>0.18090070708828324</v>
      </c>
      <c r="M24" s="36">
        <f t="shared" si="5"/>
        <v>50802.647270022891</v>
      </c>
      <c r="N24" s="40">
        <f t="shared" si="6"/>
        <v>542.34500638650991</v>
      </c>
      <c r="O24" s="4">
        <f t="shared" si="7"/>
        <v>101605.29454004578</v>
      </c>
      <c r="P24" s="42">
        <f t="shared" si="8"/>
        <v>-8.9991446086083761E-3</v>
      </c>
    </row>
    <row r="25" spans="1:16" x14ac:dyDescent="0.2">
      <c r="A25" s="15">
        <v>45964</v>
      </c>
      <c r="B25" s="22">
        <v>113.76</v>
      </c>
      <c r="C25" s="23">
        <v>-0.59999999999999398</v>
      </c>
      <c r="D25" s="12">
        <v>-5.2465897166841099E-3</v>
      </c>
      <c r="E25" s="3">
        <f t="shared" si="0"/>
        <v>445.06956588031147</v>
      </c>
      <c r="F25" s="13">
        <f t="shared" si="1"/>
        <v>0.81965471868609197</v>
      </c>
      <c r="G25" s="24">
        <f t="shared" si="2"/>
        <v>50631.113814544238</v>
      </c>
      <c r="H25" s="22">
        <v>517.03</v>
      </c>
      <c r="I25" s="23">
        <v>-0.77999999999997305</v>
      </c>
      <c r="J25" s="12">
        <v>-1.5063440258009199E-3</v>
      </c>
      <c r="K25" s="4">
        <f t="shared" si="3"/>
        <v>97.926839476518268</v>
      </c>
      <c r="L25" s="7">
        <f t="shared" si="4"/>
        <v>0.18034528131390798</v>
      </c>
      <c r="M25" s="36">
        <f t="shared" si="5"/>
        <v>50631.113814544238</v>
      </c>
      <c r="N25" s="40">
        <f t="shared" si="6"/>
        <v>542.99640535682977</v>
      </c>
      <c r="O25" s="4">
        <f t="shared" si="7"/>
        <v>101262.22762908848</v>
      </c>
      <c r="P25" s="42">
        <f t="shared" si="8"/>
        <v>-3.3764668712425523E-3</v>
      </c>
    </row>
    <row r="26" spans="1:16" x14ac:dyDescent="0.2">
      <c r="A26" s="15">
        <v>45965</v>
      </c>
      <c r="B26" s="22">
        <v>114.14</v>
      </c>
      <c r="C26" s="23">
        <v>0.37999999999999501</v>
      </c>
      <c r="D26" s="12">
        <v>3.3403656821377899E-3</v>
      </c>
      <c r="E26" s="3">
        <f t="shared" si="0"/>
        <v>443.17045557007356</v>
      </c>
      <c r="F26" s="13">
        <f t="shared" si="1"/>
        <v>0.81838433019873669</v>
      </c>
      <c r="G26" s="24">
        <f t="shared" si="2"/>
        <v>50583.475798768195</v>
      </c>
      <c r="H26" s="22">
        <v>514.33000000000004</v>
      </c>
      <c r="I26" s="23">
        <v>-2.69999999999993</v>
      </c>
      <c r="J26" s="12">
        <v>-5.2221341121403602E-3</v>
      </c>
      <c r="K26" s="4">
        <f t="shared" si="3"/>
        <v>98.348289617110012</v>
      </c>
      <c r="L26" s="7">
        <f t="shared" si="4"/>
        <v>0.1816156698012634</v>
      </c>
      <c r="M26" s="36">
        <f t="shared" si="5"/>
        <v>50583.475798768195</v>
      </c>
      <c r="N26" s="40">
        <f t="shared" si="6"/>
        <v>541.51874518718353</v>
      </c>
      <c r="O26" s="4">
        <f t="shared" si="7"/>
        <v>101166.95159753639</v>
      </c>
      <c r="P26" s="42">
        <f t="shared" si="8"/>
        <v>-9.4088421500138379E-4</v>
      </c>
    </row>
    <row r="27" spans="1:16" x14ac:dyDescent="0.2">
      <c r="A27" s="15">
        <v>45966</v>
      </c>
      <c r="B27" s="22">
        <v>113.68</v>
      </c>
      <c r="C27" s="23">
        <v>-0.45999999999999402</v>
      </c>
      <c r="D27" s="12">
        <v>-4.0301384264937196E-3</v>
      </c>
      <c r="E27" s="3">
        <f t="shared" si="0"/>
        <v>440.96558740068383</v>
      </c>
      <c r="F27" s="13">
        <f t="shared" si="1"/>
        <v>0.8168932414148572</v>
      </c>
      <c r="G27" s="24">
        <f t="shared" si="2"/>
        <v>50128.96797570974</v>
      </c>
      <c r="H27" s="22">
        <v>507.16</v>
      </c>
      <c r="I27" s="23">
        <v>-7.1700000000000204</v>
      </c>
      <c r="J27" s="12">
        <v>-1.39404662376296E-2</v>
      </c>
      <c r="K27" s="4">
        <f t="shared" si="3"/>
        <v>98.842511191162032</v>
      </c>
      <c r="L27" s="7">
        <f t="shared" si="4"/>
        <v>0.18310675858514269</v>
      </c>
      <c r="M27" s="36">
        <f t="shared" si="5"/>
        <v>50128.96797570974</v>
      </c>
      <c r="N27" s="40">
        <f t="shared" si="6"/>
        <v>539.80809859184592</v>
      </c>
      <c r="O27" s="4">
        <f t="shared" si="7"/>
        <v>100257.93595141948</v>
      </c>
      <c r="P27" s="42">
        <f t="shared" si="8"/>
        <v>-8.9853023320616322E-3</v>
      </c>
    </row>
    <row r="28" spans="1:16" x14ac:dyDescent="0.2">
      <c r="A28" s="15">
        <v>45967</v>
      </c>
      <c r="B28" s="22">
        <v>114.5</v>
      </c>
      <c r="C28" s="23">
        <v>0.81999999999999296</v>
      </c>
      <c r="D28" s="12">
        <v>7.2132301196339999E-3</v>
      </c>
      <c r="E28" s="3">
        <f t="shared" si="0"/>
        <v>435.04441952185567</v>
      </c>
      <c r="F28" s="13">
        <f t="shared" si="1"/>
        <v>0.81278613472858074</v>
      </c>
      <c r="G28" s="24">
        <f t="shared" si="2"/>
        <v>49812.586035252476</v>
      </c>
      <c r="H28" s="22">
        <v>497.1</v>
      </c>
      <c r="I28" s="23">
        <v>-10.06</v>
      </c>
      <c r="J28" s="12">
        <v>-1.9835949207350701E-2</v>
      </c>
      <c r="K28" s="4">
        <f t="shared" si="3"/>
        <v>100.2063690107674</v>
      </c>
      <c r="L28" s="7">
        <f t="shared" si="4"/>
        <v>0.18721386527141923</v>
      </c>
      <c r="M28" s="36">
        <f t="shared" si="5"/>
        <v>49812.586035252476</v>
      </c>
      <c r="N28" s="40">
        <f t="shared" si="6"/>
        <v>535.25078853262312</v>
      </c>
      <c r="O28" s="4">
        <f t="shared" si="7"/>
        <v>99625.172070504952</v>
      </c>
      <c r="P28" s="42">
        <f t="shared" si="8"/>
        <v>-6.3113595438583272E-3</v>
      </c>
    </row>
    <row r="29" spans="1:16" x14ac:dyDescent="0.2">
      <c r="A29" s="15">
        <v>45968</v>
      </c>
      <c r="B29" s="22">
        <v>117.22</v>
      </c>
      <c r="C29" s="23">
        <v>2.72</v>
      </c>
      <c r="D29" s="12">
        <v>2.3755458515283798E-2</v>
      </c>
      <c r="E29" s="3">
        <f t="shared" si="0"/>
        <v>429.87730382307365</v>
      </c>
      <c r="F29" s="13">
        <f t="shared" si="1"/>
        <v>0.80910038433978237</v>
      </c>
      <c r="G29" s="24">
        <f t="shared" si="2"/>
        <v>50390.21755414069</v>
      </c>
      <c r="H29" s="22">
        <v>496.82</v>
      </c>
      <c r="I29" s="23">
        <v>-0.28000000000003</v>
      </c>
      <c r="J29" s="12">
        <v>-5.6326694830019996E-4</v>
      </c>
      <c r="K29" s="4">
        <f t="shared" si="3"/>
        <v>101.4255012965273</v>
      </c>
      <c r="L29" s="7">
        <f t="shared" si="4"/>
        <v>0.19089961566021757</v>
      </c>
      <c r="M29" s="36">
        <f t="shared" si="5"/>
        <v>50390.21755414069</v>
      </c>
      <c r="N29" s="40">
        <f t="shared" si="6"/>
        <v>531.30280511960098</v>
      </c>
      <c r="O29" s="4">
        <f t="shared" si="7"/>
        <v>100780.43510828138</v>
      </c>
      <c r="P29" s="42">
        <f t="shared" si="8"/>
        <v>1.1596095783491814E-2</v>
      </c>
    </row>
    <row r="30" spans="1:16" x14ac:dyDescent="0.2">
      <c r="A30" s="15">
        <v>45971</v>
      </c>
      <c r="B30" s="22">
        <v>118.22</v>
      </c>
      <c r="C30" s="23">
        <v>1</v>
      </c>
      <c r="D30" s="12">
        <v>8.5309674117044904E-3</v>
      </c>
      <c r="E30" s="3">
        <f t="shared" si="0"/>
        <v>431.99711772122561</v>
      </c>
      <c r="F30" s="13">
        <f t="shared" si="1"/>
        <v>0.81061164333087687</v>
      </c>
      <c r="G30" s="24">
        <f t="shared" si="2"/>
        <v>51070.699257003289</v>
      </c>
      <c r="H30" s="22">
        <v>506</v>
      </c>
      <c r="I30" s="23">
        <v>9.1800000000000104</v>
      </c>
      <c r="J30" s="12">
        <v>1.8477517008172E-2</v>
      </c>
      <c r="K30" s="4">
        <f t="shared" si="3"/>
        <v>100.93023568577725</v>
      </c>
      <c r="L30" s="7">
        <f t="shared" si="4"/>
        <v>0.18938835666912304</v>
      </c>
      <c r="M30" s="36">
        <f t="shared" si="5"/>
        <v>51070.699257003289</v>
      </c>
      <c r="N30" s="40">
        <f t="shared" si="6"/>
        <v>532.9273534070029</v>
      </c>
      <c r="O30" s="4">
        <f t="shared" si="7"/>
        <v>102141.39851400658</v>
      </c>
      <c r="P30" s="42">
        <f t="shared" si="8"/>
        <v>1.3504242209938257E-2</v>
      </c>
    </row>
    <row r="31" spans="1:16" x14ac:dyDescent="0.2">
      <c r="A31" s="15">
        <v>45972</v>
      </c>
      <c r="B31" s="22">
        <v>119.78</v>
      </c>
      <c r="C31" s="23">
        <v>1.56</v>
      </c>
      <c r="D31" s="12">
        <v>1.3195736761969201E-2</v>
      </c>
      <c r="E31" s="3">
        <f t="shared" si="0"/>
        <v>430.31310339493064</v>
      </c>
      <c r="F31" s="13">
        <f t="shared" si="1"/>
        <v>0.80940712217165767</v>
      </c>
      <c r="G31" s="24">
        <f t="shared" si="2"/>
        <v>51542.903524644789</v>
      </c>
      <c r="H31" s="22">
        <v>508.68</v>
      </c>
      <c r="I31" s="23">
        <v>2.6800000000000099</v>
      </c>
      <c r="J31" s="12">
        <v>5.2964426877470496E-3</v>
      </c>
      <c r="K31" s="4">
        <f t="shared" si="3"/>
        <v>101.32677424833842</v>
      </c>
      <c r="L31" s="7">
        <f t="shared" si="4"/>
        <v>0.19059287782834228</v>
      </c>
      <c r="M31" s="36">
        <f t="shared" si="5"/>
        <v>51542.903524644789</v>
      </c>
      <c r="N31" s="40">
        <f t="shared" si="6"/>
        <v>531.63987764326907</v>
      </c>
      <c r="O31" s="4">
        <f t="shared" si="7"/>
        <v>103085.80704928958</v>
      </c>
      <c r="P31" s="42">
        <f t="shared" si="8"/>
        <v>9.2460897248581794E-3</v>
      </c>
    </row>
    <row r="32" spans="1:16" x14ac:dyDescent="0.2">
      <c r="A32" s="15">
        <v>45973</v>
      </c>
      <c r="B32" s="22">
        <v>118.12</v>
      </c>
      <c r="C32" s="23">
        <v>-1.66</v>
      </c>
      <c r="D32" s="12">
        <v>-1.38587410252129E-2</v>
      </c>
      <c r="E32" s="3">
        <f t="shared" si="0"/>
        <v>434.39193685364427</v>
      </c>
      <c r="F32" s="13">
        <f t="shared" si="1"/>
        <v>0.81228744874932457</v>
      </c>
      <c r="G32" s="24">
        <f t="shared" si="2"/>
        <v>51310.375581152461</v>
      </c>
      <c r="H32" s="22">
        <v>511.14</v>
      </c>
      <c r="I32" s="23">
        <v>2.45999999999998</v>
      </c>
      <c r="J32" s="12">
        <v>4.8360462373200803E-3</v>
      </c>
      <c r="K32" s="4">
        <f t="shared" si="3"/>
        <v>100.38419137839431</v>
      </c>
      <c r="L32" s="7">
        <f t="shared" si="4"/>
        <v>0.1877125512506754</v>
      </c>
      <c r="M32" s="36">
        <f t="shared" si="5"/>
        <v>51310.375581152461</v>
      </c>
      <c r="N32" s="40">
        <f t="shared" si="6"/>
        <v>534.77612823203856</v>
      </c>
      <c r="O32" s="4">
        <f t="shared" si="7"/>
        <v>102620.75116230492</v>
      </c>
      <c r="P32" s="42">
        <f t="shared" si="8"/>
        <v>-4.5113473939462382E-3</v>
      </c>
    </row>
    <row r="33" spans="1:16" x14ac:dyDescent="0.2">
      <c r="A33" s="15">
        <v>45974</v>
      </c>
      <c r="B33" s="22">
        <v>118.79</v>
      </c>
      <c r="C33" s="23">
        <v>0.67000000000000204</v>
      </c>
      <c r="D33" s="12">
        <v>5.6721977649847799E-3</v>
      </c>
      <c r="E33" s="3">
        <f t="shared" si="0"/>
        <v>429.85006253757246</v>
      </c>
      <c r="F33" s="13">
        <f t="shared" si="1"/>
        <v>0.80904385288065839</v>
      </c>
      <c r="G33" s="24">
        <f t="shared" si="2"/>
        <v>51061.888928838234</v>
      </c>
      <c r="H33" s="22">
        <v>503.29</v>
      </c>
      <c r="I33" s="23">
        <v>-7.8499999999999703</v>
      </c>
      <c r="J33" s="12">
        <v>-1.5357827601048601E-2</v>
      </c>
      <c r="K33" s="4">
        <f t="shared" si="3"/>
        <v>101.45619608742123</v>
      </c>
      <c r="L33" s="7">
        <f t="shared" si="4"/>
        <v>0.19095614711934156</v>
      </c>
      <c r="M33" s="36">
        <f t="shared" si="5"/>
        <v>51061.888928838234</v>
      </c>
      <c r="N33" s="40">
        <f t="shared" si="6"/>
        <v>531.30625862499369</v>
      </c>
      <c r="O33" s="4">
        <f t="shared" si="7"/>
        <v>102123.77785767647</v>
      </c>
      <c r="P33" s="42">
        <f t="shared" si="8"/>
        <v>-4.84281491803193E-3</v>
      </c>
    </row>
    <row r="34" spans="1:16" x14ac:dyDescent="0.2">
      <c r="A34" s="15">
        <v>45975</v>
      </c>
      <c r="B34" s="22">
        <v>119.29</v>
      </c>
      <c r="C34" s="23">
        <v>0.5</v>
      </c>
      <c r="D34" s="12">
        <v>4.2091085108174097E-3</v>
      </c>
      <c r="E34" s="3">
        <f t="shared" si="0"/>
        <v>431.87918551424087</v>
      </c>
      <c r="F34" s="13">
        <f t="shared" si="1"/>
        <v>0.81049136575214065</v>
      </c>
      <c r="G34" s="24">
        <f t="shared" si="2"/>
        <v>51518.868039993795</v>
      </c>
      <c r="H34" s="22">
        <v>510.18</v>
      </c>
      <c r="I34" s="23">
        <v>6.8899999999999899</v>
      </c>
      <c r="J34" s="12">
        <v>1.3689920324266301E-2</v>
      </c>
      <c r="K34" s="4">
        <f t="shared" si="3"/>
        <v>100.98174769687913</v>
      </c>
      <c r="L34" s="7">
        <f t="shared" si="4"/>
        <v>0.1895086342478593</v>
      </c>
      <c r="M34" s="36">
        <f t="shared" si="5"/>
        <v>51518.868039993795</v>
      </c>
      <c r="N34" s="40">
        <f t="shared" si="6"/>
        <v>532.86093321112003</v>
      </c>
      <c r="O34" s="4">
        <f t="shared" si="7"/>
        <v>103037.73607998759</v>
      </c>
      <c r="P34" s="42">
        <f t="shared" si="8"/>
        <v>8.9495144175418921E-3</v>
      </c>
    </row>
    <row r="35" spans="1:16" x14ac:dyDescent="0.2">
      <c r="A35" s="15">
        <v>45978</v>
      </c>
      <c r="B35" s="22">
        <v>117.68</v>
      </c>
      <c r="C35" s="23">
        <v>-1.61</v>
      </c>
      <c r="D35" s="12">
        <v>-1.34965210830749E-2</v>
      </c>
      <c r="E35" s="3">
        <f t="shared" si="0"/>
        <v>433.67934096705068</v>
      </c>
      <c r="F35" s="13">
        <f t="shared" si="1"/>
        <v>0.81176320040948857</v>
      </c>
      <c r="G35" s="24">
        <f t="shared" si="2"/>
        <v>51035.384845002525</v>
      </c>
      <c r="H35" s="22">
        <v>507.49</v>
      </c>
      <c r="I35" s="23">
        <v>-2.69</v>
      </c>
      <c r="J35" s="12">
        <v>-5.2726488690266098E-3</v>
      </c>
      <c r="K35" s="4">
        <f t="shared" si="3"/>
        <v>100.56431623283714</v>
      </c>
      <c r="L35" s="7">
        <f t="shared" si="4"/>
        <v>0.18823679959051137</v>
      </c>
      <c r="M35" s="36">
        <f t="shared" si="5"/>
        <v>51035.384845002525</v>
      </c>
      <c r="N35" s="40">
        <f t="shared" si="6"/>
        <v>534.24365719988782</v>
      </c>
      <c r="O35" s="4">
        <f t="shared" si="7"/>
        <v>102070.76969000505</v>
      </c>
      <c r="P35" s="42">
        <f t="shared" si="8"/>
        <v>-9.3845849760508006E-3</v>
      </c>
    </row>
    <row r="36" spans="1:16" x14ac:dyDescent="0.2">
      <c r="A36" s="15">
        <v>45979</v>
      </c>
      <c r="B36" s="22">
        <v>119.03</v>
      </c>
      <c r="C36" s="23">
        <v>1.3499999999999901</v>
      </c>
      <c r="D36" s="12">
        <v>1.1471787899388099E-2</v>
      </c>
      <c r="E36" s="3">
        <f t="shared" si="0"/>
        <v>425.43268784306764</v>
      </c>
      <c r="F36" s="13">
        <f t="shared" si="1"/>
        <v>0.80576678306843774</v>
      </c>
      <c r="G36" s="24">
        <f t="shared" si="2"/>
        <v>50639.252833960345</v>
      </c>
      <c r="H36" s="22">
        <v>493.79</v>
      </c>
      <c r="I36" s="23">
        <v>-13.7</v>
      </c>
      <c r="J36" s="12">
        <v>-2.6995605824745299E-2</v>
      </c>
      <c r="K36" s="4">
        <f t="shared" si="3"/>
        <v>102.55220404212386</v>
      </c>
      <c r="L36" s="7">
        <f t="shared" si="4"/>
        <v>0.19423321693156229</v>
      </c>
      <c r="M36" s="36">
        <f t="shared" si="5"/>
        <v>50639.252833960345</v>
      </c>
      <c r="N36" s="40">
        <f t="shared" si="6"/>
        <v>527.98489188519147</v>
      </c>
      <c r="O36" s="4">
        <f t="shared" si="7"/>
        <v>101278.50566792069</v>
      </c>
      <c r="P36" s="42">
        <f t="shared" si="8"/>
        <v>-7.7619089626786691E-3</v>
      </c>
    </row>
    <row r="37" spans="1:16" x14ac:dyDescent="0.2">
      <c r="A37" s="15">
        <v>45980</v>
      </c>
      <c r="B37" s="22">
        <v>117.35</v>
      </c>
      <c r="C37" s="23">
        <v>-1.6800000000000099</v>
      </c>
      <c r="D37" s="12">
        <v>-1.4114088885155101E-2</v>
      </c>
      <c r="E37" s="3">
        <f t="shared" si="0"/>
        <v>425.56350895348686</v>
      </c>
      <c r="F37" s="13">
        <f t="shared" si="1"/>
        <v>0.80586298741045881</v>
      </c>
      <c r="G37" s="24">
        <f t="shared" si="2"/>
        <v>49939.877775691682</v>
      </c>
      <c r="H37" s="22">
        <v>487.12</v>
      </c>
      <c r="I37" s="23">
        <v>-6.6700000000000204</v>
      </c>
      <c r="J37" s="12">
        <v>-1.3507766459426101E-2</v>
      </c>
      <c r="K37" s="4">
        <f t="shared" si="3"/>
        <v>102.52068848680342</v>
      </c>
      <c r="L37" s="7">
        <f t="shared" si="4"/>
        <v>0.19413701258954125</v>
      </c>
      <c r="M37" s="36">
        <f t="shared" si="5"/>
        <v>49939.877775691682</v>
      </c>
      <c r="N37" s="40">
        <f t="shared" si="6"/>
        <v>528.08419744029027</v>
      </c>
      <c r="O37" s="4">
        <f t="shared" si="7"/>
        <v>99879.755551383365</v>
      </c>
      <c r="P37" s="42">
        <f t="shared" si="8"/>
        <v>-1.3810927672290588E-2</v>
      </c>
    </row>
    <row r="38" spans="1:16" x14ac:dyDescent="0.2">
      <c r="A38" s="15">
        <v>45981</v>
      </c>
      <c r="B38" s="22">
        <v>117.02</v>
      </c>
      <c r="C38" s="23">
        <v>-0.32999999999999802</v>
      </c>
      <c r="D38" s="12">
        <v>-2.8121005538985799E-3</v>
      </c>
      <c r="E38" s="3">
        <f t="shared" si="0"/>
        <v>422.35692535668431</v>
      </c>
      <c r="F38" s="13">
        <f t="shared" si="1"/>
        <v>0.80347636241498022</v>
      </c>
      <c r="G38" s="24">
        <f t="shared" si="2"/>
        <v>49424.207405239198</v>
      </c>
      <c r="H38" s="22">
        <v>478.43</v>
      </c>
      <c r="I38" s="23">
        <v>-8.69</v>
      </c>
      <c r="J38" s="12">
        <v>-1.78395467235999E-2</v>
      </c>
      <c r="K38" s="4">
        <f t="shared" si="3"/>
        <v>103.30499217281357</v>
      </c>
      <c r="L38" s="7">
        <f t="shared" si="4"/>
        <v>0.1965236375850197</v>
      </c>
      <c r="M38" s="36">
        <f t="shared" si="5"/>
        <v>49424.207405239198</v>
      </c>
      <c r="N38" s="40">
        <f t="shared" si="6"/>
        <v>525.66191752949794</v>
      </c>
      <c r="O38" s="4">
        <f t="shared" si="7"/>
        <v>98848.414810478396</v>
      </c>
      <c r="P38" s="42">
        <f t="shared" si="8"/>
        <v>-1.0325823638749227E-2</v>
      </c>
    </row>
    <row r="39" spans="1:16" x14ac:dyDescent="0.2">
      <c r="A39" s="15">
        <v>45982</v>
      </c>
      <c r="B39" s="22">
        <v>117.08</v>
      </c>
      <c r="C39" s="23">
        <v>6.0000000000002301E-2</v>
      </c>
      <c r="D39" s="12">
        <v>5.1273286617674102E-4</v>
      </c>
      <c r="E39" s="3">
        <f t="shared" si="0"/>
        <v>419.46490316616564</v>
      </c>
      <c r="F39" s="13">
        <f t="shared" si="1"/>
        <v>0.80128988458927353</v>
      </c>
      <c r="G39" s="24">
        <f t="shared" si="2"/>
        <v>49110.95086269467</v>
      </c>
      <c r="H39" s="22">
        <v>472.12</v>
      </c>
      <c r="I39" s="23">
        <v>-6.31</v>
      </c>
      <c r="J39" s="12">
        <v>-1.3188972263445E-2</v>
      </c>
      <c r="K39" s="4">
        <f t="shared" si="3"/>
        <v>104.0221783925584</v>
      </c>
      <c r="L39" s="7">
        <f t="shared" si="4"/>
        <v>0.19871011541072639</v>
      </c>
      <c r="M39" s="36">
        <f t="shared" si="5"/>
        <v>49110.95086269467</v>
      </c>
      <c r="N39" s="40">
        <f t="shared" si="6"/>
        <v>523.48708155872407</v>
      </c>
      <c r="O39" s="4">
        <f t="shared" si="7"/>
        <v>98221.90172538934</v>
      </c>
      <c r="P39" s="42">
        <f t="shared" si="8"/>
        <v>-6.3381196986341867E-3</v>
      </c>
    </row>
    <row r="40" spans="1:16" x14ac:dyDescent="0.2">
      <c r="A40" s="15">
        <v>45985</v>
      </c>
      <c r="B40" s="22">
        <v>115.97</v>
      </c>
      <c r="C40" s="23">
        <v>-1.1100000000000001</v>
      </c>
      <c r="D40" s="12">
        <v>-9.4806969593440298E-3</v>
      </c>
      <c r="E40" s="3">
        <f t="shared" si="0"/>
        <v>422.31550132902004</v>
      </c>
      <c r="F40" s="13">
        <f t="shared" si="1"/>
        <v>0.80343068291608055</v>
      </c>
      <c r="G40" s="24">
        <f t="shared" si="2"/>
        <v>48975.928689126456</v>
      </c>
      <c r="H40" s="22">
        <v>474</v>
      </c>
      <c r="I40" s="23">
        <v>1.88</v>
      </c>
      <c r="J40" s="12">
        <v>3.9820384647970804E-3</v>
      </c>
      <c r="K40" s="4">
        <f t="shared" si="3"/>
        <v>103.32474406988703</v>
      </c>
      <c r="L40" s="7">
        <f t="shared" si="4"/>
        <v>0.19656931708391953</v>
      </c>
      <c r="M40" s="36">
        <f t="shared" si="5"/>
        <v>48975.928689126456</v>
      </c>
      <c r="N40" s="40">
        <f t="shared" si="6"/>
        <v>525.64024539890704</v>
      </c>
      <c r="O40" s="4">
        <f t="shared" si="7"/>
        <v>97951.857378252913</v>
      </c>
      <c r="P40" s="42">
        <f t="shared" si="8"/>
        <v>-2.749329247273404E-3</v>
      </c>
    </row>
    <row r="41" spans="1:16" x14ac:dyDescent="0.2">
      <c r="A41" s="15">
        <v>45986</v>
      </c>
      <c r="B41" s="22">
        <v>114.51</v>
      </c>
      <c r="C41" s="23">
        <v>-1.45999999999999</v>
      </c>
      <c r="D41" s="12">
        <v>-1.2589462792101399E-2</v>
      </c>
      <c r="E41" s="3">
        <f t="shared" si="0"/>
        <v>426.35672749577111</v>
      </c>
      <c r="F41" s="13">
        <f t="shared" si="1"/>
        <v>0.8064074387151311</v>
      </c>
      <c r="G41" s="24">
        <f t="shared" si="2"/>
        <v>48822.108865540751</v>
      </c>
      <c r="H41" s="22">
        <v>476.99</v>
      </c>
      <c r="I41" s="23">
        <v>2.99000000000001</v>
      </c>
      <c r="J41" s="12">
        <v>6.3080168776371501E-3</v>
      </c>
      <c r="K41" s="4">
        <f t="shared" si="3"/>
        <v>102.35457528573083</v>
      </c>
      <c r="L41" s="7">
        <f t="shared" si="4"/>
        <v>0.19359256128486899</v>
      </c>
      <c r="M41" s="36">
        <f t="shared" si="5"/>
        <v>48822.108865540751</v>
      </c>
      <c r="N41" s="40">
        <f t="shared" si="6"/>
        <v>528.7113027815019</v>
      </c>
      <c r="O41" s="4">
        <f t="shared" si="7"/>
        <v>97644.217731081502</v>
      </c>
      <c r="P41" s="42">
        <f>(O41-O40)/O40</f>
        <v>-3.140722957232174E-3</v>
      </c>
    </row>
    <row r="42" spans="1:16" x14ac:dyDescent="0.2">
      <c r="A42" s="15">
        <v>45987</v>
      </c>
      <c r="B42" s="22">
        <v>114.77</v>
      </c>
      <c r="C42" s="23">
        <v>0.25999999999999102</v>
      </c>
      <c r="D42" s="12">
        <v>2.2705440572874901E-3</v>
      </c>
      <c r="E42" s="3">
        <f t="shared" si="0"/>
        <v>429.6685018555022</v>
      </c>
      <c r="F42" s="13">
        <f t="shared" si="1"/>
        <v>0.80880270544921451</v>
      </c>
      <c r="G42" s="24">
        <f t="shared" si="2"/>
        <v>49313.053957955985</v>
      </c>
      <c r="H42" s="22">
        <v>485.5</v>
      </c>
      <c r="I42" s="23">
        <v>8.5099999999999891</v>
      </c>
      <c r="J42" s="12">
        <v>1.7841044885637002E-2</v>
      </c>
      <c r="K42" s="4">
        <f t="shared" si="3"/>
        <v>101.5716868341009</v>
      </c>
      <c r="L42" s="7">
        <f t="shared" si="4"/>
        <v>0.19119729455078549</v>
      </c>
      <c r="M42" s="36">
        <f t="shared" si="5"/>
        <v>49313.053957955985</v>
      </c>
      <c r="N42" s="40">
        <f t="shared" si="6"/>
        <v>531.24018868960309</v>
      </c>
      <c r="O42" s="4">
        <f t="shared" si="7"/>
        <v>98626.107915911969</v>
      </c>
      <c r="P42" s="42">
        <f t="shared" si="8"/>
        <v>1.0055794471462261E-2</v>
      </c>
    </row>
    <row r="43" spans="1:16" x14ac:dyDescent="0.2">
      <c r="A43" s="15">
        <v>45989</v>
      </c>
      <c r="B43" s="22">
        <v>115.92</v>
      </c>
      <c r="C43" s="23">
        <v>1.1500000000000099</v>
      </c>
      <c r="D43" s="12">
        <v>1.00200400801604E-2</v>
      </c>
      <c r="E43" s="3">
        <f t="shared" si="0"/>
        <v>430.38931320883285</v>
      </c>
      <c r="F43" s="13">
        <f t="shared" si="1"/>
        <v>0.80932015199118323</v>
      </c>
      <c r="G43" s="24">
        <f t="shared" si="2"/>
        <v>49890.729187167904</v>
      </c>
      <c r="H43" s="22">
        <v>492.01</v>
      </c>
      <c r="I43" s="23">
        <v>6.50999999999999</v>
      </c>
      <c r="J43" s="12">
        <v>1.34088568486097E-2</v>
      </c>
      <c r="K43" s="4">
        <f t="shared" si="3"/>
        <v>101.40186009871324</v>
      </c>
      <c r="L43" s="7">
        <f t="shared" si="4"/>
        <v>0.19067984800881682</v>
      </c>
      <c r="M43" s="36">
        <f t="shared" si="5"/>
        <v>49890.729187167904</v>
      </c>
      <c r="N43" s="40">
        <f t="shared" si="6"/>
        <v>531.79117330754605</v>
      </c>
      <c r="O43" s="4">
        <f t="shared" si="7"/>
        <v>99781.458374335809</v>
      </c>
      <c r="P43" s="42">
        <f t="shared" si="8"/>
        <v>1.1714448464385158E-2</v>
      </c>
    </row>
    <row r="44" spans="1:16" x14ac:dyDescent="0.2">
      <c r="A44" s="15">
        <v>45992</v>
      </c>
      <c r="B44" s="22">
        <v>116.63</v>
      </c>
      <c r="C44" s="23">
        <v>0.70999999999999397</v>
      </c>
      <c r="D44" s="12">
        <v>6.1249137336093296E-3</v>
      </c>
      <c r="E44" s="3">
        <f t="shared" si="0"/>
        <v>426.78833483663658</v>
      </c>
      <c r="F44" s="13">
        <f t="shared" si="1"/>
        <v>0.80670235510549082</v>
      </c>
      <c r="G44" s="24">
        <f t="shared" si="2"/>
        <v>49776.323491996925</v>
      </c>
      <c r="H44" s="22">
        <v>486.74</v>
      </c>
      <c r="I44" s="23">
        <v>-5.26999999999998</v>
      </c>
      <c r="J44" s="12">
        <v>-1.07111644072275E-2</v>
      </c>
      <c r="K44" s="4">
        <f t="shared" si="3"/>
        <v>102.26470701400527</v>
      </c>
      <c r="L44" s="7">
        <f t="shared" si="4"/>
        <v>0.19329764489450915</v>
      </c>
      <c r="M44" s="36">
        <f t="shared" si="5"/>
        <v>49776.323491996925</v>
      </c>
      <c r="N44" s="40">
        <f t="shared" si="6"/>
        <v>529.05304185064188</v>
      </c>
      <c r="O44" s="4">
        <f t="shared" si="7"/>
        <v>99552.646983993851</v>
      </c>
      <c r="P44" s="42">
        <f t="shared" si="8"/>
        <v>-2.2931253368091604E-3</v>
      </c>
    </row>
    <row r="45" spans="1:16" x14ac:dyDescent="0.2">
      <c r="A45" s="15">
        <v>45993</v>
      </c>
      <c r="B45" s="22">
        <v>115.38</v>
      </c>
      <c r="C45" s="23">
        <v>-1.25</v>
      </c>
      <c r="D45" s="12">
        <v>-1.07176541198662E-2</v>
      </c>
      <c r="E45" s="3">
        <f t="shared" si="0"/>
        <v>430.5449146746131</v>
      </c>
      <c r="F45" s="13">
        <f t="shared" si="1"/>
        <v>0.80940896626912029</v>
      </c>
      <c r="G45" s="24">
        <f t="shared" si="2"/>
        <v>49676.272255156859</v>
      </c>
      <c r="H45" s="22">
        <v>490</v>
      </c>
      <c r="I45" s="23">
        <v>3.25999999999999</v>
      </c>
      <c r="J45" s="12">
        <v>6.6976209064387397E-3</v>
      </c>
      <c r="K45" s="4">
        <f t="shared" si="3"/>
        <v>101.38014745950379</v>
      </c>
      <c r="L45" s="7">
        <f t="shared" si="4"/>
        <v>0.19059103373087979</v>
      </c>
      <c r="M45" s="36">
        <f t="shared" si="5"/>
        <v>49676.272255156859</v>
      </c>
      <c r="N45" s="40">
        <f t="shared" si="6"/>
        <v>531.92506213411684</v>
      </c>
      <c r="O45" s="4">
        <f t="shared" si="7"/>
        <v>99352.544510313717</v>
      </c>
      <c r="P45" s="42">
        <f t="shared" si="8"/>
        <v>-2.0100166067136952E-3</v>
      </c>
    </row>
    <row r="46" spans="1:16" x14ac:dyDescent="0.2">
      <c r="A46" s="15">
        <v>45994</v>
      </c>
      <c r="B46" s="22">
        <v>117.8</v>
      </c>
      <c r="C46" s="23">
        <v>2.42</v>
      </c>
      <c r="D46" s="12">
        <v>2.0974172300225399E-2</v>
      </c>
      <c r="E46" s="3">
        <f t="shared" si="0"/>
        <v>420.84265192910937</v>
      </c>
      <c r="F46" s="13">
        <f t="shared" si="1"/>
        <v>0.80219300455056841</v>
      </c>
      <c r="G46" s="24">
        <f t="shared" si="2"/>
        <v>49575.264397249084</v>
      </c>
      <c r="H46" s="22">
        <v>477.73</v>
      </c>
      <c r="I46" s="23">
        <v>-12.27</v>
      </c>
      <c r="J46" s="12">
        <v>-2.5040816326530602E-2</v>
      </c>
      <c r="K46" s="4">
        <f t="shared" si="3"/>
        <v>103.77255855242309</v>
      </c>
      <c r="L46" s="7">
        <f t="shared" si="4"/>
        <v>0.19780699544943159</v>
      </c>
      <c r="M46" s="36">
        <f t="shared" si="5"/>
        <v>49575.264397249084</v>
      </c>
      <c r="N46" s="40">
        <f t="shared" si="6"/>
        <v>524.61521048153247</v>
      </c>
      <c r="O46" s="4">
        <f t="shared" si="7"/>
        <v>99150.528794498168</v>
      </c>
      <c r="P46" s="42">
        <f t="shared" si="8"/>
        <v>-2.0333220131526454E-3</v>
      </c>
    </row>
    <row r="47" spans="1:16" x14ac:dyDescent="0.2">
      <c r="A47" s="15">
        <v>45995</v>
      </c>
      <c r="B47" s="22">
        <v>117.14</v>
      </c>
      <c r="C47" s="23">
        <v>-0.65999999999999703</v>
      </c>
      <c r="D47" s="12">
        <v>-5.6027164685907996E-3</v>
      </c>
      <c r="E47" s="3">
        <f t="shared" si="0"/>
        <v>423.40577642702317</v>
      </c>
      <c r="F47" s="13">
        <f t="shared" si="1"/>
        <v>0.80410716077460787</v>
      </c>
      <c r="G47" s="24">
        <f t="shared" si="2"/>
        <v>49597.752650661496</v>
      </c>
      <c r="H47" s="22">
        <v>480.84</v>
      </c>
      <c r="I47" s="23">
        <v>3.1099999999999599</v>
      </c>
      <c r="J47" s="12">
        <v>6.5099533209133998E-3</v>
      </c>
      <c r="K47" s="4">
        <f t="shared" si="3"/>
        <v>103.14814210685779</v>
      </c>
      <c r="L47" s="7">
        <f t="shared" si="4"/>
        <v>0.19589283922539216</v>
      </c>
      <c r="M47" s="36">
        <f t="shared" si="5"/>
        <v>49597.752650661496</v>
      </c>
      <c r="N47" s="40">
        <f t="shared" si="6"/>
        <v>526.55391853388096</v>
      </c>
      <c r="O47" s="4">
        <f t="shared" si="7"/>
        <v>99195.505301322992</v>
      </c>
      <c r="P47" s="42">
        <f t="shared" si="8"/>
        <v>4.536184261613255E-4</v>
      </c>
    </row>
    <row r="48" spans="1:16" x14ac:dyDescent="0.2">
      <c r="A48" s="15">
        <v>45996</v>
      </c>
      <c r="B48" s="22">
        <v>116.54</v>
      </c>
      <c r="C48" s="23">
        <v>-0.59999999999999398</v>
      </c>
      <c r="D48" s="12">
        <v>-5.12207614819869E-3</v>
      </c>
      <c r="E48" s="3">
        <f t="shared" si="0"/>
        <v>425.52241944892171</v>
      </c>
      <c r="F48" s="13">
        <f t="shared" si="1"/>
        <v>0.80566950141737537</v>
      </c>
      <c r="G48" s="24">
        <f t="shared" si="2"/>
        <v>49590.382762577341</v>
      </c>
      <c r="H48" s="22">
        <v>483.16</v>
      </c>
      <c r="I48" s="23">
        <v>2.32000000000005</v>
      </c>
      <c r="J48" s="12">
        <v>4.8248897762250397E-3</v>
      </c>
      <c r="K48" s="4">
        <f t="shared" si="3"/>
        <v>102.6375998894307</v>
      </c>
      <c r="L48" s="7">
        <f t="shared" si="4"/>
        <v>0.19433049858262466</v>
      </c>
      <c r="M48" s="36">
        <f t="shared" si="5"/>
        <v>49590.382762577341</v>
      </c>
      <c r="N48" s="40">
        <f t="shared" si="6"/>
        <v>528.16001933835241</v>
      </c>
      <c r="O48" s="4">
        <f t="shared" si="7"/>
        <v>99180.765525154682</v>
      </c>
      <c r="P48" s="42">
        <f t="shared" si="8"/>
        <v>-1.485931859869565E-4</v>
      </c>
    </row>
    <row r="49" spans="1:16" x14ac:dyDescent="0.2">
      <c r="A49" s="15">
        <v>45999</v>
      </c>
      <c r="B49" s="22">
        <v>115.98</v>
      </c>
      <c r="C49" s="23">
        <v>-0.56000000000000205</v>
      </c>
      <c r="D49" s="12">
        <v>-4.8052170928436803E-3</v>
      </c>
      <c r="E49" s="3">
        <f t="shared" si="0"/>
        <v>430.02761038711077</v>
      </c>
      <c r="F49" s="13">
        <f t="shared" si="1"/>
        <v>0.80892915980230651</v>
      </c>
      <c r="G49" s="24">
        <f t="shared" si="2"/>
        <v>49874.602252697106</v>
      </c>
      <c r="H49" s="22">
        <v>491.02</v>
      </c>
      <c r="I49" s="23">
        <v>7.8599999999999604</v>
      </c>
      <c r="J49" s="12">
        <v>1.62679029721002E-2</v>
      </c>
      <c r="K49" s="4">
        <f t="shared" si="3"/>
        <v>101.57346391734981</v>
      </c>
      <c r="L49" s="7">
        <f t="shared" si="4"/>
        <v>0.19107084019769358</v>
      </c>
      <c r="M49" s="36">
        <f t="shared" si="5"/>
        <v>49874.602252697106</v>
      </c>
      <c r="N49" s="40">
        <f t="shared" si="6"/>
        <v>531.60107430446055</v>
      </c>
      <c r="O49" s="4">
        <f t="shared" si="7"/>
        <v>99749.204505394213</v>
      </c>
      <c r="P49" s="42">
        <f t="shared" si="8"/>
        <v>5.7313429396283564E-3</v>
      </c>
    </row>
    <row r="50" spans="1:16" x14ac:dyDescent="0.2">
      <c r="A50" s="15">
        <v>46000</v>
      </c>
      <c r="B50" s="22">
        <v>118.25</v>
      </c>
      <c r="C50" s="23">
        <v>2.27</v>
      </c>
      <c r="D50" s="12">
        <v>1.9572340058630799E-2</v>
      </c>
      <c r="E50" s="3">
        <f t="shared" si="0"/>
        <v>426.32955875217885</v>
      </c>
      <c r="F50" s="13">
        <f t="shared" si="1"/>
        <v>0.80623330656922332</v>
      </c>
      <c r="G50" s="24">
        <f t="shared" si="2"/>
        <v>50413.470322445151</v>
      </c>
      <c r="H50" s="22">
        <v>492.02</v>
      </c>
      <c r="I50" s="23">
        <v>1</v>
      </c>
      <c r="J50" s="12">
        <v>2.0365769215103299E-3</v>
      </c>
      <c r="K50" s="4">
        <f t="shared" si="3"/>
        <v>102.46223796277621</v>
      </c>
      <c r="L50" s="7">
        <f t="shared" si="4"/>
        <v>0.19376669343077654</v>
      </c>
      <c r="M50" s="36">
        <f t="shared" si="5"/>
        <v>50413.470322445151</v>
      </c>
      <c r="N50" s="40">
        <f t="shared" si="6"/>
        <v>528.79179671495513</v>
      </c>
      <c r="O50" s="4">
        <f t="shared" si="7"/>
        <v>100826.9406448903</v>
      </c>
      <c r="P50" s="42">
        <f t="shared" si="8"/>
        <v>1.0804458490070548E-2</v>
      </c>
    </row>
    <row r="51" spans="1:16" x14ac:dyDescent="0.2">
      <c r="A51" s="15">
        <v>46001</v>
      </c>
      <c r="B51" s="22">
        <v>119.54</v>
      </c>
      <c r="C51" s="23">
        <v>1.29000000000001</v>
      </c>
      <c r="D51" s="12">
        <v>1.0909090909091E-2</v>
      </c>
      <c r="E51" s="3">
        <f t="shared" si="0"/>
        <v>418.26068283713255</v>
      </c>
      <c r="F51" s="13">
        <f t="shared" si="1"/>
        <v>0.80013375689684008</v>
      </c>
      <c r="G51" s="24">
        <f t="shared" si="2"/>
        <v>49998.882026350824</v>
      </c>
      <c r="H51" s="22">
        <v>478.56</v>
      </c>
      <c r="I51" s="23">
        <v>-13.46</v>
      </c>
      <c r="J51" s="12">
        <v>-2.73566115198569E-2</v>
      </c>
      <c r="K51" s="4">
        <f t="shared" si="3"/>
        <v>104.47777086750006</v>
      </c>
      <c r="L51" s="7">
        <f t="shared" si="4"/>
        <v>0.19986624310316004</v>
      </c>
      <c r="M51" s="36">
        <f t="shared" si="5"/>
        <v>49998.882026350824</v>
      </c>
      <c r="N51" s="40">
        <f t="shared" si="6"/>
        <v>522.73845370463255</v>
      </c>
      <c r="O51" s="4">
        <f t="shared" si="7"/>
        <v>99997.764052701648</v>
      </c>
      <c r="P51" s="42">
        <f t="shared" si="8"/>
        <v>-8.2237603053829777E-3</v>
      </c>
    </row>
    <row r="52" spans="1:16" x14ac:dyDescent="0.2">
      <c r="A52" s="15">
        <v>46002</v>
      </c>
      <c r="B52" s="22">
        <v>119.54</v>
      </c>
      <c r="C52" s="23">
        <v>0</v>
      </c>
      <c r="D52" s="12">
        <v>0</v>
      </c>
      <c r="E52" s="3">
        <f t="shared" si="0"/>
        <v>420.40634895290731</v>
      </c>
      <c r="F52" s="13">
        <f t="shared" si="1"/>
        <v>0.8017611648231372</v>
      </c>
      <c r="G52" s="24">
        <f t="shared" si="2"/>
        <v>50255.374953830542</v>
      </c>
      <c r="H52" s="22">
        <v>483.47</v>
      </c>
      <c r="I52" s="23">
        <v>4.9100000000000303</v>
      </c>
      <c r="J52" s="12">
        <v>1.0259946506185299E-2</v>
      </c>
      <c r="K52" s="4">
        <f t="shared" si="3"/>
        <v>103.94724585564883</v>
      </c>
      <c r="L52" s="7">
        <f t="shared" si="4"/>
        <v>0.19823883517686272</v>
      </c>
      <c r="M52" s="36">
        <f t="shared" si="5"/>
        <v>50255.374953830542</v>
      </c>
      <c r="N52" s="40">
        <f t="shared" si="6"/>
        <v>524.35359480855618</v>
      </c>
      <c r="O52" s="4">
        <f t="shared" si="7"/>
        <v>100510.74990766108</v>
      </c>
      <c r="P52" s="42">
        <f t="shared" si="8"/>
        <v>5.1299732530927138E-3</v>
      </c>
    </row>
    <row r="53" spans="1:16" x14ac:dyDescent="0.2">
      <c r="A53" s="15">
        <v>46003</v>
      </c>
      <c r="B53" s="22">
        <v>118.82</v>
      </c>
      <c r="C53" s="23">
        <v>-0.72000000000001296</v>
      </c>
      <c r="D53" s="12">
        <v>-6.0230885059395396E-3</v>
      </c>
      <c r="E53" s="3">
        <f t="shared" si="0"/>
        <v>419.51926418905947</v>
      </c>
      <c r="F53" s="13">
        <f t="shared" si="1"/>
        <v>0.80108813928182809</v>
      </c>
      <c r="G53" s="24">
        <f t="shared" si="2"/>
        <v>49847.27897094404</v>
      </c>
      <c r="H53" s="22">
        <v>478.53</v>
      </c>
      <c r="I53" s="23">
        <v>-4.9400000000000501</v>
      </c>
      <c r="J53" s="12">
        <v>-1.0217800484001199E-2</v>
      </c>
      <c r="K53" s="4">
        <f t="shared" si="3"/>
        <v>104.16751085813647</v>
      </c>
      <c r="L53" s="7">
        <f t="shared" si="4"/>
        <v>0.19891186071817191</v>
      </c>
      <c r="M53" s="36">
        <f t="shared" si="5"/>
        <v>49847.27897094404</v>
      </c>
      <c r="N53" s="40">
        <f t="shared" si="6"/>
        <v>523.68677504719597</v>
      </c>
      <c r="O53" s="4">
        <f t="shared" si="7"/>
        <v>99694.557941888081</v>
      </c>
      <c r="P53" s="42">
        <f t="shared" si="8"/>
        <v>-8.1204444949703018E-3</v>
      </c>
    </row>
    <row r="54" spans="1:16" x14ac:dyDescent="0.2">
      <c r="A54" s="15">
        <v>46006</v>
      </c>
      <c r="B54" s="22">
        <v>117.76</v>
      </c>
      <c r="C54" s="23">
        <v>-1.0599999999999901</v>
      </c>
      <c r="D54" s="12">
        <v>-8.9210570611007196E-3</v>
      </c>
      <c r="E54" s="3">
        <f t="shared" si="0"/>
        <v>419.76649990049253</v>
      </c>
      <c r="F54" s="13">
        <f t="shared" si="1"/>
        <v>0.80127577711026365</v>
      </c>
      <c r="G54" s="24">
        <f t="shared" si="2"/>
        <v>49431.703028282005</v>
      </c>
      <c r="H54" s="22">
        <v>474.82</v>
      </c>
      <c r="I54" s="23">
        <v>-3.70999999999998</v>
      </c>
      <c r="J54" s="12">
        <v>-7.7529099533989098E-3</v>
      </c>
      <c r="K54" s="4">
        <f t="shared" si="3"/>
        <v>104.10619398568301</v>
      </c>
      <c r="L54" s="7">
        <f t="shared" si="4"/>
        <v>0.19872422288973643</v>
      </c>
      <c r="M54" s="36">
        <f t="shared" si="5"/>
        <v>49431.703028282005</v>
      </c>
      <c r="N54" s="40">
        <f t="shared" si="6"/>
        <v>523.87269388617551</v>
      </c>
      <c r="O54" s="4">
        <f t="shared" si="7"/>
        <v>98863.40605656401</v>
      </c>
      <c r="P54" s="42">
        <f t="shared" si="8"/>
        <v>-8.3369835072496998E-3</v>
      </c>
    </row>
    <row r="55" spans="1:16" x14ac:dyDescent="0.2">
      <c r="A55" s="15">
        <v>46007</v>
      </c>
      <c r="B55" s="22">
        <v>114.68</v>
      </c>
      <c r="C55" s="23">
        <v>-3.08</v>
      </c>
      <c r="D55" s="12">
        <v>-2.61548913043478E-2</v>
      </c>
      <c r="E55" s="3">
        <f t="shared" si="0"/>
        <v>426.11602703796649</v>
      </c>
      <c r="F55" s="13">
        <f t="shared" si="1"/>
        <v>0.80597898726039219</v>
      </c>
      <c r="G55" s="24">
        <f t="shared" si="2"/>
        <v>48866.985980714002</v>
      </c>
      <c r="H55" s="22">
        <v>476.39</v>
      </c>
      <c r="I55" s="23">
        <v>1.5699999999999901</v>
      </c>
      <c r="J55" s="12">
        <v>3.3065161534897298E-3</v>
      </c>
      <c r="K55" s="4">
        <f t="shared" si="3"/>
        <v>102.5776905071769</v>
      </c>
      <c r="L55" s="7">
        <f t="shared" si="4"/>
        <v>0.19402101273960784</v>
      </c>
      <c r="M55" s="36">
        <f t="shared" si="5"/>
        <v>48866.985980714002</v>
      </c>
      <c r="N55" s="40">
        <f t="shared" si="6"/>
        <v>528.69371754514339</v>
      </c>
      <c r="O55" s="4">
        <f t="shared" si="7"/>
        <v>97733.971961428004</v>
      </c>
      <c r="P55" s="42">
        <f t="shared" si="8"/>
        <v>-1.1424187575429158E-2</v>
      </c>
    </row>
    <row r="56" spans="1:16" x14ac:dyDescent="0.2">
      <c r="A56" s="15">
        <v>46008</v>
      </c>
      <c r="B56" s="22">
        <v>117.41</v>
      </c>
      <c r="C56" s="23">
        <v>2.7299999999999902</v>
      </c>
      <c r="D56" s="12">
        <v>2.3805371468433801E-2</v>
      </c>
      <c r="E56" s="3">
        <f t="shared" si="0"/>
        <v>421.04408797719407</v>
      </c>
      <c r="F56" s="13">
        <f t="shared" si="1"/>
        <v>0.80218354590332419</v>
      </c>
      <c r="G56" s="24">
        <f t="shared" si="2"/>
        <v>49434.786369402354</v>
      </c>
      <c r="H56" s="22">
        <v>476.12</v>
      </c>
      <c r="I56" s="23">
        <v>-0.26999999999998198</v>
      </c>
      <c r="J56" s="12">
        <v>-5.6676252650135798E-4</v>
      </c>
      <c r="K56" s="4">
        <f t="shared" si="3"/>
        <v>103.82841798160622</v>
      </c>
      <c r="L56" s="7">
        <f t="shared" si="4"/>
        <v>0.19781645409667584</v>
      </c>
      <c r="M56" s="36">
        <f t="shared" si="5"/>
        <v>49434.786369402354</v>
      </c>
      <c r="N56" s="40">
        <f t="shared" si="6"/>
        <v>524.87250595880028</v>
      </c>
      <c r="O56" s="4">
        <f t="shared" si="7"/>
        <v>98869.572738804709</v>
      </c>
      <c r="P56" s="42">
        <f t="shared" si="8"/>
        <v>1.1619304470966194E-2</v>
      </c>
    </row>
    <row r="57" spans="1:16" x14ac:dyDescent="0.2">
      <c r="A57" s="15">
        <v>46009</v>
      </c>
      <c r="B57" s="22">
        <v>116.54</v>
      </c>
      <c r="C57" s="23">
        <v>-0.86999999999999</v>
      </c>
      <c r="D57" s="12">
        <v>-7.40993101098706E-3</v>
      </c>
      <c r="E57" s="3">
        <f t="shared" si="0"/>
        <v>426.11702311481025</v>
      </c>
      <c r="F57" s="13">
        <f t="shared" si="1"/>
        <v>0.80593485645773666</v>
      </c>
      <c r="G57" s="24">
        <f t="shared" si="2"/>
        <v>49659.677873799992</v>
      </c>
      <c r="H57" s="22">
        <v>483.98</v>
      </c>
      <c r="I57" s="23">
        <v>7.8600000000000101</v>
      </c>
      <c r="J57" s="12">
        <v>1.6508443249601001E-2</v>
      </c>
      <c r="K57" s="4">
        <f t="shared" si="3"/>
        <v>102.60688018885075</v>
      </c>
      <c r="L57" s="7">
        <f t="shared" si="4"/>
        <v>0.19406514354226337</v>
      </c>
      <c r="M57" s="36">
        <f t="shared" si="5"/>
        <v>49659.677873799992</v>
      </c>
      <c r="N57" s="40">
        <f t="shared" si="6"/>
        <v>528.72390330366102</v>
      </c>
      <c r="O57" s="4">
        <f t="shared" si="7"/>
        <v>99319.355747599984</v>
      </c>
      <c r="P57" s="42">
        <f t="shared" si="8"/>
        <v>4.5492561193069938E-3</v>
      </c>
    </row>
    <row r="58" spans="1:16" x14ac:dyDescent="0.2">
      <c r="A58" s="15">
        <v>46010</v>
      </c>
      <c r="B58" s="22">
        <v>116.69</v>
      </c>
      <c r="C58" s="23">
        <v>0.149999999999991</v>
      </c>
      <c r="D58" s="12">
        <v>1.2871117212973401E-3</v>
      </c>
      <c r="E58" s="3">
        <f t="shared" si="0"/>
        <v>426.69607785000244</v>
      </c>
      <c r="F58" s="13">
        <f t="shared" si="1"/>
        <v>0.80635900499493862</v>
      </c>
      <c r="G58" s="24">
        <f t="shared" si="2"/>
        <v>49791.165324316782</v>
      </c>
      <c r="H58" s="22">
        <v>485.92</v>
      </c>
      <c r="I58" s="23">
        <v>1.94</v>
      </c>
      <c r="J58" s="12">
        <v>4.0084301004173701E-3</v>
      </c>
      <c r="K58" s="4">
        <f t="shared" si="3"/>
        <v>102.46782458906154</v>
      </c>
      <c r="L58" s="7">
        <f t="shared" si="4"/>
        <v>0.19364099500506129</v>
      </c>
      <c r="M58" s="36">
        <f t="shared" si="5"/>
        <v>49791.165324316782</v>
      </c>
      <c r="N58" s="40">
        <f t="shared" si="6"/>
        <v>529.16390243906403</v>
      </c>
      <c r="O58" s="4">
        <f t="shared" si="7"/>
        <v>99582.330648633564</v>
      </c>
      <c r="P58" s="42">
        <f t="shared" si="8"/>
        <v>2.6477709108572692E-3</v>
      </c>
    </row>
    <row r="59" spans="1:16" x14ac:dyDescent="0.2">
      <c r="A59" s="15">
        <v>46013</v>
      </c>
      <c r="B59" s="22">
        <v>118.15</v>
      </c>
      <c r="C59" s="23">
        <v>1.46000000000001</v>
      </c>
      <c r="D59" s="12">
        <v>1.25117833576143E-2</v>
      </c>
      <c r="E59" s="3">
        <f t="shared" si="0"/>
        <v>423.62606473849132</v>
      </c>
      <c r="F59" s="13">
        <f t="shared" si="1"/>
        <v>0.8040857611885851</v>
      </c>
      <c r="G59" s="24">
        <f t="shared" si="2"/>
        <v>50051.419548852755</v>
      </c>
      <c r="H59" s="22">
        <v>484.92</v>
      </c>
      <c r="I59" s="23">
        <v>-1</v>
      </c>
      <c r="J59" s="12">
        <v>-2.057951926243E-3</v>
      </c>
      <c r="K59" s="4">
        <f t="shared" si="3"/>
        <v>103.21582848480729</v>
      </c>
      <c r="L59" s="7">
        <f t="shared" si="4"/>
        <v>0.19591423881141493</v>
      </c>
      <c r="M59" s="36">
        <f t="shared" si="5"/>
        <v>50051.419548852755</v>
      </c>
      <c r="N59" s="40">
        <f t="shared" si="6"/>
        <v>526.8418932232986</v>
      </c>
      <c r="O59" s="4">
        <f t="shared" si="7"/>
        <v>100102.83909770551</v>
      </c>
      <c r="P59" s="42">
        <f t="shared" si="8"/>
        <v>5.2269157156856292E-3</v>
      </c>
    </row>
    <row r="60" spans="1:16" x14ac:dyDescent="0.2">
      <c r="A60" s="15">
        <v>46014</v>
      </c>
      <c r="B60" s="22">
        <v>119.42</v>
      </c>
      <c r="C60" s="23">
        <v>1.27</v>
      </c>
      <c r="D60" s="12">
        <v>1.0749047820566999E-2</v>
      </c>
      <c r="E60" s="3">
        <f t="shared" si="0"/>
        <v>422.20754793543404</v>
      </c>
      <c r="F60" s="13">
        <f t="shared" si="1"/>
        <v>0.80302505484355147</v>
      </c>
      <c r="G60" s="24">
        <f t="shared" si="2"/>
        <v>50420.025374449535</v>
      </c>
      <c r="H60" s="22">
        <v>486.85</v>
      </c>
      <c r="I60" s="23">
        <v>1.9300000000000099</v>
      </c>
      <c r="J60" s="12">
        <v>3.9800379444032098E-3</v>
      </c>
      <c r="K60" s="4">
        <f t="shared" si="3"/>
        <v>103.56377811327829</v>
      </c>
      <c r="L60" s="7">
        <f t="shared" si="4"/>
        <v>0.19697494515644845</v>
      </c>
      <c r="M60" s="36">
        <f t="shared" si="5"/>
        <v>50420.025374449535</v>
      </c>
      <c r="N60" s="40">
        <f t="shared" si="6"/>
        <v>525.77132604871235</v>
      </c>
      <c r="O60" s="4">
        <f t="shared" si="7"/>
        <v>100840.05074889907</v>
      </c>
      <c r="P60" s="42">
        <f t="shared" si="8"/>
        <v>7.3645428824851179E-3</v>
      </c>
    </row>
    <row r="61" spans="1:16" x14ac:dyDescent="0.2">
      <c r="A61" s="15">
        <v>46015</v>
      </c>
      <c r="B61" s="22">
        <v>119.22</v>
      </c>
      <c r="C61" s="23">
        <v>-0.20000000000000301</v>
      </c>
      <c r="D61" s="12">
        <v>-1.67476134650815E-3</v>
      </c>
      <c r="E61" s="3">
        <f t="shared" si="0"/>
        <v>423.06986604472621</v>
      </c>
      <c r="F61" s="13">
        <f t="shared" si="1"/>
        <v>0.803669060009222</v>
      </c>
      <c r="G61" s="24">
        <f t="shared" si="2"/>
        <v>50438.389429852257</v>
      </c>
      <c r="H61" s="22">
        <v>488.02</v>
      </c>
      <c r="I61" s="23">
        <v>1.16999999999996</v>
      </c>
      <c r="J61" s="12">
        <v>2.40320427236307E-3</v>
      </c>
      <c r="K61" s="4">
        <f t="shared" si="3"/>
        <v>103.35311960545113</v>
      </c>
      <c r="L61" s="7">
        <f t="shared" si="4"/>
        <v>0.19633093999077794</v>
      </c>
      <c r="M61" s="36">
        <f t="shared" si="5"/>
        <v>50438.389429852257</v>
      </c>
      <c r="N61" s="40">
        <f t="shared" si="6"/>
        <v>526.42298565017734</v>
      </c>
      <c r="O61" s="4">
        <f t="shared" si="7"/>
        <v>100876.77885970451</v>
      </c>
      <c r="P61" s="42">
        <f t="shared" si="8"/>
        <v>3.6422146292747545E-4</v>
      </c>
    </row>
    <row r="62" spans="1:16" x14ac:dyDescent="0.2">
      <c r="A62" s="15">
        <v>46017</v>
      </c>
      <c r="B62" s="22">
        <v>119.11</v>
      </c>
      <c r="C62" s="23">
        <v>-0.109999999999999</v>
      </c>
      <c r="D62" s="12">
        <v>-9.2266398255325805E-4</v>
      </c>
      <c r="E62" s="3">
        <f t="shared" si="0"/>
        <v>423.13072667014484</v>
      </c>
      <c r="F62" s="13">
        <f t="shared" si="1"/>
        <v>0.80371444579941331</v>
      </c>
      <c r="G62" s="24">
        <f t="shared" si="2"/>
        <v>50399.100853680953</v>
      </c>
      <c r="H62" s="22">
        <v>487.71</v>
      </c>
      <c r="I62" s="23">
        <v>-0.310000000000002</v>
      </c>
      <c r="J62" s="12">
        <v>-6.3521986803820004E-4</v>
      </c>
      <c r="K62" s="4">
        <f t="shared" si="3"/>
        <v>103.33825604084591</v>
      </c>
      <c r="L62" s="7">
        <f t="shared" si="4"/>
        <v>0.19628555420058669</v>
      </c>
      <c r="M62" s="36">
        <f t="shared" si="5"/>
        <v>50399.100853680953</v>
      </c>
      <c r="N62" s="40">
        <f t="shared" si="6"/>
        <v>526.46898271099076</v>
      </c>
      <c r="O62" s="4">
        <f t="shared" si="7"/>
        <v>100798.20170736191</v>
      </c>
      <c r="P62" s="42">
        <f t="shared" si="8"/>
        <v>-7.7894192529571495E-4</v>
      </c>
    </row>
    <row r="63" spans="1:16" x14ac:dyDescent="0.2">
      <c r="A63" s="15">
        <v>46020</v>
      </c>
      <c r="B63" s="22">
        <v>120.53</v>
      </c>
      <c r="C63" s="23">
        <v>1.42</v>
      </c>
      <c r="D63" s="12">
        <v>1.1921753001427299E-2</v>
      </c>
      <c r="E63" s="3">
        <f t="shared" si="0"/>
        <v>420.37671535322573</v>
      </c>
      <c r="F63" s="13">
        <f t="shared" si="1"/>
        <v>0.80163915540707331</v>
      </c>
      <c r="G63" s="24">
        <f t="shared" si="2"/>
        <v>50668.005501524298</v>
      </c>
      <c r="H63" s="22">
        <v>487.1</v>
      </c>
      <c r="I63" s="23">
        <v>-0.60999999999995702</v>
      </c>
      <c r="J63" s="12">
        <v>-1.25074326956584E-3</v>
      </c>
      <c r="K63" s="4">
        <f t="shared" si="3"/>
        <v>104.01971977319708</v>
      </c>
      <c r="L63" s="7">
        <f t="shared" si="4"/>
        <v>0.19836084459292661</v>
      </c>
      <c r="M63" s="36">
        <f t="shared" si="5"/>
        <v>50668.005501524298</v>
      </c>
      <c r="N63" s="40">
        <f t="shared" si="6"/>
        <v>524.39643512642283</v>
      </c>
      <c r="O63" s="4">
        <f t="shared" si="7"/>
        <v>101336.0110030486</v>
      </c>
      <c r="P63" s="42">
        <f t="shared" si="8"/>
        <v>5.3355048659306584E-3</v>
      </c>
    </row>
    <row r="64" spans="1:16" x14ac:dyDescent="0.2">
      <c r="A64" s="15">
        <v>46021</v>
      </c>
      <c r="B64" s="22">
        <v>120.99</v>
      </c>
      <c r="C64" s="23">
        <v>0.45999999999999402</v>
      </c>
      <c r="D64" s="12">
        <v>3.8164772255869402E-3</v>
      </c>
      <c r="E64" s="3">
        <f t="shared" si="0"/>
        <v>419.74093638162202</v>
      </c>
      <c r="F64" s="13">
        <f t="shared" si="1"/>
        <v>0.80115700034512793</v>
      </c>
      <c r="G64" s="24">
        <f t="shared" si="2"/>
        <v>50784.455892812446</v>
      </c>
      <c r="H64" s="22">
        <v>487.48</v>
      </c>
      <c r="I64" s="23">
        <v>0.37999999999999501</v>
      </c>
      <c r="J64" s="12">
        <v>7.80127283925263E-4</v>
      </c>
      <c r="K64" s="4">
        <f t="shared" si="3"/>
        <v>104.17751680645861</v>
      </c>
      <c r="L64" s="7">
        <f t="shared" si="4"/>
        <v>0.19884299965487204</v>
      </c>
      <c r="M64" s="36">
        <f t="shared" si="5"/>
        <v>50784.455892812446</v>
      </c>
      <c r="N64" s="40">
        <f t="shared" si="6"/>
        <v>523.91845318808066</v>
      </c>
      <c r="O64" s="4">
        <f t="shared" si="7"/>
        <v>101568.91178562489</v>
      </c>
      <c r="P64" s="42">
        <f t="shared" si="8"/>
        <v>2.2983022547561093E-3</v>
      </c>
    </row>
    <row r="65" spans="1:16" x14ac:dyDescent="0.2">
      <c r="A65" s="15">
        <v>46022</v>
      </c>
      <c r="B65" s="22">
        <v>120.34</v>
      </c>
      <c r="C65" s="23">
        <v>-0.64999999999999103</v>
      </c>
      <c r="D65" s="12">
        <v>-5.3723448218860404E-3</v>
      </c>
      <c r="E65" s="3">
        <f t="shared" si="0"/>
        <v>419.2037350926704</v>
      </c>
      <c r="F65" s="13">
        <f t="shared" si="1"/>
        <v>0.80074839393337305</v>
      </c>
      <c r="G65" s="24">
        <f t="shared" si="2"/>
        <v>50446.977481051959</v>
      </c>
      <c r="H65" s="22">
        <v>483.62</v>
      </c>
      <c r="I65" s="23">
        <v>-3.8600000000000101</v>
      </c>
      <c r="J65" s="12">
        <v>-7.9182735701977796E-3</v>
      </c>
      <c r="K65" s="4">
        <f t="shared" si="3"/>
        <v>104.31118953114421</v>
      </c>
      <c r="L65" s="7">
        <f t="shared" si="4"/>
        <v>0.19925160606662692</v>
      </c>
      <c r="M65" s="36">
        <f t="shared" si="5"/>
        <v>50446.977481051959</v>
      </c>
      <c r="N65" s="40">
        <f t="shared" si="6"/>
        <v>523.51492462381464</v>
      </c>
      <c r="O65" s="4">
        <f t="shared" si="7"/>
        <v>100893.95496210392</v>
      </c>
      <c r="P65" s="42">
        <f t="shared" si="8"/>
        <v>-6.6453091960418211E-3</v>
      </c>
    </row>
    <row r="66" spans="1:16" x14ac:dyDescent="0.2">
      <c r="A66" s="15">
        <v>46024</v>
      </c>
      <c r="B66" s="22">
        <v>122.65</v>
      </c>
      <c r="C66" s="23">
        <v>2.31</v>
      </c>
      <c r="D66" s="12">
        <v>1.9195612431444301E-2</v>
      </c>
      <c r="E66" s="3">
        <f t="shared" si="0"/>
        <v>410.71452134519103</v>
      </c>
      <c r="F66" s="13">
        <f t="shared" si="1"/>
        <v>0.79406974596618485</v>
      </c>
      <c r="G66" s="24">
        <f t="shared" si="2"/>
        <v>50374.13604298768</v>
      </c>
      <c r="H66" s="22">
        <v>472.94</v>
      </c>
      <c r="I66" s="23">
        <v>-10.68</v>
      </c>
      <c r="J66" s="12">
        <v>-2.2083453951449498E-2</v>
      </c>
      <c r="K66" s="4">
        <f t="shared" si="3"/>
        <v>106.51274166487859</v>
      </c>
      <c r="L66" s="7">
        <f t="shared" si="4"/>
        <v>0.20593025403381524</v>
      </c>
      <c r="M66" s="36">
        <f t="shared" si="5"/>
        <v>50374.13604298768</v>
      </c>
      <c r="N66" s="40">
        <f t="shared" si="6"/>
        <v>517.22726301006958</v>
      </c>
      <c r="O66" s="4">
        <f t="shared" si="7"/>
        <v>100748.27208597536</v>
      </c>
      <c r="P66" s="42">
        <f t="shared" si="8"/>
        <v>-1.4439207600026858E-3</v>
      </c>
    </row>
    <row r="67" spans="1:16" x14ac:dyDescent="0.2">
      <c r="A67" s="15">
        <v>46027</v>
      </c>
      <c r="B67" s="22">
        <v>125.36</v>
      </c>
      <c r="C67" s="23">
        <v>2.7099999999999902</v>
      </c>
      <c r="D67" s="12">
        <v>2.2095393395841802E-2</v>
      </c>
      <c r="E67" s="3">
        <f t="shared" ref="E67:E127" si="9">G67/B67</f>
        <v>406.2369268190451</v>
      </c>
      <c r="F67" s="13">
        <f t="shared" ref="F67:F127" si="10">E67/N67</f>
        <v>0.79044148375988366</v>
      </c>
      <c r="G67" s="24">
        <f t="shared" ref="G67:G127" si="11">O67/2</f>
        <v>50925.861146035495</v>
      </c>
      <c r="H67" s="22">
        <v>472.85</v>
      </c>
      <c r="I67" s="23">
        <v>-8.9999999999975003E-2</v>
      </c>
      <c r="J67" s="12">
        <v>-1.90298980843183E-4</v>
      </c>
      <c r="K67" s="4">
        <f t="shared" ref="K67:K127" si="12">M67/H67</f>
        <v>107.69982266265305</v>
      </c>
      <c r="L67" s="7">
        <f t="shared" ref="L67:L127" si="13">K67/N67</f>
        <v>0.20955851624011634</v>
      </c>
      <c r="M67" s="36">
        <f t="shared" ref="M67:M127" si="14">O67/2</f>
        <v>50925.861146035495</v>
      </c>
      <c r="N67" s="40">
        <f t="shared" ref="N67:N127" si="15">K67+E67</f>
        <v>513.93674948169814</v>
      </c>
      <c r="O67" s="4">
        <f t="shared" si="7"/>
        <v>101851.72229207099</v>
      </c>
      <c r="P67" s="42">
        <f t="shared" si="8"/>
        <v>1.0952547207499301E-2</v>
      </c>
    </row>
    <row r="68" spans="1:16" x14ac:dyDescent="0.2">
      <c r="A68" s="15">
        <v>46028</v>
      </c>
      <c r="B68" s="22">
        <v>121.05</v>
      </c>
      <c r="C68" s="23">
        <v>-4.3099999999999996</v>
      </c>
      <c r="D68" s="12">
        <v>-3.4380982769623501E-2</v>
      </c>
      <c r="E68" s="3">
        <f t="shared" si="9"/>
        <v>415.98687374535939</v>
      </c>
      <c r="F68" s="13">
        <f t="shared" si="10"/>
        <v>0.79810194142371071</v>
      </c>
      <c r="G68" s="24">
        <f t="shared" si="11"/>
        <v>50355.211066875752</v>
      </c>
      <c r="H68" s="22">
        <v>478.51</v>
      </c>
      <c r="I68" s="23">
        <v>5.6599999999999699</v>
      </c>
      <c r="J68" s="12">
        <v>1.19699693348841E-2</v>
      </c>
      <c r="K68" s="4">
        <f t="shared" si="12"/>
        <v>105.23335158486918</v>
      </c>
      <c r="L68" s="7">
        <f t="shared" si="13"/>
        <v>0.20189805857628929</v>
      </c>
      <c r="M68" s="36">
        <f t="shared" si="14"/>
        <v>50355.211066875752</v>
      </c>
      <c r="N68" s="40">
        <f t="shared" si="15"/>
        <v>521.22022533022857</v>
      </c>
      <c r="O68" s="4">
        <f t="shared" si="7"/>
        <v>100710.4221337515</v>
      </c>
      <c r="P68" s="42">
        <f t="shared" si="8"/>
        <v>-1.1205506717369806E-2</v>
      </c>
    </row>
    <row r="69" spans="1:16" x14ac:dyDescent="0.2">
      <c r="A69" s="15">
        <v>46029</v>
      </c>
      <c r="B69" s="22">
        <v>118.49</v>
      </c>
      <c r="C69" s="23">
        <v>-2.56</v>
      </c>
      <c r="D69" s="12">
        <v>-2.11482858323007E-2</v>
      </c>
      <c r="E69" s="3">
        <f t="shared" si="9"/>
        <v>422.68315115547449</v>
      </c>
      <c r="F69" s="13">
        <f t="shared" si="10"/>
        <v>0.80315967838394575</v>
      </c>
      <c r="G69" s="24">
        <f t="shared" si="11"/>
        <v>50083.726580412171</v>
      </c>
      <c r="H69" s="22">
        <v>483.47</v>
      </c>
      <c r="I69" s="23">
        <v>4.9600000000000399</v>
      </c>
      <c r="J69" s="12">
        <v>1.03655096027252E-2</v>
      </c>
      <c r="K69" s="4">
        <f t="shared" si="12"/>
        <v>103.59221167892976</v>
      </c>
      <c r="L69" s="7">
        <f t="shared" si="13"/>
        <v>0.19684032161605419</v>
      </c>
      <c r="M69" s="36">
        <f t="shared" si="14"/>
        <v>50083.726580412171</v>
      </c>
      <c r="N69" s="40">
        <f t="shared" si="15"/>
        <v>526.27536283440429</v>
      </c>
      <c r="O69" s="4">
        <f t="shared" ref="O69:O127" si="16">E68*B69+K68*H69</f>
        <v>100167.45316082434</v>
      </c>
      <c r="P69" s="42">
        <f t="shared" ref="P69:P127" si="17">(O69-O68)/O68</f>
        <v>-5.391388114787731E-3</v>
      </c>
    </row>
    <row r="70" spans="1:16" x14ac:dyDescent="0.2">
      <c r="A70" s="15">
        <v>46030</v>
      </c>
      <c r="B70" s="22">
        <v>122.91</v>
      </c>
      <c r="C70" s="23">
        <v>4.42</v>
      </c>
      <c r="D70" s="12">
        <v>3.7302725968436201E-2</v>
      </c>
      <c r="E70" s="3">
        <f t="shared" si="9"/>
        <v>412.82425528570695</v>
      </c>
      <c r="F70" s="13">
        <f t="shared" si="10"/>
        <v>0.79549765398822003</v>
      </c>
      <c r="G70" s="24">
        <f t="shared" si="11"/>
        <v>50740.229217166241</v>
      </c>
      <c r="H70" s="22">
        <v>478.11</v>
      </c>
      <c r="I70" s="23">
        <v>-5.3600000000000101</v>
      </c>
      <c r="J70" s="12">
        <v>-1.1086520363207701E-2</v>
      </c>
      <c r="K70" s="4">
        <f t="shared" si="12"/>
        <v>106.12668469006346</v>
      </c>
      <c r="L70" s="7">
        <f t="shared" si="13"/>
        <v>0.20450234601177997</v>
      </c>
      <c r="M70" s="36">
        <f t="shared" si="14"/>
        <v>50740.229217166241</v>
      </c>
      <c r="N70" s="40">
        <f t="shared" si="15"/>
        <v>518.95093997577044</v>
      </c>
      <c r="O70" s="4">
        <f t="shared" si="16"/>
        <v>101480.45843433248</v>
      </c>
      <c r="P70" s="42">
        <f t="shared" si="17"/>
        <v>1.3108102802614326E-2</v>
      </c>
    </row>
    <row r="71" spans="1:16" x14ac:dyDescent="0.2">
      <c r="A71" s="15">
        <v>46031</v>
      </c>
      <c r="B71" s="22">
        <v>124.61</v>
      </c>
      <c r="C71" s="23">
        <v>1.7</v>
      </c>
      <c r="D71" s="12">
        <v>1.3831258644536701E-2</v>
      </c>
      <c r="E71" s="3">
        <f t="shared" si="9"/>
        <v>410.50649181207586</v>
      </c>
      <c r="F71" s="13">
        <f t="shared" si="10"/>
        <v>0.79365447349682883</v>
      </c>
      <c r="G71" s="24">
        <f t="shared" si="11"/>
        <v>51153.213944702773</v>
      </c>
      <c r="H71" s="22">
        <v>479.28</v>
      </c>
      <c r="I71" s="23">
        <v>1.16999999999996</v>
      </c>
      <c r="J71" s="12">
        <v>2.4471355964107802E-3</v>
      </c>
      <c r="K71" s="4">
        <f t="shared" si="12"/>
        <v>106.72928965260969</v>
      </c>
      <c r="L71" s="7">
        <f t="shared" si="13"/>
        <v>0.20634552650317109</v>
      </c>
      <c r="M71" s="36">
        <f t="shared" si="14"/>
        <v>51153.213944702773</v>
      </c>
      <c r="N71" s="40">
        <f t="shared" si="15"/>
        <v>517.2357814646856</v>
      </c>
      <c r="O71" s="4">
        <f t="shared" si="16"/>
        <v>102306.42788940555</v>
      </c>
      <c r="P71" s="42">
        <f t="shared" si="17"/>
        <v>8.1391971204736388E-3</v>
      </c>
    </row>
    <row r="72" spans="1:16" x14ac:dyDescent="0.2">
      <c r="A72" s="15">
        <v>46034</v>
      </c>
      <c r="B72" s="22">
        <v>124.03</v>
      </c>
      <c r="C72" s="23">
        <v>-0.57999999999999796</v>
      </c>
      <c r="D72" s="12">
        <v>-4.6545221089799999E-3</v>
      </c>
      <c r="E72" s="3">
        <f t="shared" si="9"/>
        <v>410.56277761785083</v>
      </c>
      <c r="F72" s="13">
        <f t="shared" si="10"/>
        <v>0.79369937293125525</v>
      </c>
      <c r="G72" s="24">
        <f t="shared" si="11"/>
        <v>50922.101307942037</v>
      </c>
      <c r="H72" s="22">
        <v>477.18</v>
      </c>
      <c r="I72" s="23">
        <v>-2.0999999999999699</v>
      </c>
      <c r="J72" s="12">
        <v>-4.3815723585377397E-3</v>
      </c>
      <c r="K72" s="4">
        <f t="shared" si="12"/>
        <v>106.71465968385523</v>
      </c>
      <c r="L72" s="7">
        <f t="shared" si="13"/>
        <v>0.20630062706874469</v>
      </c>
      <c r="M72" s="36">
        <f t="shared" si="14"/>
        <v>50922.101307942037</v>
      </c>
      <c r="N72" s="40">
        <f t="shared" si="15"/>
        <v>517.27743730170607</v>
      </c>
      <c r="O72" s="4">
        <f t="shared" si="16"/>
        <v>101844.20261588407</v>
      </c>
      <c r="P72" s="42">
        <f t="shared" si="17"/>
        <v>-4.5180472337587865E-3</v>
      </c>
    </row>
    <row r="73" spans="1:16" x14ac:dyDescent="0.2">
      <c r="A73" s="15">
        <v>46035</v>
      </c>
      <c r="B73" s="22">
        <v>126.54</v>
      </c>
      <c r="C73" s="23">
        <v>2.51000000000001</v>
      </c>
      <c r="D73" s="12">
        <v>2.0237039425945399E-2</v>
      </c>
      <c r="E73" s="3">
        <f t="shared" si="9"/>
        <v>403.74586199289939</v>
      </c>
      <c r="F73" s="13">
        <f t="shared" si="10"/>
        <v>0.78811473351082528</v>
      </c>
      <c r="G73" s="24">
        <f t="shared" si="11"/>
        <v>51090.001376581495</v>
      </c>
      <c r="H73" s="22">
        <v>470.67</v>
      </c>
      <c r="I73" s="23">
        <v>-6.50999999999999</v>
      </c>
      <c r="J73" s="12">
        <v>-1.3642650572111101E-2</v>
      </c>
      <c r="K73" s="4">
        <f t="shared" si="12"/>
        <v>108.54739281573394</v>
      </c>
      <c r="L73" s="7">
        <f t="shared" si="13"/>
        <v>0.21188526648917466</v>
      </c>
      <c r="M73" s="36">
        <f t="shared" si="14"/>
        <v>51090.001376581495</v>
      </c>
      <c r="N73" s="40">
        <f t="shared" si="15"/>
        <v>512.29325480863338</v>
      </c>
      <c r="O73" s="4">
        <f t="shared" si="16"/>
        <v>102180.00275316299</v>
      </c>
      <c r="P73" s="42">
        <f t="shared" si="17"/>
        <v>3.297194426917159E-3</v>
      </c>
    </row>
    <row r="74" spans="1:16" x14ac:dyDescent="0.2">
      <c r="A74" s="15">
        <v>46036</v>
      </c>
      <c r="B74" s="22">
        <v>130.19999999999999</v>
      </c>
      <c r="C74" s="23">
        <v>3.6599999999999802</v>
      </c>
      <c r="D74" s="12">
        <v>2.8923660502607699E-2</v>
      </c>
      <c r="E74" s="3">
        <f t="shared" si="9"/>
        <v>393.36487151753977</v>
      </c>
      <c r="F74" s="13">
        <f t="shared" si="10"/>
        <v>0.77916482920044783</v>
      </c>
      <c r="G74" s="24">
        <f t="shared" si="11"/>
        <v>51216.106271583674</v>
      </c>
      <c r="H74" s="22">
        <v>459.38</v>
      </c>
      <c r="I74" s="23">
        <v>-11.29</v>
      </c>
      <c r="J74" s="12">
        <v>-2.3987082244460101E-2</v>
      </c>
      <c r="K74" s="4">
        <f t="shared" si="12"/>
        <v>111.48963009182741</v>
      </c>
      <c r="L74" s="7">
        <f t="shared" si="13"/>
        <v>0.22083517079955223</v>
      </c>
      <c r="M74" s="36">
        <f t="shared" si="14"/>
        <v>51216.106271583674</v>
      </c>
      <c r="N74" s="40">
        <f t="shared" si="15"/>
        <v>504.85450160936716</v>
      </c>
      <c r="O74" s="4">
        <f t="shared" si="16"/>
        <v>102432.21254316735</v>
      </c>
      <c r="P74" s="42">
        <f t="shared" si="17"/>
        <v>2.4682891290737602E-3</v>
      </c>
    </row>
    <row r="75" spans="1:16" x14ac:dyDescent="0.2">
      <c r="A75" s="15">
        <v>46037</v>
      </c>
      <c r="B75" s="22">
        <v>129.13</v>
      </c>
      <c r="C75" s="23">
        <v>-1.0699999999999901</v>
      </c>
      <c r="D75" s="12">
        <v>-8.2181259600613895E-3</v>
      </c>
      <c r="E75" s="3">
        <f t="shared" si="9"/>
        <v>393.82041484083413</v>
      </c>
      <c r="F75" s="13">
        <f t="shared" si="10"/>
        <v>0.77956264190238822</v>
      </c>
      <c r="G75" s="24">
        <f t="shared" si="11"/>
        <v>50854.030168396908</v>
      </c>
      <c r="H75" s="22">
        <v>456.66</v>
      </c>
      <c r="I75" s="23">
        <v>-2.71999999999997</v>
      </c>
      <c r="J75" s="12">
        <v>-5.9210239888544802E-3</v>
      </c>
      <c r="K75" s="4">
        <f t="shared" si="12"/>
        <v>111.36081585511519</v>
      </c>
      <c r="L75" s="7">
        <f t="shared" si="13"/>
        <v>0.22043735809761172</v>
      </c>
      <c r="M75" s="36">
        <f t="shared" si="14"/>
        <v>50854.030168396908</v>
      </c>
      <c r="N75" s="40">
        <f t="shared" si="15"/>
        <v>505.18123069594935</v>
      </c>
      <c r="O75" s="4">
        <f t="shared" si="16"/>
        <v>101708.06033679382</v>
      </c>
      <c r="P75" s="42">
        <f t="shared" si="17"/>
        <v>-7.069574974457934E-3</v>
      </c>
    </row>
    <row r="76" spans="1:16" x14ac:dyDescent="0.2">
      <c r="A76" s="15">
        <v>46038</v>
      </c>
      <c r="B76" s="22">
        <v>129.88999999999999</v>
      </c>
      <c r="C76" s="23">
        <v>0.75999999999999102</v>
      </c>
      <c r="D76" s="12">
        <v>5.88554170216054E-3</v>
      </c>
      <c r="E76" s="3">
        <f t="shared" si="9"/>
        <v>394.04002795753803</v>
      </c>
      <c r="F76" s="13">
        <f t="shared" si="10"/>
        <v>0.77975413310724884</v>
      </c>
      <c r="G76" s="24">
        <f t="shared" si="11"/>
        <v>51181.859231404611</v>
      </c>
      <c r="H76" s="22">
        <v>459.86</v>
      </c>
      <c r="I76" s="23">
        <v>3.19999999999999</v>
      </c>
      <c r="J76" s="12">
        <v>7.0074015679060797E-3</v>
      </c>
      <c r="K76" s="4">
        <f t="shared" si="12"/>
        <v>111.29878491585397</v>
      </c>
      <c r="L76" s="7">
        <f t="shared" si="13"/>
        <v>0.22024586689275114</v>
      </c>
      <c r="M76" s="36">
        <f t="shared" si="14"/>
        <v>51181.859231404611</v>
      </c>
      <c r="N76" s="40">
        <f t="shared" si="15"/>
        <v>505.33881287339199</v>
      </c>
      <c r="O76" s="4">
        <f t="shared" si="16"/>
        <v>102363.71846280922</v>
      </c>
      <c r="P76" s="42">
        <f t="shared" si="17"/>
        <v>6.446471635033384E-3</v>
      </c>
    </row>
    <row r="77" spans="1:16" x14ac:dyDescent="0.2">
      <c r="A77" s="15">
        <v>46042</v>
      </c>
      <c r="B77" s="22">
        <v>130.46</v>
      </c>
      <c r="C77" s="23">
        <v>0.57000000000002204</v>
      </c>
      <c r="D77" s="12">
        <v>4.3883285857265501E-3</v>
      </c>
      <c r="E77" s="3">
        <f t="shared" si="9"/>
        <v>390.90137117620094</v>
      </c>
      <c r="F77" s="13">
        <f t="shared" si="10"/>
        <v>0.77698382850695746</v>
      </c>
      <c r="G77" s="24">
        <f t="shared" si="11"/>
        <v>50996.992883647181</v>
      </c>
      <c r="H77" s="22">
        <v>454.52</v>
      </c>
      <c r="I77" s="23">
        <v>-5.3400000000000301</v>
      </c>
      <c r="J77" s="12">
        <v>-1.1612229809072399E-2</v>
      </c>
      <c r="K77" s="4">
        <f t="shared" si="12"/>
        <v>112.19966752540523</v>
      </c>
      <c r="L77" s="7">
        <f t="shared" si="13"/>
        <v>0.22301617149304254</v>
      </c>
      <c r="M77" s="36">
        <f t="shared" si="14"/>
        <v>50996.992883647181</v>
      </c>
      <c r="N77" s="40">
        <f t="shared" si="15"/>
        <v>503.10103870160617</v>
      </c>
      <c r="O77" s="4">
        <f t="shared" si="16"/>
        <v>101993.98576729436</v>
      </c>
      <c r="P77" s="42">
        <f t="shared" si="17"/>
        <v>-3.6119506116729372E-3</v>
      </c>
    </row>
    <row r="78" spans="1:16" x14ac:dyDescent="0.2">
      <c r="A78" s="15">
        <v>46043</v>
      </c>
      <c r="B78" s="22">
        <v>133.61000000000001</v>
      </c>
      <c r="C78" s="23">
        <v>3.1500000000000101</v>
      </c>
      <c r="D78" s="12">
        <v>2.4145331902498901E-2</v>
      </c>
      <c r="E78" s="3">
        <f t="shared" si="9"/>
        <v>381.92248539615269</v>
      </c>
      <c r="F78" s="13">
        <f t="shared" si="10"/>
        <v>0.76872879595651866</v>
      </c>
      <c r="G78" s="24">
        <f t="shared" si="11"/>
        <v>51028.663273779966</v>
      </c>
      <c r="H78" s="22">
        <v>444.11</v>
      </c>
      <c r="I78" s="23">
        <v>-10.41</v>
      </c>
      <c r="J78" s="12">
        <v>-2.29032825838246E-2</v>
      </c>
      <c r="K78" s="4">
        <f t="shared" si="12"/>
        <v>114.90095533489443</v>
      </c>
      <c r="L78" s="7">
        <f t="shared" si="13"/>
        <v>0.23127120404348128</v>
      </c>
      <c r="M78" s="36">
        <f t="shared" si="14"/>
        <v>51028.663273779966</v>
      </c>
      <c r="N78" s="40">
        <f t="shared" si="15"/>
        <v>496.82344073104713</v>
      </c>
      <c r="O78" s="4">
        <f t="shared" si="16"/>
        <v>102057.32654755993</v>
      </c>
      <c r="P78" s="42">
        <f t="shared" si="17"/>
        <v>6.2102465933713998E-4</v>
      </c>
    </row>
    <row r="79" spans="1:16" x14ac:dyDescent="0.2">
      <c r="A79" s="15">
        <v>46044</v>
      </c>
      <c r="B79" s="22">
        <v>133.63999999999999</v>
      </c>
      <c r="C79" s="23">
        <v>2.9999999999972701E-2</v>
      </c>
      <c r="D79" s="12">
        <v>2.2453409175939501E-4</v>
      </c>
      <c r="E79" s="3">
        <f t="shared" si="9"/>
        <v>384.90174325847846</v>
      </c>
      <c r="F79" s="13">
        <f t="shared" si="10"/>
        <v>0.7714696125038476</v>
      </c>
      <c r="G79" s="24">
        <f t="shared" si="11"/>
        <v>51438.268969063058</v>
      </c>
      <c r="H79" s="22">
        <v>451.14</v>
      </c>
      <c r="I79" s="23">
        <v>7.0299999999999701</v>
      </c>
      <c r="J79" s="12">
        <v>1.5829411632253199E-2</v>
      </c>
      <c r="K79" s="4">
        <f t="shared" si="12"/>
        <v>114.01841771747807</v>
      </c>
      <c r="L79" s="7">
        <f t="shared" si="13"/>
        <v>0.22853038749615237</v>
      </c>
      <c r="M79" s="36">
        <f t="shared" si="14"/>
        <v>51438.268969063058</v>
      </c>
      <c r="N79" s="40">
        <f t="shared" si="15"/>
        <v>498.92016097595655</v>
      </c>
      <c r="O79" s="4">
        <f t="shared" si="16"/>
        <v>102876.53793812612</v>
      </c>
      <c r="P79" s="42">
        <f t="shared" si="17"/>
        <v>8.0269728620063381E-3</v>
      </c>
    </row>
    <row r="80" spans="1:16" x14ac:dyDescent="0.2">
      <c r="A80" s="15">
        <v>46045</v>
      </c>
      <c r="B80" s="22">
        <v>134.97</v>
      </c>
      <c r="C80" s="23">
        <v>1.3300000000000101</v>
      </c>
      <c r="D80" s="12">
        <v>9.9521101466627706E-3</v>
      </c>
      <c r="E80" s="3">
        <f t="shared" si="9"/>
        <v>389.26083582668645</v>
      </c>
      <c r="F80" s="13">
        <f t="shared" si="10"/>
        <v>0.77539439526060039</v>
      </c>
      <c r="G80" s="24">
        <f t="shared" si="11"/>
        <v>52538.535011527871</v>
      </c>
      <c r="H80" s="22">
        <v>465.95</v>
      </c>
      <c r="I80" s="23">
        <v>14.81</v>
      </c>
      <c r="J80" s="12">
        <v>3.2827946978764899E-2</v>
      </c>
      <c r="K80" s="4">
        <f t="shared" si="12"/>
        <v>112.75573561868842</v>
      </c>
      <c r="L80" s="7">
        <f t="shared" si="13"/>
        <v>0.22460560473939958</v>
      </c>
      <c r="M80" s="36">
        <f t="shared" si="14"/>
        <v>52538.535011527871</v>
      </c>
      <c r="N80" s="40">
        <f t="shared" si="15"/>
        <v>502.01657144537489</v>
      </c>
      <c r="O80" s="4">
        <f t="shared" si="16"/>
        <v>105077.07002305574</v>
      </c>
      <c r="P80" s="42">
        <f t="shared" si="17"/>
        <v>2.1390028562713784E-2</v>
      </c>
    </row>
    <row r="81" spans="1:16" x14ac:dyDescent="0.2">
      <c r="A81" s="15">
        <v>46048</v>
      </c>
      <c r="B81" s="22">
        <v>134.84</v>
      </c>
      <c r="C81" s="23">
        <v>-0.12999999999999501</v>
      </c>
      <c r="D81" s="12">
        <v>-9.6317700229677297E-4</v>
      </c>
      <c r="E81" s="3">
        <f t="shared" si="9"/>
        <v>391.25889368743395</v>
      </c>
      <c r="F81" s="13">
        <f t="shared" si="10"/>
        <v>0.77716816499206776</v>
      </c>
      <c r="G81" s="24">
        <f t="shared" si="11"/>
        <v>52757.349224813595</v>
      </c>
      <c r="H81" s="22">
        <v>470.28</v>
      </c>
      <c r="I81" s="23">
        <v>4.3299999999999796</v>
      </c>
      <c r="J81" s="12">
        <v>9.2928425796759001E-3</v>
      </c>
      <c r="K81" s="4">
        <f t="shared" si="12"/>
        <v>112.18284686742706</v>
      </c>
      <c r="L81" s="7">
        <f t="shared" si="13"/>
        <v>0.22283183500793233</v>
      </c>
      <c r="M81" s="36">
        <f t="shared" si="14"/>
        <v>52757.349224813595</v>
      </c>
      <c r="N81" s="40">
        <f t="shared" si="15"/>
        <v>503.44174055486098</v>
      </c>
      <c r="O81" s="4">
        <f t="shared" si="16"/>
        <v>105514.69844962719</v>
      </c>
      <c r="P81" s="42">
        <f t="shared" si="17"/>
        <v>4.164832788689541E-3</v>
      </c>
    </row>
    <row r="82" spans="1:16" x14ac:dyDescent="0.2">
      <c r="A82" s="15">
        <v>46049</v>
      </c>
      <c r="B82" s="22">
        <v>136.83000000000001</v>
      </c>
      <c r="C82" s="23">
        <v>1.99000000000001</v>
      </c>
      <c r="D82" s="12">
        <v>1.4758231978641401E-2</v>
      </c>
      <c r="E82" s="3">
        <f t="shared" si="9"/>
        <v>392.6360701995165</v>
      </c>
      <c r="F82" s="13">
        <f t="shared" si="10"/>
        <v>0.77838065467031625</v>
      </c>
      <c r="G82" s="24">
        <f t="shared" si="11"/>
        <v>53724.393485399843</v>
      </c>
      <c r="H82" s="22">
        <v>480.58</v>
      </c>
      <c r="I82" s="23">
        <v>10.3</v>
      </c>
      <c r="J82" s="12">
        <v>2.19018457089394E-2</v>
      </c>
      <c r="K82" s="4">
        <f t="shared" si="12"/>
        <v>111.79073928461411</v>
      </c>
      <c r="L82" s="7">
        <f t="shared" si="13"/>
        <v>0.22161934532968369</v>
      </c>
      <c r="M82" s="36">
        <f t="shared" si="14"/>
        <v>53724.393485399843</v>
      </c>
      <c r="N82" s="40">
        <f t="shared" si="15"/>
        <v>504.42680948413062</v>
      </c>
      <c r="O82" s="4">
        <f t="shared" si="16"/>
        <v>107448.78697079969</v>
      </c>
      <c r="P82" s="42">
        <f t="shared" si="17"/>
        <v>1.8330038843790392E-2</v>
      </c>
    </row>
    <row r="83" spans="1:16" x14ac:dyDescent="0.2">
      <c r="A83" s="15">
        <v>46050</v>
      </c>
      <c r="B83" s="22">
        <v>137.58000000000001</v>
      </c>
      <c r="C83" s="23">
        <v>0.75</v>
      </c>
      <c r="D83" s="12">
        <v>5.4812541109405801E-3</v>
      </c>
      <c r="E83" s="3">
        <f t="shared" si="9"/>
        <v>391.99245638791308</v>
      </c>
      <c r="F83" s="13">
        <f t="shared" si="10"/>
        <v>0.77781366579997091</v>
      </c>
      <c r="G83" s="24">
        <f t="shared" si="11"/>
        <v>53930.322149849089</v>
      </c>
      <c r="H83" s="22">
        <v>481.63</v>
      </c>
      <c r="I83" s="23">
        <v>1.05000000000001</v>
      </c>
      <c r="J83" s="12">
        <v>2.1848599608806302E-3</v>
      </c>
      <c r="K83" s="4">
        <f t="shared" si="12"/>
        <v>111.97459076438156</v>
      </c>
      <c r="L83" s="7">
        <f t="shared" si="13"/>
        <v>0.22218633420002909</v>
      </c>
      <c r="M83" s="36">
        <f t="shared" si="14"/>
        <v>53930.322149849089</v>
      </c>
      <c r="N83" s="40">
        <f t="shared" si="15"/>
        <v>503.96704715229464</v>
      </c>
      <c r="O83" s="4">
        <f t="shared" si="16"/>
        <v>107860.64429969818</v>
      </c>
      <c r="P83" s="42">
        <f t="shared" si="17"/>
        <v>3.8330570359106815E-3</v>
      </c>
    </row>
    <row r="84" spans="1:16" x14ac:dyDescent="0.2">
      <c r="A84" s="15">
        <v>46051</v>
      </c>
      <c r="B84" s="22">
        <v>140.51</v>
      </c>
      <c r="C84" s="23">
        <v>2.9299999999999802</v>
      </c>
      <c r="D84" s="12">
        <v>2.1296700101758801E-2</v>
      </c>
      <c r="E84" s="3">
        <f t="shared" si="9"/>
        <v>368.72765334647028</v>
      </c>
      <c r="F84" s="13">
        <f t="shared" si="10"/>
        <v>0.75521332380968975</v>
      </c>
      <c r="G84" s="24">
        <f t="shared" si="11"/>
        <v>51809.922571712537</v>
      </c>
      <c r="H84" s="22">
        <v>433.5</v>
      </c>
      <c r="I84" s="23">
        <v>-48.13</v>
      </c>
      <c r="J84" s="12">
        <v>-9.9931482673421501E-2</v>
      </c>
      <c r="K84" s="4">
        <f t="shared" si="12"/>
        <v>119.51539232228959</v>
      </c>
      <c r="L84" s="7">
        <f t="shared" si="13"/>
        <v>0.24478667619031025</v>
      </c>
      <c r="M84" s="36">
        <f t="shared" si="14"/>
        <v>51809.922571712537</v>
      </c>
      <c r="N84" s="40">
        <f t="shared" si="15"/>
        <v>488.24304566875986</v>
      </c>
      <c r="O84" s="4">
        <f t="shared" si="16"/>
        <v>103619.84514342507</v>
      </c>
      <c r="P84" s="42">
        <f t="shared" si="17"/>
        <v>-3.931739128583131E-2</v>
      </c>
    </row>
    <row r="85" spans="1:16" x14ac:dyDescent="0.2">
      <c r="A85" s="15">
        <v>46052</v>
      </c>
      <c r="B85" s="22">
        <v>141.4</v>
      </c>
      <c r="C85" s="23">
        <v>0.890000000000015</v>
      </c>
      <c r="D85" s="12">
        <v>6.3340687495552998E-3</v>
      </c>
      <c r="E85" s="3">
        <f t="shared" si="9"/>
        <v>366.21063771410496</v>
      </c>
      <c r="F85" s="13">
        <f t="shared" si="10"/>
        <v>0.75266315660585281</v>
      </c>
      <c r="G85" s="24">
        <f t="shared" si="11"/>
        <v>51782.184172774447</v>
      </c>
      <c r="H85" s="22">
        <v>430.29</v>
      </c>
      <c r="I85" s="23">
        <v>-3.20999999999998</v>
      </c>
      <c r="J85" s="12">
        <v>-7.4048442906573904E-3</v>
      </c>
      <c r="K85" s="4">
        <f t="shared" si="12"/>
        <v>120.34252288636604</v>
      </c>
      <c r="L85" s="7">
        <f t="shared" si="13"/>
        <v>0.24733684339414719</v>
      </c>
      <c r="M85" s="36">
        <f t="shared" si="14"/>
        <v>51782.184172774447</v>
      </c>
      <c r="N85" s="40">
        <f t="shared" si="15"/>
        <v>486.55316060047102</v>
      </c>
      <c r="O85" s="4">
        <f t="shared" si="16"/>
        <v>103564.36834554889</v>
      </c>
      <c r="P85" s="42">
        <f t="shared" si="17"/>
        <v>-5.3538777055102762E-4</v>
      </c>
    </row>
    <row r="86" spans="1:16" x14ac:dyDescent="0.2">
      <c r="A86" s="15">
        <v>46055</v>
      </c>
      <c r="B86" s="22">
        <v>138.4</v>
      </c>
      <c r="C86" s="23">
        <v>-3</v>
      </c>
      <c r="D86" s="12">
        <v>-2.12164073550212E-2</v>
      </c>
      <c r="E86" s="3">
        <f t="shared" si="9"/>
        <v>367.17112057092817</v>
      </c>
      <c r="F86" s="13">
        <f t="shared" si="10"/>
        <v>0.75363582960998277</v>
      </c>
      <c r="G86" s="24">
        <f t="shared" si="11"/>
        <v>50816.483087016459</v>
      </c>
      <c r="H86" s="22">
        <v>423.37</v>
      </c>
      <c r="I86" s="23">
        <v>-6.9200000000000204</v>
      </c>
      <c r="J86" s="12">
        <v>-1.60821771363499E-2</v>
      </c>
      <c r="K86" s="4">
        <f t="shared" si="12"/>
        <v>120.0285402532453</v>
      </c>
      <c r="L86" s="7">
        <f t="shared" si="13"/>
        <v>0.24636417039001729</v>
      </c>
      <c r="M86" s="36">
        <f t="shared" si="14"/>
        <v>50816.483087016459</v>
      </c>
      <c r="N86" s="40">
        <f t="shared" si="15"/>
        <v>487.19966082417346</v>
      </c>
      <c r="O86" s="4">
        <f t="shared" si="16"/>
        <v>101632.96617403292</v>
      </c>
      <c r="P86" s="42">
        <f t="shared" si="17"/>
        <v>-1.8649292245685636E-2</v>
      </c>
    </row>
    <row r="87" spans="1:16" x14ac:dyDescent="0.2">
      <c r="A87" s="15">
        <v>46056</v>
      </c>
      <c r="B87" s="22">
        <v>143.72999999999999</v>
      </c>
      <c r="C87" s="23">
        <v>5.3299999999999796</v>
      </c>
      <c r="D87" s="12">
        <v>3.8511560693641499E-2</v>
      </c>
      <c r="E87" s="3">
        <f t="shared" si="9"/>
        <v>355.28574826826861</v>
      </c>
      <c r="F87" s="13">
        <f t="shared" si="10"/>
        <v>0.7409990269218294</v>
      </c>
      <c r="G87" s="24">
        <f t="shared" si="11"/>
        <v>51065.220598598244</v>
      </c>
      <c r="H87" s="22">
        <v>411.21</v>
      </c>
      <c r="I87" s="23">
        <v>-12.16</v>
      </c>
      <c r="J87" s="12">
        <v>-2.8721921723315402E-2</v>
      </c>
      <c r="K87" s="4">
        <f t="shared" si="12"/>
        <v>124.18282774883453</v>
      </c>
      <c r="L87" s="7">
        <f t="shared" si="13"/>
        <v>0.2590009730781706</v>
      </c>
      <c r="M87" s="36">
        <f t="shared" si="14"/>
        <v>51065.220598598244</v>
      </c>
      <c r="N87" s="40">
        <f t="shared" si="15"/>
        <v>479.46857601710315</v>
      </c>
      <c r="O87" s="4">
        <f t="shared" si="16"/>
        <v>102130.44119719649</v>
      </c>
      <c r="P87" s="42">
        <f t="shared" si="17"/>
        <v>4.8948194851630147E-3</v>
      </c>
    </row>
    <row r="88" spans="1:16" x14ac:dyDescent="0.2">
      <c r="A88" s="15">
        <v>46057</v>
      </c>
      <c r="B88" s="22">
        <v>147.59</v>
      </c>
      <c r="C88" s="23">
        <v>3.8600000000000101</v>
      </c>
      <c r="D88" s="12">
        <v>2.6855910387532302E-2</v>
      </c>
      <c r="E88" s="3">
        <f t="shared" si="9"/>
        <v>351.89345149469318</v>
      </c>
      <c r="F88" s="13">
        <f t="shared" si="10"/>
        <v>0.73728149809533983</v>
      </c>
      <c r="G88" s="24">
        <f t="shared" si="11"/>
        <v>51935.954506101771</v>
      </c>
      <c r="H88" s="22">
        <v>414.19</v>
      </c>
      <c r="I88" s="23">
        <v>2.98000000000002</v>
      </c>
      <c r="J88" s="12">
        <v>7.2469054740887098E-3</v>
      </c>
      <c r="K88" s="4">
        <f t="shared" si="12"/>
        <v>125.39161859557636</v>
      </c>
      <c r="L88" s="7">
        <f t="shared" si="13"/>
        <v>0.26271850190466023</v>
      </c>
      <c r="M88" s="36">
        <f t="shared" si="14"/>
        <v>51935.954506101771</v>
      </c>
      <c r="N88" s="40">
        <f t="shared" si="15"/>
        <v>477.28507009026953</v>
      </c>
      <c r="O88" s="4">
        <f t="shared" si="16"/>
        <v>103871.90901220354</v>
      </c>
      <c r="P88" s="42">
        <f t="shared" si="17"/>
        <v>1.7051407930810523E-2</v>
      </c>
    </row>
    <row r="89" spans="1:16" x14ac:dyDescent="0.2">
      <c r="A89" s="15">
        <v>46058</v>
      </c>
      <c r="B89" s="22">
        <v>146.08000000000001</v>
      </c>
      <c r="C89" s="23">
        <v>-1.50999999999999</v>
      </c>
      <c r="D89" s="12">
        <v>-1.0231045463784699E-2</v>
      </c>
      <c r="E89" s="3">
        <f t="shared" si="9"/>
        <v>344.90523646928165</v>
      </c>
      <c r="F89" s="13">
        <f t="shared" si="10"/>
        <v>0.72935618341824915</v>
      </c>
      <c r="G89" s="24">
        <f t="shared" si="11"/>
        <v>50383.756943432665</v>
      </c>
      <c r="H89" s="22">
        <v>393.67</v>
      </c>
      <c r="I89" s="23">
        <v>-20.52</v>
      </c>
      <c r="J89" s="12">
        <v>-4.9542480504116401E-2</v>
      </c>
      <c r="K89" s="4">
        <f t="shared" si="12"/>
        <v>127.98475104385059</v>
      </c>
      <c r="L89" s="7">
        <f t="shared" si="13"/>
        <v>0.2706438165817508</v>
      </c>
      <c r="M89" s="36">
        <f t="shared" si="14"/>
        <v>50383.756943432665</v>
      </c>
      <c r="N89" s="40">
        <f t="shared" si="15"/>
        <v>472.88998751313227</v>
      </c>
      <c r="O89" s="4">
        <f t="shared" si="16"/>
        <v>100767.51388686533</v>
      </c>
      <c r="P89" s="42">
        <f t="shared" si="17"/>
        <v>-2.9886762983950616E-2</v>
      </c>
    </row>
    <row r="90" spans="1:16" x14ac:dyDescent="0.2">
      <c r="A90" s="15">
        <v>46059</v>
      </c>
      <c r="B90" s="22">
        <v>149.05000000000001</v>
      </c>
      <c r="C90" s="23">
        <v>2.97</v>
      </c>
      <c r="D90" s="12">
        <v>2.0331325301204801E-2</v>
      </c>
      <c r="E90" s="3">
        <f t="shared" si="9"/>
        <v>344.67604337295086</v>
      </c>
      <c r="F90" s="13">
        <f t="shared" si="10"/>
        <v>0.72909358585216011</v>
      </c>
      <c r="G90" s="24">
        <f t="shared" si="11"/>
        <v>51373.96426473833</v>
      </c>
      <c r="H90" s="22">
        <v>401.14</v>
      </c>
      <c r="I90" s="23">
        <v>7.4699999999999704</v>
      </c>
      <c r="J90" s="12">
        <v>1.8975283867198298E-2</v>
      </c>
      <c r="K90" s="4">
        <f t="shared" si="12"/>
        <v>128.06991141431504</v>
      </c>
      <c r="L90" s="7">
        <f t="shared" si="13"/>
        <v>0.27090641414783989</v>
      </c>
      <c r="M90" s="36">
        <f t="shared" si="14"/>
        <v>51373.96426473833</v>
      </c>
      <c r="N90" s="40">
        <f t="shared" si="15"/>
        <v>472.74595478726587</v>
      </c>
      <c r="O90" s="4">
        <f t="shared" si="16"/>
        <v>102747.92852947666</v>
      </c>
      <c r="P90" s="42">
        <f t="shared" si="17"/>
        <v>1.9653304584201604E-2</v>
      </c>
    </row>
    <row r="91" spans="1:16" x14ac:dyDescent="0.2">
      <c r="A91" s="15">
        <v>46062</v>
      </c>
      <c r="B91" s="22">
        <v>151.21</v>
      </c>
      <c r="C91" s="23">
        <v>2.16</v>
      </c>
      <c r="D91" s="12">
        <v>1.4491781281449199E-2</v>
      </c>
      <c r="E91" s="3">
        <f t="shared" si="9"/>
        <v>347.4908401540394</v>
      </c>
      <c r="F91" s="13">
        <f t="shared" si="10"/>
        <v>0.73228165223703545</v>
      </c>
      <c r="G91" s="24">
        <f t="shared" si="11"/>
        <v>52544.089939692305</v>
      </c>
      <c r="H91" s="22">
        <v>413.6</v>
      </c>
      <c r="I91" s="23">
        <v>12.46</v>
      </c>
      <c r="J91" s="12">
        <v>3.1061474796829101E-2</v>
      </c>
      <c r="K91" s="4">
        <f t="shared" si="12"/>
        <v>127.04083641124831</v>
      </c>
      <c r="L91" s="7">
        <f t="shared" si="13"/>
        <v>0.26771834776296455</v>
      </c>
      <c r="M91" s="36">
        <f t="shared" si="14"/>
        <v>52544.089939692305</v>
      </c>
      <c r="N91" s="40">
        <f t="shared" si="15"/>
        <v>474.53167656528774</v>
      </c>
      <c r="O91" s="4">
        <f t="shared" si="16"/>
        <v>105088.17987938461</v>
      </c>
      <c r="P91" s="42">
        <f t="shared" si="17"/>
        <v>2.277662803913922E-2</v>
      </c>
    </row>
    <row r="92" spans="1:16" x14ac:dyDescent="0.2">
      <c r="A92" s="15">
        <v>46063</v>
      </c>
      <c r="B92" s="22">
        <v>151.59</v>
      </c>
      <c r="C92" s="23">
        <v>0.37999999999999501</v>
      </c>
      <c r="D92" s="12">
        <v>2.5130613054691799E-3</v>
      </c>
      <c r="E92" s="3">
        <f t="shared" si="9"/>
        <v>346.91702263548854</v>
      </c>
      <c r="F92" s="13">
        <f t="shared" si="10"/>
        <v>0.73163261693162907</v>
      </c>
      <c r="G92" s="24">
        <f t="shared" si="11"/>
        <v>52589.151461313711</v>
      </c>
      <c r="H92" s="22">
        <v>413.27</v>
      </c>
      <c r="I92" s="23">
        <v>-0.33000000000004098</v>
      </c>
      <c r="J92" s="12">
        <v>-7.9787234042563097E-4</v>
      </c>
      <c r="K92" s="4">
        <f t="shared" si="12"/>
        <v>127.2513162371179</v>
      </c>
      <c r="L92" s="7">
        <f t="shared" si="13"/>
        <v>0.26836738306837093</v>
      </c>
      <c r="M92" s="36">
        <f t="shared" si="14"/>
        <v>52589.151461313711</v>
      </c>
      <c r="N92" s="40">
        <f t="shared" si="15"/>
        <v>474.16833887260645</v>
      </c>
      <c r="O92" s="4">
        <f t="shared" si="16"/>
        <v>105178.30292262742</v>
      </c>
      <c r="P92" s="42">
        <f t="shared" si="17"/>
        <v>8.5759448252174461E-4</v>
      </c>
    </row>
    <row r="93" spans="1:16" x14ac:dyDescent="0.2">
      <c r="A93" s="15">
        <v>46064</v>
      </c>
      <c r="B93" s="22">
        <v>155.56</v>
      </c>
      <c r="C93" s="23">
        <v>3.97</v>
      </c>
      <c r="D93" s="12">
        <v>2.61890626030741E-2</v>
      </c>
      <c r="E93" s="3">
        <f t="shared" si="9"/>
        <v>338.85004753143471</v>
      </c>
      <c r="F93" s="13">
        <f t="shared" si="10"/>
        <v>0.72217955815905555</v>
      </c>
      <c r="G93" s="24">
        <f t="shared" si="11"/>
        <v>52711.513393989982</v>
      </c>
      <c r="H93" s="22">
        <v>404.37</v>
      </c>
      <c r="I93" s="23">
        <v>-8.8999999999999808</v>
      </c>
      <c r="J93" s="12">
        <v>-2.1535557867737701E-2</v>
      </c>
      <c r="K93" s="4">
        <f t="shared" si="12"/>
        <v>130.35465883717879</v>
      </c>
      <c r="L93" s="7">
        <f t="shared" si="13"/>
        <v>0.2778204418409444</v>
      </c>
      <c r="M93" s="36">
        <f t="shared" si="14"/>
        <v>52711.513393989982</v>
      </c>
      <c r="N93" s="40">
        <f t="shared" si="15"/>
        <v>469.20470636861353</v>
      </c>
      <c r="O93" s="4">
        <f t="shared" si="16"/>
        <v>105423.02678797996</v>
      </c>
      <c r="P93" s="42">
        <f t="shared" si="17"/>
        <v>2.326752367668156E-3</v>
      </c>
    </row>
    <row r="94" spans="1:16" x14ac:dyDescent="0.2">
      <c r="A94" s="15">
        <v>46065</v>
      </c>
      <c r="B94" s="22">
        <v>149.93</v>
      </c>
      <c r="C94" s="23">
        <v>-5.63</v>
      </c>
      <c r="D94" s="12">
        <v>-3.61918230907688E-2</v>
      </c>
      <c r="E94" s="3">
        <f t="shared" si="9"/>
        <v>344.11226483532289</v>
      </c>
      <c r="F94" s="13">
        <f t="shared" si="10"/>
        <v>0.72827446218533076</v>
      </c>
      <c r="G94" s="24">
        <f t="shared" si="11"/>
        <v>51592.751866759965</v>
      </c>
      <c r="H94" s="22">
        <v>401.84</v>
      </c>
      <c r="I94" s="23">
        <v>-2.53000000000003</v>
      </c>
      <c r="J94" s="12">
        <v>-6.2566461409106298E-3</v>
      </c>
      <c r="K94" s="4">
        <f t="shared" si="12"/>
        <v>128.39127977991234</v>
      </c>
      <c r="L94" s="7">
        <f t="shared" si="13"/>
        <v>0.27172553781466918</v>
      </c>
      <c r="M94" s="36">
        <f t="shared" si="14"/>
        <v>51592.751866759965</v>
      </c>
      <c r="N94" s="40">
        <f t="shared" si="15"/>
        <v>472.50354461523523</v>
      </c>
      <c r="O94" s="4">
        <f t="shared" si="16"/>
        <v>103185.50373351993</v>
      </c>
      <c r="P94" s="42">
        <f t="shared" si="17"/>
        <v>-2.1224234615839645E-2</v>
      </c>
    </row>
    <row r="95" spans="1:16" x14ac:dyDescent="0.2">
      <c r="A95" s="15">
        <v>46066</v>
      </c>
      <c r="B95" s="22">
        <v>148.44999999999999</v>
      </c>
      <c r="C95" s="23">
        <v>-1.48000000000002</v>
      </c>
      <c r="D95" s="12">
        <v>-9.8712732608551897E-3</v>
      </c>
      <c r="E95" s="3">
        <f t="shared" si="9"/>
        <v>345.60274205482688</v>
      </c>
      <c r="F95" s="13">
        <f t="shared" si="10"/>
        <v>0.72997799079615122</v>
      </c>
      <c r="G95" s="24">
        <f t="shared" si="11"/>
        <v>51304.727058039047</v>
      </c>
      <c r="H95" s="22">
        <v>401.32</v>
      </c>
      <c r="I95" s="23">
        <v>-0.51999999999998203</v>
      </c>
      <c r="J95" s="12">
        <v>-1.2940473820425599E-3</v>
      </c>
      <c r="K95" s="4">
        <f t="shared" si="12"/>
        <v>127.83994582387882</v>
      </c>
      <c r="L95" s="7">
        <f t="shared" si="13"/>
        <v>0.27002200920384889</v>
      </c>
      <c r="M95" s="36">
        <f t="shared" si="14"/>
        <v>51304.727058039047</v>
      </c>
      <c r="N95" s="40">
        <f t="shared" si="15"/>
        <v>473.44268787870567</v>
      </c>
      <c r="O95" s="4">
        <f t="shared" si="16"/>
        <v>102609.45411607809</v>
      </c>
      <c r="P95" s="42">
        <f t="shared" si="17"/>
        <v>-5.5826603214488776E-3</v>
      </c>
    </row>
    <row r="96" spans="1:16" x14ac:dyDescent="0.2">
      <c r="A96" s="15">
        <v>46070</v>
      </c>
      <c r="B96" s="22">
        <v>146.19</v>
      </c>
      <c r="C96" s="23">
        <v>-2.25999999999999</v>
      </c>
      <c r="D96" s="12">
        <v>-1.52239811384304E-2</v>
      </c>
      <c r="E96" s="3">
        <f t="shared" si="9"/>
        <v>346.32405007408067</v>
      </c>
      <c r="F96" s="13">
        <f t="shared" si="10"/>
        <v>0.73079826903600043</v>
      </c>
      <c r="G96" s="24">
        <f t="shared" si="11"/>
        <v>50629.112880329849</v>
      </c>
      <c r="H96" s="22">
        <v>396.86</v>
      </c>
      <c r="I96" s="23">
        <v>-4.4599999999999804</v>
      </c>
      <c r="J96" s="12">
        <v>-1.11133260241204E-2</v>
      </c>
      <c r="K96" s="4">
        <f t="shared" si="12"/>
        <v>127.57423998470455</v>
      </c>
      <c r="L96" s="7">
        <f t="shared" si="13"/>
        <v>0.26920173096399963</v>
      </c>
      <c r="M96" s="36">
        <f t="shared" si="14"/>
        <v>50629.112880329849</v>
      </c>
      <c r="N96" s="40">
        <f t="shared" si="15"/>
        <v>473.89829005878522</v>
      </c>
      <c r="O96" s="4">
        <f t="shared" si="16"/>
        <v>101258.2257606597</v>
      </c>
      <c r="P96" s="42">
        <f t="shared" si="17"/>
        <v>-1.3168653581275306E-2</v>
      </c>
    </row>
    <row r="97" spans="1:16" x14ac:dyDescent="0.2">
      <c r="A97" s="15">
        <v>46071</v>
      </c>
      <c r="B97" s="22">
        <v>150.68</v>
      </c>
      <c r="C97" s="23">
        <v>4.49000000000001</v>
      </c>
      <c r="D97" s="12">
        <v>3.0713455092687698E-2</v>
      </c>
      <c r="E97" s="3">
        <f t="shared" si="9"/>
        <v>342.32404487340858</v>
      </c>
      <c r="F97" s="13">
        <f t="shared" si="10"/>
        <v>0.72617576506505777</v>
      </c>
      <c r="G97" s="24">
        <f t="shared" si="11"/>
        <v>51581.387081525208</v>
      </c>
      <c r="H97" s="22">
        <v>399.6</v>
      </c>
      <c r="I97" s="23">
        <v>2.74000000000001</v>
      </c>
      <c r="J97" s="12">
        <v>6.9041979539384403E-3</v>
      </c>
      <c r="K97" s="4">
        <f t="shared" si="12"/>
        <v>129.08255025406709</v>
      </c>
      <c r="L97" s="7">
        <f t="shared" si="13"/>
        <v>0.27382423493494223</v>
      </c>
      <c r="M97" s="36">
        <f t="shared" si="14"/>
        <v>51581.387081525208</v>
      </c>
      <c r="N97" s="40">
        <f t="shared" si="15"/>
        <v>471.40659512747567</v>
      </c>
      <c r="O97" s="4">
        <f t="shared" si="16"/>
        <v>103162.77416305042</v>
      </c>
      <c r="P97" s="42">
        <f t="shared" si="17"/>
        <v>1.8808826523313074E-2</v>
      </c>
    </row>
    <row r="98" spans="1:16" x14ac:dyDescent="0.2">
      <c r="A98" s="15">
        <v>46072</v>
      </c>
      <c r="B98" s="22">
        <v>150.97</v>
      </c>
      <c r="C98" s="23">
        <v>0.28999999999999199</v>
      </c>
      <c r="D98" s="12">
        <v>1.92460844173077E-3</v>
      </c>
      <c r="E98" s="3">
        <f t="shared" si="9"/>
        <v>341.50789570369631</v>
      </c>
      <c r="F98" s="13">
        <f t="shared" si="10"/>
        <v>0.72522432338969478</v>
      </c>
      <c r="G98" s="24">
        <f t="shared" si="11"/>
        <v>51557.447014387028</v>
      </c>
      <c r="H98" s="22">
        <v>398.46</v>
      </c>
      <c r="I98" s="23">
        <v>-1.1400000000000401</v>
      </c>
      <c r="J98" s="12">
        <v>-2.85285285285296E-3</v>
      </c>
      <c r="K98" s="4">
        <f t="shared" si="12"/>
        <v>129.39177587307893</v>
      </c>
      <c r="L98" s="7">
        <f t="shared" si="13"/>
        <v>0.27477567661030522</v>
      </c>
      <c r="M98" s="36">
        <f t="shared" si="14"/>
        <v>51557.447014387028</v>
      </c>
      <c r="N98" s="40">
        <f t="shared" si="15"/>
        <v>470.89967157677523</v>
      </c>
      <c r="O98" s="4">
        <f t="shared" si="16"/>
        <v>103114.89402877406</v>
      </c>
      <c r="P98" s="42">
        <f t="shared" si="17"/>
        <v>-4.6412220556115005E-4</v>
      </c>
    </row>
    <row r="99" spans="1:16" x14ac:dyDescent="0.2">
      <c r="A99" s="15">
        <v>46073</v>
      </c>
      <c r="B99" s="22">
        <v>147.28</v>
      </c>
      <c r="C99" s="23">
        <v>-3.69</v>
      </c>
      <c r="D99" s="12">
        <v>-2.44419421077035E-2</v>
      </c>
      <c r="E99" s="3">
        <f t="shared" si="9"/>
        <v>345.24571567525646</v>
      </c>
      <c r="F99" s="13">
        <f t="shared" si="10"/>
        <v>0.72951828249251627</v>
      </c>
      <c r="G99" s="24">
        <f t="shared" si="11"/>
        <v>50847.789004651771</v>
      </c>
      <c r="H99" s="22">
        <v>397.23</v>
      </c>
      <c r="I99" s="23">
        <v>-1.22999999999996</v>
      </c>
      <c r="J99" s="12">
        <v>-3.0868845053454801E-3</v>
      </c>
      <c r="K99" s="4">
        <f t="shared" si="12"/>
        <v>128.00591346235623</v>
      </c>
      <c r="L99" s="7">
        <f t="shared" si="13"/>
        <v>0.27048171750748379</v>
      </c>
      <c r="M99" s="36">
        <f t="shared" si="14"/>
        <v>50847.789004651771</v>
      </c>
      <c r="N99" s="40">
        <f t="shared" si="15"/>
        <v>473.25162913761267</v>
      </c>
      <c r="O99" s="4">
        <f t="shared" si="16"/>
        <v>101695.57800930354</v>
      </c>
      <c r="P99" s="42">
        <f t="shared" si="17"/>
        <v>-1.3764413306524413E-2</v>
      </c>
    </row>
    <row r="100" spans="1:16" x14ac:dyDescent="0.2">
      <c r="A100" s="15">
        <v>46076</v>
      </c>
      <c r="B100" s="22">
        <v>150.76</v>
      </c>
      <c r="C100" s="23">
        <v>3.4799999999999902</v>
      </c>
      <c r="D100" s="12">
        <v>2.3628462791960798E-2</v>
      </c>
      <c r="E100" s="3">
        <f t="shared" si="9"/>
        <v>335.84398263489572</v>
      </c>
      <c r="F100" s="13">
        <f t="shared" si="10"/>
        <v>0.71832670067073967</v>
      </c>
      <c r="G100" s="24">
        <f t="shared" si="11"/>
        <v>50631.83882203688</v>
      </c>
      <c r="H100" s="22">
        <v>384.47</v>
      </c>
      <c r="I100" s="23">
        <v>-12.76</v>
      </c>
      <c r="J100" s="12">
        <v>-3.2122447952067999E-2</v>
      </c>
      <c r="K100" s="4">
        <f t="shared" si="12"/>
        <v>131.69256072525002</v>
      </c>
      <c r="L100" s="7">
        <f t="shared" si="13"/>
        <v>0.28167329932926027</v>
      </c>
      <c r="M100" s="36">
        <f t="shared" si="14"/>
        <v>50631.83882203688</v>
      </c>
      <c r="N100" s="40">
        <f t="shared" si="15"/>
        <v>467.53654336014574</v>
      </c>
      <c r="O100" s="4">
        <f t="shared" si="16"/>
        <v>101263.67764407376</v>
      </c>
      <c r="P100" s="42">
        <f t="shared" si="17"/>
        <v>-4.2469925800536898E-3</v>
      </c>
    </row>
    <row r="101" spans="1:16" x14ac:dyDescent="0.2">
      <c r="A101" s="15">
        <v>46077</v>
      </c>
      <c r="B101" s="22">
        <v>149.26</v>
      </c>
      <c r="C101" s="23">
        <v>-1.5</v>
      </c>
      <c r="D101" s="12">
        <v>-9.9495887503316498E-3</v>
      </c>
      <c r="E101" s="3">
        <f t="shared" si="9"/>
        <v>339.52994429253249</v>
      </c>
      <c r="F101" s="13">
        <f t="shared" si="10"/>
        <v>0.72269906736521383</v>
      </c>
      <c r="G101" s="24">
        <f t="shared" si="11"/>
        <v>50678.239485103397</v>
      </c>
      <c r="H101" s="22">
        <v>389</v>
      </c>
      <c r="I101" s="23">
        <v>4.5299999999999701</v>
      </c>
      <c r="J101" s="12">
        <v>1.17824537675241E-2</v>
      </c>
      <c r="K101" s="4">
        <f t="shared" si="12"/>
        <v>130.27825060437891</v>
      </c>
      <c r="L101" s="7">
        <f t="shared" si="13"/>
        <v>0.27730093263478617</v>
      </c>
      <c r="M101" s="36">
        <f t="shared" si="14"/>
        <v>50678.239485103397</v>
      </c>
      <c r="N101" s="40">
        <f t="shared" si="15"/>
        <v>469.8081948969114</v>
      </c>
      <c r="O101" s="4">
        <f t="shared" si="16"/>
        <v>101356.47897020679</v>
      </c>
      <c r="P101" s="42">
        <f t="shared" si="17"/>
        <v>9.1643250859618872E-4</v>
      </c>
    </row>
    <row r="102" spans="1:16" x14ac:dyDescent="0.2">
      <c r="A102" s="15">
        <v>46078</v>
      </c>
      <c r="B102" s="22">
        <v>149.06</v>
      </c>
      <c r="C102" s="23">
        <v>-0.19999999999998899</v>
      </c>
      <c r="D102" s="12">
        <v>-1.3399437223635801E-3</v>
      </c>
      <c r="E102" s="3">
        <f t="shared" si="9"/>
        <v>344.82691764510628</v>
      </c>
      <c r="F102" s="13">
        <f t="shared" si="10"/>
        <v>0.72881417603609511</v>
      </c>
      <c r="G102" s="24">
        <f t="shared" si="11"/>
        <v>51399.900344179543</v>
      </c>
      <c r="H102" s="22">
        <v>400.6</v>
      </c>
      <c r="I102" s="23">
        <v>11.6</v>
      </c>
      <c r="J102" s="12">
        <v>2.9820051413881801E-2</v>
      </c>
      <c r="K102" s="4">
        <f t="shared" si="12"/>
        <v>128.3072899255605</v>
      </c>
      <c r="L102" s="7">
        <f t="shared" si="13"/>
        <v>0.27118582396390495</v>
      </c>
      <c r="M102" s="36">
        <f t="shared" si="14"/>
        <v>51399.900344179543</v>
      </c>
      <c r="N102" s="40">
        <f t="shared" si="15"/>
        <v>473.13420757066677</v>
      </c>
      <c r="O102" s="4">
        <f t="shared" si="16"/>
        <v>102799.80068835909</v>
      </c>
      <c r="P102" s="42">
        <f t="shared" si="17"/>
        <v>1.4240053845759078E-2</v>
      </c>
    </row>
    <row r="103" spans="1:16" x14ac:dyDescent="0.2">
      <c r="A103" s="15">
        <v>46079</v>
      </c>
      <c r="B103" s="22">
        <v>148.54</v>
      </c>
      <c r="C103" s="23">
        <v>-0.52000000000001001</v>
      </c>
      <c r="D103" s="12">
        <v>-3.48852810948618E-3</v>
      </c>
      <c r="E103" s="3">
        <f t="shared" si="9"/>
        <v>345.91421454120189</v>
      </c>
      <c r="F103" s="13">
        <f t="shared" si="10"/>
        <v>0.73005488314614919</v>
      </c>
      <c r="G103" s="24">
        <f t="shared" si="11"/>
        <v>51382.097427950124</v>
      </c>
      <c r="H103" s="22">
        <v>401.72</v>
      </c>
      <c r="I103" s="23">
        <v>1.1200000000000001</v>
      </c>
      <c r="J103" s="12">
        <v>2.79580629056416E-3</v>
      </c>
      <c r="K103" s="4">
        <f t="shared" si="12"/>
        <v>127.90525099061566</v>
      </c>
      <c r="L103" s="7">
        <f t="shared" si="13"/>
        <v>0.26994511685385092</v>
      </c>
      <c r="M103" s="36">
        <f t="shared" si="14"/>
        <v>51382.097427950124</v>
      </c>
      <c r="N103" s="40">
        <f t="shared" si="15"/>
        <v>473.81946553181751</v>
      </c>
      <c r="O103" s="4">
        <f t="shared" si="16"/>
        <v>102764.19485590025</v>
      </c>
      <c r="P103" s="42">
        <f t="shared" si="17"/>
        <v>-3.4636090946107734E-4</v>
      </c>
    </row>
    <row r="104" spans="1:16" x14ac:dyDescent="0.2">
      <c r="A104" s="15">
        <v>46080</v>
      </c>
      <c r="B104" s="22">
        <v>152.5</v>
      </c>
      <c r="C104" s="23">
        <v>3.9600000000000102</v>
      </c>
      <c r="D104" s="12">
        <v>2.6659485660428198E-2</v>
      </c>
      <c r="E104" s="3">
        <f t="shared" si="9"/>
        <v>337.65713439864817</v>
      </c>
      <c r="F104" s="13">
        <f t="shared" si="10"/>
        <v>0.72030665395055393</v>
      </c>
      <c r="G104" s="24">
        <f t="shared" si="11"/>
        <v>51492.712995793845</v>
      </c>
      <c r="H104" s="22">
        <v>392.74</v>
      </c>
      <c r="I104" s="23">
        <v>-8.98000000000002</v>
      </c>
      <c r="J104" s="12">
        <v>-2.2353878323210199E-2</v>
      </c>
      <c r="K104" s="4">
        <f t="shared" si="12"/>
        <v>131.11145540508693</v>
      </c>
      <c r="L104" s="7">
        <f t="shared" si="13"/>
        <v>0.27969334604944607</v>
      </c>
      <c r="M104" s="36">
        <f t="shared" si="14"/>
        <v>51492.712995793845</v>
      </c>
      <c r="N104" s="40">
        <f t="shared" si="15"/>
        <v>468.7685898037351</v>
      </c>
      <c r="O104" s="4">
        <f t="shared" si="16"/>
        <v>102985.42599158769</v>
      </c>
      <c r="P104" s="42">
        <f t="shared" si="17"/>
        <v>2.1528036686090913E-3</v>
      </c>
    </row>
    <row r="105" spans="1:16" x14ac:dyDescent="0.2">
      <c r="A105" s="15">
        <v>46083</v>
      </c>
      <c r="B105" s="22">
        <v>154.22</v>
      </c>
      <c r="C105" s="23">
        <v>1.72</v>
      </c>
      <c r="D105" s="12">
        <v>1.12786885245902E-2</v>
      </c>
      <c r="E105" s="3">
        <f t="shared" si="9"/>
        <v>338.24391719185877</v>
      </c>
      <c r="F105" s="13">
        <f t="shared" si="10"/>
        <v>0.72100511967002545</v>
      </c>
      <c r="G105" s="24">
        <f t="shared" si="11"/>
        <v>52163.976909328456</v>
      </c>
      <c r="H105" s="22">
        <v>398.55</v>
      </c>
      <c r="I105" s="23">
        <v>5.81</v>
      </c>
      <c r="J105" s="12">
        <v>1.4793502062433199E-2</v>
      </c>
      <c r="K105" s="4">
        <f t="shared" si="12"/>
        <v>130.88439821685725</v>
      </c>
      <c r="L105" s="7">
        <f t="shared" si="13"/>
        <v>0.27899488032997444</v>
      </c>
      <c r="M105" s="36">
        <f t="shared" si="14"/>
        <v>52163.976909328456</v>
      </c>
      <c r="N105" s="40">
        <f t="shared" si="15"/>
        <v>469.12831540871605</v>
      </c>
      <c r="O105" s="4">
        <f t="shared" si="16"/>
        <v>104327.95381865691</v>
      </c>
      <c r="P105" s="42">
        <f t="shared" si="17"/>
        <v>1.3036095293511581E-2</v>
      </c>
    </row>
    <row r="106" spans="1:16" x14ac:dyDescent="0.2">
      <c r="A106" s="15">
        <v>46084</v>
      </c>
      <c r="B106" s="22">
        <v>151.83000000000001</v>
      </c>
      <c r="C106" s="23">
        <v>-2.3899999999999899</v>
      </c>
      <c r="D106" s="12">
        <v>-1.54973414602515E-2</v>
      </c>
      <c r="E106" s="3">
        <f t="shared" si="9"/>
        <v>343.22501784553469</v>
      </c>
      <c r="F106" s="13">
        <f t="shared" si="10"/>
        <v>0.72680653519504823</v>
      </c>
      <c r="G106" s="24">
        <f t="shared" si="11"/>
        <v>52111.854459487535</v>
      </c>
      <c r="H106" s="22">
        <v>403.93</v>
      </c>
      <c r="I106" s="23">
        <v>5.38</v>
      </c>
      <c r="J106" s="12">
        <v>1.34989336344248E-2</v>
      </c>
      <c r="K106" s="4">
        <f t="shared" si="12"/>
        <v>129.01209234146395</v>
      </c>
      <c r="L106" s="7">
        <f t="shared" si="13"/>
        <v>0.27319346480495182</v>
      </c>
      <c r="M106" s="36">
        <f t="shared" si="14"/>
        <v>52111.854459487535</v>
      </c>
      <c r="N106" s="40">
        <f t="shared" si="15"/>
        <v>472.23711018699862</v>
      </c>
      <c r="O106" s="4">
        <f t="shared" si="16"/>
        <v>104223.70891897507</v>
      </c>
      <c r="P106" s="42">
        <f t="shared" si="17"/>
        <v>-9.9920391291331932E-4</v>
      </c>
    </row>
    <row r="107" spans="1:16" x14ac:dyDescent="0.2">
      <c r="A107" s="15">
        <v>46085</v>
      </c>
      <c r="B107" s="22">
        <v>149.82</v>
      </c>
      <c r="C107" s="23">
        <v>-2.0100000000000202</v>
      </c>
      <c r="D107" s="12">
        <v>-1.3238490416913801E-2</v>
      </c>
      <c r="E107" s="3">
        <f t="shared" si="9"/>
        <v>346.07419566940064</v>
      </c>
      <c r="F107" s="13">
        <f t="shared" si="10"/>
        <v>0.73006378148535189</v>
      </c>
      <c r="G107" s="24">
        <f t="shared" si="11"/>
        <v>51848.835995189598</v>
      </c>
      <c r="H107" s="22">
        <v>405.2</v>
      </c>
      <c r="I107" s="23">
        <v>1.26999999999998</v>
      </c>
      <c r="J107" s="12">
        <v>3.1441091278191298E-3</v>
      </c>
      <c r="K107" s="4">
        <f t="shared" si="12"/>
        <v>127.95862782623297</v>
      </c>
      <c r="L107" s="7">
        <f t="shared" si="13"/>
        <v>0.26993621851464811</v>
      </c>
      <c r="M107" s="36">
        <f t="shared" si="14"/>
        <v>51848.835995189598</v>
      </c>
      <c r="N107" s="40">
        <f t="shared" si="15"/>
        <v>474.03282349563358</v>
      </c>
      <c r="O107" s="4">
        <f t="shared" si="16"/>
        <v>103697.6719903792</v>
      </c>
      <c r="P107" s="42">
        <f t="shared" si="17"/>
        <v>-5.0471906445473114E-3</v>
      </c>
    </row>
    <row r="108" spans="1:16" x14ac:dyDescent="0.2">
      <c r="A108" s="15">
        <v>46086</v>
      </c>
      <c r="B108" s="22">
        <v>150.76</v>
      </c>
      <c r="C108" s="23">
        <v>0.93999999999999795</v>
      </c>
      <c r="D108" s="12">
        <v>6.2741957015084596E-3</v>
      </c>
      <c r="E108" s="3">
        <f t="shared" si="9"/>
        <v>347.32089086891813</v>
      </c>
      <c r="F108" s="13">
        <f t="shared" si="10"/>
        <v>0.73147620404673697</v>
      </c>
      <c r="G108" s="24">
        <f t="shared" si="11"/>
        <v>52362.097507398095</v>
      </c>
      <c r="H108" s="22">
        <v>410.68</v>
      </c>
      <c r="I108" s="23">
        <v>5.48000000000002</v>
      </c>
      <c r="J108" s="12">
        <v>1.3524185587364301E-2</v>
      </c>
      <c r="K108" s="4">
        <f t="shared" si="12"/>
        <v>127.50096792490039</v>
      </c>
      <c r="L108" s="7">
        <f t="shared" si="13"/>
        <v>0.26852379595326303</v>
      </c>
      <c r="M108" s="36">
        <f t="shared" si="14"/>
        <v>52362.097507398095</v>
      </c>
      <c r="N108" s="40">
        <f t="shared" si="15"/>
        <v>474.82185879381854</v>
      </c>
      <c r="O108" s="4">
        <f t="shared" si="16"/>
        <v>104724.19501479619</v>
      </c>
      <c r="P108" s="42">
        <f t="shared" si="17"/>
        <v>9.8991906444363814E-3</v>
      </c>
    </row>
    <row r="109" spans="1:16" x14ac:dyDescent="0.2">
      <c r="A109" s="15">
        <v>46087</v>
      </c>
      <c r="B109" s="22">
        <v>151.21</v>
      </c>
      <c r="C109" s="23">
        <v>0.450000000000017</v>
      </c>
      <c r="D109" s="12">
        <v>2.9848766250996101E-3</v>
      </c>
      <c r="E109" s="3">
        <f t="shared" si="9"/>
        <v>346.07892252779703</v>
      </c>
      <c r="F109" s="13">
        <f t="shared" si="10"/>
        <v>0.73006408768766629</v>
      </c>
      <c r="G109" s="24">
        <f t="shared" si="11"/>
        <v>52330.593875428189</v>
      </c>
      <c r="H109" s="22">
        <v>408.96</v>
      </c>
      <c r="I109" s="23">
        <v>-1.7200000000000299</v>
      </c>
      <c r="J109" s="12">
        <v>-4.1881757085809601E-3</v>
      </c>
      <c r="K109" s="4">
        <f t="shared" si="12"/>
        <v>127.96017672982245</v>
      </c>
      <c r="L109" s="7">
        <f t="shared" si="13"/>
        <v>0.26993591231233377</v>
      </c>
      <c r="M109" s="36">
        <f t="shared" si="14"/>
        <v>52330.593875428189</v>
      </c>
      <c r="N109" s="40">
        <f t="shared" si="15"/>
        <v>474.03909925761945</v>
      </c>
      <c r="O109" s="4">
        <f t="shared" si="16"/>
        <v>104661.18775085638</v>
      </c>
      <c r="P109" s="42">
        <f t="shared" si="17"/>
        <v>-6.0164954174067424E-4</v>
      </c>
    </row>
    <row r="110" spans="1:16" x14ac:dyDescent="0.2">
      <c r="A110" s="15">
        <v>46090</v>
      </c>
      <c r="B110" s="22">
        <v>150.44</v>
      </c>
      <c r="C110" s="23">
        <v>-0.77000000000001001</v>
      </c>
      <c r="D110" s="12">
        <v>-5.0922558031876904E-3</v>
      </c>
      <c r="E110" s="3">
        <f t="shared" si="9"/>
        <v>347.1559726802659</v>
      </c>
      <c r="F110" s="13">
        <f t="shared" si="10"/>
        <v>0.73128516566937574</v>
      </c>
      <c r="G110" s="24">
        <f t="shared" si="11"/>
        <v>52226.144530019199</v>
      </c>
      <c r="H110" s="22">
        <v>409.41</v>
      </c>
      <c r="I110" s="23">
        <v>0.45000000000004498</v>
      </c>
      <c r="J110" s="12">
        <v>1.10035211267617E-3</v>
      </c>
      <c r="K110" s="4">
        <f t="shared" si="12"/>
        <v>127.56440861244033</v>
      </c>
      <c r="L110" s="7">
        <f t="shared" si="13"/>
        <v>0.26871483433062426</v>
      </c>
      <c r="M110" s="36">
        <f t="shared" si="14"/>
        <v>52226.144530019199</v>
      </c>
      <c r="N110" s="40">
        <f t="shared" si="15"/>
        <v>474.72038129270624</v>
      </c>
      <c r="O110" s="4">
        <f t="shared" si="16"/>
        <v>104452.2890600384</v>
      </c>
      <c r="P110" s="42">
        <f t="shared" si="17"/>
        <v>-1.9959518452557427E-3</v>
      </c>
    </row>
    <row r="111" spans="1:16" x14ac:dyDescent="0.2">
      <c r="A111" s="15">
        <v>46091</v>
      </c>
      <c r="B111" s="22">
        <v>148.13</v>
      </c>
      <c r="C111" s="23">
        <v>-2.31</v>
      </c>
      <c r="D111" s="12">
        <v>-1.5354958787556499E-2</v>
      </c>
      <c r="E111" s="3">
        <f t="shared" si="9"/>
        <v>348.29119243810021</v>
      </c>
      <c r="F111" s="13">
        <f t="shared" si="10"/>
        <v>0.73256422755420758</v>
      </c>
      <c r="G111" s="24">
        <f t="shared" si="11"/>
        <v>51592.374335855784</v>
      </c>
      <c r="H111" s="22">
        <v>405.76</v>
      </c>
      <c r="I111" s="23">
        <v>-3.6500000000000301</v>
      </c>
      <c r="J111" s="12">
        <v>-8.9152683129382106E-3</v>
      </c>
      <c r="K111" s="4">
        <f t="shared" si="12"/>
        <v>127.14997618260988</v>
      </c>
      <c r="L111" s="7">
        <f t="shared" si="13"/>
        <v>0.26743577244579247</v>
      </c>
      <c r="M111" s="36">
        <f t="shared" si="14"/>
        <v>51592.374335855784</v>
      </c>
      <c r="N111" s="40">
        <f t="shared" si="15"/>
        <v>475.44116862071007</v>
      </c>
      <c r="O111" s="4">
        <f t="shared" si="16"/>
        <v>103184.74867171157</v>
      </c>
      <c r="P111" s="42">
        <f t="shared" si="17"/>
        <v>-1.2135113550247397E-2</v>
      </c>
    </row>
    <row r="112" spans="1:16" x14ac:dyDescent="0.2">
      <c r="A112" s="15">
        <v>46092</v>
      </c>
      <c r="B112" s="22">
        <v>151.58000000000001</v>
      </c>
      <c r="C112" s="23">
        <v>3.4500000000000202</v>
      </c>
      <c r="D112" s="12">
        <v>2.3290353068250998E-2</v>
      </c>
      <c r="E112" s="3">
        <f t="shared" si="9"/>
        <v>343.95850807026756</v>
      </c>
      <c r="F112" s="13">
        <f t="shared" si="10"/>
        <v>0.72759946806598852</v>
      </c>
      <c r="G112" s="24">
        <f t="shared" si="11"/>
        <v>52137.230653291161</v>
      </c>
      <c r="H112" s="22">
        <v>404.88</v>
      </c>
      <c r="I112" s="23">
        <v>-0.87999999999999501</v>
      </c>
      <c r="J112" s="12">
        <v>-2.1687697160883198E-3</v>
      </c>
      <c r="K112" s="4">
        <f t="shared" si="12"/>
        <v>128.7720575313455</v>
      </c>
      <c r="L112" s="7">
        <f t="shared" si="13"/>
        <v>0.27240053193401143</v>
      </c>
      <c r="M112" s="36">
        <f t="shared" si="14"/>
        <v>52137.230653291161</v>
      </c>
      <c r="N112" s="40">
        <f t="shared" si="15"/>
        <v>472.73056560161308</v>
      </c>
      <c r="O112" s="4">
        <f t="shared" si="16"/>
        <v>104274.46130658232</v>
      </c>
      <c r="P112" s="42">
        <f t="shared" si="17"/>
        <v>1.0560791676081309E-2</v>
      </c>
    </row>
    <row r="113" spans="1:16" x14ac:dyDescent="0.2">
      <c r="A113" s="15">
        <v>46093</v>
      </c>
      <c r="B113" s="22">
        <v>153.53</v>
      </c>
      <c r="C113" s="23">
        <v>1.94999999999999</v>
      </c>
      <c r="D113" s="12">
        <v>1.2864493996569399E-2</v>
      </c>
      <c r="E113" s="3">
        <f t="shared" si="9"/>
        <v>340.5076818327841</v>
      </c>
      <c r="F113" s="13">
        <f t="shared" si="10"/>
        <v>0.72356362195934387</v>
      </c>
      <c r="G113" s="24">
        <f t="shared" si="11"/>
        <v>52278.14439178734</v>
      </c>
      <c r="H113" s="22">
        <v>401.86</v>
      </c>
      <c r="I113" s="23">
        <v>-3.01999999999998</v>
      </c>
      <c r="J113" s="12">
        <v>-7.4590001975893602E-3</v>
      </c>
      <c r="K113" s="4">
        <f t="shared" si="12"/>
        <v>130.09044043146204</v>
      </c>
      <c r="L113" s="7">
        <f t="shared" si="13"/>
        <v>0.27643637804065607</v>
      </c>
      <c r="M113" s="36">
        <f t="shared" si="14"/>
        <v>52278.14439178734</v>
      </c>
      <c r="N113" s="40">
        <f t="shared" si="15"/>
        <v>470.59812226424617</v>
      </c>
      <c r="O113" s="4">
        <f t="shared" si="16"/>
        <v>104556.28878357468</v>
      </c>
      <c r="P113" s="42">
        <f t="shared" si="17"/>
        <v>2.7027468994900365E-3</v>
      </c>
    </row>
    <row r="114" spans="1:16" x14ac:dyDescent="0.2">
      <c r="A114" s="15">
        <v>46094</v>
      </c>
      <c r="B114" s="22">
        <v>156.12</v>
      </c>
      <c r="C114" s="23">
        <v>2.59</v>
      </c>
      <c r="D114" s="12">
        <v>1.6869667166026201E-2</v>
      </c>
      <c r="E114" s="3">
        <f t="shared" si="9"/>
        <v>335.0542307212371</v>
      </c>
      <c r="F114" s="13">
        <f t="shared" si="10"/>
        <v>0.71700473108923812</v>
      </c>
      <c r="G114" s="24">
        <f t="shared" si="11"/>
        <v>52308.666500199535</v>
      </c>
      <c r="H114" s="22">
        <v>395.55</v>
      </c>
      <c r="I114" s="23">
        <v>-6.31</v>
      </c>
      <c r="J114" s="12">
        <v>-1.5701985766187199E-2</v>
      </c>
      <c r="K114" s="4">
        <f t="shared" si="12"/>
        <v>132.24286815876511</v>
      </c>
      <c r="L114" s="7">
        <f t="shared" si="13"/>
        <v>0.28299526891076188</v>
      </c>
      <c r="M114" s="36">
        <f t="shared" si="14"/>
        <v>52308.666500199535</v>
      </c>
      <c r="N114" s="40">
        <f t="shared" si="15"/>
        <v>467.29709888000218</v>
      </c>
      <c r="O114" s="4">
        <f t="shared" si="16"/>
        <v>104617.33300039907</v>
      </c>
      <c r="P114" s="42">
        <f t="shared" si="17"/>
        <v>5.8384069991952172E-4</v>
      </c>
    </row>
    <row r="115" spans="1:16" x14ac:dyDescent="0.2">
      <c r="A115" s="15">
        <v>46097</v>
      </c>
      <c r="B115" s="22">
        <v>157.22999999999999</v>
      </c>
      <c r="C115" s="23">
        <v>1.1099999999999901</v>
      </c>
      <c r="D115" s="12">
        <v>7.1099154496540203E-3</v>
      </c>
      <c r="E115" s="3">
        <f t="shared" si="9"/>
        <v>335.72190999299823</v>
      </c>
      <c r="F115" s="13">
        <f t="shared" si="10"/>
        <v>0.71781112028428873</v>
      </c>
      <c r="G115" s="24">
        <f t="shared" si="11"/>
        <v>52785.555908199109</v>
      </c>
      <c r="H115" s="22">
        <v>399.95</v>
      </c>
      <c r="I115" s="23">
        <v>4.3999999999999799</v>
      </c>
      <c r="J115" s="12">
        <v>1.1123751738086199E-2</v>
      </c>
      <c r="K115" s="4">
        <f t="shared" si="12"/>
        <v>131.98038731891265</v>
      </c>
      <c r="L115" s="7">
        <f t="shared" si="13"/>
        <v>0.28218887971571127</v>
      </c>
      <c r="M115" s="36">
        <f t="shared" si="14"/>
        <v>52785.555908199109</v>
      </c>
      <c r="N115" s="40">
        <f t="shared" si="15"/>
        <v>467.70229731191091</v>
      </c>
      <c r="O115" s="4">
        <f t="shared" si="16"/>
        <v>105571.11181639822</v>
      </c>
      <c r="P115" s="42">
        <f t="shared" si="17"/>
        <v>9.1168335938702303E-3</v>
      </c>
    </row>
    <row r="116" spans="1:16" x14ac:dyDescent="0.2">
      <c r="A116" s="15">
        <v>46098</v>
      </c>
      <c r="B116" s="22">
        <v>158.81</v>
      </c>
      <c r="C116" s="23">
        <v>1.5800000000000101</v>
      </c>
      <c r="D116" s="12">
        <v>1.0048972842333E-2</v>
      </c>
      <c r="E116" s="3">
        <f t="shared" si="9"/>
        <v>333.82747630827703</v>
      </c>
      <c r="F116" s="13">
        <f t="shared" si="10"/>
        <v>0.71550643115617496</v>
      </c>
      <c r="G116" s="24">
        <f t="shared" si="11"/>
        <v>53015.141512517475</v>
      </c>
      <c r="H116" s="22">
        <v>399.41</v>
      </c>
      <c r="I116" s="23">
        <v>-0.53999999999996395</v>
      </c>
      <c r="J116" s="12">
        <v>-1.3501687710963E-3</v>
      </c>
      <c r="K116" s="4">
        <f t="shared" si="12"/>
        <v>132.73363589423769</v>
      </c>
      <c r="L116" s="7">
        <f t="shared" si="13"/>
        <v>0.28449356884382504</v>
      </c>
      <c r="M116" s="36">
        <f t="shared" si="14"/>
        <v>53015.141512517475</v>
      </c>
      <c r="N116" s="40">
        <f t="shared" si="15"/>
        <v>466.56111220251472</v>
      </c>
      <c r="O116" s="4">
        <f t="shared" si="16"/>
        <v>106030.28302503495</v>
      </c>
      <c r="P116" s="42">
        <f t="shared" si="17"/>
        <v>4.349402035618336E-3</v>
      </c>
    </row>
    <row r="117" spans="1:16" x14ac:dyDescent="0.2">
      <c r="A117" s="15">
        <v>46099</v>
      </c>
      <c r="B117" s="22">
        <v>157.59</v>
      </c>
      <c r="C117" s="23">
        <v>-1.22</v>
      </c>
      <c r="D117" s="12">
        <v>-7.68213588564951E-3</v>
      </c>
      <c r="E117" s="3">
        <f t="shared" si="9"/>
        <v>331.91060092145688</v>
      </c>
      <c r="F117" s="13">
        <f t="shared" si="10"/>
        <v>0.71314936837889986</v>
      </c>
      <c r="G117" s="24">
        <f t="shared" si="11"/>
        <v>52305.791599212389</v>
      </c>
      <c r="H117" s="22">
        <v>391.79</v>
      </c>
      <c r="I117" s="23">
        <v>-7.62</v>
      </c>
      <c r="J117" s="12">
        <v>-1.90781402568789E-2</v>
      </c>
      <c r="K117" s="4">
        <f t="shared" si="12"/>
        <v>133.50466218946983</v>
      </c>
      <c r="L117" s="7">
        <f t="shared" si="13"/>
        <v>0.28685063162110008</v>
      </c>
      <c r="M117" s="36">
        <f t="shared" si="14"/>
        <v>52305.791599212389</v>
      </c>
      <c r="N117" s="40">
        <f t="shared" si="15"/>
        <v>465.41526311092673</v>
      </c>
      <c r="O117" s="4">
        <f t="shared" si="16"/>
        <v>104611.58319842478</v>
      </c>
      <c r="P117" s="42">
        <f t="shared" si="17"/>
        <v>-1.3380138071264052E-2</v>
      </c>
    </row>
    <row r="118" spans="1:16" x14ac:dyDescent="0.2">
      <c r="A118" s="15">
        <v>46100</v>
      </c>
      <c r="B118" s="22">
        <v>158.16</v>
      </c>
      <c r="C118" s="23">
        <v>0.56999999999999296</v>
      </c>
      <c r="D118" s="12">
        <v>3.6169807728916401E-3</v>
      </c>
      <c r="E118" s="3">
        <f t="shared" si="9"/>
        <v>330.14341276771989</v>
      </c>
      <c r="F118" s="13">
        <f t="shared" si="10"/>
        <v>0.71095434774662813</v>
      </c>
      <c r="G118" s="24">
        <f t="shared" si="11"/>
        <v>52215.482163342582</v>
      </c>
      <c r="H118" s="22">
        <v>389.02</v>
      </c>
      <c r="I118" s="23">
        <v>-2.77000000000004</v>
      </c>
      <c r="J118" s="12">
        <v>-7.0701140917329101E-3</v>
      </c>
      <c r="K118" s="4">
        <f t="shared" si="12"/>
        <v>134.22313033608191</v>
      </c>
      <c r="L118" s="7">
        <f t="shared" si="13"/>
        <v>0.28904565225337187</v>
      </c>
      <c r="M118" s="36">
        <f t="shared" si="14"/>
        <v>52215.482163342582</v>
      </c>
      <c r="N118" s="40">
        <f t="shared" si="15"/>
        <v>464.3665431038018</v>
      </c>
      <c r="O118" s="4">
        <f t="shared" si="16"/>
        <v>104430.96432668516</v>
      </c>
      <c r="P118" s="42">
        <f t="shared" si="17"/>
        <v>-1.7265666594206953E-3</v>
      </c>
    </row>
    <row r="119" spans="1:16" x14ac:dyDescent="0.2">
      <c r="A119" s="15">
        <v>46101</v>
      </c>
      <c r="B119" s="22">
        <v>159.66999999999999</v>
      </c>
      <c r="C119" s="23">
        <v>1.50999999999999</v>
      </c>
      <c r="D119" s="12">
        <v>9.5472938796155194E-3</v>
      </c>
      <c r="E119" s="3">
        <f t="shared" si="9"/>
        <v>325.57708241392072</v>
      </c>
      <c r="F119" s="13">
        <f t="shared" si="10"/>
        <v>0.7051556671714001</v>
      </c>
      <c r="G119" s="24">
        <f t="shared" si="11"/>
        <v>51984.892749030718</v>
      </c>
      <c r="H119" s="22">
        <v>381.87</v>
      </c>
      <c r="I119" s="23">
        <v>-7.1499999999999799</v>
      </c>
      <c r="J119" s="12">
        <v>-1.83795177625828E-2</v>
      </c>
      <c r="K119" s="4">
        <f t="shared" si="12"/>
        <v>136.1324344646888</v>
      </c>
      <c r="L119" s="7">
        <f t="shared" si="13"/>
        <v>0.2948443328285999</v>
      </c>
      <c r="M119" s="36">
        <f t="shared" si="14"/>
        <v>51984.892749030718</v>
      </c>
      <c r="N119" s="40">
        <f t="shared" si="15"/>
        <v>461.70951687860952</v>
      </c>
      <c r="O119" s="4">
        <f t="shared" si="16"/>
        <v>103969.78549806144</v>
      </c>
      <c r="P119" s="42">
        <f t="shared" si="17"/>
        <v>-4.4161119414836544E-3</v>
      </c>
    </row>
    <row r="120" spans="1:16" x14ac:dyDescent="0.2">
      <c r="A120" s="15">
        <v>46104</v>
      </c>
      <c r="B120" s="22">
        <v>161.13</v>
      </c>
      <c r="C120" s="23">
        <v>1.46000000000001</v>
      </c>
      <c r="D120" s="12">
        <v>9.1438592096198899E-3</v>
      </c>
      <c r="E120" s="3">
        <f t="shared" si="9"/>
        <v>324.57940076128239</v>
      </c>
      <c r="F120" s="13">
        <f t="shared" si="10"/>
        <v>0.70387591200632205</v>
      </c>
      <c r="G120" s="24">
        <f t="shared" si="11"/>
        <v>52299.478844665427</v>
      </c>
      <c r="H120" s="22">
        <v>383</v>
      </c>
      <c r="I120" s="23">
        <v>1.1299999999999999</v>
      </c>
      <c r="J120" s="12">
        <v>2.9591222143661301E-3</v>
      </c>
      <c r="K120" s="4">
        <f t="shared" si="12"/>
        <v>136.55216408528833</v>
      </c>
      <c r="L120" s="7">
        <f t="shared" si="13"/>
        <v>0.29612408799367795</v>
      </c>
      <c r="M120" s="36">
        <f t="shared" si="14"/>
        <v>52299.478844665427</v>
      </c>
      <c r="N120" s="40">
        <f t="shared" si="15"/>
        <v>461.13156484657071</v>
      </c>
      <c r="O120" s="4">
        <f t="shared" si="16"/>
        <v>104598.95768933085</v>
      </c>
      <c r="P120" s="42">
        <f t="shared" si="17"/>
        <v>6.0514907119929616E-3</v>
      </c>
    </row>
    <row r="121" spans="1:16" x14ac:dyDescent="0.2">
      <c r="A121" s="15">
        <v>46105</v>
      </c>
      <c r="B121" s="22">
        <v>165.38</v>
      </c>
      <c r="C121" s="23">
        <v>4.25</v>
      </c>
      <c r="D121" s="12">
        <v>2.6376217960652901E-2</v>
      </c>
      <c r="E121" s="3">
        <f t="shared" si="9"/>
        <v>316.17304069129051</v>
      </c>
      <c r="F121" s="13">
        <f t="shared" si="10"/>
        <v>0.69267077975172819</v>
      </c>
      <c r="G121" s="24">
        <f t="shared" si="11"/>
        <v>52288.697469525621</v>
      </c>
      <c r="H121" s="22">
        <v>372.74</v>
      </c>
      <c r="I121" s="23">
        <v>-10.26</v>
      </c>
      <c r="J121" s="12">
        <v>-2.67885117493472E-2</v>
      </c>
      <c r="K121" s="4">
        <f t="shared" si="12"/>
        <v>140.28195919280361</v>
      </c>
      <c r="L121" s="7">
        <f t="shared" si="13"/>
        <v>0.3073292202482717</v>
      </c>
      <c r="M121" s="36">
        <f t="shared" si="14"/>
        <v>52288.697469525621</v>
      </c>
      <c r="N121" s="40">
        <f t="shared" si="15"/>
        <v>456.45499988409415</v>
      </c>
      <c r="O121" s="4">
        <f t="shared" si="16"/>
        <v>104577.39493905124</v>
      </c>
      <c r="P121" s="42">
        <f t="shared" si="17"/>
        <v>-2.0614689434722525E-4</v>
      </c>
    </row>
    <row r="122" spans="1:16" x14ac:dyDescent="0.2">
      <c r="A122" s="15">
        <v>46106</v>
      </c>
      <c r="B122" s="22">
        <v>163.26</v>
      </c>
      <c r="C122" s="23">
        <v>-2.12</v>
      </c>
      <c r="D122" s="12">
        <v>-1.28189623896481E-2</v>
      </c>
      <c r="E122" s="3">
        <f t="shared" si="9"/>
        <v>317.49549418766981</v>
      </c>
      <c r="F122" s="13">
        <f t="shared" si="10"/>
        <v>0.6944413250982594</v>
      </c>
      <c r="G122" s="24">
        <f t="shared" si="11"/>
        <v>51834.31438107897</v>
      </c>
      <c r="H122" s="22">
        <v>371.04</v>
      </c>
      <c r="I122" s="23">
        <v>-1.69999999999999</v>
      </c>
      <c r="J122" s="12">
        <v>-4.5608198744432797E-3</v>
      </c>
      <c r="K122" s="4">
        <f t="shared" si="12"/>
        <v>139.70007110036374</v>
      </c>
      <c r="L122" s="7">
        <f t="shared" si="13"/>
        <v>0.30555867490174055</v>
      </c>
      <c r="M122" s="36">
        <f t="shared" si="14"/>
        <v>51834.31438107897</v>
      </c>
      <c r="N122" s="40">
        <f t="shared" si="15"/>
        <v>457.19556528803355</v>
      </c>
      <c r="O122" s="4">
        <f t="shared" si="16"/>
        <v>103668.62876215794</v>
      </c>
      <c r="P122" s="42">
        <f t="shared" si="17"/>
        <v>-8.6898911320457076E-3</v>
      </c>
    </row>
    <row r="123" spans="1:16" x14ac:dyDescent="0.2">
      <c r="A123" s="15">
        <v>46107</v>
      </c>
      <c r="B123" s="22">
        <v>165.43</v>
      </c>
      <c r="C123" s="23">
        <v>2.1700000000000199</v>
      </c>
      <c r="D123" s="12">
        <v>1.32916819796644E-2</v>
      </c>
      <c r="E123" s="3">
        <f t="shared" si="9"/>
        <v>313.27242526768526</v>
      </c>
      <c r="F123" s="13">
        <f t="shared" si="10"/>
        <v>0.68869025216409485</v>
      </c>
      <c r="G123" s="24">
        <f t="shared" si="11"/>
        <v>51824.657312033174</v>
      </c>
      <c r="H123" s="22">
        <v>365.97</v>
      </c>
      <c r="I123" s="23">
        <v>-5.0699999999999896</v>
      </c>
      <c r="J123" s="12">
        <v>-1.36642949547218E-2</v>
      </c>
      <c r="K123" s="4">
        <f t="shared" si="12"/>
        <v>141.60903164749342</v>
      </c>
      <c r="L123" s="7">
        <f t="shared" si="13"/>
        <v>0.31130974783590515</v>
      </c>
      <c r="M123" s="36">
        <f t="shared" si="14"/>
        <v>51824.657312033174</v>
      </c>
      <c r="N123" s="40">
        <f t="shared" si="15"/>
        <v>454.88145691517866</v>
      </c>
      <c r="O123" s="4">
        <f t="shared" si="16"/>
        <v>103649.31462406635</v>
      </c>
      <c r="P123" s="42">
        <f t="shared" si="17"/>
        <v>-1.8630648752867004E-4</v>
      </c>
    </row>
    <row r="124" spans="1:16" x14ac:dyDescent="0.2">
      <c r="A124" s="15">
        <v>46108</v>
      </c>
      <c r="B124" s="22">
        <v>170.99</v>
      </c>
      <c r="C124" s="23">
        <v>5.56</v>
      </c>
      <c r="D124" s="12">
        <v>3.3609381611557798E-2</v>
      </c>
      <c r="E124" s="3">
        <f t="shared" si="9"/>
        <v>304.36957195566328</v>
      </c>
      <c r="F124" s="13">
        <f t="shared" si="10"/>
        <v>0.67600803395482789</v>
      </c>
      <c r="G124" s="24">
        <f t="shared" si="11"/>
        <v>52044.153108698869</v>
      </c>
      <c r="H124" s="22">
        <v>356.77</v>
      </c>
      <c r="I124" s="23">
        <v>-9.2000000000000508</v>
      </c>
      <c r="J124" s="12">
        <v>-2.5138672568789901E-2</v>
      </c>
      <c r="K124" s="4">
        <f t="shared" si="12"/>
        <v>145.8759231681444</v>
      </c>
      <c r="L124" s="7">
        <f t="shared" si="13"/>
        <v>0.32399196604517211</v>
      </c>
      <c r="M124" s="36">
        <f t="shared" si="14"/>
        <v>52044.153108698869</v>
      </c>
      <c r="N124" s="40">
        <f t="shared" si="15"/>
        <v>450.2454951238077</v>
      </c>
      <c r="O124" s="4">
        <f t="shared" si="16"/>
        <v>104088.30621739774</v>
      </c>
      <c r="P124" s="42">
        <f t="shared" si="17"/>
        <v>4.2353545213839753E-3</v>
      </c>
    </row>
    <row r="125" spans="1:16" x14ac:dyDescent="0.2">
      <c r="A125" s="15">
        <v>46111</v>
      </c>
      <c r="B125" s="22">
        <v>171.47</v>
      </c>
      <c r="C125" s="23">
        <v>0.47999999999998999</v>
      </c>
      <c r="D125" s="12">
        <v>2.8071817065324898E-3</v>
      </c>
      <c r="E125" s="3">
        <f t="shared" si="9"/>
        <v>304.87511484129789</v>
      </c>
      <c r="F125" s="13">
        <f t="shared" si="10"/>
        <v>0.67673397055219342</v>
      </c>
      <c r="G125" s="24">
        <f t="shared" si="11"/>
        <v>52276.93594183735</v>
      </c>
      <c r="H125" s="22">
        <v>358.96</v>
      </c>
      <c r="I125" s="23">
        <v>2.19</v>
      </c>
      <c r="J125" s="12">
        <v>6.1384084984724002E-3</v>
      </c>
      <c r="K125" s="4">
        <f t="shared" si="12"/>
        <v>145.63443264385268</v>
      </c>
      <c r="L125" s="7">
        <f t="shared" si="13"/>
        <v>0.32326602944780652</v>
      </c>
      <c r="M125" s="36">
        <f t="shared" si="14"/>
        <v>52276.93594183735</v>
      </c>
      <c r="N125" s="40">
        <f t="shared" si="15"/>
        <v>450.50954748515056</v>
      </c>
      <c r="O125" s="4">
        <f t="shared" si="16"/>
        <v>104553.8718836747</v>
      </c>
      <c r="P125" s="42">
        <f t="shared" si="17"/>
        <v>4.4727951025025428E-3</v>
      </c>
    </row>
    <row r="126" spans="1:16" x14ac:dyDescent="0.2">
      <c r="A126" s="15">
        <v>46112</v>
      </c>
      <c r="B126" s="22">
        <v>169.66</v>
      </c>
      <c r="C126" s="23">
        <v>-1.81</v>
      </c>
      <c r="D126" s="12">
        <v>-1.05557823525981E-2</v>
      </c>
      <c r="E126" s="3">
        <f t="shared" si="9"/>
        <v>311.31265447291509</v>
      </c>
      <c r="F126" s="13">
        <f t="shared" si="10"/>
        <v>0.68571587351573637</v>
      </c>
      <c r="G126" s="24">
        <f t="shared" si="11"/>
        <v>52817.304957874774</v>
      </c>
      <c r="H126" s="22">
        <v>370.17</v>
      </c>
      <c r="I126" s="23">
        <v>11.21</v>
      </c>
      <c r="J126" s="12">
        <v>3.1229106307109501E-2</v>
      </c>
      <c r="K126" s="4">
        <f t="shared" si="12"/>
        <v>142.68391538448489</v>
      </c>
      <c r="L126" s="7">
        <f t="shared" si="13"/>
        <v>0.31428412648426352</v>
      </c>
      <c r="M126" s="36">
        <f t="shared" si="14"/>
        <v>52817.304957874774</v>
      </c>
      <c r="N126" s="40">
        <f t="shared" si="15"/>
        <v>453.9965698574</v>
      </c>
      <c r="O126" s="4">
        <f t="shared" si="16"/>
        <v>105634.60991574955</v>
      </c>
      <c r="P126" s="42">
        <f t="shared" si="17"/>
        <v>1.0336661977255746E-2</v>
      </c>
    </row>
    <row r="127" spans="1:16" x14ac:dyDescent="0.2">
      <c r="A127" s="16">
        <v>46113</v>
      </c>
      <c r="B127" s="25">
        <v>160.78</v>
      </c>
      <c r="C127" s="26">
        <v>-8.8800000000000008</v>
      </c>
      <c r="D127" s="27">
        <v>-5.2339974065778602E-2</v>
      </c>
      <c r="E127" s="28">
        <f t="shared" si="9"/>
        <v>319.55469091840553</v>
      </c>
      <c r="F127" s="29">
        <f t="shared" si="10"/>
        <v>0.69672734131849479</v>
      </c>
      <c r="G127" s="30">
        <f t="shared" si="11"/>
        <v>51378.003205861241</v>
      </c>
      <c r="H127" s="25">
        <v>369.37</v>
      </c>
      <c r="I127" s="26">
        <v>-0.80000000000001104</v>
      </c>
      <c r="J127" s="27">
        <v>-2.16116919253319E-3</v>
      </c>
      <c r="K127" s="37">
        <f t="shared" si="12"/>
        <v>139.09630778314764</v>
      </c>
      <c r="L127" s="38">
        <f t="shared" si="13"/>
        <v>0.30327265868150527</v>
      </c>
      <c r="M127" s="39">
        <f t="shared" si="14"/>
        <v>51378.003205861241</v>
      </c>
      <c r="N127" s="43">
        <f t="shared" si="15"/>
        <v>458.65099870155314</v>
      </c>
      <c r="O127" s="37">
        <f t="shared" si="16"/>
        <v>102756.00641172248</v>
      </c>
      <c r="P127" s="44">
        <f t="shared" si="17"/>
        <v>-2.7250571629155809E-2</v>
      </c>
    </row>
    <row r="128" spans="1:16" x14ac:dyDescent="0.2">
      <c r="C128" s="62" t="s">
        <v>40</v>
      </c>
      <c r="I128" s="62" t="s">
        <v>26</v>
      </c>
      <c r="O128" s="62" t="s">
        <v>30</v>
      </c>
      <c r="P128" s="14"/>
    </row>
    <row r="129" spans="1:21" x14ac:dyDescent="0.2">
      <c r="C129" s="58" t="s">
        <v>25</v>
      </c>
      <c r="D129" s="67">
        <f>STDEV(D4:D127)</f>
        <v>1.5359891946215317E-2</v>
      </c>
      <c r="I129" s="58" t="s">
        <v>25</v>
      </c>
      <c r="J129" s="67">
        <f>STDEV(J4:J127)</f>
        <v>1.688041024345199E-2</v>
      </c>
      <c r="L129" s="63" t="s">
        <v>31</v>
      </c>
      <c r="M129" s="64">
        <f>CORREL(D4:D127,J4:J127)</f>
        <v>-0.18431301625893881</v>
      </c>
      <c r="O129" s="58" t="s">
        <v>25</v>
      </c>
      <c r="P129" s="67">
        <f>STDEV(P4:P127)</f>
        <v>1.0311361476691379E-2</v>
      </c>
    </row>
    <row r="130" spans="1:21" x14ac:dyDescent="0.2">
      <c r="C130" s="60" t="s">
        <v>27</v>
      </c>
      <c r="D130" s="68">
        <f>_xlfn.VAR.S(D4:D127)</f>
        <v>2.3592628059941013E-4</v>
      </c>
      <c r="E130" s="5"/>
      <c r="I130" s="60" t="s">
        <v>27</v>
      </c>
      <c r="J130" s="68">
        <f>_xlfn.VAR.S(J4:J127)</f>
        <v>2.849482499872389E-4</v>
      </c>
      <c r="O130" s="60" t="s">
        <v>27</v>
      </c>
      <c r="P130" s="68">
        <f>_xlfn.VAR.S(P4:P127)</f>
        <v>1.06324175502995E-4</v>
      </c>
      <c r="Q130" s="8"/>
    </row>
    <row r="131" spans="1:21" x14ac:dyDescent="0.2">
      <c r="C131" s="61" t="s">
        <v>28</v>
      </c>
      <c r="D131" s="69">
        <f>AVERAGE(D4:D127)</f>
        <v>3.0883995714037654E-3</v>
      </c>
      <c r="I131" s="61" t="s">
        <v>28</v>
      </c>
      <c r="J131" s="69">
        <f>AVERAGE(J4:J127)</f>
        <v>-2.5438817435686641E-3</v>
      </c>
      <c r="O131" s="61" t="s">
        <v>28</v>
      </c>
      <c r="P131" s="69">
        <f>AVERAGE(P4:P127)</f>
        <v>2.7225891391755177E-4</v>
      </c>
    </row>
    <row r="133" spans="1:21" x14ac:dyDescent="0.2">
      <c r="A133" s="9" t="s">
        <v>33</v>
      </c>
      <c r="B133" s="10">
        <v>95</v>
      </c>
      <c r="C133" s="6">
        <v>99</v>
      </c>
      <c r="D133" s="6">
        <v>99.5</v>
      </c>
      <c r="G133" s="9" t="s">
        <v>33</v>
      </c>
      <c r="H133" s="10">
        <v>95</v>
      </c>
      <c r="I133" s="6">
        <v>99</v>
      </c>
      <c r="J133" s="6">
        <v>99.5</v>
      </c>
      <c r="M133" s="9" t="s">
        <v>33</v>
      </c>
      <c r="N133" s="10">
        <v>95</v>
      </c>
      <c r="O133" s="6">
        <v>99</v>
      </c>
      <c r="P133" s="6">
        <v>99.5</v>
      </c>
    </row>
    <row r="134" spans="1:21" x14ac:dyDescent="0.2">
      <c r="A134" s="9" t="s">
        <v>39</v>
      </c>
      <c r="B134">
        <v>1.64</v>
      </c>
      <c r="C134">
        <v>2.33</v>
      </c>
      <c r="D134" s="6">
        <v>2.58</v>
      </c>
      <c r="G134" s="9" t="s">
        <v>39</v>
      </c>
      <c r="H134">
        <v>1.64</v>
      </c>
      <c r="I134">
        <v>2.33</v>
      </c>
      <c r="J134" s="6">
        <v>2.58</v>
      </c>
      <c r="M134" s="9" t="s">
        <v>39</v>
      </c>
      <c r="N134">
        <v>1.64</v>
      </c>
      <c r="O134">
        <v>2.33</v>
      </c>
      <c r="P134" s="6">
        <v>2.58</v>
      </c>
    </row>
    <row r="135" spans="1:21" x14ac:dyDescent="0.2">
      <c r="A135" s="6" t="s">
        <v>36</v>
      </c>
      <c r="B135" s="4">
        <f>(B134*$D129-$D131)*$G127</f>
        <v>1135.5475442725426</v>
      </c>
      <c r="C135" s="4">
        <f>(C134*$D129-$D131)*$G127</f>
        <v>1680.0683428540324</v>
      </c>
      <c r="D135" s="4">
        <f>(D134*$D129)*$G127</f>
        <v>2036.0342903481785</v>
      </c>
      <c r="G135" s="6" t="s">
        <v>36</v>
      </c>
      <c r="H135" s="4">
        <f>(H134*$J129-$J131)*$M127</f>
        <v>1553.0416698075026</v>
      </c>
      <c r="I135" s="4">
        <f t="shared" ref="I135:J135" si="18">(I134*$J129-$J131)*$M127</f>
        <v>2151.4660922144899</v>
      </c>
      <c r="J135" s="4">
        <f t="shared" si="18"/>
        <v>2368.2865351155724</v>
      </c>
      <c r="M135" s="6" t="s">
        <v>36</v>
      </c>
      <c r="N135" s="4">
        <f>(N134*$P129-$P131)*$O127</f>
        <v>1709.6928559563189</v>
      </c>
      <c r="O135" s="4">
        <f t="shared" ref="O135:P135" si="19">(O134*$P129-$P131)*$O127</f>
        <v>2440.7853409049358</v>
      </c>
      <c r="P135" s="4">
        <f t="shared" si="19"/>
        <v>2705.6739224080575</v>
      </c>
    </row>
    <row r="136" spans="1:21" x14ac:dyDescent="0.2">
      <c r="A136" s="6"/>
      <c r="D136" s="5"/>
    </row>
    <row r="138" spans="1:21" x14ac:dyDescent="0.2">
      <c r="A138" s="58" t="s">
        <v>32</v>
      </c>
      <c r="B138" s="65"/>
      <c r="C138" s="65"/>
      <c r="D138" s="59" t="s">
        <v>35</v>
      </c>
      <c r="G138" s="58" t="s">
        <v>32</v>
      </c>
      <c r="H138" s="65"/>
      <c r="I138" s="65"/>
      <c r="J138" s="59" t="s">
        <v>35</v>
      </c>
      <c r="M138" s="58" t="s">
        <v>37</v>
      </c>
      <c r="N138" s="65"/>
      <c r="O138" s="65"/>
      <c r="P138" s="59" t="s">
        <v>35</v>
      </c>
      <c r="R138" s="58" t="s">
        <v>38</v>
      </c>
      <c r="S138" s="65"/>
      <c r="T138" s="65"/>
      <c r="U138" s="66"/>
    </row>
    <row r="139" spans="1:21" x14ac:dyDescent="0.2">
      <c r="A139" s="60"/>
      <c r="B139" s="77" t="s">
        <v>33</v>
      </c>
      <c r="C139" s="77"/>
      <c r="D139" s="78"/>
      <c r="G139" s="60"/>
      <c r="H139" s="77" t="s">
        <v>33</v>
      </c>
      <c r="I139" s="77"/>
      <c r="J139" s="78"/>
      <c r="M139" s="60"/>
      <c r="N139" s="77" t="s">
        <v>33</v>
      </c>
      <c r="O139" s="77"/>
      <c r="P139" s="78"/>
      <c r="R139" s="60"/>
      <c r="S139" s="77" t="s">
        <v>33</v>
      </c>
      <c r="T139" s="77"/>
      <c r="U139" s="78"/>
    </row>
    <row r="140" spans="1:21" x14ac:dyDescent="0.2">
      <c r="A140" s="60" t="s">
        <v>34</v>
      </c>
      <c r="B140">
        <v>95</v>
      </c>
      <c r="C140" s="75">
        <v>99</v>
      </c>
      <c r="D140" s="76">
        <v>99.5</v>
      </c>
      <c r="E140" s="74"/>
      <c r="F140" s="74"/>
      <c r="G140" s="60" t="s">
        <v>34</v>
      </c>
      <c r="H140">
        <v>95</v>
      </c>
      <c r="I140" s="75">
        <v>99</v>
      </c>
      <c r="J140" s="76">
        <v>99.5</v>
      </c>
      <c r="M140" s="60" t="s">
        <v>34</v>
      </c>
      <c r="N140">
        <v>95</v>
      </c>
      <c r="O140" s="75">
        <v>99</v>
      </c>
      <c r="P140" s="76">
        <v>99.5</v>
      </c>
      <c r="R140" s="60" t="s">
        <v>34</v>
      </c>
      <c r="S140">
        <v>95</v>
      </c>
      <c r="T140" s="75">
        <v>99</v>
      </c>
      <c r="U140" s="76">
        <v>99.5</v>
      </c>
    </row>
    <row r="141" spans="1:21" x14ac:dyDescent="0.2">
      <c r="A141" s="60">
        <v>1</v>
      </c>
      <c r="B141" s="70">
        <f t="shared" ref="B141:D160" si="20">SQRT($A141)*B$135</f>
        <v>1135.5475442725426</v>
      </c>
      <c r="C141" s="70">
        <f t="shared" si="20"/>
        <v>1680.0683428540324</v>
      </c>
      <c r="D141" s="71">
        <f t="shared" si="20"/>
        <v>2036.0342903481785</v>
      </c>
      <c r="E141" s="74"/>
      <c r="F141" s="74"/>
      <c r="G141" s="60">
        <v>1</v>
      </c>
      <c r="H141" s="70">
        <f>H$135*SQRT($G141)</f>
        <v>1553.0416698075026</v>
      </c>
      <c r="I141" s="70">
        <f t="shared" ref="I141:J156" si="21">I$135*SQRT($G141)</f>
        <v>2151.4660922144899</v>
      </c>
      <c r="J141" s="71">
        <f t="shared" si="21"/>
        <v>2368.2865351155724</v>
      </c>
      <c r="M141" s="60">
        <v>1</v>
      </c>
      <c r="N141" s="70">
        <f>N$135*SQRT($G141)</f>
        <v>1709.6928559563189</v>
      </c>
      <c r="O141" s="70">
        <f t="shared" ref="O141:P156" si="22">O$135*SQRT($G141)</f>
        <v>2440.7853409049358</v>
      </c>
      <c r="P141" s="71">
        <f t="shared" si="22"/>
        <v>2705.6739224080575</v>
      </c>
      <c r="R141" s="60">
        <v>1</v>
      </c>
      <c r="S141" s="70">
        <f>B141+H141-N141</f>
        <v>978.89635812372626</v>
      </c>
      <c r="T141" s="70">
        <f t="shared" ref="T141:U156" si="23">C141+I141-O141</f>
        <v>1390.7490941635865</v>
      </c>
      <c r="U141" s="71">
        <f t="shared" si="23"/>
        <v>1698.6469030556937</v>
      </c>
    </row>
    <row r="142" spans="1:21" x14ac:dyDescent="0.2">
      <c r="A142" s="60">
        <v>2</v>
      </c>
      <c r="B142" s="70">
        <f t="shared" si="20"/>
        <v>1605.9067378296925</v>
      </c>
      <c r="C142" s="70">
        <f t="shared" si="20"/>
        <v>2375.9754361778637</v>
      </c>
      <c r="D142" s="71">
        <f t="shared" si="20"/>
        <v>2879.3873068670741</v>
      </c>
      <c r="E142" s="74"/>
      <c r="F142" s="74"/>
      <c r="G142" s="60">
        <v>2</v>
      </c>
      <c r="H142" s="70">
        <f t="shared" ref="H142:J173" si="24">H$135*SQRT($G142)</f>
        <v>2196.3325923723282</v>
      </c>
      <c r="I142" s="70">
        <f t="shared" si="21"/>
        <v>3042.6325265955757</v>
      </c>
      <c r="J142" s="71">
        <f t="shared" si="21"/>
        <v>3349.2629375460278</v>
      </c>
      <c r="M142" s="60">
        <v>2</v>
      </c>
      <c r="N142" s="70">
        <f t="shared" ref="N142:P173" si="25">N$135*SQRT($G142)</f>
        <v>2417.8708243858168</v>
      </c>
      <c r="O142" s="70">
        <f t="shared" si="22"/>
        <v>3451.7917319491985</v>
      </c>
      <c r="P142" s="71">
        <f t="shared" si="22"/>
        <v>3826.4007564286844</v>
      </c>
      <c r="R142" s="60">
        <v>2</v>
      </c>
      <c r="S142" s="70">
        <f t="shared" ref="S142:U205" si="26">B142+H142-N142</f>
        <v>1384.3685058162041</v>
      </c>
      <c r="T142" s="70">
        <f t="shared" si="23"/>
        <v>1966.8162308242413</v>
      </c>
      <c r="U142" s="71">
        <f t="shared" si="23"/>
        <v>2402.2494879844176</v>
      </c>
    </row>
    <row r="143" spans="1:21" x14ac:dyDescent="0.2">
      <c r="A143" s="60">
        <v>3</v>
      </c>
      <c r="B143" s="70">
        <f t="shared" si="20"/>
        <v>1966.8260410901128</v>
      </c>
      <c r="C143" s="70">
        <f t="shared" si="20"/>
        <v>2909.9637300112322</v>
      </c>
      <c r="D143" s="71">
        <f t="shared" si="20"/>
        <v>3526.5148368354885</v>
      </c>
      <c r="E143" s="74"/>
      <c r="F143" s="74"/>
      <c r="G143" s="60">
        <v>3</v>
      </c>
      <c r="H143" s="70">
        <f t="shared" si="24"/>
        <v>2689.9470783782021</v>
      </c>
      <c r="I143" s="70">
        <f t="shared" si="21"/>
        <v>3726.4485824771637</v>
      </c>
      <c r="J143" s="71">
        <f t="shared" si="21"/>
        <v>4101.9926057014254</v>
      </c>
      <c r="M143" s="60">
        <v>3</v>
      </c>
      <c r="N143" s="70">
        <f t="shared" si="25"/>
        <v>2961.2748918538823</v>
      </c>
      <c r="O143" s="70">
        <f t="shared" si="22"/>
        <v>4227.564220816671</v>
      </c>
      <c r="P143" s="71">
        <f t="shared" si="22"/>
        <v>4686.3647023249277</v>
      </c>
      <c r="R143" s="60">
        <v>3</v>
      </c>
      <c r="S143" s="70">
        <f t="shared" si="26"/>
        <v>1695.4982276144324</v>
      </c>
      <c r="T143" s="70">
        <f t="shared" si="23"/>
        <v>2408.8480916717244</v>
      </c>
      <c r="U143" s="71">
        <f t="shared" si="23"/>
        <v>2942.1427402119862</v>
      </c>
    </row>
    <row r="144" spans="1:21" x14ac:dyDescent="0.2">
      <c r="A144" s="60">
        <v>4</v>
      </c>
      <c r="B144" s="70">
        <f t="shared" si="20"/>
        <v>2271.0950885450852</v>
      </c>
      <c r="C144" s="70">
        <f t="shared" si="20"/>
        <v>3360.1366857080648</v>
      </c>
      <c r="D144" s="71">
        <f t="shared" si="20"/>
        <v>4072.068580696357</v>
      </c>
      <c r="E144" s="74"/>
      <c r="F144" s="75"/>
      <c r="G144" s="60">
        <v>4</v>
      </c>
      <c r="H144" s="70">
        <f t="shared" si="24"/>
        <v>3106.0833396150051</v>
      </c>
      <c r="I144" s="70">
        <f t="shared" si="21"/>
        <v>4302.9321844289798</v>
      </c>
      <c r="J144" s="71">
        <f t="shared" si="21"/>
        <v>4736.5730702311448</v>
      </c>
      <c r="M144" s="60">
        <v>4</v>
      </c>
      <c r="N144" s="70">
        <f t="shared" si="25"/>
        <v>3419.3857119126378</v>
      </c>
      <c r="O144" s="70">
        <f t="shared" si="22"/>
        <v>4881.5706818098715</v>
      </c>
      <c r="P144" s="71">
        <f t="shared" si="22"/>
        <v>5411.347844816115</v>
      </c>
      <c r="R144" s="60">
        <v>4</v>
      </c>
      <c r="S144" s="70">
        <f t="shared" si="26"/>
        <v>1957.7927162474525</v>
      </c>
      <c r="T144" s="70">
        <f t="shared" si="23"/>
        <v>2781.498188327173</v>
      </c>
      <c r="U144" s="71">
        <f t="shared" si="23"/>
        <v>3397.2938061113873</v>
      </c>
    </row>
    <row r="145" spans="1:21" x14ac:dyDescent="0.2">
      <c r="A145" s="60">
        <v>5</v>
      </c>
      <c r="B145" s="70">
        <f t="shared" si="20"/>
        <v>2539.1615006763573</v>
      </c>
      <c r="C145" s="70">
        <f t="shared" si="20"/>
        <v>3756.7470214670398</v>
      </c>
      <c r="D145" s="71">
        <f t="shared" si="20"/>
        <v>4552.7110777390717</v>
      </c>
      <c r="E145" s="74"/>
      <c r="F145" s="75"/>
      <c r="G145" s="60">
        <v>5</v>
      </c>
      <c r="H145" s="70">
        <f t="shared" si="24"/>
        <v>3472.7067455793585</v>
      </c>
      <c r="I145" s="70">
        <f t="shared" si="21"/>
        <v>4810.8244334774308</v>
      </c>
      <c r="J145" s="71">
        <f t="shared" si="21"/>
        <v>5295.6496827158626</v>
      </c>
      <c r="M145" s="60">
        <v>5</v>
      </c>
      <c r="N145" s="70">
        <f t="shared" si="25"/>
        <v>3822.9894465640855</v>
      </c>
      <c r="O145" s="70">
        <f t="shared" si="22"/>
        <v>5457.7619407484344</v>
      </c>
      <c r="P145" s="71">
        <f t="shared" si="22"/>
        <v>6050.0708154529084</v>
      </c>
      <c r="R145" s="60">
        <v>5</v>
      </c>
      <c r="S145" s="70">
        <f t="shared" si="26"/>
        <v>2188.8787996916299</v>
      </c>
      <c r="T145" s="70">
        <f t="shared" si="23"/>
        <v>3109.8095141960366</v>
      </c>
      <c r="U145" s="71">
        <f t="shared" si="23"/>
        <v>3798.2899450020259</v>
      </c>
    </row>
    <row r="146" spans="1:21" x14ac:dyDescent="0.2">
      <c r="A146" s="60">
        <v>6</v>
      </c>
      <c r="B146" s="70">
        <f t="shared" si="20"/>
        <v>2781.5120621382198</v>
      </c>
      <c r="C146" s="70">
        <f t="shared" si="20"/>
        <v>4115.3101729956834</v>
      </c>
      <c r="D146" s="71">
        <f t="shared" si="20"/>
        <v>4987.2451101626903</v>
      </c>
      <c r="E146" s="74"/>
      <c r="F146" s="75"/>
      <c r="G146" s="60">
        <v>6</v>
      </c>
      <c r="H146" s="70">
        <f t="shared" si="24"/>
        <v>3804.1596403083363</v>
      </c>
      <c r="I146" s="70">
        <f t="shared" si="21"/>
        <v>5269.9941248251998</v>
      </c>
      <c r="J146" s="71">
        <f t="shared" si="21"/>
        <v>5801.0935757371071</v>
      </c>
      <c r="M146" s="60">
        <v>6</v>
      </c>
      <c r="N146" s="70">
        <f t="shared" si="25"/>
        <v>4187.8751139746801</v>
      </c>
      <c r="O146" s="70">
        <f t="shared" si="22"/>
        <v>5978.6786568821826</v>
      </c>
      <c r="P146" s="71">
        <f t="shared" si="22"/>
        <v>6627.5205202544648</v>
      </c>
      <c r="R146" s="60">
        <v>6</v>
      </c>
      <c r="S146" s="70">
        <f t="shared" si="26"/>
        <v>2397.796588471876</v>
      </c>
      <c r="T146" s="70">
        <f t="shared" si="23"/>
        <v>3406.6256409387006</v>
      </c>
      <c r="U146" s="71">
        <f t="shared" si="23"/>
        <v>4160.8181656453335</v>
      </c>
    </row>
    <row r="147" spans="1:21" x14ac:dyDescent="0.2">
      <c r="A147" s="60">
        <v>7</v>
      </c>
      <c r="B147" s="70">
        <f t="shared" si="20"/>
        <v>3004.3764040352562</v>
      </c>
      <c r="C147" s="70">
        <f t="shared" si="20"/>
        <v>4445.04302078417</v>
      </c>
      <c r="D147" s="71">
        <f t="shared" si="20"/>
        <v>5386.8403930611566</v>
      </c>
      <c r="E147" s="74"/>
      <c r="F147" s="75"/>
      <c r="G147" s="60">
        <v>7</v>
      </c>
      <c r="H147" s="70">
        <f t="shared" si="24"/>
        <v>4108.9620340311412</v>
      </c>
      <c r="I147" s="70">
        <f t="shared" si="21"/>
        <v>5692.2442341874985</v>
      </c>
      <c r="J147" s="71">
        <f t="shared" si="21"/>
        <v>6265.8972052586423</v>
      </c>
      <c r="M147" s="60">
        <v>7</v>
      </c>
      <c r="N147" s="70">
        <f t="shared" si="25"/>
        <v>4523.422115164195</v>
      </c>
      <c r="O147" s="70">
        <f t="shared" si="22"/>
        <v>6457.7110157264678</v>
      </c>
      <c r="P147" s="71">
        <f t="shared" si="22"/>
        <v>7158.5403275243916</v>
      </c>
      <c r="R147" s="60">
        <v>7</v>
      </c>
      <c r="S147" s="70">
        <f t="shared" si="26"/>
        <v>2589.9163229022024</v>
      </c>
      <c r="T147" s="70">
        <f t="shared" si="23"/>
        <v>3679.5762392452007</v>
      </c>
      <c r="U147" s="71">
        <f t="shared" si="23"/>
        <v>4494.1972707954083</v>
      </c>
    </row>
    <row r="148" spans="1:21" x14ac:dyDescent="0.2">
      <c r="A148" s="60">
        <v>8</v>
      </c>
      <c r="B148" s="70">
        <f t="shared" si="20"/>
        <v>3211.8134756593849</v>
      </c>
      <c r="C148" s="70">
        <f t="shared" si="20"/>
        <v>4751.9508723557274</v>
      </c>
      <c r="D148" s="71">
        <f t="shared" si="20"/>
        <v>5758.7746137341483</v>
      </c>
      <c r="E148" s="74"/>
      <c r="F148" s="75"/>
      <c r="G148" s="60">
        <v>8</v>
      </c>
      <c r="H148" s="70">
        <f t="shared" si="24"/>
        <v>4392.6651847446565</v>
      </c>
      <c r="I148" s="70">
        <f t="shared" si="21"/>
        <v>6085.2650531911513</v>
      </c>
      <c r="J148" s="71">
        <f t="shared" si="21"/>
        <v>6698.5258750920557</v>
      </c>
      <c r="M148" s="60">
        <v>8</v>
      </c>
      <c r="N148" s="70">
        <f t="shared" si="25"/>
        <v>4835.7416487716337</v>
      </c>
      <c r="O148" s="70">
        <f t="shared" si="22"/>
        <v>6903.583463898397</v>
      </c>
      <c r="P148" s="71">
        <f t="shared" si="22"/>
        <v>7652.8015128573688</v>
      </c>
      <c r="R148" s="60">
        <v>8</v>
      </c>
      <c r="S148" s="70">
        <f t="shared" si="26"/>
        <v>2768.7370116324082</v>
      </c>
      <c r="T148" s="70">
        <f t="shared" si="23"/>
        <v>3933.6324616484826</v>
      </c>
      <c r="U148" s="71">
        <f t="shared" si="23"/>
        <v>4804.4989759688351</v>
      </c>
    </row>
    <row r="149" spans="1:21" x14ac:dyDescent="0.2">
      <c r="A149" s="60">
        <v>9</v>
      </c>
      <c r="B149" s="70">
        <f t="shared" si="20"/>
        <v>3406.6426328176276</v>
      </c>
      <c r="C149" s="70">
        <f t="shared" si="20"/>
        <v>5040.2050285620971</v>
      </c>
      <c r="D149" s="71">
        <f t="shared" si="20"/>
        <v>6108.1028710445353</v>
      </c>
      <c r="E149" s="74"/>
      <c r="F149" s="75"/>
      <c r="G149" s="60">
        <v>9</v>
      </c>
      <c r="H149" s="70">
        <f t="shared" si="24"/>
        <v>4659.1250094225079</v>
      </c>
      <c r="I149" s="70">
        <f t="shared" si="21"/>
        <v>6454.3982766434692</v>
      </c>
      <c r="J149" s="71">
        <f t="shared" si="21"/>
        <v>7104.8596053467172</v>
      </c>
      <c r="M149" s="60">
        <v>9</v>
      </c>
      <c r="N149" s="70">
        <f t="shared" si="25"/>
        <v>5129.0785678689572</v>
      </c>
      <c r="O149" s="70">
        <f t="shared" si="22"/>
        <v>7322.3560227148073</v>
      </c>
      <c r="P149" s="71">
        <f t="shared" si="22"/>
        <v>8117.0217672241724</v>
      </c>
      <c r="R149" s="60">
        <v>9</v>
      </c>
      <c r="S149" s="70">
        <f t="shared" si="26"/>
        <v>2936.6890743711783</v>
      </c>
      <c r="T149" s="70">
        <f t="shared" si="23"/>
        <v>4172.2472824907591</v>
      </c>
      <c r="U149" s="71">
        <f t="shared" si="23"/>
        <v>5095.9407091670801</v>
      </c>
    </row>
    <row r="150" spans="1:21" x14ac:dyDescent="0.2">
      <c r="A150" s="60">
        <v>10</v>
      </c>
      <c r="B150" s="70">
        <f t="shared" si="20"/>
        <v>3590.9166313121254</v>
      </c>
      <c r="C150" s="70">
        <f t="shared" si="20"/>
        <v>5312.8425881634166</v>
      </c>
      <c r="D150" s="71">
        <f t="shared" si="20"/>
        <v>6438.5057517048253</v>
      </c>
      <c r="E150" s="74"/>
      <c r="F150" s="75"/>
      <c r="G150" s="60">
        <v>10</v>
      </c>
      <c r="H150" s="70">
        <f t="shared" si="24"/>
        <v>4911.1489777428624</v>
      </c>
      <c r="I150" s="70">
        <f t="shared" si="21"/>
        <v>6803.5331600196441</v>
      </c>
      <c r="J150" s="71">
        <f t="shared" si="21"/>
        <v>7489.1796028735507</v>
      </c>
      <c r="M150" s="60">
        <v>10</v>
      </c>
      <c r="N150" s="70">
        <f t="shared" si="25"/>
        <v>5406.5235241401424</v>
      </c>
      <c r="O150" s="70">
        <f t="shared" si="22"/>
        <v>7718.440956810141</v>
      </c>
      <c r="P150" s="71">
        <f t="shared" si="22"/>
        <v>8556.0922005311531</v>
      </c>
      <c r="R150" s="60">
        <v>10</v>
      </c>
      <c r="S150" s="70">
        <f t="shared" si="26"/>
        <v>3095.542084914845</v>
      </c>
      <c r="T150" s="70">
        <f t="shared" si="23"/>
        <v>4397.9347913729207</v>
      </c>
      <c r="U150" s="71">
        <f t="shared" si="23"/>
        <v>5371.5931540472229</v>
      </c>
    </row>
    <row r="151" spans="1:21" x14ac:dyDescent="0.2">
      <c r="A151" s="60">
        <v>11</v>
      </c>
      <c r="B151" s="70">
        <f t="shared" si="20"/>
        <v>3766.1851359615107</v>
      </c>
      <c r="C151" s="70">
        <f t="shared" si="20"/>
        <v>5572.1563154009991</v>
      </c>
      <c r="D151" s="71">
        <f t="shared" si="20"/>
        <v>6752.7618013824331</v>
      </c>
      <c r="E151" s="74"/>
      <c r="F151" s="75"/>
      <c r="G151" s="60">
        <v>11</v>
      </c>
      <c r="H151" s="70">
        <f t="shared" si="24"/>
        <v>5150.8565025385078</v>
      </c>
      <c r="I151" s="70">
        <f t="shared" si="21"/>
        <v>7135.6057770476336</v>
      </c>
      <c r="J151" s="71">
        <f t="shared" si="21"/>
        <v>7854.7178330292018</v>
      </c>
      <c r="M151" s="60">
        <v>11</v>
      </c>
      <c r="N151" s="70">
        <f t="shared" si="25"/>
        <v>5670.4097099582514</v>
      </c>
      <c r="O151" s="70">
        <f t="shared" si="22"/>
        <v>8095.1691695813661</v>
      </c>
      <c r="P151" s="71">
        <f t="shared" si="22"/>
        <v>8973.7052056766952</v>
      </c>
      <c r="R151" s="60">
        <v>11</v>
      </c>
      <c r="S151" s="70">
        <f t="shared" si="26"/>
        <v>3246.6319285417676</v>
      </c>
      <c r="T151" s="70">
        <f t="shared" si="23"/>
        <v>4612.5929228672667</v>
      </c>
      <c r="U151" s="71">
        <f t="shared" si="23"/>
        <v>5633.7744287349396</v>
      </c>
    </row>
    <row r="152" spans="1:21" x14ac:dyDescent="0.2">
      <c r="A152" s="60">
        <v>12</v>
      </c>
      <c r="B152" s="70">
        <f t="shared" si="20"/>
        <v>3933.6520821802255</v>
      </c>
      <c r="C152" s="70">
        <f t="shared" si="20"/>
        <v>5819.9274600224644</v>
      </c>
      <c r="D152" s="71">
        <f t="shared" si="20"/>
        <v>7053.029673670977</v>
      </c>
      <c r="E152" s="5"/>
      <c r="F152" s="6"/>
      <c r="G152" s="60">
        <v>12</v>
      </c>
      <c r="H152" s="70">
        <f t="shared" si="24"/>
        <v>5379.8941567564043</v>
      </c>
      <c r="I152" s="70">
        <f t="shared" si="21"/>
        <v>7452.8971649543273</v>
      </c>
      <c r="J152" s="71">
        <f t="shared" si="21"/>
        <v>8203.9852114028508</v>
      </c>
      <c r="M152" s="60">
        <v>12</v>
      </c>
      <c r="N152" s="70">
        <f t="shared" si="25"/>
        <v>5922.5497837077646</v>
      </c>
      <c r="O152" s="70">
        <f t="shared" si="22"/>
        <v>8455.1284416333419</v>
      </c>
      <c r="P152" s="71">
        <f t="shared" si="22"/>
        <v>9372.7294046498555</v>
      </c>
      <c r="R152" s="60">
        <v>12</v>
      </c>
      <c r="S152" s="70">
        <f t="shared" si="26"/>
        <v>3390.9964552288648</v>
      </c>
      <c r="T152" s="70">
        <f t="shared" si="23"/>
        <v>4817.6961833434489</v>
      </c>
      <c r="U152" s="71">
        <f t="shared" si="23"/>
        <v>5884.2854804239723</v>
      </c>
    </row>
    <row r="153" spans="1:21" x14ac:dyDescent="0.2">
      <c r="A153" s="60">
        <v>13</v>
      </c>
      <c r="B153" s="70">
        <f t="shared" si="20"/>
        <v>4094.2748966018667</v>
      </c>
      <c r="C153" s="70">
        <f t="shared" si="20"/>
        <v>6057.5725564440272</v>
      </c>
      <c r="D153" s="71">
        <f t="shared" si="20"/>
        <v>7341.0260324532928</v>
      </c>
      <c r="E153" s="5"/>
      <c r="F153" s="6"/>
      <c r="G153" s="60">
        <v>13</v>
      </c>
      <c r="H153" s="70">
        <f t="shared" si="24"/>
        <v>5599.571373423164</v>
      </c>
      <c r="I153" s="70">
        <f t="shared" si="21"/>
        <v>7757.2213129014781</v>
      </c>
      <c r="J153" s="71">
        <f t="shared" si="21"/>
        <v>8538.9785373501436</v>
      </c>
      <c r="M153" s="60">
        <v>13</v>
      </c>
      <c r="N153" s="70">
        <f t="shared" si="25"/>
        <v>6164.3852574449757</v>
      </c>
      <c r="O153" s="70">
        <f t="shared" si="22"/>
        <v>8800.3766990335989</v>
      </c>
      <c r="P153" s="71">
        <f t="shared" si="22"/>
        <v>9755.4460619280253</v>
      </c>
      <c r="R153" s="60">
        <v>13</v>
      </c>
      <c r="S153" s="70">
        <f t="shared" si="26"/>
        <v>3529.4610125800555</v>
      </c>
      <c r="T153" s="70">
        <f t="shared" si="23"/>
        <v>5014.4171703119064</v>
      </c>
      <c r="U153" s="71">
        <f t="shared" si="23"/>
        <v>6124.558507875412</v>
      </c>
    </row>
    <row r="154" spans="1:21" x14ac:dyDescent="0.2">
      <c r="A154" s="60">
        <v>14</v>
      </c>
      <c r="B154" s="70">
        <f t="shared" si="20"/>
        <v>4248.8298570603683</v>
      </c>
      <c r="C154" s="70">
        <f t="shared" si="20"/>
        <v>6286.2401253248445</v>
      </c>
      <c r="D154" s="71">
        <f t="shared" si="20"/>
        <v>7618.1427422063016</v>
      </c>
      <c r="E154" s="5"/>
      <c r="F154" s="6"/>
      <c r="G154" s="60">
        <v>14</v>
      </c>
      <c r="H154" s="70">
        <f t="shared" si="24"/>
        <v>5810.9498358029787</v>
      </c>
      <c r="I154" s="70">
        <f t="shared" si="21"/>
        <v>8050.0489963280115</v>
      </c>
      <c r="J154" s="71">
        <f t="shared" si="21"/>
        <v>8861.3168081124441</v>
      </c>
      <c r="M154" s="60">
        <v>14</v>
      </c>
      <c r="N154" s="70">
        <f t="shared" si="25"/>
        <v>6397.084903603597</v>
      </c>
      <c r="O154" s="70">
        <f t="shared" si="22"/>
        <v>9132.5825003265054</v>
      </c>
      <c r="P154" s="71">
        <f t="shared" si="22"/>
        <v>10123.704817979731</v>
      </c>
      <c r="R154" s="60">
        <v>14</v>
      </c>
      <c r="S154" s="70">
        <f t="shared" si="26"/>
        <v>3662.69478925975</v>
      </c>
      <c r="T154" s="70">
        <f t="shared" si="23"/>
        <v>5203.7066213263497</v>
      </c>
      <c r="U154" s="71">
        <f t="shared" si="23"/>
        <v>6355.7547323390136</v>
      </c>
    </row>
    <row r="155" spans="1:21" x14ac:dyDescent="0.2">
      <c r="A155" s="60">
        <v>15</v>
      </c>
      <c r="B155" s="70">
        <f t="shared" si="20"/>
        <v>4397.956727794287</v>
      </c>
      <c r="C155" s="70">
        <f t="shared" si="20"/>
        <v>6506.87671236396</v>
      </c>
      <c r="D155" s="71">
        <f t="shared" si="20"/>
        <v>7885.5268988257321</v>
      </c>
      <c r="E155" s="5"/>
      <c r="F155" s="6"/>
      <c r="G155" s="60">
        <v>15</v>
      </c>
      <c r="H155" s="70">
        <f t="shared" si="24"/>
        <v>6014.9045231306154</v>
      </c>
      <c r="I155" s="70">
        <f t="shared" si="21"/>
        <v>8332.5923450766695</v>
      </c>
      <c r="J155" s="71">
        <f t="shared" si="21"/>
        <v>9172.3343095498785</v>
      </c>
      <c r="M155" s="60">
        <v>15</v>
      </c>
      <c r="N155" s="70">
        <f t="shared" si="25"/>
        <v>6621.6119582486199</v>
      </c>
      <c r="O155" s="70">
        <f t="shared" si="22"/>
        <v>9453.1209769920097</v>
      </c>
      <c r="P155" s="71">
        <f t="shared" si="22"/>
        <v>10479.030041754106</v>
      </c>
      <c r="R155" s="60">
        <v>15</v>
      </c>
      <c r="S155" s="70">
        <f t="shared" si="26"/>
        <v>3791.2492926762834</v>
      </c>
      <c r="T155" s="70">
        <f t="shared" si="23"/>
        <v>5386.3480804486207</v>
      </c>
      <c r="U155" s="71">
        <f t="shared" si="23"/>
        <v>6578.8311666215031</v>
      </c>
    </row>
    <row r="156" spans="1:21" x14ac:dyDescent="0.2">
      <c r="A156" s="60">
        <v>16</v>
      </c>
      <c r="B156" s="70">
        <f t="shared" si="20"/>
        <v>4542.1901770901704</v>
      </c>
      <c r="C156" s="70">
        <f t="shared" si="20"/>
        <v>6720.2733714161295</v>
      </c>
      <c r="D156" s="71">
        <f t="shared" si="20"/>
        <v>8144.137161392714</v>
      </c>
      <c r="E156" s="5"/>
      <c r="F156" s="6"/>
      <c r="G156" s="60">
        <v>16</v>
      </c>
      <c r="H156" s="70">
        <f t="shared" si="24"/>
        <v>6212.1666792300102</v>
      </c>
      <c r="I156" s="70">
        <f t="shared" si="21"/>
        <v>8605.8643688579596</v>
      </c>
      <c r="J156" s="71">
        <f t="shared" si="21"/>
        <v>9473.1461404622896</v>
      </c>
      <c r="M156" s="60">
        <v>16</v>
      </c>
      <c r="N156" s="70">
        <f t="shared" si="25"/>
        <v>6838.7714238252756</v>
      </c>
      <c r="O156" s="70">
        <f t="shared" si="22"/>
        <v>9763.1413636197431</v>
      </c>
      <c r="P156" s="71">
        <f t="shared" si="22"/>
        <v>10822.69568963223</v>
      </c>
      <c r="R156" s="60">
        <v>16</v>
      </c>
      <c r="S156" s="70">
        <f t="shared" si="26"/>
        <v>3915.585432494905</v>
      </c>
      <c r="T156" s="70">
        <f t="shared" si="23"/>
        <v>5562.996376654346</v>
      </c>
      <c r="U156" s="71">
        <f t="shared" si="23"/>
        <v>6794.5876122227746</v>
      </c>
    </row>
    <row r="157" spans="1:21" x14ac:dyDescent="0.2">
      <c r="A157" s="60">
        <v>17</v>
      </c>
      <c r="B157" s="70">
        <f t="shared" si="20"/>
        <v>4681.98246794644</v>
      </c>
      <c r="C157" s="70">
        <f t="shared" si="20"/>
        <v>6927.0992358436015</v>
      </c>
      <c r="D157" s="71">
        <f t="shared" si="20"/>
        <v>8394.7844364850353</v>
      </c>
      <c r="E157" s="5"/>
      <c r="F157" s="6"/>
      <c r="G157" s="60">
        <v>17</v>
      </c>
      <c r="H157" s="70">
        <f t="shared" si="24"/>
        <v>6403.3548456019589</v>
      </c>
      <c r="I157" s="70">
        <f t="shared" si="24"/>
        <v>8870.7219481352076</v>
      </c>
      <c r="J157" s="71">
        <f t="shared" si="24"/>
        <v>9764.6955360095744</v>
      </c>
      <c r="M157" s="60">
        <v>17</v>
      </c>
      <c r="N157" s="70">
        <f t="shared" si="25"/>
        <v>7049.2442324718231</v>
      </c>
      <c r="O157" s="70">
        <f t="shared" si="25"/>
        <v>10063.615770010259</v>
      </c>
      <c r="P157" s="71">
        <f t="shared" si="25"/>
        <v>11155.779370567663</v>
      </c>
      <c r="R157" s="60">
        <v>17</v>
      </c>
      <c r="S157" s="70">
        <f t="shared" si="26"/>
        <v>4036.0930810765767</v>
      </c>
      <c r="T157" s="70">
        <f t="shared" si="26"/>
        <v>5734.2054139685497</v>
      </c>
      <c r="U157" s="71">
        <f t="shared" si="26"/>
        <v>7003.7006019269465</v>
      </c>
    </row>
    <row r="158" spans="1:21" x14ac:dyDescent="0.2">
      <c r="A158" s="60">
        <v>18</v>
      </c>
      <c r="B158" s="70">
        <f t="shared" si="20"/>
        <v>4817.7202134890767</v>
      </c>
      <c r="C158" s="70">
        <f t="shared" si="20"/>
        <v>7127.9263085335897</v>
      </c>
      <c r="D158" s="71">
        <f t="shared" si="20"/>
        <v>8638.1619206012219</v>
      </c>
      <c r="E158" s="5"/>
      <c r="F158" s="6"/>
      <c r="G158" s="60">
        <v>18</v>
      </c>
      <c r="H158" s="70">
        <f t="shared" si="24"/>
        <v>6588.9977771169843</v>
      </c>
      <c r="I158" s="70">
        <f t="shared" si="24"/>
        <v>9127.8975797867261</v>
      </c>
      <c r="J158" s="71">
        <f t="shared" si="24"/>
        <v>10047.788812638082</v>
      </c>
      <c r="M158" s="60">
        <v>18</v>
      </c>
      <c r="N158" s="70">
        <f t="shared" si="25"/>
        <v>7253.6124731574491</v>
      </c>
      <c r="O158" s="70">
        <f t="shared" si="25"/>
        <v>10355.375195847595</v>
      </c>
      <c r="P158" s="71">
        <f t="shared" si="25"/>
        <v>11479.202269286052</v>
      </c>
      <c r="R158" s="60">
        <v>18</v>
      </c>
      <c r="S158" s="70">
        <f t="shared" si="26"/>
        <v>4153.1055174486119</v>
      </c>
      <c r="T158" s="70">
        <f t="shared" si="26"/>
        <v>5900.4486924727207</v>
      </c>
      <c r="U158" s="71">
        <f t="shared" si="26"/>
        <v>7206.7484639532522</v>
      </c>
    </row>
    <row r="159" spans="1:21" x14ac:dyDescent="0.2">
      <c r="A159" s="60">
        <v>19</v>
      </c>
      <c r="B159" s="70">
        <f t="shared" si="20"/>
        <v>4949.7369910697926</v>
      </c>
      <c r="C159" s="70">
        <f t="shared" si="20"/>
        <v>7323.2481247425721</v>
      </c>
      <c r="D159" s="71">
        <f t="shared" si="20"/>
        <v>8874.8677172112602</v>
      </c>
      <c r="E159" s="5"/>
      <c r="F159" s="6"/>
      <c r="G159" s="60">
        <v>19</v>
      </c>
      <c r="H159" s="70">
        <f t="shared" si="24"/>
        <v>6769.5516937985667</v>
      </c>
      <c r="I159" s="70">
        <f t="shared" si="24"/>
        <v>9378.0232764173215</v>
      </c>
      <c r="J159" s="71">
        <f t="shared" si="24"/>
        <v>10323.121675916871</v>
      </c>
      <c r="M159" s="60">
        <v>19</v>
      </c>
      <c r="N159" s="70">
        <f t="shared" si="25"/>
        <v>7452.3783836070361</v>
      </c>
      <c r="O159" s="70">
        <f t="shared" si="25"/>
        <v>10639.136643880089</v>
      </c>
      <c r="P159" s="71">
        <f t="shared" si="25"/>
        <v>11793.759201950033</v>
      </c>
      <c r="R159" s="60">
        <v>19</v>
      </c>
      <c r="S159" s="70">
        <f t="shared" si="26"/>
        <v>4266.9103012613232</v>
      </c>
      <c r="T159" s="70">
        <f t="shared" si="26"/>
        <v>6062.1347572798059</v>
      </c>
      <c r="U159" s="71">
        <f t="shared" si="26"/>
        <v>7404.2301911780996</v>
      </c>
    </row>
    <row r="160" spans="1:21" x14ac:dyDescent="0.2">
      <c r="A160" s="60">
        <v>20</v>
      </c>
      <c r="B160" s="70">
        <f t="shared" si="20"/>
        <v>5078.3230013527145</v>
      </c>
      <c r="C160" s="70">
        <f t="shared" si="20"/>
        <v>7513.4940429340795</v>
      </c>
      <c r="D160" s="71">
        <f t="shared" si="20"/>
        <v>9105.4221554781434</v>
      </c>
      <c r="E160" s="5"/>
      <c r="F160" s="6"/>
      <c r="G160" s="60">
        <v>20</v>
      </c>
      <c r="H160" s="70">
        <f t="shared" si="24"/>
        <v>6945.4134911587171</v>
      </c>
      <c r="I160" s="70">
        <f t="shared" si="24"/>
        <v>9621.6488669548617</v>
      </c>
      <c r="J160" s="71">
        <f t="shared" si="24"/>
        <v>10591.299365431725</v>
      </c>
      <c r="M160" s="60">
        <v>20</v>
      </c>
      <c r="N160" s="70">
        <f t="shared" si="25"/>
        <v>7645.978893128171</v>
      </c>
      <c r="O160" s="70">
        <f t="shared" si="25"/>
        <v>10915.523881496869</v>
      </c>
      <c r="P160" s="71">
        <f t="shared" si="25"/>
        <v>12100.141630905817</v>
      </c>
      <c r="R160" s="60">
        <v>20</v>
      </c>
      <c r="S160" s="70">
        <f t="shared" si="26"/>
        <v>4377.7575993832597</v>
      </c>
      <c r="T160" s="70">
        <f t="shared" si="26"/>
        <v>6219.6190283920732</v>
      </c>
      <c r="U160" s="71">
        <f t="shared" si="26"/>
        <v>7596.5798900040518</v>
      </c>
    </row>
    <row r="161" spans="1:21" x14ac:dyDescent="0.2">
      <c r="A161" s="60">
        <v>21</v>
      </c>
      <c r="B161" s="70">
        <f t="shared" ref="B161:D180" si="27">SQRT($A161)*B$135</f>
        <v>5203.7325768501441</v>
      </c>
      <c r="C161" s="70">
        <f t="shared" si="27"/>
        <v>7699.0403538276232</v>
      </c>
      <c r="D161" s="71">
        <f t="shared" si="27"/>
        <v>9330.2812530462252</v>
      </c>
      <c r="E161" s="5"/>
      <c r="F161" s="6"/>
      <c r="G161" s="60">
        <v>21</v>
      </c>
      <c r="H161" s="70">
        <f t="shared" si="24"/>
        <v>7116.9310093134936</v>
      </c>
      <c r="I161" s="70">
        <f t="shared" si="24"/>
        <v>9859.2562227037415</v>
      </c>
      <c r="J161" s="71">
        <f t="shared" si="24"/>
        <v>10852.852314511802</v>
      </c>
      <c r="M161" s="60">
        <v>21</v>
      </c>
      <c r="N161" s="70">
        <f t="shared" si="25"/>
        <v>7834.7969275450623</v>
      </c>
      <c r="O161" s="70">
        <f t="shared" si="25"/>
        <v>11185.083579835462</v>
      </c>
      <c r="P161" s="71">
        <f t="shared" si="25"/>
        <v>12398.955555302997</v>
      </c>
      <c r="R161" s="60">
        <v>21</v>
      </c>
      <c r="S161" s="70">
        <f t="shared" si="26"/>
        <v>4485.8666586185764</v>
      </c>
      <c r="T161" s="70">
        <f t="shared" si="26"/>
        <v>6373.2129966959019</v>
      </c>
      <c r="U161" s="71">
        <f t="shared" si="26"/>
        <v>7784.1780122550299</v>
      </c>
    </row>
    <row r="162" spans="1:21" x14ac:dyDescent="0.2">
      <c r="A162" s="60">
        <v>22</v>
      </c>
      <c r="B162" s="70">
        <f t="shared" si="27"/>
        <v>5326.1900976847273</v>
      </c>
      <c r="C162" s="70">
        <f t="shared" si="27"/>
        <v>7880.2190329029863</v>
      </c>
      <c r="D162" s="71">
        <f t="shared" si="27"/>
        <v>9549.8473229900101</v>
      </c>
      <c r="E162" s="5"/>
      <c r="F162" s="6"/>
      <c r="G162" s="60">
        <v>22</v>
      </c>
      <c r="H162" s="70">
        <f t="shared" si="24"/>
        <v>7284.4111237276056</v>
      </c>
      <c r="I162" s="70">
        <f t="shared" si="24"/>
        <v>10091.270465648571</v>
      </c>
      <c r="J162" s="71">
        <f t="shared" si="24"/>
        <v>11108.248488083706</v>
      </c>
      <c r="M162" s="60">
        <v>22</v>
      </c>
      <c r="N162" s="70">
        <f t="shared" si="25"/>
        <v>8019.1703160350471</v>
      </c>
      <c r="O162" s="70">
        <f t="shared" si="25"/>
        <v>11448.298029326514</v>
      </c>
      <c r="P162" s="71">
        <f t="shared" si="25"/>
        <v>12690.735606606029</v>
      </c>
      <c r="R162" s="60">
        <v>22</v>
      </c>
      <c r="S162" s="70">
        <f t="shared" si="26"/>
        <v>4591.4309053772859</v>
      </c>
      <c r="T162" s="70">
        <f t="shared" si="26"/>
        <v>6523.191469225043</v>
      </c>
      <c r="U162" s="71">
        <f t="shared" si="26"/>
        <v>7967.3602044676863</v>
      </c>
    </row>
    <row r="163" spans="1:21" x14ac:dyDescent="0.2">
      <c r="A163" s="60">
        <v>23</v>
      </c>
      <c r="B163" s="70">
        <f t="shared" si="27"/>
        <v>5445.8947090426054</v>
      </c>
      <c r="C163" s="70">
        <f t="shared" si="27"/>
        <v>8057.3247199791294</v>
      </c>
      <c r="D163" s="71">
        <f t="shared" si="27"/>
        <v>9764.4774321974364</v>
      </c>
      <c r="E163" s="5"/>
      <c r="F163" s="6"/>
      <c r="G163" s="60">
        <v>23</v>
      </c>
      <c r="H163" s="70">
        <f t="shared" si="24"/>
        <v>7448.1261970810438</v>
      </c>
      <c r="I163" s="70">
        <f t="shared" si="24"/>
        <v>10318.06890638068</v>
      </c>
      <c r="J163" s="71">
        <f t="shared" si="24"/>
        <v>11357.903221344317</v>
      </c>
      <c r="M163" s="60">
        <v>23</v>
      </c>
      <c r="N163" s="70">
        <f t="shared" si="25"/>
        <v>8199.3988937778668</v>
      </c>
      <c r="O163" s="70">
        <f t="shared" si="25"/>
        <v>11705.595279551473</v>
      </c>
      <c r="P163" s="71">
        <f t="shared" si="25"/>
        <v>12975.956288889734</v>
      </c>
      <c r="R163" s="60">
        <v>23</v>
      </c>
      <c r="S163" s="70">
        <f t="shared" si="26"/>
        <v>4694.6220123457824</v>
      </c>
      <c r="T163" s="70">
        <f t="shared" si="26"/>
        <v>6669.7983468083348</v>
      </c>
      <c r="U163" s="71">
        <f t="shared" si="26"/>
        <v>8146.424364652019</v>
      </c>
    </row>
    <row r="164" spans="1:21" x14ac:dyDescent="0.2">
      <c r="A164" s="60">
        <v>24</v>
      </c>
      <c r="B164" s="70">
        <f t="shared" si="27"/>
        <v>5563.0241242764396</v>
      </c>
      <c r="C164" s="70">
        <f t="shared" si="27"/>
        <v>8230.6203459913668</v>
      </c>
      <c r="D164" s="71">
        <f t="shared" si="27"/>
        <v>9974.4902203253805</v>
      </c>
      <c r="E164" s="5"/>
      <c r="F164" s="6"/>
      <c r="G164" s="60">
        <v>24</v>
      </c>
      <c r="H164" s="70">
        <f t="shared" si="24"/>
        <v>7608.3192806166726</v>
      </c>
      <c r="I164" s="70">
        <f t="shared" si="24"/>
        <v>10539.9882496504</v>
      </c>
      <c r="J164" s="71">
        <f t="shared" si="24"/>
        <v>11602.187151474214</v>
      </c>
      <c r="M164" s="60">
        <v>24</v>
      </c>
      <c r="N164" s="70">
        <f t="shared" si="25"/>
        <v>8375.7502279493601</v>
      </c>
      <c r="O164" s="70">
        <f t="shared" si="25"/>
        <v>11957.357313764365</v>
      </c>
      <c r="P164" s="71">
        <f t="shared" si="25"/>
        <v>13255.04104050893</v>
      </c>
      <c r="R164" s="60">
        <v>24</v>
      </c>
      <c r="S164" s="70">
        <f t="shared" si="26"/>
        <v>4795.593176943752</v>
      </c>
      <c r="T164" s="70">
        <f t="shared" si="26"/>
        <v>6813.2512818774012</v>
      </c>
      <c r="U164" s="71">
        <f t="shared" si="26"/>
        <v>8321.6363312906669</v>
      </c>
    </row>
    <row r="165" spans="1:21" x14ac:dyDescent="0.2">
      <c r="A165" s="60">
        <v>25</v>
      </c>
      <c r="B165" s="70">
        <f t="shared" si="27"/>
        <v>5677.7377213627133</v>
      </c>
      <c r="C165" s="70">
        <f t="shared" si="27"/>
        <v>8400.3417142701619</v>
      </c>
      <c r="D165" s="71">
        <f t="shared" si="27"/>
        <v>10180.171451740893</v>
      </c>
      <c r="E165" s="5"/>
      <c r="F165" s="6"/>
      <c r="G165" s="60">
        <v>25</v>
      </c>
      <c r="H165" s="70">
        <f t="shared" si="24"/>
        <v>7765.2083490375126</v>
      </c>
      <c r="I165" s="70">
        <f t="shared" si="24"/>
        <v>10757.33046107245</v>
      </c>
      <c r="J165" s="71">
        <f t="shared" si="24"/>
        <v>11841.432675577862</v>
      </c>
      <c r="M165" s="60">
        <v>25</v>
      </c>
      <c r="N165" s="70">
        <f t="shared" si="25"/>
        <v>8548.4642797815941</v>
      </c>
      <c r="O165" s="70">
        <f t="shared" si="25"/>
        <v>12203.926704524678</v>
      </c>
      <c r="P165" s="71">
        <f t="shared" si="25"/>
        <v>13528.369612040287</v>
      </c>
      <c r="R165" s="60">
        <v>25</v>
      </c>
      <c r="S165" s="70">
        <f t="shared" si="26"/>
        <v>4894.4817906186327</v>
      </c>
      <c r="T165" s="70">
        <f t="shared" si="26"/>
        <v>6953.7454708179321</v>
      </c>
      <c r="U165" s="71">
        <f t="shared" si="26"/>
        <v>8493.2345152784674</v>
      </c>
    </row>
    <row r="166" spans="1:21" x14ac:dyDescent="0.2">
      <c r="A166" s="60">
        <v>26</v>
      </c>
      <c r="B166" s="70">
        <f t="shared" si="27"/>
        <v>5790.1790868580611</v>
      </c>
      <c r="C166" s="70">
        <f t="shared" si="27"/>
        <v>8566.7012643822036</v>
      </c>
      <c r="D166" s="71">
        <f t="shared" si="27"/>
        <v>10381.7785768294</v>
      </c>
      <c r="E166" s="5"/>
      <c r="F166" s="6"/>
      <c r="G166" s="60">
        <v>26</v>
      </c>
      <c r="H166" s="70">
        <f t="shared" si="24"/>
        <v>7918.9897797711774</v>
      </c>
      <c r="I166" s="70">
        <f t="shared" si="24"/>
        <v>10970.367587034898</v>
      </c>
      <c r="J166" s="71">
        <f t="shared" si="24"/>
        <v>12075.939256333348</v>
      </c>
      <c r="M166" s="60">
        <v>26</v>
      </c>
      <c r="N166" s="70">
        <f t="shared" si="25"/>
        <v>8717.7572347714486</v>
      </c>
      <c r="O166" s="70">
        <f t="shared" si="25"/>
        <v>12445.612081765485</v>
      </c>
      <c r="P166" s="71">
        <f t="shared" si="25"/>
        <v>13796.284127777815</v>
      </c>
      <c r="R166" s="60">
        <v>26</v>
      </c>
      <c r="S166" s="70">
        <f t="shared" si="26"/>
        <v>4991.4116318577908</v>
      </c>
      <c r="T166" s="70">
        <f t="shared" si="26"/>
        <v>7091.4567696516169</v>
      </c>
      <c r="U166" s="71">
        <f t="shared" si="26"/>
        <v>8661.4337053849322</v>
      </c>
    </row>
    <row r="167" spans="1:21" x14ac:dyDescent="0.2">
      <c r="A167" s="60">
        <v>27</v>
      </c>
      <c r="B167" s="70">
        <f t="shared" si="27"/>
        <v>5900.478123270339</v>
      </c>
      <c r="C167" s="70">
        <f t="shared" si="27"/>
        <v>8729.8911900336971</v>
      </c>
      <c r="D167" s="71">
        <f t="shared" si="27"/>
        <v>10579.544510506466</v>
      </c>
      <c r="E167" s="5"/>
      <c r="F167" s="6"/>
      <c r="G167" s="60">
        <v>27</v>
      </c>
      <c r="H167" s="70">
        <f t="shared" si="24"/>
        <v>8069.8412351346078</v>
      </c>
      <c r="I167" s="70">
        <f t="shared" si="24"/>
        <v>11179.345747431491</v>
      </c>
      <c r="J167" s="71">
        <f t="shared" si="24"/>
        <v>12305.977817104276</v>
      </c>
      <c r="M167" s="60">
        <v>27</v>
      </c>
      <c r="N167" s="70">
        <f t="shared" si="25"/>
        <v>8883.8246755616474</v>
      </c>
      <c r="O167" s="70">
        <f t="shared" si="25"/>
        <v>12682.692662450016</v>
      </c>
      <c r="P167" s="71">
        <f t="shared" si="25"/>
        <v>14059.094106974784</v>
      </c>
      <c r="R167" s="60">
        <v>27</v>
      </c>
      <c r="S167" s="70">
        <f t="shared" si="26"/>
        <v>5086.4946828433003</v>
      </c>
      <c r="T167" s="70">
        <f t="shared" si="26"/>
        <v>7226.5442750151742</v>
      </c>
      <c r="U167" s="71">
        <f t="shared" si="26"/>
        <v>8826.4282206359585</v>
      </c>
    </row>
    <row r="168" spans="1:21" x14ac:dyDescent="0.2">
      <c r="A168" s="60">
        <v>28</v>
      </c>
      <c r="B168" s="70">
        <f t="shared" si="27"/>
        <v>6008.7528080705124</v>
      </c>
      <c r="C168" s="70">
        <f t="shared" si="27"/>
        <v>8890.0860415683401</v>
      </c>
      <c r="D168" s="71">
        <f t="shared" si="27"/>
        <v>10773.680786122313</v>
      </c>
      <c r="E168" s="5"/>
      <c r="F168" s="6"/>
      <c r="G168" s="60">
        <v>28</v>
      </c>
      <c r="H168" s="70">
        <f t="shared" si="24"/>
        <v>8217.9240680622825</v>
      </c>
      <c r="I168" s="70">
        <f t="shared" si="24"/>
        <v>11384.488468374997</v>
      </c>
      <c r="J168" s="71">
        <f t="shared" si="24"/>
        <v>12531.794410517285</v>
      </c>
      <c r="M168" s="60">
        <v>28</v>
      </c>
      <c r="N168" s="70">
        <f t="shared" si="25"/>
        <v>9046.84423032839</v>
      </c>
      <c r="O168" s="70">
        <f t="shared" si="25"/>
        <v>12915.422031452936</v>
      </c>
      <c r="P168" s="71">
        <f t="shared" si="25"/>
        <v>14317.080655048783</v>
      </c>
      <c r="R168" s="60">
        <v>28</v>
      </c>
      <c r="S168" s="70">
        <f t="shared" si="26"/>
        <v>5179.8326458044048</v>
      </c>
      <c r="T168" s="70">
        <f t="shared" si="26"/>
        <v>7359.1524784904013</v>
      </c>
      <c r="U168" s="71">
        <f t="shared" si="26"/>
        <v>8988.3945415908165</v>
      </c>
    </row>
    <row r="169" spans="1:21" x14ac:dyDescent="0.2">
      <c r="A169" s="60">
        <v>29</v>
      </c>
      <c r="B169" s="70">
        <f t="shared" si="27"/>
        <v>6115.1106722445065</v>
      </c>
      <c r="C169" s="70">
        <f t="shared" si="27"/>
        <v>9047.4449135183204</v>
      </c>
      <c r="D169" s="71">
        <f t="shared" si="27"/>
        <v>10964.380206502085</v>
      </c>
      <c r="E169" s="5"/>
      <c r="F169" s="6"/>
      <c r="G169" s="60">
        <v>29</v>
      </c>
      <c r="H169" s="70">
        <f t="shared" si="24"/>
        <v>8363.3853442607669</v>
      </c>
      <c r="I169" s="70">
        <f t="shared" si="24"/>
        <v>11585.999483536669</v>
      </c>
      <c r="J169" s="71">
        <f t="shared" si="24"/>
        <v>12753.613302114894</v>
      </c>
      <c r="M169" s="60">
        <v>29</v>
      </c>
      <c r="N169" s="70">
        <f t="shared" si="25"/>
        <v>9206.9777989052491</v>
      </c>
      <c r="O169" s="70">
        <f t="shared" si="25"/>
        <v>13144.031319611053</v>
      </c>
      <c r="P169" s="71">
        <f t="shared" si="25"/>
        <v>14570.499986533443</v>
      </c>
      <c r="R169" s="60">
        <v>29</v>
      </c>
      <c r="S169" s="70">
        <f t="shared" si="26"/>
        <v>5271.5182176000235</v>
      </c>
      <c r="T169" s="70">
        <f t="shared" si="26"/>
        <v>7489.4130774439382</v>
      </c>
      <c r="U169" s="71">
        <f t="shared" si="26"/>
        <v>9147.4935220835359</v>
      </c>
    </row>
    <row r="170" spans="1:21" x14ac:dyDescent="0.2">
      <c r="A170" s="60">
        <v>30</v>
      </c>
      <c r="B170" s="70">
        <f t="shared" si="27"/>
        <v>6219.650051176679</v>
      </c>
      <c r="C170" s="70">
        <f t="shared" si="27"/>
        <v>9202.1132953147699</v>
      </c>
      <c r="D170" s="71">
        <f t="shared" si="27"/>
        <v>11151.819086777203</v>
      </c>
      <c r="E170" s="5"/>
      <c r="F170" s="6"/>
      <c r="G170" s="60">
        <v>30</v>
      </c>
      <c r="H170" s="70">
        <f t="shared" si="24"/>
        <v>8506.3595529905906</v>
      </c>
      <c r="I170" s="70">
        <f t="shared" si="24"/>
        <v>11784.06510413366</v>
      </c>
      <c r="J170" s="71">
        <f t="shared" si="24"/>
        <v>12971.639579185497</v>
      </c>
      <c r="M170" s="60">
        <v>30</v>
      </c>
      <c r="N170" s="70">
        <f t="shared" si="25"/>
        <v>9364.3734361270654</v>
      </c>
      <c r="O170" s="70">
        <f t="shared" si="25"/>
        <v>13368.731892415703</v>
      </c>
      <c r="P170" s="71">
        <f t="shared" si="25"/>
        <v>14819.586405563756</v>
      </c>
      <c r="R170" s="60">
        <v>30</v>
      </c>
      <c r="S170" s="70">
        <f t="shared" si="26"/>
        <v>5361.6361680402042</v>
      </c>
      <c r="T170" s="70">
        <f t="shared" si="26"/>
        <v>7617.446507032726</v>
      </c>
      <c r="U170" s="71">
        <f t="shared" si="26"/>
        <v>9303.8722603989463</v>
      </c>
    </row>
    <row r="171" spans="1:21" x14ac:dyDescent="0.2">
      <c r="A171" s="60">
        <v>31</v>
      </c>
      <c r="B171" s="70">
        <f t="shared" si="27"/>
        <v>6322.4611492998092</v>
      </c>
      <c r="C171" s="70">
        <f t="shared" si="27"/>
        <v>9354.224646461571</v>
      </c>
      <c r="D171" s="71">
        <f t="shared" si="27"/>
        <v>11336.159163300501</v>
      </c>
      <c r="E171" s="5"/>
      <c r="F171" s="6"/>
      <c r="G171" s="60">
        <v>31</v>
      </c>
      <c r="H171" s="70">
        <f t="shared" si="24"/>
        <v>8646.9700631442429</v>
      </c>
      <c r="I171" s="70">
        <f t="shared" si="24"/>
        <v>11978.856236069005</v>
      </c>
      <c r="J171" s="71">
        <f t="shared" si="24"/>
        <v>13186.061371186674</v>
      </c>
      <c r="M171" s="60">
        <v>31</v>
      </c>
      <c r="N171" s="70">
        <f t="shared" si="25"/>
        <v>9519.1669547786732</v>
      </c>
      <c r="O171" s="70">
        <f t="shared" si="25"/>
        <v>13589.717638408427</v>
      </c>
      <c r="P171" s="71">
        <f t="shared" si="25"/>
        <v>15064.554842622103</v>
      </c>
      <c r="R171" s="60">
        <v>31</v>
      </c>
      <c r="S171" s="70">
        <f t="shared" si="26"/>
        <v>5450.264257665378</v>
      </c>
      <c r="T171" s="70">
        <f t="shared" si="26"/>
        <v>7743.3632441221489</v>
      </c>
      <c r="U171" s="71">
        <f t="shared" si="26"/>
        <v>9457.6656918650733</v>
      </c>
    </row>
    <row r="172" spans="1:21" x14ac:dyDescent="0.2">
      <c r="A172" s="60">
        <v>32</v>
      </c>
      <c r="B172" s="70">
        <f t="shared" si="27"/>
        <v>6423.6269513187699</v>
      </c>
      <c r="C172" s="70">
        <f t="shared" si="27"/>
        <v>9503.9017447114547</v>
      </c>
      <c r="D172" s="71">
        <f t="shared" si="27"/>
        <v>11517.549227468297</v>
      </c>
      <c r="E172" s="5"/>
      <c r="F172" s="6"/>
      <c r="G172" s="60">
        <v>32</v>
      </c>
      <c r="H172" s="70">
        <f t="shared" si="24"/>
        <v>8785.3303694893129</v>
      </c>
      <c r="I172" s="70">
        <f t="shared" si="24"/>
        <v>12170.530106382303</v>
      </c>
      <c r="J172" s="71">
        <f t="shared" si="24"/>
        <v>13397.051750184111</v>
      </c>
      <c r="M172" s="60">
        <v>32</v>
      </c>
      <c r="N172" s="70">
        <f t="shared" si="25"/>
        <v>9671.4832975432673</v>
      </c>
      <c r="O172" s="70">
        <f t="shared" si="25"/>
        <v>13807.166927796794</v>
      </c>
      <c r="P172" s="71">
        <f t="shared" si="25"/>
        <v>15305.603025714738</v>
      </c>
      <c r="R172" s="60">
        <v>32</v>
      </c>
      <c r="S172" s="70">
        <f t="shared" si="26"/>
        <v>5537.4740232648164</v>
      </c>
      <c r="T172" s="70">
        <f t="shared" si="26"/>
        <v>7867.2649232969652</v>
      </c>
      <c r="U172" s="71">
        <f t="shared" si="26"/>
        <v>9608.9979519376702</v>
      </c>
    </row>
    <row r="173" spans="1:21" x14ac:dyDescent="0.2">
      <c r="A173" s="60">
        <v>33</v>
      </c>
      <c r="B173" s="70">
        <f t="shared" si="27"/>
        <v>6523.2240061960365</v>
      </c>
      <c r="C173" s="70">
        <f t="shared" si="27"/>
        <v>9651.2578459903198</v>
      </c>
      <c r="D173" s="71">
        <f t="shared" si="27"/>
        <v>11696.126531404709</v>
      </c>
      <c r="E173" s="5"/>
      <c r="F173" s="6"/>
      <c r="G173" s="60">
        <v>33</v>
      </c>
      <c r="H173" s="70">
        <f t="shared" si="24"/>
        <v>8921.5451648932267</v>
      </c>
      <c r="I173" s="70">
        <f t="shared" si="24"/>
        <v>12359.231748628501</v>
      </c>
      <c r="J173" s="71">
        <f t="shared" si="24"/>
        <v>13604.77036592389</v>
      </c>
      <c r="M173" s="60">
        <v>33</v>
      </c>
      <c r="N173" s="70">
        <f t="shared" si="25"/>
        <v>9821.437717379591</v>
      </c>
      <c r="O173" s="70">
        <f t="shared" si="25"/>
        <v>14021.244297580082</v>
      </c>
      <c r="P173" s="71">
        <f t="shared" si="25"/>
        <v>15542.913348377358</v>
      </c>
      <c r="R173" s="60">
        <v>33</v>
      </c>
      <c r="S173" s="70">
        <f t="shared" si="26"/>
        <v>5623.3314537096721</v>
      </c>
      <c r="T173" s="70">
        <f t="shared" si="26"/>
        <v>7989.2452970387367</v>
      </c>
      <c r="U173" s="71">
        <f t="shared" si="26"/>
        <v>9757.9835489512407</v>
      </c>
    </row>
    <row r="174" spans="1:21" x14ac:dyDescent="0.2">
      <c r="A174" s="60">
        <v>34</v>
      </c>
      <c r="B174" s="70">
        <f t="shared" si="27"/>
        <v>6621.3231049629103</v>
      </c>
      <c r="C174" s="70">
        <f t="shared" si="27"/>
        <v>9796.3976872343246</v>
      </c>
      <c r="D174" s="71">
        <f t="shared" si="27"/>
        <v>11872.018003275718</v>
      </c>
      <c r="E174" s="5"/>
      <c r="F174" s="6"/>
      <c r="G174" s="60">
        <v>34</v>
      </c>
      <c r="H174" s="70">
        <f t="shared" ref="H174:J205" si="28">H$135*SQRT($G174)</f>
        <v>9055.7112673377669</v>
      </c>
      <c r="I174" s="70">
        <f t="shared" si="28"/>
        <v>12545.095287093494</v>
      </c>
      <c r="J174" s="71">
        <f t="shared" si="28"/>
        <v>13809.364859468758</v>
      </c>
      <c r="M174" s="60">
        <v>34</v>
      </c>
      <c r="N174" s="70">
        <f t="shared" ref="N174:P205" si="29">N$135*SQRT($G174)</f>
        <v>9969.1367980419709</v>
      </c>
      <c r="O174" s="70">
        <f t="shared" si="29"/>
        <v>14232.101908460269</v>
      </c>
      <c r="P174" s="71">
        <f t="shared" si="29"/>
        <v>15776.65448469878</v>
      </c>
      <c r="R174" s="60">
        <v>34</v>
      </c>
      <c r="S174" s="70">
        <f t="shared" si="26"/>
        <v>5707.8975742587063</v>
      </c>
      <c r="T174" s="70">
        <f t="shared" si="26"/>
        <v>8109.3910658675504</v>
      </c>
      <c r="U174" s="71">
        <f t="shared" si="26"/>
        <v>9904.7283780456946</v>
      </c>
    </row>
    <row r="175" spans="1:21" x14ac:dyDescent="0.2">
      <c r="A175" s="60">
        <v>35</v>
      </c>
      <c r="B175" s="70">
        <f t="shared" si="27"/>
        <v>6717.9898694192052</v>
      </c>
      <c r="C175" s="70">
        <f t="shared" si="27"/>
        <v>9939.4183573844148</v>
      </c>
      <c r="D175" s="71">
        <f t="shared" si="27"/>
        <v>12045.341302826433</v>
      </c>
      <c r="E175" s="5"/>
      <c r="F175" s="6"/>
      <c r="G175" s="60">
        <v>35</v>
      </c>
      <c r="H175" s="70">
        <f t="shared" si="28"/>
        <v>9187.9184250594353</v>
      </c>
      <c r="I175" s="70">
        <f t="shared" si="28"/>
        <v>12728.245052174478</v>
      </c>
      <c r="J175" s="71">
        <f t="shared" si="28"/>
        <v>14010.972090984276</v>
      </c>
      <c r="M175" s="60">
        <v>35</v>
      </c>
      <c r="N175" s="70">
        <f t="shared" si="29"/>
        <v>10114.679340433022</v>
      </c>
      <c r="O175" s="70">
        <f t="shared" si="29"/>
        <v>14439.880810213595</v>
      </c>
      <c r="P175" s="71">
        <f t="shared" si="29"/>
        <v>16006.982792018149</v>
      </c>
      <c r="R175" s="60">
        <v>35</v>
      </c>
      <c r="S175" s="70">
        <f t="shared" si="26"/>
        <v>5791.2289540456186</v>
      </c>
      <c r="T175" s="70">
        <f t="shared" si="26"/>
        <v>8227.7825993452971</v>
      </c>
      <c r="U175" s="71">
        <f t="shared" si="26"/>
        <v>10049.330601792561</v>
      </c>
    </row>
    <row r="176" spans="1:21" x14ac:dyDescent="0.2">
      <c r="A176" s="60">
        <v>36</v>
      </c>
      <c r="B176" s="70">
        <f t="shared" si="27"/>
        <v>6813.2852656352552</v>
      </c>
      <c r="C176" s="70">
        <f t="shared" si="27"/>
        <v>10080.410057124194</v>
      </c>
      <c r="D176" s="71">
        <f t="shared" si="27"/>
        <v>12216.205742089071</v>
      </c>
      <c r="E176" s="5"/>
      <c r="F176" s="6"/>
      <c r="G176" s="60">
        <v>36</v>
      </c>
      <c r="H176" s="70">
        <f t="shared" si="28"/>
        <v>9318.2500188450158</v>
      </c>
      <c r="I176" s="70">
        <f t="shared" si="28"/>
        <v>12908.796553286938</v>
      </c>
      <c r="J176" s="71">
        <f t="shared" si="28"/>
        <v>14209.719210693434</v>
      </c>
      <c r="M176" s="60">
        <v>36</v>
      </c>
      <c r="N176" s="70">
        <f t="shared" si="29"/>
        <v>10258.157135737914</v>
      </c>
      <c r="O176" s="70">
        <f t="shared" si="29"/>
        <v>14644.712045429615</v>
      </c>
      <c r="P176" s="71">
        <f t="shared" si="29"/>
        <v>16234.043534448345</v>
      </c>
      <c r="R176" s="60">
        <v>36</v>
      </c>
      <c r="S176" s="70">
        <f t="shared" si="26"/>
        <v>5873.3781487423566</v>
      </c>
      <c r="T176" s="70">
        <f t="shared" si="26"/>
        <v>8344.4945649815181</v>
      </c>
      <c r="U176" s="71">
        <f t="shared" si="26"/>
        <v>10191.88141833416</v>
      </c>
    </row>
    <row r="177" spans="1:21" x14ac:dyDescent="0.2">
      <c r="A177" s="60">
        <v>37</v>
      </c>
      <c r="B177" s="70">
        <f t="shared" si="27"/>
        <v>6907.266053673181</v>
      </c>
      <c r="C177" s="70">
        <f t="shared" si="27"/>
        <v>10219.456764252731</v>
      </c>
      <c r="D177" s="71">
        <f t="shared" si="27"/>
        <v>12384.713091732227</v>
      </c>
      <c r="E177" s="5"/>
      <c r="F177" s="6"/>
      <c r="G177" s="60">
        <v>37</v>
      </c>
      <c r="H177" s="70">
        <f t="shared" si="28"/>
        <v>9446.7836770968552</v>
      </c>
      <c r="I177" s="70">
        <f t="shared" si="28"/>
        <v>13086.857330929433</v>
      </c>
      <c r="J177" s="71">
        <f t="shared" si="28"/>
        <v>14405.724596810802</v>
      </c>
      <c r="M177" s="60">
        <v>37</v>
      </c>
      <c r="N177" s="70">
        <f t="shared" si="29"/>
        <v>10399.655642529648</v>
      </c>
      <c r="O177" s="70">
        <f t="shared" si="29"/>
        <v>14846.717616157708</v>
      </c>
      <c r="P177" s="71">
        <f t="shared" si="29"/>
        <v>16457.971954428744</v>
      </c>
      <c r="R177" s="60">
        <v>37</v>
      </c>
      <c r="S177" s="70">
        <f t="shared" si="26"/>
        <v>5954.3940882403876</v>
      </c>
      <c r="T177" s="70">
        <f t="shared" si="26"/>
        <v>8459.5964790244543</v>
      </c>
      <c r="U177" s="71">
        <f t="shared" si="26"/>
        <v>10332.465734114285</v>
      </c>
    </row>
    <row r="178" spans="1:21" x14ac:dyDescent="0.2">
      <c r="A178" s="60">
        <v>38</v>
      </c>
      <c r="B178" s="70">
        <f t="shared" si="27"/>
        <v>6999.9851829506952</v>
      </c>
      <c r="C178" s="70">
        <f t="shared" si="27"/>
        <v>10356.636818634281</v>
      </c>
      <c r="D178" s="71">
        <f t="shared" si="27"/>
        <v>12550.958289947313</v>
      </c>
      <c r="E178" s="5"/>
      <c r="F178" s="6"/>
      <c r="G178" s="60">
        <v>38</v>
      </c>
      <c r="H178" s="70">
        <f t="shared" si="28"/>
        <v>9573.5918165556886</v>
      </c>
      <c r="I178" s="70">
        <f t="shared" si="28"/>
        <v>13262.527705759943</v>
      </c>
      <c r="J178" s="71">
        <f t="shared" si="28"/>
        <v>14599.098680109311</v>
      </c>
      <c r="M178" s="60">
        <v>38</v>
      </c>
      <c r="N178" s="70">
        <f t="shared" si="29"/>
        <v>10539.254582033152</v>
      </c>
      <c r="O178" s="70">
        <f t="shared" si="29"/>
        <v>15046.011333715793</v>
      </c>
      <c r="P178" s="71">
        <f t="shared" si="29"/>
        <v>16678.894214760225</v>
      </c>
      <c r="R178" s="60">
        <v>38</v>
      </c>
      <c r="S178" s="70">
        <f t="shared" si="26"/>
        <v>6034.3224174732295</v>
      </c>
      <c r="T178" s="70">
        <f t="shared" si="26"/>
        <v>8573.153190678433</v>
      </c>
      <c r="U178" s="71">
        <f t="shared" si="26"/>
        <v>10471.162755296402</v>
      </c>
    </row>
    <row r="179" spans="1:21" x14ac:dyDescent="0.2">
      <c r="A179" s="60">
        <v>39</v>
      </c>
      <c r="B179" s="70">
        <f t="shared" si="27"/>
        <v>7091.4921410682455</v>
      </c>
      <c r="C179" s="70">
        <f t="shared" si="27"/>
        <v>10492.023438295946</v>
      </c>
      <c r="D179" s="71">
        <f t="shared" si="27"/>
        <v>12715.030067894879</v>
      </c>
      <c r="E179" s="5"/>
      <c r="F179" s="6"/>
      <c r="G179" s="60">
        <v>39</v>
      </c>
      <c r="H179" s="70">
        <f t="shared" si="28"/>
        <v>9698.7421193771588</v>
      </c>
      <c r="I179" s="70">
        <f t="shared" si="28"/>
        <v>13435.901439501513</v>
      </c>
      <c r="J179" s="71">
        <f t="shared" si="28"/>
        <v>14789.944671430627</v>
      </c>
      <c r="M179" s="60">
        <v>39</v>
      </c>
      <c r="N179" s="70">
        <f t="shared" si="29"/>
        <v>10677.028463323253</v>
      </c>
      <c r="O179" s="70">
        <f t="shared" si="29"/>
        <v>15242.699568471477</v>
      </c>
      <c r="P179" s="71">
        <f t="shared" si="29"/>
        <v>16896.928229757061</v>
      </c>
      <c r="R179" s="60">
        <v>39</v>
      </c>
      <c r="S179" s="70">
        <f t="shared" si="26"/>
        <v>6113.2057971221493</v>
      </c>
      <c r="T179" s="70">
        <f t="shared" si="26"/>
        <v>8685.2253093259806</v>
      </c>
      <c r="U179" s="71">
        <f t="shared" si="26"/>
        <v>10608.046509568445</v>
      </c>
    </row>
    <row r="180" spans="1:21" x14ac:dyDescent="0.2">
      <c r="A180" s="60">
        <v>40</v>
      </c>
      <c r="B180" s="70">
        <f t="shared" si="27"/>
        <v>7181.8332626242509</v>
      </c>
      <c r="C180" s="70">
        <f t="shared" si="27"/>
        <v>10625.685176326833</v>
      </c>
      <c r="D180" s="71">
        <f t="shared" si="27"/>
        <v>12877.011503409651</v>
      </c>
      <c r="E180" s="5"/>
      <c r="F180" s="6"/>
      <c r="G180" s="60">
        <v>40</v>
      </c>
      <c r="H180" s="70">
        <f t="shared" si="28"/>
        <v>9822.2979554857247</v>
      </c>
      <c r="I180" s="70">
        <f t="shared" si="28"/>
        <v>13607.066320039288</v>
      </c>
      <c r="J180" s="71">
        <f t="shared" si="28"/>
        <v>14978.359205747101</v>
      </c>
      <c r="M180" s="60">
        <v>40</v>
      </c>
      <c r="N180" s="70">
        <f t="shared" si="29"/>
        <v>10813.047048280285</v>
      </c>
      <c r="O180" s="70">
        <f t="shared" si="29"/>
        <v>15436.881913620282</v>
      </c>
      <c r="P180" s="71">
        <f t="shared" si="29"/>
        <v>17112.184401062306</v>
      </c>
      <c r="R180" s="60">
        <v>40</v>
      </c>
      <c r="S180" s="70">
        <f t="shared" si="26"/>
        <v>6191.0841698296899</v>
      </c>
      <c r="T180" s="70">
        <f t="shared" si="26"/>
        <v>8795.8695827458414</v>
      </c>
      <c r="U180" s="71">
        <f t="shared" si="26"/>
        <v>10743.186308094446</v>
      </c>
    </row>
    <row r="181" spans="1:21" x14ac:dyDescent="0.2">
      <c r="A181" s="60">
        <v>41</v>
      </c>
      <c r="B181" s="70">
        <f t="shared" ref="B181:D200" si="30">SQRT($A181)*B$135</f>
        <v>7271.0520034888686</v>
      </c>
      <c r="C181" s="70">
        <f t="shared" si="30"/>
        <v>10757.686326672296</v>
      </c>
      <c r="D181" s="71">
        <f t="shared" si="30"/>
        <v>13036.980512772812</v>
      </c>
      <c r="E181" s="5"/>
      <c r="F181" s="6"/>
      <c r="G181" s="60">
        <v>41</v>
      </c>
      <c r="H181" s="70">
        <f t="shared" si="28"/>
        <v>9944.3187576876026</v>
      </c>
      <c r="I181" s="70">
        <f t="shared" si="28"/>
        <v>13776.104681073537</v>
      </c>
      <c r="J181" s="71">
        <f t="shared" si="28"/>
        <v>15164.432914184383</v>
      </c>
      <c r="M181" s="60">
        <v>41</v>
      </c>
      <c r="N181" s="70">
        <f t="shared" si="29"/>
        <v>10947.375764539693</v>
      </c>
      <c r="O181" s="70">
        <f t="shared" si="29"/>
        <v>15628.651774719192</v>
      </c>
      <c r="P181" s="71">
        <f t="shared" si="29"/>
        <v>17324.766271161036</v>
      </c>
      <c r="R181" s="60">
        <v>41</v>
      </c>
      <c r="S181" s="70">
        <f t="shared" si="26"/>
        <v>6267.9949966367767</v>
      </c>
      <c r="T181" s="70">
        <f t="shared" si="26"/>
        <v>8905.1392330266408</v>
      </c>
      <c r="U181" s="71">
        <f t="shared" si="26"/>
        <v>10876.647155796159</v>
      </c>
    </row>
    <row r="182" spans="1:21" x14ac:dyDescent="0.2">
      <c r="A182" s="60">
        <v>42</v>
      </c>
      <c r="B182" s="70">
        <f t="shared" si="30"/>
        <v>7359.1891851441687</v>
      </c>
      <c r="C182" s="70">
        <f t="shared" si="30"/>
        <v>10888.087285640779</v>
      </c>
      <c r="D182" s="71">
        <f t="shared" si="30"/>
        <v>13195.010288813406</v>
      </c>
      <c r="E182" s="5"/>
      <c r="F182" s="6"/>
      <c r="G182" s="60">
        <v>42</v>
      </c>
      <c r="H182" s="70">
        <f t="shared" si="28"/>
        <v>10064.860355844783</v>
      </c>
      <c r="I182" s="70">
        <f t="shared" si="28"/>
        <v>13943.093865058963</v>
      </c>
      <c r="J182" s="71">
        <f t="shared" si="28"/>
        <v>15348.250933614827</v>
      </c>
      <c r="M182" s="60">
        <v>42</v>
      </c>
      <c r="N182" s="70">
        <f t="shared" si="29"/>
        <v>11080.076073373284</v>
      </c>
      <c r="O182" s="70">
        <f t="shared" si="29"/>
        <v>15818.096894879922</v>
      </c>
      <c r="P182" s="71">
        <f t="shared" si="29"/>
        <v>17534.77110557073</v>
      </c>
      <c r="R182" s="60">
        <v>42</v>
      </c>
      <c r="S182" s="70">
        <f t="shared" si="26"/>
        <v>6343.9734676156677</v>
      </c>
      <c r="T182" s="70">
        <f t="shared" si="26"/>
        <v>9013.0842558198183</v>
      </c>
      <c r="U182" s="71">
        <f t="shared" si="26"/>
        <v>11008.490116857505</v>
      </c>
    </row>
    <row r="183" spans="1:21" x14ac:dyDescent="0.2">
      <c r="A183" s="60">
        <v>43</v>
      </c>
      <c r="B183" s="70">
        <f t="shared" si="30"/>
        <v>7446.2832129893022</v>
      </c>
      <c r="C183" s="70">
        <f t="shared" si="30"/>
        <v>11016.944874891253</v>
      </c>
      <c r="D183" s="71">
        <f t="shared" si="30"/>
        <v>13351.169692329031</v>
      </c>
      <c r="E183" s="5"/>
      <c r="F183" s="6"/>
      <c r="G183" s="60">
        <v>43</v>
      </c>
      <c r="H183" s="70">
        <f t="shared" si="28"/>
        <v>10183.975275442024</v>
      </c>
      <c r="I183" s="70">
        <f t="shared" si="28"/>
        <v>14108.106636816776</v>
      </c>
      <c r="J183" s="71">
        <f t="shared" si="28"/>
        <v>15529.893361952556</v>
      </c>
      <c r="M183" s="60">
        <v>43</v>
      </c>
      <c r="N183" s="70">
        <f t="shared" si="29"/>
        <v>11211.205798371877</v>
      </c>
      <c r="O183" s="70">
        <f t="shared" si="29"/>
        <v>16005.299824001617</v>
      </c>
      <c r="P183" s="71">
        <f t="shared" si="29"/>
        <v>17742.290412997896</v>
      </c>
      <c r="R183" s="60">
        <v>43</v>
      </c>
      <c r="S183" s="70">
        <f t="shared" si="26"/>
        <v>6419.0526900594487</v>
      </c>
      <c r="T183" s="70">
        <f t="shared" si="26"/>
        <v>9119.7516877064118</v>
      </c>
      <c r="U183" s="71">
        <f t="shared" si="26"/>
        <v>11138.772641283689</v>
      </c>
    </row>
    <row r="184" spans="1:21" x14ac:dyDescent="0.2">
      <c r="A184" s="60">
        <v>44</v>
      </c>
      <c r="B184" s="70">
        <f t="shared" si="30"/>
        <v>7532.3702719230214</v>
      </c>
      <c r="C184" s="70">
        <f t="shared" si="30"/>
        <v>11144.312630801998</v>
      </c>
      <c r="D184" s="71">
        <f t="shared" si="30"/>
        <v>13505.523602764866</v>
      </c>
      <c r="E184" s="5"/>
      <c r="F184" s="6"/>
      <c r="G184" s="60">
        <v>44</v>
      </c>
      <c r="H184" s="70">
        <f t="shared" si="28"/>
        <v>10301.713005077016</v>
      </c>
      <c r="I184" s="70">
        <f t="shared" si="28"/>
        <v>14271.211554095267</v>
      </c>
      <c r="J184" s="71">
        <f t="shared" si="28"/>
        <v>15709.435666058404</v>
      </c>
      <c r="M184" s="60">
        <v>44</v>
      </c>
      <c r="N184" s="70">
        <f t="shared" si="29"/>
        <v>11340.819419916503</v>
      </c>
      <c r="O184" s="70">
        <f t="shared" si="29"/>
        <v>16190.338339162732</v>
      </c>
      <c r="P184" s="71">
        <f t="shared" si="29"/>
        <v>17947.41041135339</v>
      </c>
      <c r="R184" s="60">
        <v>44</v>
      </c>
      <c r="S184" s="70">
        <f t="shared" si="26"/>
        <v>6493.2638570835352</v>
      </c>
      <c r="T184" s="70">
        <f t="shared" si="26"/>
        <v>9225.1858457345334</v>
      </c>
      <c r="U184" s="71">
        <f t="shared" si="26"/>
        <v>11267.548857469879</v>
      </c>
    </row>
    <row r="185" spans="1:21" x14ac:dyDescent="0.2">
      <c r="A185" s="60">
        <v>45</v>
      </c>
      <c r="B185" s="70">
        <f t="shared" si="30"/>
        <v>7617.4845020290722</v>
      </c>
      <c r="C185" s="70">
        <f t="shared" si="30"/>
        <v>11270.24106440112</v>
      </c>
      <c r="D185" s="71">
        <f t="shared" si="30"/>
        <v>13658.133233217213</v>
      </c>
      <c r="E185" s="5"/>
      <c r="F185" s="6"/>
      <c r="G185" s="60">
        <v>45</v>
      </c>
      <c r="H185" s="70">
        <f t="shared" si="28"/>
        <v>10418.120236738076</v>
      </c>
      <c r="I185" s="70">
        <f t="shared" si="28"/>
        <v>14432.473300432292</v>
      </c>
      <c r="J185" s="71">
        <f t="shared" si="28"/>
        <v>15886.94904814759</v>
      </c>
      <c r="M185" s="60">
        <v>45</v>
      </c>
      <c r="N185" s="70">
        <f t="shared" si="29"/>
        <v>11468.968339692256</v>
      </c>
      <c r="O185" s="70">
        <f t="shared" si="29"/>
        <v>16373.285822245303</v>
      </c>
      <c r="P185" s="71">
        <f t="shared" si="29"/>
        <v>18150.212446358724</v>
      </c>
      <c r="R185" s="60">
        <v>45</v>
      </c>
      <c r="S185" s="70">
        <f t="shared" si="26"/>
        <v>6566.6363990748941</v>
      </c>
      <c r="T185" s="70">
        <f t="shared" si="26"/>
        <v>9329.4285425881062</v>
      </c>
      <c r="U185" s="71">
        <f t="shared" si="26"/>
        <v>11394.86983500608</v>
      </c>
    </row>
    <row r="186" spans="1:21" x14ac:dyDescent="0.2">
      <c r="A186" s="60">
        <v>46</v>
      </c>
      <c r="B186" s="70">
        <f t="shared" si="30"/>
        <v>7701.6581567839339</v>
      </c>
      <c r="C186" s="70">
        <f t="shared" si="30"/>
        <v>11394.777895438487</v>
      </c>
      <c r="D186" s="71">
        <f t="shared" si="30"/>
        <v>13809.056414099628</v>
      </c>
      <c r="E186" s="5"/>
      <c r="F186" s="6"/>
      <c r="G186" s="60">
        <v>46</v>
      </c>
      <c r="H186" s="70">
        <f t="shared" si="28"/>
        <v>10533.241082178358</v>
      </c>
      <c r="I186" s="70">
        <f t="shared" si="28"/>
        <v>14591.952984903688</v>
      </c>
      <c r="J186" s="71">
        <f t="shared" si="28"/>
        <v>16062.500775746201</v>
      </c>
      <c r="M186" s="60">
        <v>46</v>
      </c>
      <c r="N186" s="70">
        <f t="shared" si="29"/>
        <v>11595.701118887611</v>
      </c>
      <c r="O186" s="70">
        <f t="shared" si="29"/>
        <v>16554.211599992173</v>
      </c>
      <c r="P186" s="71">
        <f t="shared" si="29"/>
        <v>18350.773368508319</v>
      </c>
      <c r="R186" s="60">
        <v>46</v>
      </c>
      <c r="S186" s="70">
        <f t="shared" si="26"/>
        <v>6639.1981200746795</v>
      </c>
      <c r="T186" s="70">
        <f t="shared" si="26"/>
        <v>9432.5192803500031</v>
      </c>
      <c r="U186" s="71">
        <f t="shared" si="26"/>
        <v>11520.783821337511</v>
      </c>
    </row>
    <row r="187" spans="1:21" x14ac:dyDescent="0.2">
      <c r="A187" s="60">
        <v>47</v>
      </c>
      <c r="B187" s="70">
        <f t="shared" si="30"/>
        <v>7784.9217458661651</v>
      </c>
      <c r="C187" s="70">
        <f t="shared" si="30"/>
        <v>11517.968263675406</v>
      </c>
      <c r="D187" s="71">
        <f t="shared" si="30"/>
        <v>13958.347849199765</v>
      </c>
      <c r="E187" s="5"/>
      <c r="F187" s="6"/>
      <c r="G187" s="60">
        <v>47</v>
      </c>
      <c r="H187" s="70">
        <f t="shared" si="28"/>
        <v>10647.117268230324</v>
      </c>
      <c r="I187" s="70">
        <f t="shared" si="28"/>
        <v>14749.708412697124</v>
      </c>
      <c r="J187" s="71">
        <f t="shared" si="28"/>
        <v>16236.154479532923</v>
      </c>
      <c r="M187" s="60">
        <v>47</v>
      </c>
      <c r="N187" s="70">
        <f t="shared" si="29"/>
        <v>11721.063693209737</v>
      </c>
      <c r="O187" s="70">
        <f t="shared" si="29"/>
        <v>16733.181250966354</v>
      </c>
      <c r="P187" s="71">
        <f t="shared" si="29"/>
        <v>18549.165873341935</v>
      </c>
      <c r="R187" s="60">
        <v>47</v>
      </c>
      <c r="S187" s="70">
        <f t="shared" si="26"/>
        <v>6710.9753208867514</v>
      </c>
      <c r="T187" s="70">
        <f t="shared" si="26"/>
        <v>9534.4954254061777</v>
      </c>
      <c r="U187" s="71">
        <f t="shared" si="26"/>
        <v>11645.336455390752</v>
      </c>
    </row>
    <row r="188" spans="1:21" x14ac:dyDescent="0.2">
      <c r="A188" s="60">
        <v>48</v>
      </c>
      <c r="B188" s="70">
        <f t="shared" si="30"/>
        <v>7867.3041643604511</v>
      </c>
      <c r="C188" s="70">
        <f t="shared" si="30"/>
        <v>11639.854920044929</v>
      </c>
      <c r="D188" s="71">
        <f t="shared" si="30"/>
        <v>14106.059347341954</v>
      </c>
      <c r="E188" s="5"/>
      <c r="F188" s="6"/>
      <c r="G188" s="60">
        <v>48</v>
      </c>
      <c r="H188" s="70">
        <f t="shared" si="28"/>
        <v>10759.788313512809</v>
      </c>
      <c r="I188" s="70">
        <f t="shared" si="28"/>
        <v>14905.794329908655</v>
      </c>
      <c r="J188" s="71">
        <f t="shared" si="28"/>
        <v>16407.970422805702</v>
      </c>
      <c r="M188" s="60">
        <v>48</v>
      </c>
      <c r="N188" s="70">
        <f t="shared" si="29"/>
        <v>11845.099567415529</v>
      </c>
      <c r="O188" s="70">
        <f t="shared" si="29"/>
        <v>16910.256883266684</v>
      </c>
      <c r="P188" s="71">
        <f t="shared" si="29"/>
        <v>18745.458809299711</v>
      </c>
      <c r="R188" s="60">
        <v>48</v>
      </c>
      <c r="S188" s="70">
        <f t="shared" si="26"/>
        <v>6781.9929104577295</v>
      </c>
      <c r="T188" s="70">
        <f t="shared" si="26"/>
        <v>9635.3923666868977</v>
      </c>
      <c r="U188" s="71">
        <f t="shared" si="26"/>
        <v>11768.570960847945</v>
      </c>
    </row>
    <row r="189" spans="1:21" x14ac:dyDescent="0.2">
      <c r="A189" s="60">
        <v>49</v>
      </c>
      <c r="B189" s="70">
        <f t="shared" si="30"/>
        <v>7948.832809907798</v>
      </c>
      <c r="C189" s="70">
        <f t="shared" si="30"/>
        <v>11760.478399978227</v>
      </c>
      <c r="D189" s="71">
        <f t="shared" si="30"/>
        <v>14252.24003243725</v>
      </c>
      <c r="E189" s="5"/>
      <c r="F189" s="6"/>
      <c r="G189" s="60">
        <v>49</v>
      </c>
      <c r="H189" s="70">
        <f t="shared" si="28"/>
        <v>10871.291688652518</v>
      </c>
      <c r="I189" s="70">
        <f t="shared" si="28"/>
        <v>15060.262645501429</v>
      </c>
      <c r="J189" s="71">
        <f t="shared" si="28"/>
        <v>16578.005745809009</v>
      </c>
      <c r="M189" s="60">
        <v>49</v>
      </c>
      <c r="N189" s="70">
        <f t="shared" si="29"/>
        <v>11967.849991694233</v>
      </c>
      <c r="O189" s="70">
        <f t="shared" si="29"/>
        <v>17085.497386334551</v>
      </c>
      <c r="P189" s="71">
        <f t="shared" si="29"/>
        <v>18939.717456856401</v>
      </c>
      <c r="R189" s="60">
        <v>49</v>
      </c>
      <c r="S189" s="70">
        <f t="shared" si="26"/>
        <v>6852.2745068660824</v>
      </c>
      <c r="T189" s="70">
        <f t="shared" si="26"/>
        <v>9735.2436591451042</v>
      </c>
      <c r="U189" s="71">
        <f t="shared" si="26"/>
        <v>11890.528321389858</v>
      </c>
    </row>
    <row r="190" spans="1:21" x14ac:dyDescent="0.2">
      <c r="A190" s="60">
        <v>50</v>
      </c>
      <c r="B190" s="70">
        <f t="shared" si="30"/>
        <v>8029.5336891484621</v>
      </c>
      <c r="C190" s="70">
        <f t="shared" si="30"/>
        <v>11879.877180889318</v>
      </c>
      <c r="D190" s="71">
        <f t="shared" si="30"/>
        <v>14396.936534335371</v>
      </c>
      <c r="E190" s="74"/>
      <c r="F190" s="75"/>
      <c r="G190" s="60">
        <v>50</v>
      </c>
      <c r="H190" s="70">
        <f t="shared" si="28"/>
        <v>10981.662961861641</v>
      </c>
      <c r="I190" s="70">
        <f t="shared" si="28"/>
        <v>15213.162632977879</v>
      </c>
      <c r="J190" s="71">
        <f t="shared" si="28"/>
        <v>16746.314687730141</v>
      </c>
      <c r="M190" s="60">
        <v>50</v>
      </c>
      <c r="N190" s="70">
        <f t="shared" si="29"/>
        <v>12089.354121929084</v>
      </c>
      <c r="O190" s="70">
        <f t="shared" si="29"/>
        <v>17258.958659745993</v>
      </c>
      <c r="P190" s="71">
        <f t="shared" si="29"/>
        <v>19132.00378214342</v>
      </c>
      <c r="R190" s="60">
        <v>50</v>
      </c>
      <c r="S190" s="70">
        <f t="shared" si="26"/>
        <v>6921.842529081021</v>
      </c>
      <c r="T190" s="70">
        <f t="shared" si="26"/>
        <v>9834.0811541212024</v>
      </c>
      <c r="U190" s="71">
        <f t="shared" si="26"/>
        <v>12011.247439922092</v>
      </c>
    </row>
    <row r="191" spans="1:21" x14ac:dyDescent="0.2">
      <c r="A191" s="60">
        <v>51</v>
      </c>
      <c r="B191" s="70">
        <f t="shared" si="30"/>
        <v>8109.4315146299568</v>
      </c>
      <c r="C191" s="70">
        <f t="shared" si="30"/>
        <v>11998.087825552664</v>
      </c>
      <c r="D191" s="71">
        <f t="shared" si="30"/>
        <v>14540.19316258055</v>
      </c>
      <c r="E191" s="5"/>
      <c r="F191" s="6"/>
      <c r="G191" s="60">
        <v>51</v>
      </c>
      <c r="H191" s="70">
        <f t="shared" si="28"/>
        <v>11090.935931474958</v>
      </c>
      <c r="I191" s="70">
        <f t="shared" si="28"/>
        <v>15364.541113986552</v>
      </c>
      <c r="J191" s="71">
        <f t="shared" si="28"/>
        <v>16912.948788809594</v>
      </c>
      <c r="M191" s="60">
        <v>51</v>
      </c>
      <c r="N191" s="70">
        <f t="shared" si="29"/>
        <v>12209.649165603072</v>
      </c>
      <c r="O191" s="70">
        <f t="shared" si="29"/>
        <v>17430.693821509161</v>
      </c>
      <c r="P191" s="71">
        <f t="shared" si="29"/>
        <v>19322.376667851942</v>
      </c>
      <c r="R191" s="60">
        <v>51</v>
      </c>
      <c r="S191" s="70">
        <f t="shared" si="26"/>
        <v>6990.7182805018438</v>
      </c>
      <c r="T191" s="70">
        <f t="shared" si="26"/>
        <v>9931.9351180300546</v>
      </c>
      <c r="U191" s="71">
        <f t="shared" si="26"/>
        <v>12130.7652835382</v>
      </c>
    </row>
    <row r="192" spans="1:21" x14ac:dyDescent="0.2">
      <c r="A192" s="60">
        <v>52</v>
      </c>
      <c r="B192" s="70">
        <f t="shared" si="30"/>
        <v>8188.5497932037333</v>
      </c>
      <c r="C192" s="70">
        <f t="shared" si="30"/>
        <v>12115.145112888054</v>
      </c>
      <c r="D192" s="71">
        <f t="shared" si="30"/>
        <v>14682.052064906586</v>
      </c>
      <c r="E192" s="5"/>
      <c r="F192" s="6"/>
      <c r="G192" s="60">
        <v>52</v>
      </c>
      <c r="H192" s="70">
        <f t="shared" si="28"/>
        <v>11199.142746846328</v>
      </c>
      <c r="I192" s="70">
        <f t="shared" si="28"/>
        <v>15514.442625802956</v>
      </c>
      <c r="J192" s="71">
        <f t="shared" si="28"/>
        <v>17077.957074700287</v>
      </c>
      <c r="M192" s="60">
        <v>52</v>
      </c>
      <c r="N192" s="70">
        <f t="shared" si="29"/>
        <v>12328.770514889951</v>
      </c>
      <c r="O192" s="70">
        <f t="shared" si="29"/>
        <v>17600.753398067198</v>
      </c>
      <c r="P192" s="71">
        <f t="shared" si="29"/>
        <v>19510.892123856051</v>
      </c>
      <c r="R192" s="60">
        <v>52</v>
      </c>
      <c r="S192" s="70">
        <f t="shared" si="26"/>
        <v>7058.9220251601109</v>
      </c>
      <c r="T192" s="70">
        <f t="shared" si="26"/>
        <v>10028.834340623813</v>
      </c>
      <c r="U192" s="71">
        <f t="shared" si="26"/>
        <v>12249.117015750824</v>
      </c>
    </row>
    <row r="193" spans="1:21" x14ac:dyDescent="0.2">
      <c r="A193" s="60">
        <v>53</v>
      </c>
      <c r="B193" s="70">
        <f t="shared" si="30"/>
        <v>8266.9109068067446</v>
      </c>
      <c r="C193" s="70">
        <f t="shared" si="30"/>
        <v>12231.082157478773</v>
      </c>
      <c r="D193" s="71">
        <f t="shared" si="30"/>
        <v>14822.553372078017</v>
      </c>
      <c r="E193" s="5"/>
      <c r="F193" s="6"/>
      <c r="G193" s="60">
        <v>53</v>
      </c>
      <c r="H193" s="70">
        <f t="shared" si="28"/>
        <v>11306.314018830328</v>
      </c>
      <c r="I193" s="70">
        <f t="shared" si="28"/>
        <v>15662.909574382418</v>
      </c>
      <c r="J193" s="71">
        <f t="shared" si="28"/>
        <v>17241.38622494477</v>
      </c>
      <c r="M193" s="60">
        <v>53</v>
      </c>
      <c r="N193" s="70">
        <f t="shared" si="29"/>
        <v>12446.751868279849</v>
      </c>
      <c r="O193" s="70">
        <f t="shared" si="29"/>
        <v>17769.185497932944</v>
      </c>
      <c r="P193" s="71">
        <f t="shared" si="29"/>
        <v>19697.603479691308</v>
      </c>
      <c r="R193" s="60">
        <v>53</v>
      </c>
      <c r="S193" s="70">
        <f t="shared" si="26"/>
        <v>7126.4730573572215</v>
      </c>
      <c r="T193" s="70">
        <f t="shared" si="26"/>
        <v>10124.806233928248</v>
      </c>
      <c r="U193" s="71">
        <f t="shared" si="26"/>
        <v>12366.336117331477</v>
      </c>
    </row>
    <row r="194" spans="1:21" x14ac:dyDescent="0.2">
      <c r="A194" s="60">
        <v>54</v>
      </c>
      <c r="B194" s="70">
        <f t="shared" si="30"/>
        <v>8344.5361864146598</v>
      </c>
      <c r="C194" s="70">
        <f t="shared" si="30"/>
        <v>12345.930518987052</v>
      </c>
      <c r="D194" s="71">
        <f t="shared" si="30"/>
        <v>14961.735330488071</v>
      </c>
      <c r="E194" s="5"/>
      <c r="F194" s="6"/>
      <c r="G194" s="60">
        <v>54</v>
      </c>
      <c r="H194" s="70">
        <f t="shared" si="28"/>
        <v>11412.47892092501</v>
      </c>
      <c r="I194" s="70">
        <f t="shared" si="28"/>
        <v>15809.982374475601</v>
      </c>
      <c r="J194" s="71">
        <f t="shared" si="28"/>
        <v>17403.280727211324</v>
      </c>
      <c r="M194" s="60">
        <v>54</v>
      </c>
      <c r="N194" s="70">
        <f t="shared" si="29"/>
        <v>12563.625341924042</v>
      </c>
      <c r="O194" s="70">
        <f t="shared" si="29"/>
        <v>17936.03597064655</v>
      </c>
      <c r="P194" s="71">
        <f t="shared" si="29"/>
        <v>19882.561560763395</v>
      </c>
      <c r="R194" s="60">
        <v>54</v>
      </c>
      <c r="S194" s="70">
        <f t="shared" si="26"/>
        <v>7193.3897654156281</v>
      </c>
      <c r="T194" s="70">
        <f t="shared" si="26"/>
        <v>10219.876922816104</v>
      </c>
      <c r="U194" s="71">
        <f t="shared" si="26"/>
        <v>12482.454496935999</v>
      </c>
    </row>
    <row r="195" spans="1:21" x14ac:dyDescent="0.2">
      <c r="A195" s="60">
        <v>55</v>
      </c>
      <c r="B195" s="70">
        <f t="shared" si="30"/>
        <v>8421.4459798592252</v>
      </c>
      <c r="C195" s="70">
        <f t="shared" si="30"/>
        <v>12459.720302491392</v>
      </c>
      <c r="D195" s="71">
        <f t="shared" si="30"/>
        <v>15099.634423755053</v>
      </c>
      <c r="E195" s="5"/>
      <c r="F195" s="6"/>
      <c r="G195" s="60">
        <v>55</v>
      </c>
      <c r="H195" s="70">
        <f t="shared" si="28"/>
        <v>11517.665282022923</v>
      </c>
      <c r="I195" s="70">
        <f t="shared" si="28"/>
        <v>15955.699578118718</v>
      </c>
      <c r="J195" s="71">
        <f t="shared" si="28"/>
        <v>17563.683018733136</v>
      </c>
      <c r="M195" s="60">
        <v>55</v>
      </c>
      <c r="N195" s="70">
        <f t="shared" si="29"/>
        <v>12679.421571741515</v>
      </c>
      <c r="O195" s="70">
        <f t="shared" si="29"/>
        <v>18101.348552544456</v>
      </c>
      <c r="P195" s="71">
        <f t="shared" si="29"/>
        <v>20065.814849936825</v>
      </c>
      <c r="R195" s="60">
        <v>55</v>
      </c>
      <c r="S195" s="70">
        <f t="shared" si="26"/>
        <v>7259.6896901406344</v>
      </c>
      <c r="T195" s="70">
        <f t="shared" si="26"/>
        <v>10314.071328065656</v>
      </c>
      <c r="U195" s="71">
        <f t="shared" si="26"/>
        <v>12597.502592551362</v>
      </c>
    </row>
    <row r="196" spans="1:21" x14ac:dyDescent="0.2">
      <c r="A196" s="60">
        <v>56</v>
      </c>
      <c r="B196" s="70">
        <f t="shared" si="30"/>
        <v>8497.6597141207367</v>
      </c>
      <c r="C196" s="70">
        <f t="shared" si="30"/>
        <v>12572.480250649689</v>
      </c>
      <c r="D196" s="71">
        <f t="shared" si="30"/>
        <v>15236.285484412603</v>
      </c>
      <c r="E196" s="5"/>
      <c r="F196" s="6"/>
      <c r="G196" s="60">
        <v>56</v>
      </c>
      <c r="H196" s="70">
        <f t="shared" si="28"/>
        <v>11621.899671605957</v>
      </c>
      <c r="I196" s="70">
        <f t="shared" si="28"/>
        <v>16100.097992656023</v>
      </c>
      <c r="J196" s="71">
        <f t="shared" si="28"/>
        <v>17722.633616224888</v>
      </c>
      <c r="M196" s="60">
        <v>56</v>
      </c>
      <c r="N196" s="70">
        <f t="shared" si="29"/>
        <v>12794.169807207194</v>
      </c>
      <c r="O196" s="70">
        <f t="shared" si="29"/>
        <v>18265.165000653011</v>
      </c>
      <c r="P196" s="71">
        <f t="shared" si="29"/>
        <v>20247.409635959462</v>
      </c>
      <c r="R196" s="60">
        <v>56</v>
      </c>
      <c r="S196" s="70">
        <f t="shared" si="26"/>
        <v>7325.3895785195</v>
      </c>
      <c r="T196" s="70">
        <f t="shared" si="26"/>
        <v>10407.413242652699</v>
      </c>
      <c r="U196" s="71">
        <f t="shared" si="26"/>
        <v>12711.509464678027</v>
      </c>
    </row>
    <row r="197" spans="1:21" x14ac:dyDescent="0.2">
      <c r="A197" s="60">
        <v>57</v>
      </c>
      <c r="B197" s="70">
        <f t="shared" si="30"/>
        <v>8573.1959526359788</v>
      </c>
      <c r="C197" s="70">
        <f t="shared" si="30"/>
        <v>12684.237828487638</v>
      </c>
      <c r="D197" s="71">
        <f t="shared" si="30"/>
        <v>15371.721796662721</v>
      </c>
      <c r="E197" s="5"/>
      <c r="F197" s="6"/>
      <c r="G197" s="60">
        <v>57</v>
      </c>
      <c r="H197" s="70">
        <f t="shared" si="28"/>
        <v>11725.207478123068</v>
      </c>
      <c r="I197" s="70">
        <f t="shared" si="28"/>
        <v>16243.21278931835</v>
      </c>
      <c r="J197" s="71">
        <f t="shared" si="28"/>
        <v>17880.171235403599</v>
      </c>
      <c r="M197" s="60">
        <v>57</v>
      </c>
      <c r="N197" s="70">
        <f t="shared" si="29"/>
        <v>12907.897997635411</v>
      </c>
      <c r="O197" s="70">
        <f t="shared" si="29"/>
        <v>18427.52521586814</v>
      </c>
      <c r="P197" s="71">
        <f t="shared" si="29"/>
        <v>20427.390150010433</v>
      </c>
      <c r="R197" s="60">
        <v>57</v>
      </c>
      <c r="S197" s="70">
        <f t="shared" si="26"/>
        <v>7390.505433123637</v>
      </c>
      <c r="T197" s="70">
        <f t="shared" si="26"/>
        <v>10499.92540193785</v>
      </c>
      <c r="U197" s="71">
        <f t="shared" si="26"/>
        <v>12824.502882055887</v>
      </c>
    </row>
    <row r="198" spans="1:21" x14ac:dyDescent="0.2">
      <c r="A198" s="60">
        <v>58</v>
      </c>
      <c r="B198" s="70">
        <f t="shared" si="30"/>
        <v>8648.0724481006364</v>
      </c>
      <c r="C198" s="70">
        <f t="shared" si="30"/>
        <v>12795.019301521084</v>
      </c>
      <c r="D198" s="71">
        <f t="shared" si="30"/>
        <v>15505.975191050367</v>
      </c>
      <c r="E198" s="5"/>
      <c r="F198" s="6"/>
      <c r="G198" s="60">
        <v>58</v>
      </c>
      <c r="H198" s="70">
        <f t="shared" si="28"/>
        <v>11827.612981205955</v>
      </c>
      <c r="I198" s="70">
        <f t="shared" si="28"/>
        <v>16385.077603265232</v>
      </c>
      <c r="J198" s="71">
        <f t="shared" si="28"/>
        <v>18036.332901112797</v>
      </c>
      <c r="M198" s="60">
        <v>58</v>
      </c>
      <c r="N198" s="70">
        <f t="shared" si="29"/>
        <v>13020.632871679791</v>
      </c>
      <c r="O198" s="70">
        <f t="shared" si="29"/>
        <v>18588.467356450681</v>
      </c>
      <c r="P198" s="71">
        <f t="shared" si="29"/>
        <v>20605.798691512595</v>
      </c>
      <c r="R198" s="60">
        <v>58</v>
      </c>
      <c r="S198" s="70">
        <f t="shared" si="26"/>
        <v>7455.052557626801</v>
      </c>
      <c r="T198" s="70">
        <f t="shared" si="26"/>
        <v>10591.629548335637</v>
      </c>
      <c r="U198" s="71">
        <f t="shared" si="26"/>
        <v>12936.509400650568</v>
      </c>
    </row>
    <row r="199" spans="1:21" x14ac:dyDescent="0.2">
      <c r="A199" s="60">
        <v>59</v>
      </c>
      <c r="B199" s="70">
        <f t="shared" si="30"/>
        <v>8722.3061911916811</v>
      </c>
      <c r="C199" s="70">
        <f t="shared" si="30"/>
        <v>12904.849807841909</v>
      </c>
      <c r="D199" s="71">
        <f t="shared" si="30"/>
        <v>15639.07613182259</v>
      </c>
      <c r="E199" s="5"/>
      <c r="F199" s="6"/>
      <c r="G199" s="60">
        <v>59</v>
      </c>
      <c r="H199" s="70">
        <f t="shared" si="28"/>
        <v>11929.139418304661</v>
      </c>
      <c r="I199" s="70">
        <f t="shared" si="28"/>
        <v>16525.724625896819</v>
      </c>
      <c r="J199" s="71">
        <f t="shared" si="28"/>
        <v>18191.154048937457</v>
      </c>
      <c r="M199" s="60">
        <v>59</v>
      </c>
      <c r="N199" s="70">
        <f t="shared" si="29"/>
        <v>13132.400010690215</v>
      </c>
      <c r="O199" s="70">
        <f t="shared" si="29"/>
        <v>18748.027942751978</v>
      </c>
      <c r="P199" s="71">
        <f t="shared" si="29"/>
        <v>20782.675744223627</v>
      </c>
      <c r="R199" s="60">
        <v>59</v>
      </c>
      <c r="S199" s="70">
        <f t="shared" si="26"/>
        <v>7519.0455988061276</v>
      </c>
      <c r="T199" s="70">
        <f t="shared" si="26"/>
        <v>10682.546490986751</v>
      </c>
      <c r="U199" s="71">
        <f t="shared" si="26"/>
        <v>13047.554436536419</v>
      </c>
    </row>
    <row r="200" spans="1:21" x14ac:dyDescent="0.2">
      <c r="A200" s="60">
        <v>60</v>
      </c>
      <c r="B200" s="70">
        <f t="shared" si="30"/>
        <v>8795.9134555885739</v>
      </c>
      <c r="C200" s="70">
        <f t="shared" si="30"/>
        <v>13013.75342472792</v>
      </c>
      <c r="D200" s="71">
        <f t="shared" si="30"/>
        <v>15771.053797651464</v>
      </c>
      <c r="E200" s="5"/>
      <c r="F200" s="6"/>
      <c r="G200" s="60">
        <v>60</v>
      </c>
      <c r="H200" s="70">
        <f t="shared" si="28"/>
        <v>12029.809046261231</v>
      </c>
      <c r="I200" s="70">
        <f t="shared" si="28"/>
        <v>16665.184690153339</v>
      </c>
      <c r="J200" s="71">
        <f t="shared" si="28"/>
        <v>18344.668619099757</v>
      </c>
      <c r="M200" s="60">
        <v>60</v>
      </c>
      <c r="N200" s="70">
        <f t="shared" si="29"/>
        <v>13243.22391649724</v>
      </c>
      <c r="O200" s="70">
        <f t="shared" si="29"/>
        <v>18906.241953984019</v>
      </c>
      <c r="P200" s="71">
        <f t="shared" si="29"/>
        <v>20958.060083508211</v>
      </c>
      <c r="R200" s="60">
        <v>60</v>
      </c>
      <c r="S200" s="70">
        <f t="shared" si="26"/>
        <v>7582.4985853525668</v>
      </c>
      <c r="T200" s="70">
        <f t="shared" si="26"/>
        <v>10772.696160897241</v>
      </c>
      <c r="U200" s="71">
        <f t="shared" si="26"/>
        <v>13157.662333243006</v>
      </c>
    </row>
    <row r="201" spans="1:21" x14ac:dyDescent="0.2">
      <c r="A201" s="60">
        <v>61</v>
      </c>
      <c r="B201" s="70">
        <f t="shared" ref="B201:D220" si="31">SQRT($A201)*B$135</f>
        <v>8868.909839631222</v>
      </c>
      <c r="C201" s="70">
        <f t="shared" si="31"/>
        <v>13121.753230276736</v>
      </c>
      <c r="D201" s="71">
        <f t="shared" si="31"/>
        <v>15901.936156326696</v>
      </c>
      <c r="E201" s="5"/>
      <c r="F201" s="6"/>
      <c r="G201" s="60">
        <v>61</v>
      </c>
      <c r="H201" s="70">
        <f t="shared" si="28"/>
        <v>12129.643198283575</v>
      </c>
      <c r="I201" s="70">
        <f t="shared" si="28"/>
        <v>16803.487349442374</v>
      </c>
      <c r="J201" s="71">
        <f t="shared" si="28"/>
        <v>18496.90914334049</v>
      </c>
      <c r="M201" s="60">
        <v>61</v>
      </c>
      <c r="N201" s="70">
        <f t="shared" si="29"/>
        <v>13353.128074132761</v>
      </c>
      <c r="O201" s="70">
        <f t="shared" si="29"/>
        <v>19063.142917760488</v>
      </c>
      <c r="P201" s="71">
        <f t="shared" si="29"/>
        <v>21131.988875596617</v>
      </c>
      <c r="R201" s="60">
        <v>61</v>
      </c>
      <c r="S201" s="70">
        <f t="shared" si="26"/>
        <v>7645.4249637820358</v>
      </c>
      <c r="T201" s="70">
        <f t="shared" si="26"/>
        <v>10862.097661958622</v>
      </c>
      <c r="U201" s="71">
        <f t="shared" si="26"/>
        <v>13266.856424070567</v>
      </c>
    </row>
    <row r="202" spans="1:21" x14ac:dyDescent="0.2">
      <c r="A202" s="60">
        <v>62</v>
      </c>
      <c r="B202" s="70">
        <f t="shared" si="31"/>
        <v>8941.3103049167767</v>
      </c>
      <c r="C202" s="70">
        <f t="shared" si="31"/>
        <v>13228.871360510626</v>
      </c>
      <c r="D202" s="71">
        <f t="shared" si="31"/>
        <v>16031.750033959608</v>
      </c>
      <c r="E202" s="5"/>
      <c r="F202" s="6"/>
      <c r="G202" s="60">
        <v>62</v>
      </c>
      <c r="H202" s="70">
        <f t="shared" si="28"/>
        <v>12228.662336732727</v>
      </c>
      <c r="I202" s="70">
        <f t="shared" si="28"/>
        <v>16940.660950766316</v>
      </c>
      <c r="J202" s="71">
        <f t="shared" si="28"/>
        <v>18647.906825416168</v>
      </c>
      <c r="M202" s="60">
        <v>62</v>
      </c>
      <c r="N202" s="70">
        <f t="shared" si="29"/>
        <v>13462.135009941796</v>
      </c>
      <c r="O202" s="70">
        <f t="shared" si="29"/>
        <v>19218.762993058066</v>
      </c>
      <c r="P202" s="71">
        <f t="shared" si="29"/>
        <v>21304.497769549467</v>
      </c>
      <c r="R202" s="60">
        <v>62</v>
      </c>
      <c r="S202" s="70">
        <f t="shared" si="26"/>
        <v>7707.8376317077073</v>
      </c>
      <c r="T202" s="70">
        <f t="shared" si="26"/>
        <v>10950.769318218874</v>
      </c>
      <c r="U202" s="71">
        <f t="shared" si="26"/>
        <v>13375.159089826309</v>
      </c>
    </row>
    <row r="203" spans="1:21" x14ac:dyDescent="0.2">
      <c r="A203" s="60">
        <v>63</v>
      </c>
      <c r="B203" s="70">
        <f t="shared" si="31"/>
        <v>9013.1292121057686</v>
      </c>
      <c r="C203" s="70">
        <f t="shared" si="31"/>
        <v>13335.129062352511</v>
      </c>
      <c r="D203" s="71">
        <f t="shared" si="31"/>
        <v>16160.52117918347</v>
      </c>
      <c r="E203" s="5"/>
      <c r="F203" s="6"/>
      <c r="G203" s="60">
        <v>63</v>
      </c>
      <c r="H203" s="70">
        <f t="shared" si="28"/>
        <v>12326.886102093424</v>
      </c>
      <c r="I203" s="70">
        <f t="shared" si="28"/>
        <v>17076.732702562495</v>
      </c>
      <c r="J203" s="71">
        <f t="shared" si="28"/>
        <v>18797.691615775926</v>
      </c>
      <c r="M203" s="60">
        <v>63</v>
      </c>
      <c r="N203" s="70">
        <f t="shared" si="29"/>
        <v>13570.266345492586</v>
      </c>
      <c r="O203" s="70">
        <f t="shared" si="29"/>
        <v>19373.133047179403</v>
      </c>
      <c r="P203" s="71">
        <f t="shared" si="29"/>
        <v>21475.620982573175</v>
      </c>
      <c r="R203" s="60">
        <v>63</v>
      </c>
      <c r="S203" s="70">
        <f t="shared" si="26"/>
        <v>7769.7489687066045</v>
      </c>
      <c r="T203" s="70">
        <f t="shared" si="26"/>
        <v>11038.728717735601</v>
      </c>
      <c r="U203" s="71">
        <f t="shared" si="26"/>
        <v>13482.591812386225</v>
      </c>
    </row>
    <row r="204" spans="1:21" x14ac:dyDescent="0.2">
      <c r="A204" s="60">
        <v>64</v>
      </c>
      <c r="B204" s="70">
        <f t="shared" si="31"/>
        <v>9084.3803541803409</v>
      </c>
      <c r="C204" s="70">
        <f t="shared" si="31"/>
        <v>13440.546742832259</v>
      </c>
      <c r="D204" s="71">
        <f t="shared" si="31"/>
        <v>16288.274322785428</v>
      </c>
      <c r="E204" s="5"/>
      <c r="F204" s="6"/>
      <c r="G204" s="60">
        <v>64</v>
      </c>
      <c r="H204" s="70">
        <f t="shared" si="28"/>
        <v>12424.33335846002</v>
      </c>
      <c r="I204" s="70">
        <f t="shared" si="28"/>
        <v>17211.728737715919</v>
      </c>
      <c r="J204" s="71">
        <f t="shared" si="28"/>
        <v>18946.292280924579</v>
      </c>
      <c r="M204" s="60">
        <v>64</v>
      </c>
      <c r="N204" s="70">
        <f t="shared" si="29"/>
        <v>13677.542847650551</v>
      </c>
      <c r="O204" s="70">
        <f t="shared" si="29"/>
        <v>19526.282727239486</v>
      </c>
      <c r="P204" s="71">
        <f t="shared" si="29"/>
        <v>21645.39137926446</v>
      </c>
      <c r="R204" s="60">
        <v>64</v>
      </c>
      <c r="S204" s="70">
        <f t="shared" si="26"/>
        <v>7831.1708649898101</v>
      </c>
      <c r="T204" s="70">
        <f t="shared" si="26"/>
        <v>11125.992753308692</v>
      </c>
      <c r="U204" s="71">
        <f t="shared" si="26"/>
        <v>13589.175224445549</v>
      </c>
    </row>
    <row r="205" spans="1:21" x14ac:dyDescent="0.2">
      <c r="A205" s="60">
        <v>65</v>
      </c>
      <c r="B205" s="70">
        <f t="shared" si="31"/>
        <v>9155.0769873726967</v>
      </c>
      <c r="C205" s="70">
        <f t="shared" si="31"/>
        <v>13545.144014846026</v>
      </c>
      <c r="D205" s="71">
        <f t="shared" si="31"/>
        <v>16415.033233161139</v>
      </c>
      <c r="E205" s="5"/>
      <c r="F205" s="6"/>
      <c r="G205" s="60">
        <v>65</v>
      </c>
      <c r="H205" s="70">
        <f t="shared" si="28"/>
        <v>12521.022235836055</v>
      </c>
      <c r="I205" s="70">
        <f t="shared" si="28"/>
        <v>17345.674172157873</v>
      </c>
      <c r="J205" s="71">
        <f t="shared" si="28"/>
        <v>19093.736467926647</v>
      </c>
      <c r="M205" s="60">
        <v>65</v>
      </c>
      <c r="N205" s="70">
        <f t="shared" si="29"/>
        <v>13783.984475144507</v>
      </c>
      <c r="O205" s="70">
        <f t="shared" si="29"/>
        <v>19678.240526644335</v>
      </c>
      <c r="P205" s="71">
        <f t="shared" si="29"/>
        <v>21813.84054530369</v>
      </c>
      <c r="R205" s="60">
        <v>65</v>
      </c>
      <c r="S205" s="70">
        <f t="shared" si="26"/>
        <v>7892.1147480642448</v>
      </c>
      <c r="T205" s="70">
        <f t="shared" si="26"/>
        <v>11212.577660359562</v>
      </c>
      <c r="U205" s="71">
        <f t="shared" si="26"/>
        <v>13694.929155784099</v>
      </c>
    </row>
    <row r="206" spans="1:21" x14ac:dyDescent="0.2">
      <c r="A206" s="60">
        <v>66</v>
      </c>
      <c r="B206" s="70">
        <f t="shared" si="31"/>
        <v>9225.2318599601895</v>
      </c>
      <c r="C206" s="70">
        <f t="shared" si="31"/>
        <v>13648.939739759257</v>
      </c>
      <c r="D206" s="71">
        <f t="shared" si="31"/>
        <v>16540.820767944326</v>
      </c>
      <c r="E206" s="5"/>
      <c r="F206" s="6"/>
      <c r="G206" s="60">
        <v>66</v>
      </c>
      <c r="H206" s="70">
        <f t="shared" ref="H206:J240" si="32">H$135*SQRT($G206)</f>
        <v>12616.970169516111</v>
      </c>
      <c r="I206" s="70">
        <f t="shared" si="32"/>
        <v>17478.593159422569</v>
      </c>
      <c r="J206" s="71">
        <f t="shared" si="32"/>
        <v>19240.050764461143</v>
      </c>
      <c r="M206" s="60">
        <v>66</v>
      </c>
      <c r="N206" s="70">
        <f t="shared" ref="N206:P240" si="33">N$135*SQRT($G206)</f>
        <v>13889.610421920872</v>
      </c>
      <c r="O206" s="70">
        <f t="shared" si="33"/>
        <v>19829.033846984174</v>
      </c>
      <c r="P206" s="71">
        <f t="shared" si="33"/>
        <v>21980.998856065078</v>
      </c>
      <c r="R206" s="60">
        <v>66</v>
      </c>
      <c r="S206" s="70">
        <f t="shared" ref="S206:U240" si="34">B206+H206-N206</f>
        <v>7952.5916075554269</v>
      </c>
      <c r="T206" s="70">
        <f t="shared" si="34"/>
        <v>11298.499052197651</v>
      </c>
      <c r="U206" s="71">
        <f t="shared" si="34"/>
        <v>13799.872676340387</v>
      </c>
    </row>
    <row r="207" spans="1:21" x14ac:dyDescent="0.2">
      <c r="A207" s="60">
        <v>67</v>
      </c>
      <c r="B207" s="70">
        <f t="shared" si="31"/>
        <v>9294.8572391042107</v>
      </c>
      <c r="C207" s="70">
        <f t="shared" si="31"/>
        <v>13751.952067115408</v>
      </c>
      <c r="D207" s="71">
        <f t="shared" si="31"/>
        <v>16665.65892212882</v>
      </c>
      <c r="E207" s="5"/>
      <c r="F207" s="6"/>
      <c r="G207" s="60">
        <v>67</v>
      </c>
      <c r="H207" s="70">
        <f t="shared" si="32"/>
        <v>12712.193936792261</v>
      </c>
      <c r="I207" s="70">
        <f t="shared" si="32"/>
        <v>17610.508941497465</v>
      </c>
      <c r="J207" s="71">
        <f t="shared" si="32"/>
        <v>19385.260754796451</v>
      </c>
      <c r="M207" s="60">
        <v>67</v>
      </c>
      <c r="N207" s="70">
        <f t="shared" si="33"/>
        <v>13994.439157552581</v>
      </c>
      <c r="O207" s="70">
        <f t="shared" si="33"/>
        <v>19978.689055721861</v>
      </c>
      <c r="P207" s="71">
        <f t="shared" si="33"/>
        <v>22146.895540565798</v>
      </c>
      <c r="R207" s="60">
        <v>67</v>
      </c>
      <c r="S207" s="70">
        <f t="shared" si="34"/>
        <v>8012.6120183438907</v>
      </c>
      <c r="T207" s="70">
        <f t="shared" si="34"/>
        <v>11383.771952891013</v>
      </c>
      <c r="U207" s="71">
        <f t="shared" si="34"/>
        <v>13904.024136359476</v>
      </c>
    </row>
    <row r="208" spans="1:21" x14ac:dyDescent="0.2">
      <c r="A208" s="60">
        <v>68</v>
      </c>
      <c r="B208" s="70">
        <f t="shared" si="31"/>
        <v>9363.96493589288</v>
      </c>
      <c r="C208" s="70">
        <f t="shared" si="31"/>
        <v>13854.198471687203</v>
      </c>
      <c r="D208" s="71">
        <f t="shared" si="31"/>
        <v>16789.568872970071</v>
      </c>
      <c r="E208" s="5"/>
      <c r="F208" s="6"/>
      <c r="G208" s="60">
        <v>68</v>
      </c>
      <c r="H208" s="70">
        <f t="shared" si="32"/>
        <v>12806.709691203918</v>
      </c>
      <c r="I208" s="70">
        <f t="shared" si="32"/>
        <v>17741.443896270415</v>
      </c>
      <c r="J208" s="71">
        <f t="shared" si="32"/>
        <v>19529.391072019149</v>
      </c>
      <c r="M208" s="60">
        <v>68</v>
      </c>
      <c r="N208" s="70">
        <f t="shared" si="33"/>
        <v>14098.488464943646</v>
      </c>
      <c r="O208" s="70">
        <f t="shared" si="33"/>
        <v>20127.231540020519</v>
      </c>
      <c r="P208" s="71">
        <f t="shared" si="33"/>
        <v>22311.558741135326</v>
      </c>
      <c r="R208" s="60">
        <v>68</v>
      </c>
      <c r="S208" s="70">
        <f t="shared" si="34"/>
        <v>8072.1861621531534</v>
      </c>
      <c r="T208" s="70">
        <f t="shared" si="34"/>
        <v>11468.410827937099</v>
      </c>
      <c r="U208" s="71">
        <f t="shared" si="34"/>
        <v>14007.401203853893</v>
      </c>
    </row>
    <row r="209" spans="1:21" x14ac:dyDescent="0.2">
      <c r="A209" s="60">
        <v>69</v>
      </c>
      <c r="B209" s="70">
        <f t="shared" si="31"/>
        <v>9432.5663287323223</v>
      </c>
      <c r="C209" s="70">
        <f t="shared" si="31"/>
        <v>13955.695788084531</v>
      </c>
      <c r="D209" s="71">
        <f t="shared" si="31"/>
        <v>16912.571021925647</v>
      </c>
      <c r="E209" s="5"/>
      <c r="F209" s="6"/>
      <c r="G209" s="60">
        <v>69</v>
      </c>
      <c r="H209" s="70">
        <f t="shared" si="32"/>
        <v>12900.532994529134</v>
      </c>
      <c r="I209" s="70">
        <f t="shared" si="32"/>
        <v>17871.419581847982</v>
      </c>
      <c r="J209" s="71">
        <f t="shared" si="32"/>
        <v>19672.46544681858</v>
      </c>
      <c r="M209" s="60">
        <v>69</v>
      </c>
      <c r="N209" s="70">
        <f t="shared" si="33"/>
        <v>14201.775475547314</v>
      </c>
      <c r="O209" s="70">
        <f t="shared" si="33"/>
        <v>20274.685757021569</v>
      </c>
      <c r="P209" s="71">
        <f t="shared" si="33"/>
        <v>22475.015569149917</v>
      </c>
      <c r="R209" s="60">
        <v>69</v>
      </c>
      <c r="S209" s="70">
        <f t="shared" si="34"/>
        <v>8131.3238477141422</v>
      </c>
      <c r="T209" s="70">
        <f t="shared" si="34"/>
        <v>11552.429612910946</v>
      </c>
      <c r="U209" s="71">
        <f t="shared" si="34"/>
        <v>14110.02089959431</v>
      </c>
    </row>
    <row r="210" spans="1:21" x14ac:dyDescent="0.2">
      <c r="A210" s="60">
        <v>70</v>
      </c>
      <c r="B210" s="70">
        <f t="shared" si="31"/>
        <v>9500.6723852176983</v>
      </c>
      <c r="C210" s="70">
        <f t="shared" si="31"/>
        <v>14056.460243113152</v>
      </c>
      <c r="D210" s="71">
        <f t="shared" si="31"/>
        <v>17034.685033869948</v>
      </c>
      <c r="E210" s="5"/>
      <c r="F210" s="6"/>
      <c r="G210" s="60">
        <v>70</v>
      </c>
      <c r="H210" s="70">
        <f t="shared" si="32"/>
        <v>12993.678846696701</v>
      </c>
      <c r="I210" s="70">
        <f t="shared" si="32"/>
        <v>18000.45677799339</v>
      </c>
      <c r="J210" s="71">
        <f t="shared" si="32"/>
        <v>19814.506753100886</v>
      </c>
      <c r="M210" s="60">
        <v>70</v>
      </c>
      <c r="N210" s="70">
        <f t="shared" si="33"/>
        <v>14304.316702295331</v>
      </c>
      <c r="O210" s="70">
        <f t="shared" si="33"/>
        <v>20421.075280855061</v>
      </c>
      <c r="P210" s="71">
        <f t="shared" si="33"/>
        <v>22637.292157144817</v>
      </c>
      <c r="R210" s="60">
        <v>70</v>
      </c>
      <c r="S210" s="70">
        <f t="shared" si="34"/>
        <v>8190.0345296190681</v>
      </c>
      <c r="T210" s="70">
        <f t="shared" si="34"/>
        <v>11635.841740251482</v>
      </c>
      <c r="U210" s="71">
        <f t="shared" si="34"/>
        <v>14211.899629826017</v>
      </c>
    </row>
    <row r="211" spans="1:21" x14ac:dyDescent="0.2">
      <c r="A211" s="60">
        <v>71</v>
      </c>
      <c r="B211" s="70">
        <f t="shared" si="31"/>
        <v>9568.2936826030564</v>
      </c>
      <c r="C211" s="70">
        <f t="shared" si="31"/>
        <v>14156.507486060287</v>
      </c>
      <c r="D211" s="71">
        <f t="shared" si="31"/>
        <v>17155.929873796595</v>
      </c>
      <c r="E211" s="5"/>
      <c r="F211" s="6"/>
      <c r="G211" s="60">
        <v>71</v>
      </c>
      <c r="H211" s="70">
        <f t="shared" si="32"/>
        <v>13086.161713781921</v>
      </c>
      <c r="I211" s="70">
        <f t="shared" si="32"/>
        <v>18128.575524909753</v>
      </c>
      <c r="J211" s="71">
        <f t="shared" si="32"/>
        <v>19955.537050680705</v>
      </c>
      <c r="M211" s="60">
        <v>71</v>
      </c>
      <c r="N211" s="70">
        <f t="shared" si="33"/>
        <v>14406.128070417579</v>
      </c>
      <c r="O211" s="70">
        <f t="shared" si="33"/>
        <v>20566.422846638307</v>
      </c>
      <c r="P211" s="71">
        <f t="shared" si="33"/>
        <v>22798.413707587843</v>
      </c>
      <c r="R211" s="60">
        <v>71</v>
      </c>
      <c r="S211" s="70">
        <f t="shared" si="34"/>
        <v>8248.327325967397</v>
      </c>
      <c r="T211" s="70">
        <f t="shared" si="34"/>
        <v>11718.660164331734</v>
      </c>
      <c r="U211" s="71">
        <f t="shared" si="34"/>
        <v>14313.053216889453</v>
      </c>
    </row>
    <row r="212" spans="1:21" x14ac:dyDescent="0.2">
      <c r="A212" s="60">
        <v>72</v>
      </c>
      <c r="B212" s="70">
        <f t="shared" si="31"/>
        <v>9635.4404269781535</v>
      </c>
      <c r="C212" s="70">
        <f t="shared" si="31"/>
        <v>14255.852617067179</v>
      </c>
      <c r="D212" s="71">
        <f t="shared" si="31"/>
        <v>17276.323841202444</v>
      </c>
      <c r="E212" s="5"/>
      <c r="F212" s="6"/>
      <c r="G212" s="60">
        <v>72</v>
      </c>
      <c r="H212" s="70">
        <f t="shared" si="32"/>
        <v>13177.995554233969</v>
      </c>
      <c r="I212" s="70">
        <f t="shared" si="32"/>
        <v>18255.795159573452</v>
      </c>
      <c r="J212" s="71">
        <f t="shared" si="32"/>
        <v>20095.577625276164</v>
      </c>
      <c r="M212" s="60">
        <v>72</v>
      </c>
      <c r="N212" s="70">
        <f t="shared" si="33"/>
        <v>14507.224946314898</v>
      </c>
      <c r="O212" s="70">
        <f t="shared" si="33"/>
        <v>20710.75039169519</v>
      </c>
      <c r="P212" s="71">
        <f t="shared" si="33"/>
        <v>22958.404538572104</v>
      </c>
      <c r="R212" s="60">
        <v>72</v>
      </c>
      <c r="S212" s="70">
        <f t="shared" si="34"/>
        <v>8306.2110348972237</v>
      </c>
      <c r="T212" s="70">
        <f t="shared" si="34"/>
        <v>11800.897384945441</v>
      </c>
      <c r="U212" s="71">
        <f t="shared" si="34"/>
        <v>14413.496927906504</v>
      </c>
    </row>
    <row r="213" spans="1:21" x14ac:dyDescent="0.2">
      <c r="A213" s="60">
        <v>73</v>
      </c>
      <c r="B213" s="70">
        <f t="shared" si="31"/>
        <v>9702.1224712507283</v>
      </c>
      <c r="C213" s="70">
        <f t="shared" si="31"/>
        <v>14354.510213734269</v>
      </c>
      <c r="D213" s="71">
        <f t="shared" si="31"/>
        <v>17395.884602329756</v>
      </c>
      <c r="E213" s="5"/>
      <c r="F213" s="6"/>
      <c r="G213" s="60">
        <v>73</v>
      </c>
      <c r="H213" s="70">
        <f t="shared" si="32"/>
        <v>13269.193843469493</v>
      </c>
      <c r="I213" s="70">
        <f t="shared" si="32"/>
        <v>18382.134349804273</v>
      </c>
      <c r="J213" s="71">
        <f t="shared" si="32"/>
        <v>20234.649026012528</v>
      </c>
      <c r="M213" s="60">
        <v>73</v>
      </c>
      <c r="N213" s="70">
        <f t="shared" si="33"/>
        <v>14607.622164633414</v>
      </c>
      <c r="O213" s="70">
        <f t="shared" si="33"/>
        <v>20854.079094207897</v>
      </c>
      <c r="P213" s="71">
        <f t="shared" si="33"/>
        <v>23117.288126662417</v>
      </c>
      <c r="R213" s="60">
        <v>73</v>
      </c>
      <c r="S213" s="70">
        <f t="shared" si="34"/>
        <v>8363.694150086807</v>
      </c>
      <c r="T213" s="70">
        <f t="shared" si="34"/>
        <v>11882.565469330646</v>
      </c>
      <c r="U213" s="71">
        <f t="shared" si="34"/>
        <v>14513.245501679863</v>
      </c>
    </row>
    <row r="214" spans="1:21" x14ac:dyDescent="0.2">
      <c r="A214" s="60">
        <v>74</v>
      </c>
      <c r="B214" s="70">
        <f t="shared" si="31"/>
        <v>9768.3493320238995</v>
      </c>
      <c r="C214" s="70">
        <f t="shared" si="31"/>
        <v>14452.494356091678</v>
      </c>
      <c r="D214" s="71">
        <f t="shared" si="31"/>
        <v>17514.629220427338</v>
      </c>
      <c r="E214" s="5"/>
      <c r="F214" s="6"/>
      <c r="G214" s="60">
        <v>74</v>
      </c>
      <c r="H214" s="70">
        <f t="shared" si="32"/>
        <v>13359.769596955151</v>
      </c>
      <c r="I214" s="70">
        <f t="shared" si="32"/>
        <v>18507.611126242169</v>
      </c>
      <c r="J214" s="71">
        <f t="shared" si="32"/>
        <v>20372.771100621525</v>
      </c>
      <c r="M214" s="60">
        <v>74</v>
      </c>
      <c r="N214" s="70">
        <f t="shared" si="33"/>
        <v>14707.334053675311</v>
      </c>
      <c r="O214" s="70">
        <f t="shared" si="33"/>
        <v>20996.42940949378</v>
      </c>
      <c r="P214" s="71">
        <f t="shared" si="33"/>
        <v>23275.087147109163</v>
      </c>
      <c r="R214" s="60">
        <v>74</v>
      </c>
      <c r="S214" s="70">
        <f t="shared" si="34"/>
        <v>8420.7848753037379</v>
      </c>
      <c r="T214" s="70">
        <f t="shared" si="34"/>
        <v>11963.67607284007</v>
      </c>
      <c r="U214" s="71">
        <f t="shared" si="34"/>
        <v>14612.313173939696</v>
      </c>
    </row>
    <row r="215" spans="1:21" x14ac:dyDescent="0.2">
      <c r="A215" s="60">
        <v>75</v>
      </c>
      <c r="B215" s="70">
        <f t="shared" si="31"/>
        <v>9834.130205450565</v>
      </c>
      <c r="C215" s="70">
        <f t="shared" si="31"/>
        <v>14549.818650056162</v>
      </c>
      <c r="D215" s="71">
        <f t="shared" si="31"/>
        <v>17632.574184177443</v>
      </c>
      <c r="E215" s="5"/>
      <c r="F215" s="6"/>
      <c r="G215" s="60">
        <v>75</v>
      </c>
      <c r="H215" s="70">
        <f t="shared" si="32"/>
        <v>13449.735391891014</v>
      </c>
      <c r="I215" s="70">
        <f t="shared" si="32"/>
        <v>18632.24291238582</v>
      </c>
      <c r="J215" s="71">
        <f t="shared" si="32"/>
        <v>20509.963028507129</v>
      </c>
      <c r="M215" s="60">
        <v>75</v>
      </c>
      <c r="N215" s="70">
        <f t="shared" si="33"/>
        <v>14806.374459269413</v>
      </c>
      <c r="O215" s="70">
        <f t="shared" si="33"/>
        <v>21137.821104083359</v>
      </c>
      <c r="P215" s="71">
        <f t="shared" si="33"/>
        <v>23431.82351162464</v>
      </c>
      <c r="R215" s="60">
        <v>75</v>
      </c>
      <c r="S215" s="70">
        <f t="shared" si="34"/>
        <v>8477.4911380721678</v>
      </c>
      <c r="T215" s="70">
        <f t="shared" si="34"/>
        <v>12044.240458358621</v>
      </c>
      <c r="U215" s="71">
        <f t="shared" si="34"/>
        <v>14710.713701059936</v>
      </c>
    </row>
    <row r="216" spans="1:21" x14ac:dyDescent="0.2">
      <c r="A216" s="60">
        <v>76</v>
      </c>
      <c r="B216" s="70">
        <f t="shared" si="31"/>
        <v>9899.4739821395851</v>
      </c>
      <c r="C216" s="70">
        <f t="shared" si="31"/>
        <v>14646.496249485144</v>
      </c>
      <c r="D216" s="71">
        <f t="shared" si="31"/>
        <v>17749.73543442252</v>
      </c>
      <c r="E216" s="5"/>
      <c r="F216" s="6"/>
      <c r="G216" s="60">
        <v>76</v>
      </c>
      <c r="H216" s="70">
        <f t="shared" si="32"/>
        <v>13539.103387597133</v>
      </c>
      <c r="I216" s="70">
        <f t="shared" si="32"/>
        <v>18756.046552834643</v>
      </c>
      <c r="J216" s="71">
        <f t="shared" si="32"/>
        <v>20646.243351833742</v>
      </c>
      <c r="M216" s="60">
        <v>76</v>
      </c>
      <c r="N216" s="70">
        <f t="shared" si="33"/>
        <v>14904.756767214072</v>
      </c>
      <c r="O216" s="70">
        <f t="shared" si="33"/>
        <v>21278.273287760177</v>
      </c>
      <c r="P216" s="71">
        <f t="shared" si="33"/>
        <v>23587.518403900067</v>
      </c>
      <c r="R216" s="60">
        <v>76</v>
      </c>
      <c r="S216" s="70">
        <f t="shared" si="34"/>
        <v>8533.8206025226464</v>
      </c>
      <c r="T216" s="70">
        <f t="shared" si="34"/>
        <v>12124.269514559612</v>
      </c>
      <c r="U216" s="71">
        <f t="shared" si="34"/>
        <v>14808.460382356199</v>
      </c>
    </row>
    <row r="217" spans="1:21" x14ac:dyDescent="0.2">
      <c r="A217" s="60">
        <v>77</v>
      </c>
      <c r="B217" s="70">
        <f t="shared" si="31"/>
        <v>9964.3892611821411</v>
      </c>
      <c r="C217" s="70">
        <f t="shared" si="31"/>
        <v>14742.539876929033</v>
      </c>
      <c r="D217" s="71">
        <f t="shared" si="31"/>
        <v>17866.128389314461</v>
      </c>
      <c r="E217" s="5"/>
      <c r="F217" s="6"/>
      <c r="G217" s="60">
        <v>77</v>
      </c>
      <c r="H217" s="70">
        <f t="shared" si="32"/>
        <v>13627.885344696831</v>
      </c>
      <c r="I217" s="70">
        <f t="shared" si="32"/>
        <v>18879.038339863844</v>
      </c>
      <c r="J217" s="71">
        <f t="shared" si="32"/>
        <v>20781.630004779432</v>
      </c>
      <c r="M217" s="60">
        <v>77</v>
      </c>
      <c r="N217" s="70">
        <f t="shared" si="33"/>
        <v>15002.493924395429</v>
      </c>
      <c r="O217" s="70">
        <f t="shared" si="33"/>
        <v>21417.804443709552</v>
      </c>
      <c r="P217" s="71">
        <f t="shared" si="33"/>
        <v>23742.192313026262</v>
      </c>
      <c r="R217" s="60">
        <v>77</v>
      </c>
      <c r="S217" s="70">
        <f t="shared" si="34"/>
        <v>8589.7806814835421</v>
      </c>
      <c r="T217" s="70">
        <f t="shared" si="34"/>
        <v>12203.773773083325</v>
      </c>
      <c r="U217" s="71">
        <f t="shared" si="34"/>
        <v>14905.566081067631</v>
      </c>
    </row>
    <row r="218" spans="1:21" x14ac:dyDescent="0.2">
      <c r="A218" s="60">
        <v>78</v>
      </c>
      <c r="B218" s="70">
        <f t="shared" si="31"/>
        <v>10028.88436336093</v>
      </c>
      <c r="C218" s="70">
        <f t="shared" si="31"/>
        <v>14837.96184317452</v>
      </c>
      <c r="D218" s="71">
        <f t="shared" si="31"/>
        <v>17981.767967998632</v>
      </c>
      <c r="E218" s="5"/>
      <c r="F218" s="6"/>
      <c r="G218" s="60">
        <v>78</v>
      </c>
      <c r="H218" s="70">
        <f t="shared" si="32"/>
        <v>13716.092643182355</v>
      </c>
      <c r="I218" s="70">
        <f t="shared" si="32"/>
        <v>19001.234038451232</v>
      </c>
      <c r="J218" s="71">
        <f t="shared" si="32"/>
        <v>20916.140341084883</v>
      </c>
      <c r="M218" s="60">
        <v>78</v>
      </c>
      <c r="N218" s="70">
        <f t="shared" si="33"/>
        <v>15099.598458675311</v>
      </c>
      <c r="O218" s="70">
        <f t="shared" si="33"/>
        <v>21556.432456910887</v>
      </c>
      <c r="P218" s="71">
        <f t="shared" si="33"/>
        <v>23895.865064967253</v>
      </c>
      <c r="R218" s="60">
        <v>78</v>
      </c>
      <c r="S218" s="70">
        <f t="shared" si="34"/>
        <v>8645.3785478679747</v>
      </c>
      <c r="T218" s="70">
        <f t="shared" si="34"/>
        <v>12282.763424714867</v>
      </c>
      <c r="U218" s="71">
        <f t="shared" si="34"/>
        <v>15002.043244116267</v>
      </c>
    </row>
    <row r="219" spans="1:21" x14ac:dyDescent="0.2">
      <c r="A219" s="60">
        <v>79</v>
      </c>
      <c r="B219" s="70">
        <f t="shared" si="31"/>
        <v>10092.967343599639</v>
      </c>
      <c r="C219" s="70">
        <f t="shared" si="31"/>
        <v>14932.774065663863</v>
      </c>
      <c r="D219" s="71">
        <f t="shared" si="31"/>
        <v>18096.668612935788</v>
      </c>
      <c r="E219" s="5"/>
      <c r="F219" s="6"/>
      <c r="G219" s="60">
        <v>79</v>
      </c>
      <c r="H219" s="70">
        <f t="shared" si="32"/>
        <v>13803.736299441523</v>
      </c>
      <c r="I219" s="70">
        <f t="shared" si="32"/>
        <v>19122.648909864616</v>
      </c>
      <c r="J219" s="71">
        <f t="shared" si="32"/>
        <v>21049.79116001791</v>
      </c>
      <c r="M219" s="60">
        <v>79</v>
      </c>
      <c r="N219" s="70">
        <f t="shared" si="33"/>
        <v>15196.082497635298</v>
      </c>
      <c r="O219" s="70">
        <f t="shared" si="33"/>
        <v>21694.174640896978</v>
      </c>
      <c r="P219" s="71">
        <f t="shared" si="33"/>
        <v>24048.555852223668</v>
      </c>
      <c r="R219" s="60">
        <v>79</v>
      </c>
      <c r="S219" s="70">
        <f t="shared" si="34"/>
        <v>8700.621145405863</v>
      </c>
      <c r="T219" s="70">
        <f t="shared" si="34"/>
        <v>12361.248334631498</v>
      </c>
      <c r="U219" s="71">
        <f t="shared" si="34"/>
        <v>15097.90392073003</v>
      </c>
    </row>
    <row r="220" spans="1:21" x14ac:dyDescent="0.2">
      <c r="A220" s="60">
        <v>80</v>
      </c>
      <c r="B220" s="70">
        <f t="shared" si="31"/>
        <v>10156.646002705429</v>
      </c>
      <c r="C220" s="70">
        <f t="shared" si="31"/>
        <v>15026.988085868159</v>
      </c>
      <c r="D220" s="71">
        <f t="shared" si="31"/>
        <v>18210.844310956287</v>
      </c>
      <c r="E220" s="5"/>
      <c r="F220" s="6"/>
      <c r="G220" s="60">
        <v>80</v>
      </c>
      <c r="H220" s="70">
        <f t="shared" si="32"/>
        <v>13890.826982317434</v>
      </c>
      <c r="I220" s="70">
        <f t="shared" si="32"/>
        <v>19243.297733909723</v>
      </c>
      <c r="J220" s="71">
        <f t="shared" si="32"/>
        <v>21182.59873086345</v>
      </c>
      <c r="M220" s="60">
        <v>80</v>
      </c>
      <c r="N220" s="70">
        <f t="shared" si="33"/>
        <v>15291.957786256342</v>
      </c>
      <c r="O220" s="70">
        <f t="shared" si="33"/>
        <v>21831.047762993738</v>
      </c>
      <c r="P220" s="71">
        <f t="shared" si="33"/>
        <v>24200.283261811634</v>
      </c>
      <c r="R220" s="60">
        <v>80</v>
      </c>
      <c r="S220" s="70">
        <f t="shared" si="34"/>
        <v>8755.5151987665195</v>
      </c>
      <c r="T220" s="70">
        <f t="shared" si="34"/>
        <v>12439.238056784146</v>
      </c>
      <c r="U220" s="71">
        <f t="shared" si="34"/>
        <v>15193.159780008104</v>
      </c>
    </row>
    <row r="221" spans="1:21" x14ac:dyDescent="0.2">
      <c r="A221" s="60">
        <v>81</v>
      </c>
      <c r="B221" s="70">
        <f t="shared" ref="B221:D240" si="35">SQRT($A221)*B$135</f>
        <v>10219.927898452883</v>
      </c>
      <c r="C221" s="70">
        <f t="shared" si="35"/>
        <v>15120.615085686291</v>
      </c>
      <c r="D221" s="71">
        <f t="shared" si="35"/>
        <v>18324.308613133606</v>
      </c>
      <c r="E221" s="5"/>
      <c r="F221" s="6"/>
      <c r="G221" s="60">
        <v>81</v>
      </c>
      <c r="H221" s="70">
        <f t="shared" si="32"/>
        <v>13977.375028267523</v>
      </c>
      <c r="I221" s="70">
        <f t="shared" si="32"/>
        <v>19363.194829930409</v>
      </c>
      <c r="J221" s="71">
        <f t="shared" si="32"/>
        <v>21314.57881604015</v>
      </c>
      <c r="M221" s="60">
        <v>81</v>
      </c>
      <c r="N221" s="70">
        <f t="shared" si="33"/>
        <v>15387.23570360687</v>
      </c>
      <c r="O221" s="70">
        <f t="shared" si="33"/>
        <v>21967.068068144421</v>
      </c>
      <c r="P221" s="71">
        <f t="shared" si="33"/>
        <v>24351.065301672519</v>
      </c>
      <c r="R221" s="60">
        <v>81</v>
      </c>
      <c r="S221" s="70">
        <f t="shared" si="34"/>
        <v>8810.0672231135341</v>
      </c>
      <c r="T221" s="70">
        <f t="shared" si="34"/>
        <v>12516.74184747228</v>
      </c>
      <c r="U221" s="71">
        <f t="shared" si="34"/>
        <v>15287.82212750124</v>
      </c>
    </row>
    <row r="222" spans="1:21" x14ac:dyDescent="0.2">
      <c r="A222" s="60">
        <v>82</v>
      </c>
      <c r="B222" s="70">
        <f t="shared" si="35"/>
        <v>10282.820356054022</v>
      </c>
      <c r="C222" s="70">
        <f t="shared" si="35"/>
        <v>15213.665902935563</v>
      </c>
      <c r="D222" s="71">
        <f t="shared" si="35"/>
        <v>18437.074653557058</v>
      </c>
      <c r="E222" s="5"/>
      <c r="F222" s="6"/>
      <c r="G222" s="60">
        <v>82</v>
      </c>
      <c r="H222" s="70">
        <f t="shared" si="32"/>
        <v>14063.390455682977</v>
      </c>
      <c r="I222" s="70">
        <f t="shared" si="32"/>
        <v>19482.354076645679</v>
      </c>
      <c r="J222" s="71">
        <f t="shared" si="32"/>
        <v>21445.746692936515</v>
      </c>
      <c r="M222" s="60">
        <v>82</v>
      </c>
      <c r="N222" s="70">
        <f t="shared" si="33"/>
        <v>15481.927278606567</v>
      </c>
      <c r="O222" s="70">
        <f t="shared" si="33"/>
        <v>22102.251301414224</v>
      </c>
      <c r="P222" s="71">
        <f t="shared" si="33"/>
        <v>24500.919425619897</v>
      </c>
      <c r="R222" s="60">
        <v>82</v>
      </c>
      <c r="S222" s="70">
        <f t="shared" si="34"/>
        <v>8864.2835331304341</v>
      </c>
      <c r="T222" s="70">
        <f t="shared" si="34"/>
        <v>12593.76867816702</v>
      </c>
      <c r="U222" s="71">
        <f t="shared" si="34"/>
        <v>15381.901920873672</v>
      </c>
    </row>
    <row r="223" spans="1:21" x14ac:dyDescent="0.2">
      <c r="A223" s="60">
        <v>83</v>
      </c>
      <c r="B223" s="70">
        <f t="shared" si="35"/>
        <v>10345.330478055419</v>
      </c>
      <c r="C223" s="70">
        <f t="shared" si="35"/>
        <v>15306.151045994693</v>
      </c>
      <c r="D223" s="71">
        <f t="shared" si="35"/>
        <v>18549.155167077279</v>
      </c>
      <c r="E223" s="5"/>
      <c r="F223" s="6"/>
      <c r="G223" s="60">
        <v>83</v>
      </c>
      <c r="H223" s="70">
        <f t="shared" si="32"/>
        <v>14148.882978424605</v>
      </c>
      <c r="I223" s="70">
        <f t="shared" si="32"/>
        <v>19600.788930901253</v>
      </c>
      <c r="J223" s="71">
        <f t="shared" si="32"/>
        <v>21576.117174552215</v>
      </c>
      <c r="M223" s="60">
        <v>83</v>
      </c>
      <c r="N223" s="70">
        <f t="shared" si="33"/>
        <v>15576.043204927566</v>
      </c>
      <c r="O223" s="70">
        <f t="shared" si="33"/>
        <v>22236.612729263492</v>
      </c>
      <c r="P223" s="71">
        <f t="shared" si="33"/>
        <v>24649.862556921435</v>
      </c>
      <c r="R223" s="60">
        <v>83</v>
      </c>
      <c r="S223" s="70">
        <f t="shared" si="34"/>
        <v>8918.1702515524557</v>
      </c>
      <c r="T223" s="70">
        <f t="shared" si="34"/>
        <v>12670.327247632456</v>
      </c>
      <c r="U223" s="71">
        <f t="shared" si="34"/>
        <v>15475.409784708056</v>
      </c>
    </row>
    <row r="224" spans="1:21" x14ac:dyDescent="0.2">
      <c r="A224" s="60">
        <v>84</v>
      </c>
      <c r="B224" s="70">
        <f t="shared" si="35"/>
        <v>10407.465153700288</v>
      </c>
      <c r="C224" s="70">
        <f t="shared" si="35"/>
        <v>15398.080707655246</v>
      </c>
      <c r="D224" s="71">
        <f t="shared" si="35"/>
        <v>18660.56250609245</v>
      </c>
      <c r="E224" s="5"/>
      <c r="F224" s="6"/>
      <c r="G224" s="60">
        <v>84</v>
      </c>
      <c r="H224" s="70">
        <f t="shared" si="32"/>
        <v>14233.862018626987</v>
      </c>
      <c r="I224" s="70">
        <f t="shared" si="32"/>
        <v>19718.512445407483</v>
      </c>
      <c r="J224" s="71">
        <f t="shared" si="32"/>
        <v>21705.704629023603</v>
      </c>
      <c r="M224" s="60">
        <v>84</v>
      </c>
      <c r="N224" s="70">
        <f t="shared" si="33"/>
        <v>15669.593855090125</v>
      </c>
      <c r="O224" s="70">
        <f t="shared" si="33"/>
        <v>22370.167159670924</v>
      </c>
      <c r="P224" s="71">
        <f t="shared" si="33"/>
        <v>24797.911110605994</v>
      </c>
      <c r="R224" s="60">
        <v>84</v>
      </c>
      <c r="S224" s="70">
        <f t="shared" si="34"/>
        <v>8971.7333172371527</v>
      </c>
      <c r="T224" s="70">
        <f t="shared" si="34"/>
        <v>12746.425993391804</v>
      </c>
      <c r="U224" s="71">
        <f t="shared" si="34"/>
        <v>15568.35602451006</v>
      </c>
    </row>
    <row r="225" spans="1:21" x14ac:dyDescent="0.2">
      <c r="A225" s="60">
        <v>85</v>
      </c>
      <c r="B225" s="70">
        <f t="shared" si="35"/>
        <v>10469.23106779047</v>
      </c>
      <c r="C225" s="70">
        <f t="shared" si="35"/>
        <v>15489.464778233139</v>
      </c>
      <c r="D225" s="71">
        <f t="shared" si="35"/>
        <v>18771.308656437806</v>
      </c>
      <c r="E225" s="5"/>
      <c r="F225" s="6"/>
      <c r="G225" s="60">
        <v>85</v>
      </c>
      <c r="H225" s="70">
        <f t="shared" si="32"/>
        <v>14318.336718818649</v>
      </c>
      <c r="I225" s="70">
        <f t="shared" si="32"/>
        <v>19835.537285529688</v>
      </c>
      <c r="J225" s="71">
        <f t="shared" si="32"/>
        <v>21834.522998106153</v>
      </c>
      <c r="M225" s="60">
        <v>85</v>
      </c>
      <c r="N225" s="70">
        <f t="shared" si="33"/>
        <v>15762.589293805326</v>
      </c>
      <c r="O225" s="70">
        <f t="shared" si="33"/>
        <v>22502.928961181831</v>
      </c>
      <c r="P225" s="71">
        <f t="shared" si="33"/>
        <v>24945.081014579111</v>
      </c>
      <c r="R225" s="60">
        <v>85</v>
      </c>
      <c r="S225" s="70">
        <f t="shared" si="34"/>
        <v>9024.9784928037952</v>
      </c>
      <c r="T225" s="70">
        <f t="shared" si="34"/>
        <v>12822.073102580995</v>
      </c>
      <c r="U225" s="71">
        <f t="shared" si="34"/>
        <v>15660.750639964848</v>
      </c>
    </row>
    <row r="226" spans="1:21" x14ac:dyDescent="0.2">
      <c r="A226" s="60">
        <v>86</v>
      </c>
      <c r="B226" s="70">
        <f t="shared" si="35"/>
        <v>10530.634709080578</v>
      </c>
      <c r="C226" s="70">
        <f t="shared" si="35"/>
        <v>15580.312857987972</v>
      </c>
      <c r="D226" s="71">
        <f t="shared" si="35"/>
        <v>18881.40525243634</v>
      </c>
      <c r="E226" s="5"/>
      <c r="F226" s="6"/>
      <c r="G226" s="60">
        <v>86</v>
      </c>
      <c r="H226" s="70">
        <f t="shared" si="32"/>
        <v>14402.315953402387</v>
      </c>
      <c r="I226" s="70">
        <f t="shared" si="32"/>
        <v>19951.875745192159</v>
      </c>
      <c r="J226" s="71">
        <f t="shared" si="32"/>
        <v>21962.58581468121</v>
      </c>
      <c r="M226" s="60">
        <v>86</v>
      </c>
      <c r="N226" s="70">
        <f t="shared" si="33"/>
        <v>15855.039290613391</v>
      </c>
      <c r="O226" s="70">
        <f t="shared" si="33"/>
        <v>22634.912080950799</v>
      </c>
      <c r="P226" s="71">
        <f t="shared" si="33"/>
        <v>25091.38772962377</v>
      </c>
      <c r="R226" s="60">
        <v>86</v>
      </c>
      <c r="S226" s="70">
        <f t="shared" si="34"/>
        <v>9077.9113718695753</v>
      </c>
      <c r="T226" s="70">
        <f t="shared" si="34"/>
        <v>12897.276522229335</v>
      </c>
      <c r="U226" s="71">
        <f t="shared" si="34"/>
        <v>15752.603337493776</v>
      </c>
    </row>
    <row r="227" spans="1:21" x14ac:dyDescent="0.2">
      <c r="A227" s="60">
        <v>87</v>
      </c>
      <c r="B227" s="70">
        <f t="shared" si="35"/>
        <v>10591.682378234158</v>
      </c>
      <c r="C227" s="70">
        <f t="shared" si="35"/>
        <v>15670.63426889434</v>
      </c>
      <c r="D227" s="71">
        <f t="shared" si="35"/>
        <v>18990.86359116415</v>
      </c>
      <c r="E227" s="5"/>
      <c r="F227" s="6"/>
      <c r="G227" s="60">
        <v>87</v>
      </c>
      <c r="H227" s="70">
        <f t="shared" si="32"/>
        <v>14485.808339536576</v>
      </c>
      <c r="I227" s="70">
        <f t="shared" si="32"/>
        <v>20067.539761952285</v>
      </c>
      <c r="J227" s="71">
        <f t="shared" si="32"/>
        <v>22089.906219349279</v>
      </c>
      <c r="M227" s="60">
        <v>87</v>
      </c>
      <c r="N227" s="70">
        <f t="shared" si="33"/>
        <v>15946.953331862564</v>
      </c>
      <c r="O227" s="70">
        <f t="shared" si="33"/>
        <v>22766.130061842941</v>
      </c>
      <c r="P227" s="71">
        <f t="shared" si="33"/>
        <v>25236.846268357567</v>
      </c>
      <c r="R227" s="60">
        <v>87</v>
      </c>
      <c r="S227" s="70">
        <f t="shared" si="34"/>
        <v>9130.5373859081719</v>
      </c>
      <c r="T227" s="70">
        <f t="shared" si="34"/>
        <v>12972.043969003684</v>
      </c>
      <c r="U227" s="71">
        <f t="shared" si="34"/>
        <v>15843.923542155866</v>
      </c>
    </row>
    <row r="228" spans="1:21" x14ac:dyDescent="0.2">
      <c r="A228" s="60">
        <v>88</v>
      </c>
      <c r="B228" s="70">
        <f t="shared" si="35"/>
        <v>10652.380195369455</v>
      </c>
      <c r="C228" s="70">
        <f t="shared" si="35"/>
        <v>15760.438065805973</v>
      </c>
      <c r="D228" s="71">
        <f t="shared" si="35"/>
        <v>19099.69464598002</v>
      </c>
      <c r="E228" s="5"/>
      <c r="F228" s="6"/>
      <c r="G228" s="60">
        <v>88</v>
      </c>
      <c r="H228" s="70">
        <f t="shared" si="32"/>
        <v>14568.822247455211</v>
      </c>
      <c r="I228" s="70">
        <f t="shared" si="32"/>
        <v>20182.540931297142</v>
      </c>
      <c r="J228" s="71">
        <f t="shared" si="32"/>
        <v>22216.496976167411</v>
      </c>
      <c r="M228" s="60">
        <v>88</v>
      </c>
      <c r="N228" s="70">
        <f t="shared" si="33"/>
        <v>16038.340632070094</v>
      </c>
      <c r="O228" s="70">
        <f t="shared" si="33"/>
        <v>22896.596058653027</v>
      </c>
      <c r="P228" s="71">
        <f t="shared" si="33"/>
        <v>25381.471213212059</v>
      </c>
      <c r="R228" s="60">
        <v>88</v>
      </c>
      <c r="S228" s="70">
        <f t="shared" si="34"/>
        <v>9182.8618107545717</v>
      </c>
      <c r="T228" s="70">
        <f t="shared" si="34"/>
        <v>13046.382938450086</v>
      </c>
      <c r="U228" s="71">
        <f t="shared" si="34"/>
        <v>15934.720408935373</v>
      </c>
    </row>
    <row r="229" spans="1:21" x14ac:dyDescent="0.2">
      <c r="A229" s="60">
        <v>89</v>
      </c>
      <c r="B229" s="70">
        <f t="shared" si="35"/>
        <v>10712.734107220378</v>
      </c>
      <c r="C229" s="70">
        <f t="shared" si="35"/>
        <v>15849.733047050546</v>
      </c>
      <c r="D229" s="71">
        <f t="shared" si="35"/>
        <v>19207.90907936497</v>
      </c>
      <c r="E229" s="5"/>
      <c r="F229" s="6"/>
      <c r="G229" s="60">
        <v>89</v>
      </c>
      <c r="H229" s="70">
        <f t="shared" si="32"/>
        <v>14651.365810261661</v>
      </c>
      <c r="I229" s="70">
        <f t="shared" si="32"/>
        <v>20296.890520211051</v>
      </c>
      <c r="J229" s="71">
        <f t="shared" si="32"/>
        <v>22342.370487584019</v>
      </c>
      <c r="M229" s="60">
        <v>89</v>
      </c>
      <c r="N229" s="70">
        <f t="shared" si="33"/>
        <v>16129.21014470388</v>
      </c>
      <c r="O229" s="70">
        <f t="shared" si="33"/>
        <v>23026.32285349751</v>
      </c>
      <c r="P229" s="71">
        <f t="shared" si="33"/>
        <v>25525.276733495197</v>
      </c>
      <c r="R229" s="60">
        <v>89</v>
      </c>
      <c r="S229" s="70">
        <f t="shared" si="34"/>
        <v>9234.8897727781587</v>
      </c>
      <c r="T229" s="70">
        <f t="shared" si="34"/>
        <v>13120.300713764085</v>
      </c>
      <c r="U229" s="71">
        <f t="shared" si="34"/>
        <v>16025.002833453789</v>
      </c>
    </row>
    <row r="230" spans="1:21" x14ac:dyDescent="0.2">
      <c r="A230" s="60">
        <v>90</v>
      </c>
      <c r="B230" s="70">
        <f t="shared" si="35"/>
        <v>10772.749893936376</v>
      </c>
      <c r="C230" s="70">
        <f t="shared" si="35"/>
        <v>15938.527764490249</v>
      </c>
      <c r="D230" s="71">
        <f t="shared" si="35"/>
        <v>19315.517255114475</v>
      </c>
      <c r="E230" s="5"/>
      <c r="F230" s="6"/>
      <c r="G230" s="60">
        <v>90</v>
      </c>
      <c r="H230" s="70">
        <f t="shared" si="32"/>
        <v>14733.446933228586</v>
      </c>
      <c r="I230" s="70">
        <f t="shared" si="32"/>
        <v>20410.599480058932</v>
      </c>
      <c r="J230" s="71">
        <f t="shared" si="32"/>
        <v>22467.538808620651</v>
      </c>
      <c r="M230" s="60">
        <v>90</v>
      </c>
      <c r="N230" s="70">
        <f t="shared" si="33"/>
        <v>16219.570572420427</v>
      </c>
      <c r="O230" s="70">
        <f t="shared" si="33"/>
        <v>23155.32287043042</v>
      </c>
      <c r="P230" s="71">
        <f t="shared" si="33"/>
        <v>25668.276601593461</v>
      </c>
      <c r="R230" s="60">
        <v>90</v>
      </c>
      <c r="S230" s="70">
        <f t="shared" si="34"/>
        <v>9286.6262547445331</v>
      </c>
      <c r="T230" s="70">
        <f t="shared" si="34"/>
        <v>13193.804374118758</v>
      </c>
      <c r="U230" s="71">
        <f t="shared" si="34"/>
        <v>16114.779462141669</v>
      </c>
    </row>
    <row r="231" spans="1:21" x14ac:dyDescent="0.2">
      <c r="A231" s="60">
        <v>91</v>
      </c>
      <c r="B231" s="70">
        <f t="shared" si="35"/>
        <v>10832.43317554323</v>
      </c>
      <c r="C231" s="70">
        <f t="shared" si="35"/>
        <v>16026.830533080669</v>
      </c>
      <c r="D231" s="71">
        <f t="shared" si="35"/>
        <v>19422.529249922591</v>
      </c>
      <c r="E231" s="5"/>
      <c r="F231" s="6"/>
      <c r="G231" s="60">
        <v>91</v>
      </c>
      <c r="H231" s="70">
        <f t="shared" si="32"/>
        <v>14815.073302634088</v>
      </c>
      <c r="I231" s="70">
        <f t="shared" si="32"/>
        <v>20523.678458827271</v>
      </c>
      <c r="J231" s="71">
        <f t="shared" si="32"/>
        <v>22592.013660346543</v>
      </c>
      <c r="M231" s="60">
        <v>91</v>
      </c>
      <c r="N231" s="70">
        <f t="shared" si="33"/>
        <v>16309.430376792279</v>
      </c>
      <c r="O231" s="70">
        <f t="shared" si="33"/>
        <v>23283.608189330418</v>
      </c>
      <c r="P231" s="71">
        <f t="shared" si="33"/>
        <v>25810.484208365971</v>
      </c>
      <c r="R231" s="60">
        <v>91</v>
      </c>
      <c r="S231" s="70">
        <f t="shared" si="34"/>
        <v>9338.0761013850388</v>
      </c>
      <c r="T231" s="70">
        <f t="shared" si="34"/>
        <v>13266.900802577522</v>
      </c>
      <c r="U231" s="71">
        <f t="shared" si="34"/>
        <v>16204.058701903163</v>
      </c>
    </row>
    <row r="232" spans="1:21" x14ac:dyDescent="0.2">
      <c r="A232" s="60">
        <v>92</v>
      </c>
      <c r="B232" s="70">
        <f t="shared" si="35"/>
        <v>10891.789418085211</v>
      </c>
      <c r="C232" s="70">
        <f t="shared" si="35"/>
        <v>16114.649439958259</v>
      </c>
      <c r="D232" s="71">
        <f t="shared" si="35"/>
        <v>19528.954864394873</v>
      </c>
      <c r="E232" s="5"/>
      <c r="F232" s="6"/>
      <c r="G232" s="60">
        <v>92</v>
      </c>
      <c r="H232" s="70">
        <f t="shared" si="32"/>
        <v>14896.252394162088</v>
      </c>
      <c r="I232" s="70">
        <f t="shared" si="32"/>
        <v>20636.137812761361</v>
      </c>
      <c r="J232" s="71">
        <f t="shared" si="32"/>
        <v>22715.806442688634</v>
      </c>
      <c r="M232" s="60">
        <v>92</v>
      </c>
      <c r="N232" s="70">
        <f t="shared" si="33"/>
        <v>16398.797787555734</v>
      </c>
      <c r="O232" s="70">
        <f t="shared" si="33"/>
        <v>23411.190559102946</v>
      </c>
      <c r="P232" s="71">
        <f t="shared" si="33"/>
        <v>25951.912577779469</v>
      </c>
      <c r="R232" s="60">
        <v>92</v>
      </c>
      <c r="S232" s="70">
        <f t="shared" si="34"/>
        <v>9389.2440246915648</v>
      </c>
      <c r="T232" s="70">
        <f t="shared" si="34"/>
        <v>13339.59669361667</v>
      </c>
      <c r="U232" s="71">
        <f t="shared" si="34"/>
        <v>16292.848729304038</v>
      </c>
    </row>
    <row r="233" spans="1:21" x14ac:dyDescent="0.2">
      <c r="A233" s="60">
        <v>93</v>
      </c>
      <c r="B233" s="70">
        <f t="shared" si="35"/>
        <v>10950.823939467587</v>
      </c>
      <c r="C233" s="70">
        <f t="shared" si="35"/>
        <v>16201.992353084463</v>
      </c>
      <c r="D233" s="71">
        <f t="shared" si="35"/>
        <v>19634.803633523963</v>
      </c>
      <c r="E233" s="5"/>
      <c r="F233" s="6"/>
      <c r="G233" s="60">
        <v>93</v>
      </c>
      <c r="H233" s="70">
        <f t="shared" si="32"/>
        <v>14976.991480892892</v>
      </c>
      <c r="I233" s="70">
        <f t="shared" si="32"/>
        <v>20747.987617434803</v>
      </c>
      <c r="J233" s="71">
        <f t="shared" si="32"/>
        <v>22838.928246616659</v>
      </c>
      <c r="M233" s="60">
        <v>93</v>
      </c>
      <c r="N233" s="70">
        <f t="shared" si="33"/>
        <v>16487.680811407372</v>
      </c>
      <c r="O233" s="70">
        <f t="shared" si="33"/>
        <v>23538.081410238334</v>
      </c>
      <c r="P233" s="71">
        <f t="shared" si="33"/>
        <v>26092.574380829257</v>
      </c>
      <c r="R233" s="60">
        <v>93</v>
      </c>
      <c r="S233" s="70">
        <f t="shared" si="34"/>
        <v>9440.1346089531071</v>
      </c>
      <c r="T233" s="70">
        <f t="shared" si="34"/>
        <v>13411.89856028093</v>
      </c>
      <c r="U233" s="71">
        <f t="shared" si="34"/>
        <v>16381.157499311365</v>
      </c>
    </row>
    <row r="234" spans="1:21" x14ac:dyDescent="0.2">
      <c r="A234" s="60">
        <v>94</v>
      </c>
      <c r="B234" s="70">
        <f t="shared" si="35"/>
        <v>11009.541915017164</v>
      </c>
      <c r="C234" s="70">
        <f t="shared" si="35"/>
        <v>16288.86692947265</v>
      </c>
      <c r="D234" s="71">
        <f t="shared" si="35"/>
        <v>19740.084836659629</v>
      </c>
      <c r="E234" s="5"/>
      <c r="F234" s="6"/>
      <c r="G234" s="60">
        <v>94</v>
      </c>
      <c r="H234" s="70">
        <f t="shared" si="32"/>
        <v>15057.297640908104</v>
      </c>
      <c r="I234" s="70">
        <f t="shared" si="32"/>
        <v>20859.237678284811</v>
      </c>
      <c r="J234" s="71">
        <f t="shared" si="32"/>
        <v>22961.389865740141</v>
      </c>
      <c r="M234" s="60">
        <v>94</v>
      </c>
      <c r="N234" s="70">
        <f t="shared" si="33"/>
        <v>16576.087240376091</v>
      </c>
      <c r="O234" s="70">
        <f t="shared" si="33"/>
        <v>23664.291866763811</v>
      </c>
      <c r="P234" s="71">
        <f t="shared" si="33"/>
        <v>26232.481948788347</v>
      </c>
      <c r="R234" s="60">
        <v>94</v>
      </c>
      <c r="S234" s="70">
        <f t="shared" si="34"/>
        <v>9490.7523155491763</v>
      </c>
      <c r="T234" s="70">
        <f t="shared" si="34"/>
        <v>13483.812740993646</v>
      </c>
      <c r="U234" s="71">
        <f t="shared" si="34"/>
        <v>16468.992753611423</v>
      </c>
    </row>
    <row r="235" spans="1:21" x14ac:dyDescent="0.2">
      <c r="A235" s="60">
        <v>95</v>
      </c>
      <c r="B235" s="70">
        <f t="shared" si="35"/>
        <v>11067.948382777324</v>
      </c>
      <c r="C235" s="70">
        <f t="shared" si="35"/>
        <v>16375.280623022249</v>
      </c>
      <c r="D235" s="71">
        <f t="shared" si="35"/>
        <v>19844.807507002755</v>
      </c>
      <c r="E235" s="5"/>
      <c r="F235" s="6"/>
      <c r="G235" s="60">
        <v>95</v>
      </c>
      <c r="H235" s="70">
        <f t="shared" si="32"/>
        <v>15137.177764532435</v>
      </c>
      <c r="I235" s="70">
        <f t="shared" si="32"/>
        <v>20969.89754064443</v>
      </c>
      <c r="J235" s="71">
        <f t="shared" si="32"/>
        <v>23083.201807351674</v>
      </c>
      <c r="M235" s="60">
        <v>95</v>
      </c>
      <c r="N235" s="70">
        <f t="shared" si="33"/>
        <v>16664.024659795334</v>
      </c>
      <c r="O235" s="70">
        <f t="shared" si="33"/>
        <v>23789.832757624845</v>
      </c>
      <c r="P235" s="71">
        <f t="shared" si="33"/>
        <v>26371.647285823939</v>
      </c>
      <c r="R235" s="60">
        <v>95</v>
      </c>
      <c r="S235" s="70">
        <f t="shared" si="34"/>
        <v>9541.1014875144247</v>
      </c>
      <c r="T235" s="70">
        <f t="shared" si="34"/>
        <v>13555.345406041833</v>
      </c>
      <c r="U235" s="71">
        <f t="shared" si="34"/>
        <v>16556.36202853049</v>
      </c>
    </row>
    <row r="236" spans="1:21" x14ac:dyDescent="0.2">
      <c r="A236" s="60">
        <v>96</v>
      </c>
      <c r="B236" s="70">
        <f t="shared" si="35"/>
        <v>11126.048248552879</v>
      </c>
      <c r="C236" s="70">
        <f t="shared" si="35"/>
        <v>16461.240691982734</v>
      </c>
      <c r="D236" s="71">
        <f t="shared" si="35"/>
        <v>19948.980440650761</v>
      </c>
      <c r="E236" s="5"/>
      <c r="F236" s="6"/>
      <c r="G236" s="60">
        <v>96</v>
      </c>
      <c r="H236" s="70">
        <f t="shared" si="32"/>
        <v>15216.638561233345</v>
      </c>
      <c r="I236" s="70">
        <f t="shared" si="32"/>
        <v>21079.976499300799</v>
      </c>
      <c r="J236" s="71">
        <f t="shared" si="32"/>
        <v>23204.374302948429</v>
      </c>
      <c r="M236" s="60">
        <v>96</v>
      </c>
      <c r="N236" s="70">
        <f t="shared" si="33"/>
        <v>16751.50045589872</v>
      </c>
      <c r="O236" s="70">
        <f t="shared" si="33"/>
        <v>23914.71462752873</v>
      </c>
      <c r="P236" s="71">
        <f t="shared" si="33"/>
        <v>26510.082081017859</v>
      </c>
      <c r="R236" s="60">
        <v>96</v>
      </c>
      <c r="S236" s="70">
        <f t="shared" si="34"/>
        <v>9591.1863538875041</v>
      </c>
      <c r="T236" s="70">
        <f t="shared" si="34"/>
        <v>13626.502563754802</v>
      </c>
      <c r="U236" s="71">
        <f t="shared" si="34"/>
        <v>16643.272662581334</v>
      </c>
    </row>
    <row r="237" spans="1:21" x14ac:dyDescent="0.2">
      <c r="A237" s="60">
        <v>97</v>
      </c>
      <c r="B237" s="70">
        <f t="shared" si="35"/>
        <v>11183.846290719039</v>
      </c>
      <c r="C237" s="70">
        <f t="shared" si="35"/>
        <v>16546.754206068588</v>
      </c>
      <c r="D237" s="71">
        <f t="shared" si="35"/>
        <v>20052.612205220052</v>
      </c>
      <c r="E237" s="5"/>
      <c r="F237" s="6"/>
      <c r="G237" s="60">
        <v>97</v>
      </c>
      <c r="H237" s="70">
        <f t="shared" si="32"/>
        <v>15295.68656619807</v>
      </c>
      <c r="I237" s="70">
        <f t="shared" si="32"/>
        <v>21189.483607606453</v>
      </c>
      <c r="J237" s="71">
        <f t="shared" si="32"/>
        <v>23324.917318261669</v>
      </c>
      <c r="M237" s="60">
        <v>97</v>
      </c>
      <c r="N237" s="70">
        <f t="shared" si="33"/>
        <v>16838.521823060455</v>
      </c>
      <c r="O237" s="70">
        <f t="shared" si="33"/>
        <v>24038.947747281141</v>
      </c>
      <c r="P237" s="71">
        <f t="shared" si="33"/>
        <v>26647.797719824863</v>
      </c>
      <c r="R237" s="60">
        <v>97</v>
      </c>
      <c r="S237" s="70">
        <f t="shared" si="34"/>
        <v>9641.0110338566556</v>
      </c>
      <c r="T237" s="70">
        <f t="shared" si="34"/>
        <v>13697.2900663939</v>
      </c>
      <c r="U237" s="71">
        <f t="shared" si="34"/>
        <v>16729.731803656854</v>
      </c>
    </row>
    <row r="238" spans="1:21" x14ac:dyDescent="0.2">
      <c r="A238" s="60">
        <v>98</v>
      </c>
      <c r="B238" s="70">
        <f t="shared" si="35"/>
        <v>11241.347164807847</v>
      </c>
      <c r="C238" s="70">
        <f t="shared" si="35"/>
        <v>16631.828053245044</v>
      </c>
      <c r="D238" s="71">
        <f t="shared" si="35"/>
        <v>20155.711148069517</v>
      </c>
      <c r="E238" s="5"/>
      <c r="F238" s="6"/>
      <c r="G238" s="60">
        <v>98</v>
      </c>
      <c r="H238" s="70">
        <f t="shared" si="32"/>
        <v>15374.328146606298</v>
      </c>
      <c r="I238" s="70">
        <f t="shared" si="32"/>
        <v>21298.42768616903</v>
      </c>
      <c r="J238" s="71">
        <f t="shared" si="32"/>
        <v>23444.840562822195</v>
      </c>
      <c r="M238" s="60">
        <v>98</v>
      </c>
      <c r="N238" s="70">
        <f t="shared" si="33"/>
        <v>16925.095770700715</v>
      </c>
      <c r="O238" s="70">
        <f t="shared" si="33"/>
        <v>24162.542123644391</v>
      </c>
      <c r="P238" s="71">
        <f t="shared" si="33"/>
        <v>26784.805295000788</v>
      </c>
      <c r="R238" s="60">
        <v>98</v>
      </c>
      <c r="S238" s="70">
        <f t="shared" si="34"/>
        <v>9690.5795407134319</v>
      </c>
      <c r="T238" s="70">
        <f t="shared" si="34"/>
        <v>13767.713615769684</v>
      </c>
      <c r="U238" s="71">
        <f t="shared" si="34"/>
        <v>16815.746415890924</v>
      </c>
    </row>
    <row r="239" spans="1:21" x14ac:dyDescent="0.2">
      <c r="A239" s="60">
        <v>99</v>
      </c>
      <c r="B239" s="70">
        <f t="shared" si="35"/>
        <v>11298.555407884533</v>
      </c>
      <c r="C239" s="70">
        <f t="shared" si="35"/>
        <v>16716.468946202996</v>
      </c>
      <c r="D239" s="71">
        <f t="shared" si="35"/>
        <v>20258.285404147297</v>
      </c>
      <c r="E239" s="5"/>
      <c r="F239" s="6"/>
      <c r="G239" s="60">
        <v>99</v>
      </c>
      <c r="H239" s="70">
        <f t="shared" si="32"/>
        <v>15452.569507615524</v>
      </c>
      <c r="I239" s="70">
        <f t="shared" si="32"/>
        <v>21406.817331142902</v>
      </c>
      <c r="J239" s="71">
        <f t="shared" si="32"/>
        <v>23564.153499087606</v>
      </c>
      <c r="M239" s="60">
        <v>99</v>
      </c>
      <c r="N239" s="70">
        <f t="shared" si="33"/>
        <v>17011.229129874751</v>
      </c>
      <c r="O239" s="70">
        <f t="shared" si="33"/>
        <v>24285.507508744096</v>
      </c>
      <c r="P239" s="71">
        <f t="shared" si="33"/>
        <v>26921.115617030089</v>
      </c>
      <c r="R239" s="60">
        <v>99</v>
      </c>
      <c r="S239" s="70">
        <f t="shared" si="34"/>
        <v>9739.8957856253037</v>
      </c>
      <c r="T239" s="70">
        <f t="shared" si="34"/>
        <v>13837.778768601802</v>
      </c>
      <c r="U239" s="71">
        <f t="shared" si="34"/>
        <v>16901.32328620481</v>
      </c>
    </row>
    <row r="240" spans="1:21" x14ac:dyDescent="0.2">
      <c r="A240" s="61">
        <v>100</v>
      </c>
      <c r="B240" s="72">
        <f t="shared" si="35"/>
        <v>11355.475442725427</v>
      </c>
      <c r="C240" s="72">
        <f t="shared" si="35"/>
        <v>16800.683428540324</v>
      </c>
      <c r="D240" s="73">
        <f t="shared" si="35"/>
        <v>20360.342903481785</v>
      </c>
      <c r="E240" s="74"/>
      <c r="F240" s="75"/>
      <c r="G240" s="61">
        <v>100</v>
      </c>
      <c r="H240" s="72">
        <f t="shared" si="32"/>
        <v>15530.416698075025</v>
      </c>
      <c r="I240" s="72">
        <f t="shared" si="32"/>
        <v>21514.6609221449</v>
      </c>
      <c r="J240" s="73">
        <f t="shared" si="32"/>
        <v>23682.865351155724</v>
      </c>
      <c r="M240" s="61">
        <v>100</v>
      </c>
      <c r="N240" s="72">
        <f t="shared" si="33"/>
        <v>17096.928559563188</v>
      </c>
      <c r="O240" s="72">
        <f t="shared" si="33"/>
        <v>24407.853409049356</v>
      </c>
      <c r="P240" s="73">
        <f t="shared" si="33"/>
        <v>27056.739224080575</v>
      </c>
      <c r="R240" s="61">
        <v>100</v>
      </c>
      <c r="S240" s="72">
        <f t="shared" si="34"/>
        <v>9788.9635812372653</v>
      </c>
      <c r="T240" s="72">
        <f t="shared" si="34"/>
        <v>13907.490941635864</v>
      </c>
      <c r="U240" s="73">
        <f t="shared" si="34"/>
        <v>16986.469030556935</v>
      </c>
    </row>
  </sheetData>
  <mergeCells count="4">
    <mergeCell ref="B139:D139"/>
    <mergeCell ref="H139:J139"/>
    <mergeCell ref="N139:P139"/>
    <mergeCell ref="S139:U1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2E9D-6276-584D-8451-6DCECAC851E1}">
  <dimension ref="A1:W240"/>
  <sheetViews>
    <sheetView tabSelected="1" topLeftCell="A128" workbookViewId="0">
      <selection activeCell="B136" sqref="B136"/>
    </sheetView>
  </sheetViews>
  <sheetFormatPr baseColWidth="10" defaultRowHeight="15" x14ac:dyDescent="0.2"/>
  <cols>
    <col min="4" max="6" width="10.83203125" style="6"/>
    <col min="7" max="7" width="10.83203125" style="5"/>
    <col min="8" max="8" width="8.6640625" style="6" bestFit="1" customWidth="1"/>
    <col min="11" max="12" width="10.83203125" style="5"/>
    <col min="13" max="13" width="11.6640625" bestFit="1" customWidth="1"/>
    <col min="17" max="17" width="12.33203125" bestFit="1" customWidth="1"/>
    <col min="18" max="18" width="10.83203125" style="11"/>
    <col min="19" max="19" width="8.6640625" customWidth="1"/>
    <col min="21" max="21" width="11.6640625" customWidth="1"/>
  </cols>
  <sheetData>
    <row r="1" spans="1:21" x14ac:dyDescent="0.2">
      <c r="B1" s="17" t="s">
        <v>11</v>
      </c>
      <c r="C1" s="18"/>
      <c r="D1" s="19"/>
      <c r="E1" s="19"/>
      <c r="F1" s="19"/>
      <c r="G1" s="20"/>
      <c r="H1" s="21"/>
      <c r="I1" s="31" t="s">
        <v>16</v>
      </c>
      <c r="J1" s="32"/>
      <c r="K1" s="33"/>
      <c r="L1" s="33"/>
      <c r="M1" s="32"/>
      <c r="N1" s="34"/>
      <c r="O1" s="35"/>
    </row>
    <row r="2" spans="1:21" x14ac:dyDescent="0.2">
      <c r="A2" s="45" t="s">
        <v>12</v>
      </c>
      <c r="B2" s="46" t="s">
        <v>13</v>
      </c>
      <c r="C2" s="47" t="s">
        <v>14</v>
      </c>
      <c r="D2" s="48" t="s">
        <v>15</v>
      </c>
      <c r="E2" s="48" t="s">
        <v>41</v>
      </c>
      <c r="F2" s="48" t="s">
        <v>17</v>
      </c>
      <c r="G2" s="49" t="s">
        <v>19</v>
      </c>
      <c r="H2" s="50" t="s">
        <v>24</v>
      </c>
      <c r="I2" s="51" t="s">
        <v>13</v>
      </c>
      <c r="J2" s="52" t="s">
        <v>14</v>
      </c>
      <c r="K2" s="53" t="s">
        <v>15</v>
      </c>
      <c r="L2" s="53" t="s">
        <v>41</v>
      </c>
      <c r="M2" s="53" t="s">
        <v>18</v>
      </c>
      <c r="N2" s="53" t="s">
        <v>20</v>
      </c>
      <c r="O2" s="54" t="s">
        <v>21</v>
      </c>
      <c r="P2" s="55" t="s">
        <v>22</v>
      </c>
      <c r="Q2" s="56" t="s">
        <v>23</v>
      </c>
      <c r="R2" s="57" t="s">
        <v>29</v>
      </c>
      <c r="S2" s="84" t="s">
        <v>41</v>
      </c>
      <c r="U2" s="83" t="s">
        <v>42</v>
      </c>
    </row>
    <row r="3" spans="1:21" x14ac:dyDescent="0.2">
      <c r="A3" s="15">
        <v>45932</v>
      </c>
      <c r="B3" s="22">
        <v>111.29</v>
      </c>
      <c r="C3" s="23"/>
      <c r="D3" s="3"/>
      <c r="E3" s="3"/>
      <c r="F3" s="3">
        <f>H3/B3</f>
        <v>449.27666457004221</v>
      </c>
      <c r="G3" s="13">
        <f t="shared" ref="G3:G34" si="0">F3/P3</f>
        <v>0.82251247946669215</v>
      </c>
      <c r="H3" s="24">
        <f t="shared" ref="H3:H34" si="1">Q3/2</f>
        <v>50000</v>
      </c>
      <c r="I3" s="22">
        <v>515.74</v>
      </c>
      <c r="J3" s="23"/>
      <c r="K3" s="2"/>
      <c r="L3" s="2"/>
      <c r="M3" s="4">
        <f t="shared" ref="M3:M34" si="2">O3/I3</f>
        <v>96.948074611238212</v>
      </c>
      <c r="N3" s="7">
        <f t="shared" ref="N3:N34" si="3">M3/P3</f>
        <v>0.1774875205333078</v>
      </c>
      <c r="O3" s="36">
        <f t="shared" ref="O3:O34" si="4">Q3/2</f>
        <v>50000</v>
      </c>
      <c r="P3" s="40">
        <f t="shared" ref="P3:P34" si="5">M3+F3</f>
        <v>546.22473918128048</v>
      </c>
      <c r="Q3" s="4">
        <v>100000</v>
      </c>
      <c r="R3" s="41"/>
      <c r="S3" s="85"/>
      <c r="U3" s="83">
        <v>0.94</v>
      </c>
    </row>
    <row r="4" spans="1:21" x14ac:dyDescent="0.2">
      <c r="A4" s="15">
        <v>45933</v>
      </c>
      <c r="B4" s="22">
        <v>113.26</v>
      </c>
      <c r="C4" s="23">
        <v>1.97</v>
      </c>
      <c r="D4" s="12">
        <v>1.7701500584059698E-2</v>
      </c>
      <c r="E4" s="2">
        <f>D4^2</f>
        <v>3.1334312292746584E-4</v>
      </c>
      <c r="F4" s="3">
        <f>H4/B4</f>
        <v>446.05845589496317</v>
      </c>
      <c r="G4" s="13">
        <f t="shared" si="0"/>
        <v>0.82039612438749776</v>
      </c>
      <c r="H4" s="24">
        <f t="shared" si="1"/>
        <v>50520.580714663534</v>
      </c>
      <c r="I4" s="22">
        <v>517.35</v>
      </c>
      <c r="J4" s="23">
        <v>1.6100000000000101</v>
      </c>
      <c r="K4" s="12">
        <v>3.1217280024818999E-3</v>
      </c>
      <c r="L4" s="2">
        <f>K4^2</f>
        <v>9.7451857214796338E-6</v>
      </c>
      <c r="M4" s="4">
        <f t="shared" si="2"/>
        <v>97.652615665726358</v>
      </c>
      <c r="N4" s="7">
        <f t="shared" si="3"/>
        <v>0.17960387561250218</v>
      </c>
      <c r="O4" s="36">
        <f t="shared" si="4"/>
        <v>50520.580714663534</v>
      </c>
      <c r="P4" s="40">
        <f t="shared" si="5"/>
        <v>543.71107156068956</v>
      </c>
      <c r="Q4" s="4">
        <f>F3*B4+M3*I4</f>
        <v>101041.16142932707</v>
      </c>
      <c r="R4" s="42">
        <f>(Q4-Q3)/Q3</f>
        <v>1.0411614293270687E-2</v>
      </c>
      <c r="S4" s="86">
        <f>R4^2</f>
        <v>1.0840171219183847E-4</v>
      </c>
    </row>
    <row r="5" spans="1:21" x14ac:dyDescent="0.2">
      <c r="A5" s="15">
        <v>45936</v>
      </c>
      <c r="B5" s="22">
        <v>114.2</v>
      </c>
      <c r="C5" s="23">
        <v>0.93999999999999795</v>
      </c>
      <c r="D5" s="12">
        <v>8.2994879039378199E-3</v>
      </c>
      <c r="E5" s="2">
        <f>U$3*E4+(1-U$3)*D4^2</f>
        <v>3.1334312292746584E-4</v>
      </c>
      <c r="F5" s="3">
        <f>H5/B5</f>
        <v>449.01978426286246</v>
      </c>
      <c r="G5" s="13">
        <f t="shared" si="0"/>
        <v>0.8223314715994835</v>
      </c>
      <c r="H5" s="24">
        <f t="shared" si="1"/>
        <v>51278.059362818894</v>
      </c>
      <c r="I5" s="22">
        <v>528.57000000000005</v>
      </c>
      <c r="J5" s="23">
        <v>11.22</v>
      </c>
      <c r="K5" s="12">
        <v>2.1687445636416398E-2</v>
      </c>
      <c r="L5" s="2">
        <f>U$3*L4+(1-U$3)*K4^2</f>
        <v>9.7451857214796338E-6</v>
      </c>
      <c r="M5" s="4">
        <f t="shared" si="2"/>
        <v>97.012806937243681</v>
      </c>
      <c r="N5" s="7">
        <f t="shared" si="3"/>
        <v>0.1776685284005165</v>
      </c>
      <c r="O5" s="36">
        <f t="shared" si="4"/>
        <v>51278.059362818894</v>
      </c>
      <c r="P5" s="40">
        <f t="shared" si="5"/>
        <v>546.03259120010614</v>
      </c>
      <c r="Q5" s="4">
        <f>F4*B5+M4*I5</f>
        <v>102556.11872563779</v>
      </c>
      <c r="R5" s="42">
        <f t="shared" ref="R5:R68" si="6">(Q5-Q4)/Q4</f>
        <v>1.4993466770177146E-2</v>
      </c>
      <c r="S5" s="87">
        <f>U$3*S4+(1-U$3)*R4^2</f>
        <v>1.0840171219183847E-4</v>
      </c>
    </row>
    <row r="6" spans="1:21" x14ac:dyDescent="0.2">
      <c r="A6" s="15">
        <v>45937</v>
      </c>
      <c r="B6" s="22">
        <v>114.26</v>
      </c>
      <c r="C6" s="23">
        <v>6.0000000000002301E-2</v>
      </c>
      <c r="D6" s="12">
        <v>5.2539404553417104E-4</v>
      </c>
      <c r="E6" s="2">
        <f t="shared" ref="E6:E69" si="7">U$3*E5+(1-U$3)*D5^2</f>
        <v>2.9867542551987447E-4</v>
      </c>
      <c r="F6" s="3">
        <f>H6/B6</f>
        <v>446.95331318419221</v>
      </c>
      <c r="G6" s="13">
        <f t="shared" si="0"/>
        <v>0.82097643519679109</v>
      </c>
      <c r="H6" s="24">
        <f t="shared" si="1"/>
        <v>51068.885564425807</v>
      </c>
      <c r="I6" s="22">
        <v>523.98</v>
      </c>
      <c r="J6" s="23">
        <v>-4.5900000000000301</v>
      </c>
      <c r="K6" s="12">
        <v>-8.6838072535331805E-3</v>
      </c>
      <c r="L6" s="2">
        <f t="shared" ref="L6:L69" si="8">U$3*L5+(1-U$3)*K5^2</f>
        <v>3.7381192472141883E-5</v>
      </c>
      <c r="M6" s="4">
        <f t="shared" si="2"/>
        <v>97.463425253684889</v>
      </c>
      <c r="N6" s="7">
        <f t="shared" si="3"/>
        <v>0.17902356480320883</v>
      </c>
      <c r="O6" s="36">
        <f t="shared" si="4"/>
        <v>51068.885564425807</v>
      </c>
      <c r="P6" s="40">
        <f t="shared" si="5"/>
        <v>544.41673843787714</v>
      </c>
      <c r="Q6" s="4">
        <f>F5*B6+M5*I6</f>
        <v>102137.77112885161</v>
      </c>
      <c r="R6" s="42">
        <f t="shared" si="6"/>
        <v>-4.0792066039994574E-3</v>
      </c>
      <c r="S6" s="87">
        <f t="shared" ref="S6:S69" si="9">U$3*S5+(1-U$3)*R5^2</f>
        <v>1.1538585220763255E-4</v>
      </c>
    </row>
    <row r="7" spans="1:21" x14ac:dyDescent="0.2">
      <c r="A7" s="15">
        <v>45938</v>
      </c>
      <c r="B7" s="22">
        <v>114.02</v>
      </c>
      <c r="C7" s="23">
        <v>-0.24000000000000901</v>
      </c>
      <c r="D7" s="12">
        <v>-2.10047260633651E-3</v>
      </c>
      <c r="E7" s="2">
        <f t="shared" si="7"/>
        <v>2.8077146232286692E-4</v>
      </c>
      <c r="F7" s="3">
        <f>H7/B7</f>
        <v>447.79554250858672</v>
      </c>
      <c r="G7" s="13">
        <f t="shared" si="0"/>
        <v>0.82152863649881835</v>
      </c>
      <c r="H7" s="24">
        <f t="shared" si="1"/>
        <v>51057.647756829057</v>
      </c>
      <c r="I7" s="22">
        <v>524.85</v>
      </c>
      <c r="J7" s="23">
        <v>0.87000000000000499</v>
      </c>
      <c r="K7" s="12">
        <v>1.66036871636323E-3</v>
      </c>
      <c r="L7" s="2">
        <f>U$3*L6+(1-U$3)*K6^2</f>
        <v>3.9662831428804304E-5</v>
      </c>
      <c r="M7" s="4">
        <f t="shared" si="2"/>
        <v>97.280456810191595</v>
      </c>
      <c r="N7" s="7">
        <f t="shared" si="3"/>
        <v>0.17847136350118178</v>
      </c>
      <c r="O7" s="36">
        <f t="shared" si="4"/>
        <v>51057.647756829057</v>
      </c>
      <c r="P7" s="40">
        <f t="shared" si="5"/>
        <v>545.07599931877826</v>
      </c>
      <c r="Q7" s="4">
        <f>F6*B7+M6*I7</f>
        <v>102115.29551365811</v>
      </c>
      <c r="R7" s="42">
        <f t="shared" si="6"/>
        <v>-2.2005194498659841E-4</v>
      </c>
      <c r="S7" s="87">
        <f t="shared" si="9"/>
        <v>1.0946109666626135E-4</v>
      </c>
    </row>
    <row r="8" spans="1:21" x14ac:dyDescent="0.2">
      <c r="A8" s="15">
        <v>45939</v>
      </c>
      <c r="B8" s="22">
        <v>112.91</v>
      </c>
      <c r="C8" s="23">
        <v>-1.1100000000000001</v>
      </c>
      <c r="D8" s="12">
        <v>-9.7351341869847292E-3</v>
      </c>
      <c r="E8" s="2">
        <f t="shared" si="7"/>
        <v>2.6418989369369307E-4</v>
      </c>
      <c r="F8" s="3">
        <f>H8/B8</f>
        <v>448.94121575718987</v>
      </c>
      <c r="G8" s="13">
        <f t="shared" si="0"/>
        <v>0.82227573940281118</v>
      </c>
      <c r="H8" s="24">
        <f t="shared" si="1"/>
        <v>50689.952671144303</v>
      </c>
      <c r="I8" s="22">
        <v>522.4</v>
      </c>
      <c r="J8" s="23">
        <v>-2.4500000000000499</v>
      </c>
      <c r="K8" s="12">
        <v>-4.6680003810613399E-3</v>
      </c>
      <c r="L8" s="2">
        <f t="shared" si="8"/>
        <v>3.7448470999532702E-5</v>
      </c>
      <c r="M8" s="4">
        <f t="shared" si="2"/>
        <v>97.032834362833668</v>
      </c>
      <c r="N8" s="7">
        <f t="shared" si="3"/>
        <v>0.17772426059718877</v>
      </c>
      <c r="O8" s="36">
        <f t="shared" si="4"/>
        <v>50689.952671144303</v>
      </c>
      <c r="P8" s="40">
        <f t="shared" si="5"/>
        <v>545.97405012002355</v>
      </c>
      <c r="Q8" s="4">
        <f>F7*B8+M7*I8</f>
        <v>101379.90534228861</v>
      </c>
      <c r="R8" s="42">
        <f t="shared" si="6"/>
        <v>-7.2015672840230758E-3</v>
      </c>
      <c r="S8" s="87">
        <f t="shared" si="9"/>
        <v>1.028963362377952E-4</v>
      </c>
    </row>
    <row r="9" spans="1:21" x14ac:dyDescent="0.2">
      <c r="A9" s="15">
        <v>45940</v>
      </c>
      <c r="B9" s="22">
        <v>110.73</v>
      </c>
      <c r="C9" s="23">
        <v>-2.1799999999999899</v>
      </c>
      <c r="D9" s="12">
        <v>-1.9307412983792301E-2</v>
      </c>
      <c r="E9" s="2">
        <f t="shared" si="7"/>
        <v>2.540248703303874E-4</v>
      </c>
      <c r="F9" s="3">
        <f>H9/B9</f>
        <v>448.34804419230164</v>
      </c>
      <c r="G9" s="13">
        <f t="shared" si="0"/>
        <v>0.82188872267528834</v>
      </c>
      <c r="H9" s="24">
        <f t="shared" si="1"/>
        <v>49645.578933413562</v>
      </c>
      <c r="I9" s="22">
        <v>510.96</v>
      </c>
      <c r="J9" s="23">
        <v>-11.44</v>
      </c>
      <c r="K9" s="12">
        <v>-2.1898928024502301E-2</v>
      </c>
      <c r="L9" s="2">
        <f t="shared" si="8"/>
        <v>3.6508976393016064E-5</v>
      </c>
      <c r="M9" s="4">
        <f t="shared" si="2"/>
        <v>97.16138040827768</v>
      </c>
      <c r="N9" s="7">
        <f t="shared" si="3"/>
        <v>0.17811127732471169</v>
      </c>
      <c r="O9" s="36">
        <f t="shared" si="4"/>
        <v>49645.578933413562</v>
      </c>
      <c r="P9" s="40">
        <f t="shared" si="5"/>
        <v>545.50942460057934</v>
      </c>
      <c r="Q9" s="4">
        <f>F8*B9+M8*I9</f>
        <v>99291.157866827125</v>
      </c>
      <c r="R9" s="42">
        <f t="shared" si="6"/>
        <v>-2.0603170504147256E-2</v>
      </c>
      <c r="S9" s="87">
        <f t="shared" si="9"/>
        <v>9.9834310344306182E-5</v>
      </c>
    </row>
    <row r="10" spans="1:21" x14ac:dyDescent="0.2">
      <c r="A10" s="15">
        <v>45943</v>
      </c>
      <c r="B10" s="22">
        <v>112.24</v>
      </c>
      <c r="C10" s="23">
        <v>1.50999999999999</v>
      </c>
      <c r="D10" s="12">
        <v>1.3636774135283899E-2</v>
      </c>
      <c r="E10" s="2">
        <f t="shared" si="7"/>
        <v>2.6114994987816686E-4</v>
      </c>
      <c r="F10" s="3">
        <f>H10/B10</f>
        <v>446.66960120731949</v>
      </c>
      <c r="G10" s="13">
        <f t="shared" si="0"/>
        <v>0.82078589790672052</v>
      </c>
      <c r="H10" s="24">
        <f t="shared" si="1"/>
        <v>50134.196039509538</v>
      </c>
      <c r="I10" s="22">
        <v>514.04999999999995</v>
      </c>
      <c r="J10" s="23">
        <v>3.0899999999999799</v>
      </c>
      <c r="K10" s="12">
        <v>6.0474401127289298E-3</v>
      </c>
      <c r="L10" s="2">
        <f t="shared" si="8"/>
        <v>6.3092220726775059E-5</v>
      </c>
      <c r="M10" s="4">
        <f t="shared" si="2"/>
        <v>97.527859234528819</v>
      </c>
      <c r="N10" s="7">
        <f t="shared" si="3"/>
        <v>0.17921410209327948</v>
      </c>
      <c r="O10" s="36">
        <f t="shared" si="4"/>
        <v>50134.196039509538</v>
      </c>
      <c r="P10" s="40">
        <f t="shared" si="5"/>
        <v>544.19746044184831</v>
      </c>
      <c r="Q10" s="4">
        <f>F9*B10+M9*I10</f>
        <v>100268.39207901908</v>
      </c>
      <c r="R10" s="42">
        <f t="shared" si="6"/>
        <v>9.8421071240064675E-3</v>
      </c>
      <c r="S10" s="87">
        <f t="shared" si="9"/>
        <v>1.1931368981302563E-4</v>
      </c>
    </row>
    <row r="11" spans="1:21" x14ac:dyDescent="0.2">
      <c r="A11" s="15">
        <v>45944</v>
      </c>
      <c r="B11" s="22">
        <v>112.29</v>
      </c>
      <c r="C11" s="23">
        <v>5.0000000000011403E-2</v>
      </c>
      <c r="D11" s="12">
        <v>4.4547398431941699E-4</v>
      </c>
      <c r="E11" s="2">
        <f t="shared" si="7"/>
        <v>2.5663864941448172E-4</v>
      </c>
      <c r="F11" s="3">
        <f>H11/B11</f>
        <v>446.3617071272904</v>
      </c>
      <c r="G11" s="13">
        <f t="shared" si="0"/>
        <v>0.82058287795992724</v>
      </c>
      <c r="H11" s="24">
        <f t="shared" si="1"/>
        <v>50121.956093323439</v>
      </c>
      <c r="I11" s="22">
        <v>513.57000000000005</v>
      </c>
      <c r="J11" s="23">
        <v>-0.479999999999905</v>
      </c>
      <c r="K11" s="12">
        <v>-9.3376130726564497E-4</v>
      </c>
      <c r="L11" s="2">
        <f t="shared" si="8"/>
        <v>6.1500979398191119E-5</v>
      </c>
      <c r="M11" s="4">
        <f t="shared" si="2"/>
        <v>97.59517902783152</v>
      </c>
      <c r="N11" s="7">
        <f t="shared" si="3"/>
        <v>0.17941712204007285</v>
      </c>
      <c r="O11" s="36">
        <f t="shared" si="4"/>
        <v>50121.956093323439</v>
      </c>
      <c r="P11" s="40">
        <f t="shared" si="5"/>
        <v>543.95688615512188</v>
      </c>
      <c r="Q11" s="4">
        <f>F10*B11+M10*I11</f>
        <v>100243.91218664688</v>
      </c>
      <c r="R11" s="42">
        <f t="shared" si="6"/>
        <v>-2.4414366147315245E-4</v>
      </c>
      <c r="S11" s="87">
        <f t="shared" si="9"/>
        <v>1.1796689278266922E-4</v>
      </c>
    </row>
    <row r="12" spans="1:21" x14ac:dyDescent="0.2">
      <c r="A12" s="15">
        <v>45945</v>
      </c>
      <c r="B12" s="22">
        <v>111.61</v>
      </c>
      <c r="C12" s="23">
        <v>-0.68000000000000704</v>
      </c>
      <c r="D12" s="12">
        <v>-6.0557485083267103E-3</v>
      </c>
      <c r="E12" s="2">
        <f t="shared" si="7"/>
        <v>2.4125223727385515E-4</v>
      </c>
      <c r="F12" s="3">
        <f>H12/B12</f>
        <v>447.66025849268169</v>
      </c>
      <c r="G12" s="13">
        <f t="shared" si="0"/>
        <v>0.82143542813259951</v>
      </c>
      <c r="H12" s="24">
        <f t="shared" si="1"/>
        <v>49963.361450368204</v>
      </c>
      <c r="I12" s="22">
        <v>513.42999999999995</v>
      </c>
      <c r="J12" s="23">
        <v>-0.14000000000009999</v>
      </c>
      <c r="K12" s="12">
        <v>-2.7260159277235797E-4</v>
      </c>
      <c r="L12" s="2">
        <f t="shared" si="8"/>
        <v>5.7863235245036434E-5</v>
      </c>
      <c r="M12" s="4">
        <f t="shared" si="2"/>
        <v>97.312898448412071</v>
      </c>
      <c r="N12" s="7">
        <f t="shared" si="3"/>
        <v>0.17856457186740052</v>
      </c>
      <c r="O12" s="36">
        <f t="shared" si="4"/>
        <v>49963.361450368204</v>
      </c>
      <c r="P12" s="40">
        <f t="shared" si="5"/>
        <v>544.97315694109375</v>
      </c>
      <c r="Q12" s="4">
        <f>F11*B12+M11*I12</f>
        <v>99926.722900736408</v>
      </c>
      <c r="R12" s="42">
        <f t="shared" si="6"/>
        <v>-3.1641750505495701E-3</v>
      </c>
      <c r="S12" s="87">
        <f t="shared" si="9"/>
        <v>1.1089245558335531E-4</v>
      </c>
    </row>
    <row r="13" spans="1:21" x14ac:dyDescent="0.2">
      <c r="A13" s="15">
        <v>45946</v>
      </c>
      <c r="B13" s="22">
        <v>110.64</v>
      </c>
      <c r="C13" s="23">
        <v>-0.96999999999999897</v>
      </c>
      <c r="D13" s="12">
        <v>-8.6909775109757104E-3</v>
      </c>
      <c r="E13" s="2">
        <f t="shared" si="7"/>
        <v>2.2897742843718991E-4</v>
      </c>
      <c r="F13" s="3">
        <f>H13/B13</f>
        <v>448.82222964037595</v>
      </c>
      <c r="G13" s="13">
        <f t="shared" si="0"/>
        <v>0.822193652069104</v>
      </c>
      <c r="H13" s="24">
        <f t="shared" si="1"/>
        <v>49657.691487411197</v>
      </c>
      <c r="I13" s="22">
        <v>511.61</v>
      </c>
      <c r="J13" s="23">
        <v>-1.8199999999999401</v>
      </c>
      <c r="K13" s="12">
        <v>-3.5447870206258602E-3</v>
      </c>
      <c r="L13" s="2">
        <f t="shared" si="8"/>
        <v>5.4395899828037172E-5</v>
      </c>
      <c r="M13" s="4">
        <f t="shared" si="2"/>
        <v>97.061612336371837</v>
      </c>
      <c r="N13" s="7">
        <f t="shared" si="3"/>
        <v>0.17780634793089595</v>
      </c>
      <c r="O13" s="36">
        <f t="shared" si="4"/>
        <v>49657.691487411197</v>
      </c>
      <c r="P13" s="40">
        <f t="shared" si="5"/>
        <v>545.88384197674782</v>
      </c>
      <c r="Q13" s="4">
        <f>F12*B13+M12*I13</f>
        <v>99315.382974822394</v>
      </c>
      <c r="R13" s="42">
        <f t="shared" si="6"/>
        <v>-6.1178822658008733E-3</v>
      </c>
      <c r="S13" s="87">
        <f t="shared" si="9"/>
        <v>1.0483962847338521E-4</v>
      </c>
    </row>
    <row r="14" spans="1:21" x14ac:dyDescent="0.2">
      <c r="A14" s="15">
        <v>45947</v>
      </c>
      <c r="B14" s="22">
        <v>112.24</v>
      </c>
      <c r="C14" s="23">
        <v>1.5999999999999901</v>
      </c>
      <c r="D14" s="12">
        <v>1.44613159797541E-2</v>
      </c>
      <c r="E14" s="2">
        <f t="shared" si="7"/>
        <v>2.1977076813673563E-4</v>
      </c>
      <c r="F14" s="3">
        <f>H14/B14</f>
        <v>446.47500854663957</v>
      </c>
      <c r="G14" s="13">
        <f t="shared" si="0"/>
        <v>0.82065130548720078</v>
      </c>
      <c r="H14" s="24">
        <f t="shared" si="1"/>
        <v>50112.354959274824</v>
      </c>
      <c r="I14" s="22">
        <v>513.58000000000004</v>
      </c>
      <c r="J14" s="23">
        <v>1.9700000000000299</v>
      </c>
      <c r="K14" s="12">
        <v>3.8505893160806601E-3</v>
      </c>
      <c r="L14" s="2">
        <f t="shared" si="8"/>
        <v>5.1886076739650791E-5</v>
      </c>
      <c r="M14" s="4">
        <f t="shared" si="2"/>
        <v>97.574584211368858</v>
      </c>
      <c r="N14" s="7">
        <f t="shared" si="3"/>
        <v>0.17934869451279919</v>
      </c>
      <c r="O14" s="36">
        <f t="shared" si="4"/>
        <v>50112.354959274824</v>
      </c>
      <c r="P14" s="40">
        <f t="shared" si="5"/>
        <v>544.04959275800843</v>
      </c>
      <c r="Q14" s="4">
        <f>F13*B14+M13*I14</f>
        <v>100224.70991854965</v>
      </c>
      <c r="R14" s="42">
        <f t="shared" si="6"/>
        <v>9.1559526479173797E-3</v>
      </c>
      <c r="S14" s="87">
        <f t="shared" si="9"/>
        <v>1.0079495977007414E-4</v>
      </c>
    </row>
    <row r="15" spans="1:21" x14ac:dyDescent="0.2">
      <c r="A15" s="15">
        <v>45950</v>
      </c>
      <c r="B15" s="22">
        <v>112.7</v>
      </c>
      <c r="C15" s="23">
        <v>0.46000000000000801</v>
      </c>
      <c r="D15" s="12">
        <v>4.0983606557377797E-3</v>
      </c>
      <c r="E15" s="2">
        <f t="shared" si="7"/>
        <v>2.1913230164050899E-4</v>
      </c>
      <c r="F15" s="3">
        <f>H15/B15</f>
        <v>446.95342873912864</v>
      </c>
      <c r="G15" s="13">
        <f t="shared" si="0"/>
        <v>0.82096617897027757</v>
      </c>
      <c r="H15" s="24">
        <f t="shared" si="1"/>
        <v>50371.651418899797</v>
      </c>
      <c r="I15" s="22">
        <v>516.79</v>
      </c>
      <c r="J15" s="23">
        <v>3.20999999999992</v>
      </c>
      <c r="K15" s="12">
        <v>6.2502433895399402E-3</v>
      </c>
      <c r="L15" s="2">
        <f t="shared" si="8"/>
        <v>4.9662534420138609E-5</v>
      </c>
      <c r="M15" s="4">
        <f t="shared" si="2"/>
        <v>97.470251782928855</v>
      </c>
      <c r="N15" s="7">
        <f t="shared" si="3"/>
        <v>0.17903382102972251</v>
      </c>
      <c r="O15" s="36">
        <f t="shared" si="4"/>
        <v>50371.651418899797</v>
      </c>
      <c r="P15" s="40">
        <f t="shared" si="5"/>
        <v>544.42368052205745</v>
      </c>
      <c r="Q15" s="4">
        <f>F14*B15+M14*I15</f>
        <v>100743.30283779959</v>
      </c>
      <c r="R15" s="42">
        <f t="shared" si="6"/>
        <v>5.1743020226388764E-3</v>
      </c>
      <c r="S15" s="87">
        <f t="shared" si="9"/>
        <v>9.9777150317324008E-5</v>
      </c>
    </row>
    <row r="16" spans="1:21" x14ac:dyDescent="0.2">
      <c r="A16" s="15">
        <v>45951</v>
      </c>
      <c r="B16" s="22">
        <v>112.71</v>
      </c>
      <c r="C16" s="23">
        <v>9.9999999999909103E-3</v>
      </c>
      <c r="D16" s="12">
        <v>8.8731144631684994E-5</v>
      </c>
      <c r="E16" s="2">
        <f t="shared" si="7"/>
        <v>2.0699215714594838E-4</v>
      </c>
      <c r="F16" s="3">
        <f>H16/B16</f>
        <v>447.30978391951976</v>
      </c>
      <c r="G16" s="13">
        <f t="shared" si="0"/>
        <v>0.82120024747370601</v>
      </c>
      <c r="H16" s="24">
        <f t="shared" si="1"/>
        <v>50416.285745569068</v>
      </c>
      <c r="I16" s="22">
        <v>517.66</v>
      </c>
      <c r="J16" s="23">
        <v>0.87000000000000499</v>
      </c>
      <c r="K16" s="12">
        <v>1.6834691073743799E-3</v>
      </c>
      <c r="L16" s="2">
        <f t="shared" si="8"/>
        <v>4.9026714900639556E-5</v>
      </c>
      <c r="M16" s="4">
        <f t="shared" si="2"/>
        <v>97.392662646464998</v>
      </c>
      <c r="N16" s="7">
        <f t="shared" si="3"/>
        <v>0.1787997525262941</v>
      </c>
      <c r="O16" s="36">
        <f t="shared" si="4"/>
        <v>50416.285745569068</v>
      </c>
      <c r="P16" s="40">
        <f t="shared" si="5"/>
        <v>544.7024465659847</v>
      </c>
      <c r="Q16" s="4">
        <f>F15*B16+M15*I16</f>
        <v>100832.57149113814</v>
      </c>
      <c r="R16" s="42">
        <f t="shared" si="6"/>
        <v>8.8610012600309534E-4</v>
      </c>
      <c r="S16" s="87">
        <f t="shared" si="9"/>
        <v>9.5396925383573649E-5</v>
      </c>
    </row>
    <row r="17" spans="1:19" x14ac:dyDescent="0.2">
      <c r="A17" s="15">
        <v>45952</v>
      </c>
      <c r="B17" s="22">
        <v>114.71</v>
      </c>
      <c r="C17" s="23">
        <v>2</v>
      </c>
      <c r="D17" s="12">
        <v>1.77446544228551E-2</v>
      </c>
      <c r="E17" s="2">
        <f t="shared" si="7"/>
        <v>1.9457310011015313E-4</v>
      </c>
      <c r="F17" s="3">
        <f>H17/B17</f>
        <v>444.63290875860434</v>
      </c>
      <c r="G17" s="13">
        <f t="shared" si="0"/>
        <v>0.81942542306178667</v>
      </c>
      <c r="H17" s="24">
        <f t="shared" si="1"/>
        <v>51003.840963699498</v>
      </c>
      <c r="I17" s="22">
        <v>520.54</v>
      </c>
      <c r="J17" s="23">
        <v>2.88</v>
      </c>
      <c r="K17" s="12">
        <v>5.5634972762044496E-3</v>
      </c>
      <c r="L17" s="2">
        <f t="shared" si="8"/>
        <v>4.6255156100730212E-5</v>
      </c>
      <c r="M17" s="4">
        <f t="shared" si="2"/>
        <v>97.982558427209241</v>
      </c>
      <c r="N17" s="7">
        <f t="shared" si="3"/>
        <v>0.18057457693821327</v>
      </c>
      <c r="O17" s="36">
        <f t="shared" si="4"/>
        <v>51003.840963699498</v>
      </c>
      <c r="P17" s="40">
        <f t="shared" si="5"/>
        <v>542.6154671858136</v>
      </c>
      <c r="Q17" s="4">
        <f>F16*B17+M16*I17</f>
        <v>102007.681927399</v>
      </c>
      <c r="R17" s="42">
        <f t="shared" si="6"/>
        <v>1.1654075849529804E-2</v>
      </c>
      <c r="S17" s="87">
        <f t="shared" si="9"/>
        <v>8.9720220266557396E-5</v>
      </c>
    </row>
    <row r="18" spans="1:19" x14ac:dyDescent="0.2">
      <c r="A18" s="15">
        <v>45953</v>
      </c>
      <c r="B18" s="22">
        <v>115.98</v>
      </c>
      <c r="C18" s="23">
        <v>1.27000000000001</v>
      </c>
      <c r="D18" s="12">
        <v>1.10713974370152E-2</v>
      </c>
      <c r="E18" s="2">
        <f t="shared" si="7"/>
        <v>2.0179107973873701E-4</v>
      </c>
      <c r="F18" s="3">
        <f>H18/B18</f>
        <v>442.20695539183896</v>
      </c>
      <c r="G18" s="13">
        <f t="shared" si="0"/>
        <v>0.8177962107644452</v>
      </c>
      <c r="H18" s="24">
        <f t="shared" si="1"/>
        <v>51287.162686345488</v>
      </c>
      <c r="I18" s="22">
        <v>520.55999999999995</v>
      </c>
      <c r="J18" s="23">
        <v>1.99999999999818E-2</v>
      </c>
      <c r="K18" s="12">
        <v>3.8421639067087698E-5</v>
      </c>
      <c r="L18" s="2">
        <f t="shared" si="8"/>
        <v>4.5336996851226457E-5</v>
      </c>
      <c r="M18" s="4">
        <f t="shared" si="2"/>
        <v>98.52305725823247</v>
      </c>
      <c r="N18" s="7">
        <f t="shared" si="3"/>
        <v>0.18220378923555475</v>
      </c>
      <c r="O18" s="36">
        <f t="shared" si="4"/>
        <v>51287.162686345488</v>
      </c>
      <c r="P18" s="40">
        <f t="shared" si="5"/>
        <v>540.73001265007144</v>
      </c>
      <c r="Q18" s="4">
        <f>F17*B18+M17*I18</f>
        <v>102574.32537269098</v>
      </c>
      <c r="R18" s="42">
        <f t="shared" si="6"/>
        <v>5.5549095380411683E-3</v>
      </c>
      <c r="S18" s="87">
        <f t="shared" si="9"/>
        <v>9.2486056084959588E-5</v>
      </c>
    </row>
    <row r="19" spans="1:19" x14ac:dyDescent="0.2">
      <c r="A19" s="15">
        <v>45954</v>
      </c>
      <c r="B19" s="22">
        <v>115.39</v>
      </c>
      <c r="C19" s="23">
        <v>-0.59000000000000297</v>
      </c>
      <c r="D19" s="12">
        <v>-5.0870839799965796E-3</v>
      </c>
      <c r="E19" s="2">
        <f t="shared" si="7"/>
        <v>1.9703816542691359E-4</v>
      </c>
      <c r="F19" s="3">
        <f>H19/B19</f>
        <v>444.63956405948261</v>
      </c>
      <c r="G19" s="13">
        <f t="shared" si="0"/>
        <v>0.81942097026604066</v>
      </c>
      <c r="H19" s="24">
        <f t="shared" si="1"/>
        <v>51306.959296823698</v>
      </c>
      <c r="I19" s="22">
        <v>523.61</v>
      </c>
      <c r="J19" s="23">
        <v>3.05000000000007</v>
      </c>
      <c r="K19" s="12">
        <v>5.8590748424774599E-3</v>
      </c>
      <c r="L19" s="2">
        <f t="shared" si="8"/>
        <v>4.2616865613493786E-5</v>
      </c>
      <c r="M19" s="4">
        <f t="shared" si="2"/>
        <v>97.98697369573479</v>
      </c>
      <c r="N19" s="7">
        <f t="shared" si="3"/>
        <v>0.18057902973395928</v>
      </c>
      <c r="O19" s="36">
        <f t="shared" si="4"/>
        <v>51306.959296823698</v>
      </c>
      <c r="P19" s="40">
        <f t="shared" si="5"/>
        <v>542.62653775521744</v>
      </c>
      <c r="Q19" s="4">
        <f>F18*B19+M18*I19</f>
        <v>102613.9185936474</v>
      </c>
      <c r="R19" s="42">
        <f t="shared" si="6"/>
        <v>3.8599543124035E-4</v>
      </c>
      <c r="S19" s="87">
        <f t="shared" si="9"/>
        <v>8.8788313918411249E-5</v>
      </c>
    </row>
    <row r="20" spans="1:19" x14ac:dyDescent="0.2">
      <c r="A20" s="15">
        <v>45957</v>
      </c>
      <c r="B20" s="22">
        <v>115.94</v>
      </c>
      <c r="C20" s="23">
        <v>0.54999999999999705</v>
      </c>
      <c r="D20" s="12">
        <v>4.7664442326024502E-3</v>
      </c>
      <c r="E20" s="2">
        <f t="shared" si="7"/>
        <v>1.8676858090647104E-4</v>
      </c>
      <c r="F20" s="3">
        <f>H20/B20</f>
        <v>446.92749403059071</v>
      </c>
      <c r="G20" s="13">
        <f t="shared" si="0"/>
        <v>0.82093102276588514</v>
      </c>
      <c r="H20" s="24">
        <f t="shared" si="1"/>
        <v>51816.773657906684</v>
      </c>
      <c r="I20" s="22">
        <v>531.52</v>
      </c>
      <c r="J20" s="23">
        <v>7.9099999999999699</v>
      </c>
      <c r="K20" s="12">
        <v>1.51066633563148E-2</v>
      </c>
      <c r="L20" s="2">
        <f t="shared" si="8"/>
        <v>4.2119579157269297E-5</v>
      </c>
      <c r="M20" s="4">
        <f t="shared" si="2"/>
        <v>97.487909500878018</v>
      </c>
      <c r="N20" s="7">
        <f t="shared" si="3"/>
        <v>0.17906897723411483</v>
      </c>
      <c r="O20" s="36">
        <f t="shared" si="4"/>
        <v>51816.773657906684</v>
      </c>
      <c r="P20" s="40">
        <f t="shared" si="5"/>
        <v>544.41540353146877</v>
      </c>
      <c r="Q20" s="4">
        <f>F19*B20+M19*I20</f>
        <v>103633.54731581337</v>
      </c>
      <c r="R20" s="42">
        <f t="shared" si="6"/>
        <v>9.9365537944586021E-3</v>
      </c>
      <c r="S20" s="87">
        <f t="shared" si="9"/>
        <v>8.3469954631682877E-5</v>
      </c>
    </row>
    <row r="21" spans="1:19" x14ac:dyDescent="0.2">
      <c r="A21" s="15">
        <v>45958</v>
      </c>
      <c r="B21" s="22">
        <v>115.03</v>
      </c>
      <c r="C21" s="23">
        <v>-0.90999999999999703</v>
      </c>
      <c r="D21" s="12">
        <v>-7.8488873555286904E-3</v>
      </c>
      <c r="E21" s="2">
        <f t="shared" si="7"/>
        <v>1.7692560548943331E-4</v>
      </c>
      <c r="F21" s="3">
        <f>H21/B21</f>
        <v>453.1658729960871</v>
      </c>
      <c r="G21" s="13">
        <f t="shared" si="0"/>
        <v>0.82494293106072147</v>
      </c>
      <c r="H21" s="24">
        <f t="shared" si="1"/>
        <v>52127.670370739899</v>
      </c>
      <c r="I21" s="22">
        <v>542.07000000000005</v>
      </c>
      <c r="J21" s="23">
        <v>10.5500000000001</v>
      </c>
      <c r="K21" s="12">
        <v>1.98487357013848E-2</v>
      </c>
      <c r="L21" s="2">
        <f t="shared" si="8"/>
        <v>5.3285081073494613E-5</v>
      </c>
      <c r="M21" s="4">
        <f t="shared" si="2"/>
        <v>96.164093882229039</v>
      </c>
      <c r="N21" s="7">
        <f t="shared" si="3"/>
        <v>0.17505706893927864</v>
      </c>
      <c r="O21" s="36">
        <f t="shared" si="4"/>
        <v>52127.670370739899</v>
      </c>
      <c r="P21" s="40">
        <f t="shared" si="5"/>
        <v>549.3299668783161</v>
      </c>
      <c r="Q21" s="4">
        <f>F20*B21+M20*I21</f>
        <v>104255.3407414798</v>
      </c>
      <c r="R21" s="42">
        <f t="shared" si="6"/>
        <v>5.9999241729280384E-3</v>
      </c>
      <c r="S21" s="87">
        <f t="shared" si="9"/>
        <v>8.4385863432392085E-5</v>
      </c>
    </row>
    <row r="22" spans="1:19" x14ac:dyDescent="0.2">
      <c r="A22" s="15">
        <v>45959</v>
      </c>
      <c r="B22" s="22">
        <v>116.45</v>
      </c>
      <c r="C22" s="23">
        <v>1.42</v>
      </c>
      <c r="D22" s="12">
        <v>1.23446057550204E-2</v>
      </c>
      <c r="E22" s="2">
        <f>U$3*E21+(1-U$3)*D21^2</f>
        <v>1.7000637112325398E-4</v>
      </c>
      <c r="F22" s="3">
        <f>H22/B22</f>
        <v>450.18819644618065</v>
      </c>
      <c r="G22" s="13">
        <f t="shared" si="0"/>
        <v>0.82302431610942239</v>
      </c>
      <c r="H22" s="24">
        <f t="shared" si="1"/>
        <v>52424.415476157737</v>
      </c>
      <c r="I22" s="22">
        <v>541.54999999999995</v>
      </c>
      <c r="J22" s="23">
        <v>-0.52000000000009605</v>
      </c>
      <c r="K22" s="12">
        <v>-9.5928570110888898E-4</v>
      </c>
      <c r="L22" s="2">
        <f t="shared" si="8"/>
        <v>7.3726314745690616E-5</v>
      </c>
      <c r="M22" s="4">
        <f t="shared" si="2"/>
        <v>96.804386439216586</v>
      </c>
      <c r="N22" s="7">
        <f t="shared" si="3"/>
        <v>0.17697568389057752</v>
      </c>
      <c r="O22" s="36">
        <f t="shared" si="4"/>
        <v>52424.415476157737</v>
      </c>
      <c r="P22" s="40">
        <f t="shared" si="5"/>
        <v>546.99258288539727</v>
      </c>
      <c r="Q22" s="4">
        <f>F21*B22+M21*I22</f>
        <v>104848.83095231547</v>
      </c>
      <c r="R22" s="42">
        <f t="shared" si="6"/>
        <v>5.6926600269557801E-3</v>
      </c>
      <c r="S22" s="87">
        <f t="shared" si="9"/>
        <v>8.1482657031301737E-5</v>
      </c>
    </row>
    <row r="23" spans="1:19" x14ac:dyDescent="0.2">
      <c r="A23" s="15">
        <v>45960</v>
      </c>
      <c r="B23" s="22">
        <v>114.69</v>
      </c>
      <c r="C23" s="23">
        <v>-1.76000000000001</v>
      </c>
      <c r="D23" s="12">
        <v>-1.5113782739373201E-2</v>
      </c>
      <c r="E23" s="2">
        <f t="shared" si="7"/>
        <v>1.6894934633067169E-4</v>
      </c>
      <c r="F23" s="3">
        <f>H23/B23</f>
        <v>446.978631374553</v>
      </c>
      <c r="G23" s="13">
        <f t="shared" si="0"/>
        <v>0.82092278866422042</v>
      </c>
      <c r="H23" s="24">
        <f t="shared" si="1"/>
        <v>51263.979232347483</v>
      </c>
      <c r="I23" s="22">
        <v>525.76</v>
      </c>
      <c r="J23" s="23">
        <v>-15.79</v>
      </c>
      <c r="K23" s="12">
        <v>-2.9157049210599102E-2</v>
      </c>
      <c r="L23" s="2">
        <f t="shared" si="8"/>
        <v>6.9357949604330289E-5</v>
      </c>
      <c r="M23" s="4">
        <f t="shared" si="2"/>
        <v>97.504525320198354</v>
      </c>
      <c r="N23" s="7">
        <f t="shared" si="3"/>
        <v>0.17907721133577953</v>
      </c>
      <c r="O23" s="36">
        <f t="shared" si="4"/>
        <v>51263.979232347483</v>
      </c>
      <c r="P23" s="40">
        <f t="shared" si="5"/>
        <v>544.48315669475141</v>
      </c>
      <c r="Q23" s="4">
        <f>F22*B23+M22*I23</f>
        <v>102527.95846469497</v>
      </c>
      <c r="R23" s="42">
        <f t="shared" si="6"/>
        <v>-2.2135415974986174E-2</v>
      </c>
      <c r="S23" s="87">
        <f t="shared" si="9"/>
        <v>7.8538080300373636E-5</v>
      </c>
    </row>
    <row r="24" spans="1:19" x14ac:dyDescent="0.2">
      <c r="A24" s="15">
        <v>45961</v>
      </c>
      <c r="B24" s="22">
        <v>114.36</v>
      </c>
      <c r="C24" s="23">
        <v>-0.32999999999999802</v>
      </c>
      <c r="D24" s="12">
        <v>-2.8773214752811798E-3</v>
      </c>
      <c r="E24" s="2">
        <f t="shared" si="7"/>
        <v>1.725179712724099E-4</v>
      </c>
      <c r="F24" s="3">
        <f>H24/B24</f>
        <v>444.23441124539079</v>
      </c>
      <c r="G24" s="13">
        <f t="shared" si="0"/>
        <v>0.81909929291171679</v>
      </c>
      <c r="H24" s="24">
        <f t="shared" si="1"/>
        <v>50802.647270022891</v>
      </c>
      <c r="I24" s="22">
        <v>517.80999999999995</v>
      </c>
      <c r="J24" s="23">
        <v>-7.9500000000000499</v>
      </c>
      <c r="K24" s="12">
        <v>-1.5120967741935601E-2</v>
      </c>
      <c r="L24" s="2">
        <f t="shared" si="8"/>
        <v>1.1620448374822838E-4</v>
      </c>
      <c r="M24" s="4">
        <f t="shared" si="2"/>
        <v>98.110595141119134</v>
      </c>
      <c r="N24" s="7">
        <f t="shared" si="3"/>
        <v>0.18090070708828324</v>
      </c>
      <c r="O24" s="36">
        <f t="shared" si="4"/>
        <v>50802.647270022891</v>
      </c>
      <c r="P24" s="40">
        <f t="shared" si="5"/>
        <v>542.34500638650991</v>
      </c>
      <c r="Q24" s="4">
        <f>F23*B24+M23*I24</f>
        <v>101605.29454004578</v>
      </c>
      <c r="R24" s="42">
        <f t="shared" si="6"/>
        <v>-8.9991446086083761E-3</v>
      </c>
      <c r="S24" s="87">
        <f t="shared" si="9"/>
        <v>1.0322439390549163E-4</v>
      </c>
    </row>
    <row r="25" spans="1:19" x14ac:dyDescent="0.2">
      <c r="A25" s="15">
        <v>45964</v>
      </c>
      <c r="B25" s="22">
        <v>113.76</v>
      </c>
      <c r="C25" s="23">
        <v>-0.59999999999999398</v>
      </c>
      <c r="D25" s="12">
        <v>-5.2465897166841099E-3</v>
      </c>
      <c r="E25" s="2">
        <f t="shared" si="7"/>
        <v>1.6266363172839216E-4</v>
      </c>
      <c r="F25" s="3">
        <f>H25/B25</f>
        <v>445.06956588031147</v>
      </c>
      <c r="G25" s="13">
        <f t="shared" si="0"/>
        <v>0.81965471868609197</v>
      </c>
      <c r="H25" s="24">
        <f t="shared" si="1"/>
        <v>50631.113814544238</v>
      </c>
      <c r="I25" s="22">
        <v>517.03</v>
      </c>
      <c r="J25" s="23">
        <v>-0.77999999999997305</v>
      </c>
      <c r="K25" s="12">
        <v>-1.5063440258009199E-3</v>
      </c>
      <c r="L25" s="2">
        <f t="shared" si="8"/>
        <v>1.229508346504941E-4</v>
      </c>
      <c r="M25" s="4">
        <f t="shared" si="2"/>
        <v>97.926839476518268</v>
      </c>
      <c r="N25" s="7">
        <f t="shared" si="3"/>
        <v>0.18034528131390798</v>
      </c>
      <c r="O25" s="36">
        <f t="shared" si="4"/>
        <v>50631.113814544238</v>
      </c>
      <c r="P25" s="40">
        <f t="shared" si="5"/>
        <v>542.99640535682977</v>
      </c>
      <c r="Q25" s="4">
        <f>F24*B25+M24*I25</f>
        <v>101262.22762908848</v>
      </c>
      <c r="R25" s="42">
        <f t="shared" si="6"/>
        <v>-3.3764668712425523E-3</v>
      </c>
      <c r="S25" s="87">
        <f t="shared" si="9"/>
        <v>1.0189000649236084E-4</v>
      </c>
    </row>
    <row r="26" spans="1:19" x14ac:dyDescent="0.2">
      <c r="A26" s="15">
        <v>45965</v>
      </c>
      <c r="B26" s="22">
        <v>114.14</v>
      </c>
      <c r="C26" s="23">
        <v>0.37999999999999501</v>
      </c>
      <c r="D26" s="12">
        <v>3.3403656821377899E-3</v>
      </c>
      <c r="E26" s="2">
        <f t="shared" si="7"/>
        <v>1.5455541604400156E-4</v>
      </c>
      <c r="F26" s="3">
        <f>H26/B26</f>
        <v>443.17045557007356</v>
      </c>
      <c r="G26" s="13">
        <f t="shared" si="0"/>
        <v>0.81838433019873669</v>
      </c>
      <c r="H26" s="24">
        <f t="shared" si="1"/>
        <v>50583.475798768195</v>
      </c>
      <c r="I26" s="22">
        <v>514.33000000000004</v>
      </c>
      <c r="J26" s="23">
        <v>-2.69999999999993</v>
      </c>
      <c r="K26" s="12">
        <v>-5.2221341121403602E-3</v>
      </c>
      <c r="L26" s="2">
        <f t="shared" si="8"/>
        <v>1.1570992891090841E-4</v>
      </c>
      <c r="M26" s="4">
        <f t="shared" si="2"/>
        <v>98.348289617110012</v>
      </c>
      <c r="N26" s="7">
        <f t="shared" si="3"/>
        <v>0.1816156698012634</v>
      </c>
      <c r="O26" s="36">
        <f t="shared" si="4"/>
        <v>50583.475798768195</v>
      </c>
      <c r="P26" s="40">
        <f t="shared" si="5"/>
        <v>541.51874518718353</v>
      </c>
      <c r="Q26" s="4">
        <f>F25*B26+M25*I26</f>
        <v>101166.95159753639</v>
      </c>
      <c r="R26" s="42">
        <f t="shared" si="6"/>
        <v>-9.4088421500138379E-4</v>
      </c>
      <c r="S26" s="87">
        <f t="shared" si="9"/>
        <v>9.6460637814775084E-5</v>
      </c>
    </row>
    <row r="27" spans="1:19" x14ac:dyDescent="0.2">
      <c r="A27" s="15">
        <v>45966</v>
      </c>
      <c r="B27" s="22">
        <v>113.68</v>
      </c>
      <c r="C27" s="23">
        <v>-0.45999999999999402</v>
      </c>
      <c r="D27" s="12">
        <v>-4.0301384264937196E-3</v>
      </c>
      <c r="E27" s="2">
        <f t="shared" si="7"/>
        <v>1.4595157365478571E-4</v>
      </c>
      <c r="F27" s="3">
        <f>H27/B27</f>
        <v>440.96558740068383</v>
      </c>
      <c r="G27" s="13">
        <f t="shared" si="0"/>
        <v>0.8168932414148572</v>
      </c>
      <c r="H27" s="24">
        <f t="shared" si="1"/>
        <v>50128.96797570974</v>
      </c>
      <c r="I27" s="22">
        <v>507.16</v>
      </c>
      <c r="J27" s="23">
        <v>-7.1700000000000204</v>
      </c>
      <c r="K27" s="12">
        <v>-1.39404662376296E-2</v>
      </c>
      <c r="L27" s="2">
        <f t="shared" si="8"/>
        <v>1.104035742573647E-4</v>
      </c>
      <c r="M27" s="4">
        <f t="shared" si="2"/>
        <v>98.842511191162032</v>
      </c>
      <c r="N27" s="7">
        <f t="shared" si="3"/>
        <v>0.18310675858514269</v>
      </c>
      <c r="O27" s="36">
        <f t="shared" si="4"/>
        <v>50128.96797570974</v>
      </c>
      <c r="P27" s="40">
        <f t="shared" si="5"/>
        <v>539.80809859184592</v>
      </c>
      <c r="Q27" s="4">
        <f>F26*B27+M26*I27</f>
        <v>100257.93595141948</v>
      </c>
      <c r="R27" s="42">
        <f t="shared" si="6"/>
        <v>-8.9853023320616322E-3</v>
      </c>
      <c r="S27" s="87">
        <f t="shared" si="9"/>
        <v>9.0726115332250909E-5</v>
      </c>
    </row>
    <row r="28" spans="1:19" x14ac:dyDescent="0.2">
      <c r="A28" s="15">
        <v>45967</v>
      </c>
      <c r="B28" s="22">
        <v>114.5</v>
      </c>
      <c r="C28" s="23">
        <v>0.81999999999999296</v>
      </c>
      <c r="D28" s="12">
        <v>7.2132301196339999E-3</v>
      </c>
      <c r="E28" s="2">
        <f t="shared" si="7"/>
        <v>1.3816900017970065E-4</v>
      </c>
      <c r="F28" s="3">
        <f>H28/B28</f>
        <v>435.04441952185567</v>
      </c>
      <c r="G28" s="13">
        <f t="shared" si="0"/>
        <v>0.81278613472858074</v>
      </c>
      <c r="H28" s="24">
        <f t="shared" si="1"/>
        <v>49812.586035252476</v>
      </c>
      <c r="I28" s="22">
        <v>497.1</v>
      </c>
      <c r="J28" s="23">
        <v>-10.06</v>
      </c>
      <c r="K28" s="12">
        <v>-1.9835949207350701E-2</v>
      </c>
      <c r="L28" s="2">
        <f t="shared" si="8"/>
        <v>1.1543955573727227E-4</v>
      </c>
      <c r="M28" s="4">
        <f t="shared" si="2"/>
        <v>100.2063690107674</v>
      </c>
      <c r="N28" s="7">
        <f t="shared" si="3"/>
        <v>0.18721386527141923</v>
      </c>
      <c r="O28" s="36">
        <f t="shared" si="4"/>
        <v>49812.586035252476</v>
      </c>
      <c r="P28" s="40">
        <f t="shared" si="5"/>
        <v>535.25078853262312</v>
      </c>
      <c r="Q28" s="4">
        <f>F27*B28+M27*I28</f>
        <v>99625.172070504952</v>
      </c>
      <c r="R28" s="42">
        <f t="shared" si="6"/>
        <v>-6.3113595438583272E-3</v>
      </c>
      <c r="S28" s="87">
        <f t="shared" si="9"/>
        <v>9.0126687892228989E-5</v>
      </c>
    </row>
    <row r="29" spans="1:19" x14ac:dyDescent="0.2">
      <c r="A29" s="15">
        <v>45968</v>
      </c>
      <c r="B29" s="22">
        <v>117.22</v>
      </c>
      <c r="C29" s="23">
        <v>2.72</v>
      </c>
      <c r="D29" s="12">
        <v>2.3755458515283798E-2</v>
      </c>
      <c r="E29" s="2">
        <f t="shared" si="7"/>
        <v>1.3300070149444633E-4</v>
      </c>
      <c r="F29" s="3">
        <f>H29/B29</f>
        <v>429.87730382307365</v>
      </c>
      <c r="G29" s="13">
        <f t="shared" si="0"/>
        <v>0.80910038433978237</v>
      </c>
      <c r="H29" s="24">
        <f t="shared" si="1"/>
        <v>50390.21755414069</v>
      </c>
      <c r="I29" s="22">
        <v>496.82</v>
      </c>
      <c r="J29" s="23">
        <v>-0.28000000000003</v>
      </c>
      <c r="K29" s="12">
        <v>-5.6326694830019996E-4</v>
      </c>
      <c r="L29" s="2">
        <f t="shared" si="8"/>
        <v>1.3212107525043177E-4</v>
      </c>
      <c r="M29" s="4">
        <f t="shared" si="2"/>
        <v>101.4255012965273</v>
      </c>
      <c r="N29" s="7">
        <f t="shared" si="3"/>
        <v>0.19089961566021757</v>
      </c>
      <c r="O29" s="36">
        <f t="shared" si="4"/>
        <v>50390.21755414069</v>
      </c>
      <c r="P29" s="40">
        <f t="shared" si="5"/>
        <v>531.30280511960098</v>
      </c>
      <c r="Q29" s="4">
        <f>F28*B29+M28*I29</f>
        <v>100780.43510828138</v>
      </c>
      <c r="R29" s="42">
        <f t="shared" si="6"/>
        <v>1.1596095783491814E-2</v>
      </c>
      <c r="S29" s="87">
        <f t="shared" si="9"/>
        <v>8.7109082176206346E-5</v>
      </c>
    </row>
    <row r="30" spans="1:19" x14ac:dyDescent="0.2">
      <c r="A30" s="15">
        <v>45971</v>
      </c>
      <c r="B30" s="22">
        <v>118.22</v>
      </c>
      <c r="C30" s="23">
        <v>1</v>
      </c>
      <c r="D30" s="12">
        <v>8.5309674117044904E-3</v>
      </c>
      <c r="E30" s="2">
        <f t="shared" si="7"/>
        <v>1.5887996796106176E-4</v>
      </c>
      <c r="F30" s="3">
        <f>H30/B30</f>
        <v>431.99711772122561</v>
      </c>
      <c r="G30" s="13">
        <f t="shared" si="0"/>
        <v>0.81061164333087687</v>
      </c>
      <c r="H30" s="24">
        <f t="shared" si="1"/>
        <v>51070.699257003289</v>
      </c>
      <c r="I30" s="22">
        <v>506</v>
      </c>
      <c r="J30" s="23">
        <v>9.1800000000000104</v>
      </c>
      <c r="K30" s="12">
        <v>1.8477517008172E-2</v>
      </c>
      <c r="L30" s="2">
        <f t="shared" si="8"/>
        <v>1.242128469147087E-4</v>
      </c>
      <c r="M30" s="4">
        <f t="shared" si="2"/>
        <v>100.93023568577725</v>
      </c>
      <c r="N30" s="7">
        <f t="shared" si="3"/>
        <v>0.18938835666912304</v>
      </c>
      <c r="O30" s="36">
        <f t="shared" si="4"/>
        <v>51070.699257003289</v>
      </c>
      <c r="P30" s="40">
        <f t="shared" si="5"/>
        <v>532.9273534070029</v>
      </c>
      <c r="Q30" s="4">
        <f>F29*B30+M29*I30</f>
        <v>102141.39851400658</v>
      </c>
      <c r="R30" s="42">
        <f t="shared" si="6"/>
        <v>1.3504242209938257E-2</v>
      </c>
      <c r="S30" s="87">
        <f t="shared" si="9"/>
        <v>8.9950703490828977E-5</v>
      </c>
    </row>
    <row r="31" spans="1:19" x14ac:dyDescent="0.2">
      <c r="A31" s="15">
        <v>45972</v>
      </c>
      <c r="B31" s="22">
        <v>119.78</v>
      </c>
      <c r="C31" s="23">
        <v>1.56</v>
      </c>
      <c r="D31" s="12">
        <v>1.3195736761969201E-2</v>
      </c>
      <c r="E31" s="2">
        <f t="shared" si="7"/>
        <v>1.5371381418217189E-4</v>
      </c>
      <c r="F31" s="3">
        <f>H31/B31</f>
        <v>430.31310339493064</v>
      </c>
      <c r="G31" s="13">
        <f t="shared" si="0"/>
        <v>0.80940712217165767</v>
      </c>
      <c r="H31" s="24">
        <f t="shared" si="1"/>
        <v>51542.903524644789</v>
      </c>
      <c r="I31" s="22">
        <v>508.68</v>
      </c>
      <c r="J31" s="23">
        <v>2.6800000000000099</v>
      </c>
      <c r="K31" s="12">
        <v>5.2964426877470496E-3</v>
      </c>
      <c r="L31" s="2">
        <f t="shared" si="8"/>
        <v>1.3724519418706333E-4</v>
      </c>
      <c r="M31" s="4">
        <f t="shared" si="2"/>
        <v>101.32677424833842</v>
      </c>
      <c r="N31" s="7">
        <f t="shared" si="3"/>
        <v>0.19059287782834228</v>
      </c>
      <c r="O31" s="36">
        <f t="shared" si="4"/>
        <v>51542.903524644789</v>
      </c>
      <c r="P31" s="40">
        <f t="shared" si="5"/>
        <v>531.63987764326907</v>
      </c>
      <c r="Q31" s="4">
        <f>F30*B31+M30*I31</f>
        <v>103085.80704928958</v>
      </c>
      <c r="R31" s="42">
        <f t="shared" si="6"/>
        <v>9.2460897248581794E-3</v>
      </c>
      <c r="S31" s="87">
        <f t="shared" si="9"/>
        <v>9.5495534741259932E-5</v>
      </c>
    </row>
    <row r="32" spans="1:19" x14ac:dyDescent="0.2">
      <c r="A32" s="15">
        <v>45973</v>
      </c>
      <c r="B32" s="22">
        <v>118.12</v>
      </c>
      <c r="C32" s="23">
        <v>-1.66</v>
      </c>
      <c r="D32" s="12">
        <v>-1.38587410252129E-2</v>
      </c>
      <c r="E32" s="2">
        <f t="shared" si="7"/>
        <v>1.549386334527127E-4</v>
      </c>
      <c r="F32" s="3">
        <f>H32/B32</f>
        <v>434.39193685364427</v>
      </c>
      <c r="G32" s="13">
        <f t="shared" si="0"/>
        <v>0.81228744874932457</v>
      </c>
      <c r="H32" s="24">
        <f t="shared" si="1"/>
        <v>51310.375581152461</v>
      </c>
      <c r="I32" s="22">
        <v>511.14</v>
      </c>
      <c r="J32" s="23">
        <v>2.45999999999998</v>
      </c>
      <c r="K32" s="12">
        <v>4.8360462373200803E-3</v>
      </c>
      <c r="L32" s="2">
        <f t="shared" si="8"/>
        <v>1.3069362084451485E-4</v>
      </c>
      <c r="M32" s="4">
        <f t="shared" si="2"/>
        <v>100.38419137839431</v>
      </c>
      <c r="N32" s="7">
        <f t="shared" si="3"/>
        <v>0.1877125512506754</v>
      </c>
      <c r="O32" s="36">
        <f t="shared" si="4"/>
        <v>51310.375581152461</v>
      </c>
      <c r="P32" s="40">
        <f t="shared" si="5"/>
        <v>534.77612823203856</v>
      </c>
      <c r="Q32" s="4">
        <f>F31*B32+M31*I32</f>
        <v>102620.75116230492</v>
      </c>
      <c r="R32" s="42">
        <f t="shared" si="6"/>
        <v>-4.5113473939462382E-3</v>
      </c>
      <c r="S32" s="87">
        <f t="shared" si="9"/>
        <v>9.4895213168792018E-5</v>
      </c>
    </row>
    <row r="33" spans="1:19" x14ac:dyDescent="0.2">
      <c r="A33" s="15">
        <v>45974</v>
      </c>
      <c r="B33" s="22">
        <v>118.79</v>
      </c>
      <c r="C33" s="23">
        <v>0.67000000000000204</v>
      </c>
      <c r="D33" s="12">
        <v>5.6721977649847799E-3</v>
      </c>
      <c r="E33" s="2">
        <f t="shared" si="7"/>
        <v>1.571661976137851E-4</v>
      </c>
      <c r="F33" s="3">
        <f>H33/B33</f>
        <v>429.85006253757246</v>
      </c>
      <c r="G33" s="13">
        <f t="shared" si="0"/>
        <v>0.80904385288065839</v>
      </c>
      <c r="H33" s="24">
        <f t="shared" si="1"/>
        <v>51061.888928838234</v>
      </c>
      <c r="I33" s="22">
        <v>503.29</v>
      </c>
      <c r="J33" s="23">
        <v>-7.8499999999999703</v>
      </c>
      <c r="K33" s="12">
        <v>-1.5357827601048601E-2</v>
      </c>
      <c r="L33" s="2">
        <f t="shared" si="8"/>
        <v>1.2425524418641383E-4</v>
      </c>
      <c r="M33" s="4">
        <f t="shared" si="2"/>
        <v>101.45619608742123</v>
      </c>
      <c r="N33" s="7">
        <f t="shared" si="3"/>
        <v>0.19095614711934156</v>
      </c>
      <c r="O33" s="36">
        <f t="shared" si="4"/>
        <v>51061.888928838234</v>
      </c>
      <c r="P33" s="40">
        <f t="shared" si="5"/>
        <v>531.30625862499369</v>
      </c>
      <c r="Q33" s="4">
        <f>F32*B33+M32*I33</f>
        <v>102123.77785767647</v>
      </c>
      <c r="R33" s="42">
        <f t="shared" si="6"/>
        <v>-4.84281491803193E-3</v>
      </c>
      <c r="S33" s="87">
        <f t="shared" si="9"/>
        <v>9.0422635697196417E-5</v>
      </c>
    </row>
    <row r="34" spans="1:19" x14ac:dyDescent="0.2">
      <c r="A34" s="15">
        <v>45975</v>
      </c>
      <c r="B34" s="22">
        <v>119.29</v>
      </c>
      <c r="C34" s="23">
        <v>0.5</v>
      </c>
      <c r="D34" s="12">
        <v>4.2091085108174097E-3</v>
      </c>
      <c r="E34" s="2">
        <f t="shared" si="7"/>
        <v>1.4966665540606388E-4</v>
      </c>
      <c r="F34" s="3">
        <f>H34/B34</f>
        <v>431.87918551424087</v>
      </c>
      <c r="G34" s="13">
        <f t="shared" si="0"/>
        <v>0.81049136575214065</v>
      </c>
      <c r="H34" s="24">
        <f t="shared" si="1"/>
        <v>51518.868039993795</v>
      </c>
      <c r="I34" s="22">
        <v>510.18</v>
      </c>
      <c r="J34" s="23">
        <v>6.8899999999999899</v>
      </c>
      <c r="K34" s="12">
        <v>1.3689920324266301E-2</v>
      </c>
      <c r="L34" s="2">
        <f t="shared" si="8"/>
        <v>1.3095170165264083E-4</v>
      </c>
      <c r="M34" s="4">
        <f t="shared" si="2"/>
        <v>100.98174769687913</v>
      </c>
      <c r="N34" s="7">
        <f t="shared" si="3"/>
        <v>0.1895086342478593</v>
      </c>
      <c r="O34" s="36">
        <f t="shared" si="4"/>
        <v>51518.868039993795</v>
      </c>
      <c r="P34" s="40">
        <f t="shared" si="5"/>
        <v>532.86093321112003</v>
      </c>
      <c r="Q34" s="4">
        <f>F33*B34+M33*I34</f>
        <v>103037.73607998759</v>
      </c>
      <c r="R34" s="42">
        <f t="shared" si="6"/>
        <v>8.9495144175418921E-3</v>
      </c>
      <c r="S34" s="87">
        <f t="shared" si="9"/>
        <v>8.6404448935183375E-5</v>
      </c>
    </row>
    <row r="35" spans="1:19" x14ac:dyDescent="0.2">
      <c r="A35" s="15">
        <v>45978</v>
      </c>
      <c r="B35" s="22">
        <v>117.68</v>
      </c>
      <c r="C35" s="23">
        <v>-1.61</v>
      </c>
      <c r="D35" s="12">
        <v>-1.34965210830749E-2</v>
      </c>
      <c r="E35" s="2">
        <f t="shared" si="7"/>
        <v>1.4174965174905017E-4</v>
      </c>
      <c r="F35" s="3">
        <f>H35/B35</f>
        <v>433.67934096705068</v>
      </c>
      <c r="G35" s="13">
        <f t="shared" ref="G35:G66" si="10">F35/P35</f>
        <v>0.81176320040948857</v>
      </c>
      <c r="H35" s="24">
        <f t="shared" ref="H35:H66" si="11">Q35/2</f>
        <v>51035.384845002525</v>
      </c>
      <c r="I35" s="22">
        <v>507.49</v>
      </c>
      <c r="J35" s="23">
        <v>-2.69</v>
      </c>
      <c r="K35" s="12">
        <v>-5.2726488690266098E-3</v>
      </c>
      <c r="L35" s="2">
        <f t="shared" si="8"/>
        <v>1.3433943466256796E-4</v>
      </c>
      <c r="M35" s="4">
        <f t="shared" ref="M35:M66" si="12">O35/I35</f>
        <v>100.56431623283714</v>
      </c>
      <c r="N35" s="7">
        <f t="shared" ref="N35:N66" si="13">M35/P35</f>
        <v>0.18823679959051137</v>
      </c>
      <c r="O35" s="36">
        <f t="shared" ref="O35:O66" si="14">Q35/2</f>
        <v>51035.384845002525</v>
      </c>
      <c r="P35" s="40">
        <f t="shared" ref="P35:P66" si="15">M35+F35</f>
        <v>534.24365719988782</v>
      </c>
      <c r="Q35" s="4">
        <f>F34*B35+M34*I35</f>
        <v>102070.76969000505</v>
      </c>
      <c r="R35" s="42">
        <f t="shared" si="6"/>
        <v>-9.3845849760508006E-3</v>
      </c>
      <c r="S35" s="87">
        <f t="shared" si="9"/>
        <v>8.6025810497659795E-5</v>
      </c>
    </row>
    <row r="36" spans="1:19" x14ac:dyDescent="0.2">
      <c r="A36" s="15">
        <v>45979</v>
      </c>
      <c r="B36" s="22">
        <v>119.03</v>
      </c>
      <c r="C36" s="23">
        <v>1.3499999999999901</v>
      </c>
      <c r="D36" s="12">
        <v>1.1471787899388099E-2</v>
      </c>
      <c r="E36" s="2">
        <f>U$3*E35+(1-U$3)*D35^2</f>
        <v>1.4417403752486029E-4</v>
      </c>
      <c r="F36" s="3">
        <f>H36/B36</f>
        <v>425.43268784306764</v>
      </c>
      <c r="G36" s="13">
        <f t="shared" si="10"/>
        <v>0.80576678306843774</v>
      </c>
      <c r="H36" s="24">
        <f t="shared" si="11"/>
        <v>50639.252833960345</v>
      </c>
      <c r="I36" s="22">
        <v>493.79</v>
      </c>
      <c r="J36" s="23">
        <v>-13.7</v>
      </c>
      <c r="K36" s="12">
        <v>-2.6995605824745299E-2</v>
      </c>
      <c r="L36" s="2">
        <f t="shared" si="8"/>
        <v>1.2794711814857675E-4</v>
      </c>
      <c r="M36" s="4">
        <f t="shared" si="12"/>
        <v>102.55220404212386</v>
      </c>
      <c r="N36" s="7">
        <f t="shared" si="13"/>
        <v>0.19423321693156229</v>
      </c>
      <c r="O36" s="36">
        <f t="shared" si="14"/>
        <v>50639.252833960345</v>
      </c>
      <c r="P36" s="40">
        <f t="shared" si="15"/>
        <v>527.98489188519147</v>
      </c>
      <c r="Q36" s="4">
        <f>F35*B36+M35*I36</f>
        <v>101278.50566792069</v>
      </c>
      <c r="R36" s="42">
        <f t="shared" si="6"/>
        <v>-7.7619089626786691E-3</v>
      </c>
      <c r="S36" s="87">
        <f>U$3*S35+(1-U$3)*R35^2</f>
        <v>8.6148487978163319E-5</v>
      </c>
    </row>
    <row r="37" spans="1:19" x14ac:dyDescent="0.2">
      <c r="A37" s="15">
        <v>45980</v>
      </c>
      <c r="B37" s="22">
        <v>117.35</v>
      </c>
      <c r="C37" s="23">
        <v>-1.6800000000000099</v>
      </c>
      <c r="D37" s="12">
        <v>-1.4114088885155101E-2</v>
      </c>
      <c r="E37" s="2">
        <f t="shared" si="7"/>
        <v>1.4341971032988149E-4</v>
      </c>
      <c r="F37" s="3">
        <f>H37/B37</f>
        <v>425.56350895348686</v>
      </c>
      <c r="G37" s="13">
        <f t="shared" si="10"/>
        <v>0.80586298741045881</v>
      </c>
      <c r="H37" s="24">
        <f t="shared" si="11"/>
        <v>49939.877775691682</v>
      </c>
      <c r="I37" s="22">
        <v>487.12</v>
      </c>
      <c r="J37" s="23">
        <v>-6.6700000000000204</v>
      </c>
      <c r="K37" s="12">
        <v>-1.3507766459426101E-2</v>
      </c>
      <c r="L37" s="2">
        <f t="shared" si="8"/>
        <v>1.6399605509036352E-4</v>
      </c>
      <c r="M37" s="4">
        <f t="shared" si="12"/>
        <v>102.52068848680342</v>
      </c>
      <c r="N37" s="7">
        <f t="shared" si="13"/>
        <v>0.19413701258954125</v>
      </c>
      <c r="O37" s="36">
        <f t="shared" si="14"/>
        <v>49939.877775691682</v>
      </c>
      <c r="P37" s="40">
        <f t="shared" si="15"/>
        <v>528.08419744029027</v>
      </c>
      <c r="Q37" s="4">
        <f>F36*B37+M36*I37</f>
        <v>99879.755551383365</v>
      </c>
      <c r="R37" s="42">
        <f t="shared" si="6"/>
        <v>-1.3810927672290588E-2</v>
      </c>
      <c r="S37" s="87">
        <f t="shared" si="9"/>
        <v>8.4594412544168203E-5</v>
      </c>
    </row>
    <row r="38" spans="1:19" x14ac:dyDescent="0.2">
      <c r="A38" s="15">
        <v>45981</v>
      </c>
      <c r="B38" s="22">
        <v>117.02</v>
      </c>
      <c r="C38" s="23">
        <v>-0.32999999999999802</v>
      </c>
      <c r="D38" s="12">
        <v>-2.8121005538985799E-3</v>
      </c>
      <c r="E38" s="2">
        <f t="shared" si="7"/>
        <v>1.4676697801357214E-4</v>
      </c>
      <c r="F38" s="3">
        <f>H38/B38</f>
        <v>422.35692535668431</v>
      </c>
      <c r="G38" s="13">
        <f t="shared" si="10"/>
        <v>0.80347636241498022</v>
      </c>
      <c r="H38" s="24">
        <f t="shared" si="11"/>
        <v>49424.207405239198</v>
      </c>
      <c r="I38" s="22">
        <v>478.43</v>
      </c>
      <c r="J38" s="23">
        <v>-8.69</v>
      </c>
      <c r="K38" s="12">
        <v>-1.78395467235999E-2</v>
      </c>
      <c r="L38" s="2">
        <f t="shared" si="8"/>
        <v>1.6510387706828553E-4</v>
      </c>
      <c r="M38" s="4">
        <f t="shared" si="12"/>
        <v>103.30499217281357</v>
      </c>
      <c r="N38" s="7">
        <f t="shared" si="13"/>
        <v>0.1965236375850197</v>
      </c>
      <c r="O38" s="36">
        <f t="shared" si="14"/>
        <v>49424.207405239198</v>
      </c>
      <c r="P38" s="40">
        <f t="shared" si="15"/>
        <v>525.66191752949794</v>
      </c>
      <c r="Q38" s="4">
        <f>F37*B38+M37*I38</f>
        <v>98848.414810478396</v>
      </c>
      <c r="R38" s="42">
        <f t="shared" si="6"/>
        <v>-1.0325823638749227E-2</v>
      </c>
      <c r="S38" s="87">
        <f t="shared" si="9"/>
        <v>9.0963251181672632E-5</v>
      </c>
    </row>
    <row r="39" spans="1:19" x14ac:dyDescent="0.2">
      <c r="A39" s="15">
        <v>45982</v>
      </c>
      <c r="B39" s="22">
        <v>117.08</v>
      </c>
      <c r="C39" s="23">
        <v>6.0000000000002301E-2</v>
      </c>
      <c r="D39" s="12">
        <v>5.1273286617674102E-4</v>
      </c>
      <c r="E39" s="2">
        <f t="shared" si="7"/>
        <v>1.3843543390427201E-4</v>
      </c>
      <c r="F39" s="3">
        <f>H39/B39</f>
        <v>419.46490316616564</v>
      </c>
      <c r="G39" s="13">
        <f t="shared" si="10"/>
        <v>0.80128988458927353</v>
      </c>
      <c r="H39" s="24">
        <f t="shared" si="11"/>
        <v>49110.95086269467</v>
      </c>
      <c r="I39" s="22">
        <v>472.12</v>
      </c>
      <c r="J39" s="23">
        <v>-6.31</v>
      </c>
      <c r="K39" s="12">
        <v>-1.3188972263445E-2</v>
      </c>
      <c r="L39" s="2">
        <f t="shared" si="8"/>
        <v>1.7429261008239865E-4</v>
      </c>
      <c r="M39" s="4">
        <f t="shared" si="12"/>
        <v>104.0221783925584</v>
      </c>
      <c r="N39" s="7">
        <f t="shared" si="13"/>
        <v>0.19871011541072639</v>
      </c>
      <c r="O39" s="36">
        <f t="shared" si="14"/>
        <v>49110.95086269467</v>
      </c>
      <c r="P39" s="40">
        <f t="shared" si="15"/>
        <v>523.48708155872407</v>
      </c>
      <c r="Q39" s="4">
        <f>F38*B39+M38*I39</f>
        <v>98221.90172538934</v>
      </c>
      <c r="R39" s="42">
        <f t="shared" si="6"/>
        <v>-6.3381196986341867E-3</v>
      </c>
      <c r="S39" s="87">
        <f t="shared" si="9"/>
        <v>9.1902814139885406E-5</v>
      </c>
    </row>
    <row r="40" spans="1:19" x14ac:dyDescent="0.2">
      <c r="A40" s="15">
        <v>45985</v>
      </c>
      <c r="B40" s="22">
        <v>115.97</v>
      </c>
      <c r="C40" s="23">
        <v>-1.1100000000000001</v>
      </c>
      <c r="D40" s="12">
        <v>-9.4806969593440298E-3</v>
      </c>
      <c r="E40" s="2">
        <f t="shared" si="7"/>
        <v>1.3014508156953915E-4</v>
      </c>
      <c r="F40" s="3">
        <f>H40/B40</f>
        <v>422.31550132902004</v>
      </c>
      <c r="G40" s="13">
        <f t="shared" si="10"/>
        <v>0.80343068291608055</v>
      </c>
      <c r="H40" s="24">
        <f t="shared" si="11"/>
        <v>48975.928689126456</v>
      </c>
      <c r="I40" s="22">
        <v>474</v>
      </c>
      <c r="J40" s="23">
        <v>1.88</v>
      </c>
      <c r="K40" s="12">
        <v>3.9820384647970804E-3</v>
      </c>
      <c r="L40" s="2">
        <f t="shared" si="8"/>
        <v>1.7427199283941004E-4</v>
      </c>
      <c r="M40" s="4">
        <f t="shared" si="12"/>
        <v>103.32474406988703</v>
      </c>
      <c r="N40" s="7">
        <f t="shared" si="13"/>
        <v>0.19656931708391953</v>
      </c>
      <c r="O40" s="36">
        <f t="shared" si="14"/>
        <v>48975.928689126456</v>
      </c>
      <c r="P40" s="40">
        <f t="shared" si="15"/>
        <v>525.64024539890704</v>
      </c>
      <c r="Q40" s="4">
        <f>F39*B40+M39*I40</f>
        <v>97951.857378252913</v>
      </c>
      <c r="R40" s="42">
        <f t="shared" si="6"/>
        <v>-2.749329247273404E-3</v>
      </c>
      <c r="S40" s="87">
        <f>U$3*S39+(1-U$3)*R39^2</f>
        <v>8.8798950970345167E-5</v>
      </c>
    </row>
    <row r="41" spans="1:19" x14ac:dyDescent="0.2">
      <c r="A41" s="15">
        <v>45986</v>
      </c>
      <c r="B41" s="22">
        <v>114.51</v>
      </c>
      <c r="C41" s="23">
        <v>-1.45999999999999</v>
      </c>
      <c r="D41" s="12">
        <v>-1.2589462792101399E-2</v>
      </c>
      <c r="E41" s="2">
        <f t="shared" si="7"/>
        <v>1.2772939356546172E-4</v>
      </c>
      <c r="F41" s="3">
        <f>H41/B41</f>
        <v>426.35672749577111</v>
      </c>
      <c r="G41" s="13">
        <f t="shared" si="10"/>
        <v>0.8064074387151311</v>
      </c>
      <c r="H41" s="24">
        <f t="shared" si="11"/>
        <v>48822.108865540751</v>
      </c>
      <c r="I41" s="22">
        <v>476.99</v>
      </c>
      <c r="J41" s="23">
        <v>2.99000000000001</v>
      </c>
      <c r="K41" s="12">
        <v>6.3080168776371501E-3</v>
      </c>
      <c r="L41" s="2">
        <f t="shared" si="8"/>
        <v>1.6476707108915284E-4</v>
      </c>
      <c r="M41" s="4">
        <f t="shared" si="12"/>
        <v>102.35457528573083</v>
      </c>
      <c r="N41" s="7">
        <f t="shared" si="13"/>
        <v>0.19359256128486899</v>
      </c>
      <c r="O41" s="36">
        <f t="shared" si="14"/>
        <v>48822.108865540751</v>
      </c>
      <c r="P41" s="40">
        <f t="shared" si="15"/>
        <v>528.7113027815019</v>
      </c>
      <c r="Q41" s="4">
        <f>F40*B41+M40*I41</f>
        <v>97644.217731081502</v>
      </c>
      <c r="R41" s="42">
        <f>(Q41-Q40)/Q40</f>
        <v>-3.140722957232174E-3</v>
      </c>
      <c r="S41" s="87">
        <f t="shared" si="9"/>
        <v>8.3924542590719226E-5</v>
      </c>
    </row>
    <row r="42" spans="1:19" x14ac:dyDescent="0.2">
      <c r="A42" s="15">
        <v>45987</v>
      </c>
      <c r="B42" s="22">
        <v>114.77</v>
      </c>
      <c r="C42" s="23">
        <v>0.25999999999999102</v>
      </c>
      <c r="D42" s="12">
        <v>2.2705440572874901E-3</v>
      </c>
      <c r="E42" s="2">
        <f t="shared" si="7"/>
        <v>1.2957530435515636E-4</v>
      </c>
      <c r="F42" s="3">
        <f>H42/B42</f>
        <v>429.6685018555022</v>
      </c>
      <c r="G42" s="13">
        <f t="shared" si="10"/>
        <v>0.80880270544921451</v>
      </c>
      <c r="H42" s="24">
        <f t="shared" si="11"/>
        <v>49313.053957955985</v>
      </c>
      <c r="I42" s="22">
        <v>485.5</v>
      </c>
      <c r="J42" s="23">
        <v>8.5099999999999891</v>
      </c>
      <c r="K42" s="12">
        <v>1.7841044885637002E-2</v>
      </c>
      <c r="L42" s="2">
        <f t="shared" si="8"/>
        <v>1.5726851143951697E-4</v>
      </c>
      <c r="M42" s="4">
        <f t="shared" si="12"/>
        <v>101.5716868341009</v>
      </c>
      <c r="N42" s="7">
        <f t="shared" si="13"/>
        <v>0.19119729455078549</v>
      </c>
      <c r="O42" s="36">
        <f t="shared" si="14"/>
        <v>49313.053957955985</v>
      </c>
      <c r="P42" s="40">
        <f t="shared" si="15"/>
        <v>531.24018868960309</v>
      </c>
      <c r="Q42" s="4">
        <f>F41*B42+M41*I42</f>
        <v>98626.107915911969</v>
      </c>
      <c r="R42" s="42">
        <f t="shared" si="6"/>
        <v>1.0055794471462261E-2</v>
      </c>
      <c r="S42" s="87">
        <f t="shared" si="9"/>
        <v>7.9480918476921178E-5</v>
      </c>
    </row>
    <row r="43" spans="1:19" x14ac:dyDescent="0.2">
      <c r="A43" s="15">
        <v>45989</v>
      </c>
      <c r="B43" s="22">
        <v>115.92</v>
      </c>
      <c r="C43" s="23">
        <v>1.1500000000000099</v>
      </c>
      <c r="D43" s="12">
        <v>1.00200400801604E-2</v>
      </c>
      <c r="E43" s="2">
        <f t="shared" si="7"/>
        <v>1.2211010831281199E-4</v>
      </c>
      <c r="F43" s="3">
        <f>H43/B43</f>
        <v>430.38931320883285</v>
      </c>
      <c r="G43" s="13">
        <f t="shared" si="10"/>
        <v>0.80932015199118323</v>
      </c>
      <c r="H43" s="24">
        <f t="shared" si="11"/>
        <v>49890.729187167904</v>
      </c>
      <c r="I43" s="22">
        <v>492.01</v>
      </c>
      <c r="J43" s="23">
        <v>6.50999999999999</v>
      </c>
      <c r="K43" s="12">
        <v>1.34088568486097E-2</v>
      </c>
      <c r="L43" s="2">
        <f t="shared" si="8"/>
        <v>1.6693057370982482E-4</v>
      </c>
      <c r="M43" s="4">
        <f t="shared" si="12"/>
        <v>101.40186009871324</v>
      </c>
      <c r="N43" s="7">
        <f t="shared" si="13"/>
        <v>0.19067984800881682</v>
      </c>
      <c r="O43" s="36">
        <f t="shared" si="14"/>
        <v>49890.729187167904</v>
      </c>
      <c r="P43" s="40">
        <f t="shared" si="15"/>
        <v>531.79117330754605</v>
      </c>
      <c r="Q43" s="4">
        <f>F42*B43+M42*I43</f>
        <v>99781.458374335809</v>
      </c>
      <c r="R43" s="42">
        <f t="shared" si="6"/>
        <v>1.1714448464385158E-2</v>
      </c>
      <c r="S43" s="87">
        <f t="shared" si="9"/>
        <v>8.0779203515443369E-5</v>
      </c>
    </row>
    <row r="44" spans="1:19" x14ac:dyDescent="0.2">
      <c r="A44" s="15">
        <v>45992</v>
      </c>
      <c r="B44" s="22">
        <v>116.63</v>
      </c>
      <c r="C44" s="23">
        <v>0.70999999999999397</v>
      </c>
      <c r="D44" s="12">
        <v>6.1249137336093296E-3</v>
      </c>
      <c r="E44" s="2">
        <f t="shared" si="7"/>
        <v>1.2080757400652451E-4</v>
      </c>
      <c r="F44" s="3">
        <f>H44/B44</f>
        <v>426.78833483663658</v>
      </c>
      <c r="G44" s="13">
        <f t="shared" si="10"/>
        <v>0.80670235510549082</v>
      </c>
      <c r="H44" s="24">
        <f t="shared" si="11"/>
        <v>49776.323491996925</v>
      </c>
      <c r="I44" s="22">
        <v>486.74</v>
      </c>
      <c r="J44" s="23">
        <v>-5.26999999999998</v>
      </c>
      <c r="K44" s="12">
        <v>-1.07111644072275E-2</v>
      </c>
      <c r="L44" s="2">
        <f t="shared" si="8"/>
        <v>1.6770258580642576E-4</v>
      </c>
      <c r="M44" s="4">
        <f t="shared" si="12"/>
        <v>102.26470701400527</v>
      </c>
      <c r="N44" s="7">
        <f t="shared" si="13"/>
        <v>0.19329764489450915</v>
      </c>
      <c r="O44" s="36">
        <f t="shared" si="14"/>
        <v>49776.323491996925</v>
      </c>
      <c r="P44" s="40">
        <f t="shared" si="15"/>
        <v>529.05304185064188</v>
      </c>
      <c r="Q44" s="4">
        <f>F43*B44+M43*I44</f>
        <v>99552.646983993851</v>
      </c>
      <c r="R44" s="42">
        <f t="shared" si="6"/>
        <v>-2.2931253368091604E-3</v>
      </c>
      <c r="S44" s="87">
        <f t="shared" si="9"/>
        <v>8.4166149474000919E-5</v>
      </c>
    </row>
    <row r="45" spans="1:19" x14ac:dyDescent="0.2">
      <c r="A45" s="15">
        <v>45993</v>
      </c>
      <c r="B45" s="22">
        <v>115.38</v>
      </c>
      <c r="C45" s="23">
        <v>-1.25</v>
      </c>
      <c r="D45" s="12">
        <v>-1.07176541198662E-2</v>
      </c>
      <c r="E45" s="2">
        <f t="shared" si="7"/>
        <v>1.158099936607824E-4</v>
      </c>
      <c r="F45" s="3">
        <f>H45/B45</f>
        <v>430.5449146746131</v>
      </c>
      <c r="G45" s="13">
        <f t="shared" si="10"/>
        <v>0.80940896626912029</v>
      </c>
      <c r="H45" s="24">
        <f t="shared" si="11"/>
        <v>49676.272255156859</v>
      </c>
      <c r="I45" s="22">
        <v>490</v>
      </c>
      <c r="J45" s="23">
        <v>3.25999999999999</v>
      </c>
      <c r="K45" s="12">
        <v>6.6976209064387397E-3</v>
      </c>
      <c r="L45" s="2">
        <f t="shared" si="8"/>
        <v>1.6452417323555964E-4</v>
      </c>
      <c r="M45" s="4">
        <f t="shared" si="12"/>
        <v>101.38014745950379</v>
      </c>
      <c r="N45" s="7">
        <f t="shared" si="13"/>
        <v>0.19059103373087979</v>
      </c>
      <c r="O45" s="36">
        <f t="shared" si="14"/>
        <v>49676.272255156859</v>
      </c>
      <c r="P45" s="40">
        <f t="shared" si="15"/>
        <v>531.92506213411684</v>
      </c>
      <c r="Q45" s="4">
        <f>F44*B45+M44*I45</f>
        <v>99352.544510313717</v>
      </c>
      <c r="R45" s="42">
        <f t="shared" si="6"/>
        <v>-2.0100166067136952E-3</v>
      </c>
      <c r="S45" s="87">
        <f t="shared" si="9"/>
        <v>7.9431685934179837E-5</v>
      </c>
    </row>
    <row r="46" spans="1:19" x14ac:dyDescent="0.2">
      <c r="A46" s="15">
        <v>45994</v>
      </c>
      <c r="B46" s="22">
        <v>117.8</v>
      </c>
      <c r="C46" s="23">
        <v>2.42</v>
      </c>
      <c r="D46" s="12">
        <v>2.0974172300225399E-2</v>
      </c>
      <c r="E46" s="2">
        <f t="shared" si="7"/>
        <v>1.1575348063112056E-4</v>
      </c>
      <c r="F46" s="3">
        <f>H46/B46</f>
        <v>420.84265192910937</v>
      </c>
      <c r="G46" s="13">
        <f t="shared" si="10"/>
        <v>0.80219300455056841</v>
      </c>
      <c r="H46" s="24">
        <f t="shared" si="11"/>
        <v>49575.264397249084</v>
      </c>
      <c r="I46" s="22">
        <v>477.73</v>
      </c>
      <c r="J46" s="23">
        <v>-12.27</v>
      </c>
      <c r="K46" s="12">
        <v>-2.5040816326530602E-2</v>
      </c>
      <c r="L46" s="2">
        <f t="shared" si="8"/>
        <v>1.5734421038980797E-4</v>
      </c>
      <c r="M46" s="4">
        <f t="shared" si="12"/>
        <v>103.77255855242309</v>
      </c>
      <c r="N46" s="7">
        <f t="shared" si="13"/>
        <v>0.19780699544943159</v>
      </c>
      <c r="O46" s="36">
        <f t="shared" si="14"/>
        <v>49575.264397249084</v>
      </c>
      <c r="P46" s="40">
        <f t="shared" si="15"/>
        <v>524.61521048153247</v>
      </c>
      <c r="Q46" s="4">
        <f>F45*B46+M45*I46</f>
        <v>99150.528794498168</v>
      </c>
      <c r="R46" s="42">
        <f t="shared" si="6"/>
        <v>-2.0333220131526454E-3</v>
      </c>
      <c r="S46" s="87">
        <f t="shared" si="9"/>
        <v>7.4908194783684931E-5</v>
      </c>
    </row>
    <row r="47" spans="1:19" x14ac:dyDescent="0.2">
      <c r="A47" s="15">
        <v>45995</v>
      </c>
      <c r="B47" s="22">
        <v>117.14</v>
      </c>
      <c r="C47" s="23">
        <v>-0.65999999999999703</v>
      </c>
      <c r="D47" s="12">
        <v>-5.6027164685907996E-3</v>
      </c>
      <c r="E47" s="2">
        <f t="shared" si="7"/>
        <v>1.3520322601402588E-4</v>
      </c>
      <c r="F47" s="3">
        <f>H47/B47</f>
        <v>423.40577642702317</v>
      </c>
      <c r="G47" s="13">
        <f t="shared" si="10"/>
        <v>0.80410716077460787</v>
      </c>
      <c r="H47" s="24">
        <f t="shared" si="11"/>
        <v>49597.752650661496</v>
      </c>
      <c r="I47" s="22">
        <v>480.84</v>
      </c>
      <c r="J47" s="23">
        <v>3.1099999999999599</v>
      </c>
      <c r="K47" s="12">
        <v>6.5099533209133998E-3</v>
      </c>
      <c r="L47" s="2">
        <f t="shared" si="8"/>
        <v>1.8552610670436202E-4</v>
      </c>
      <c r="M47" s="4">
        <f t="shared" si="12"/>
        <v>103.14814210685779</v>
      </c>
      <c r="N47" s="7">
        <f t="shared" si="13"/>
        <v>0.19589283922539216</v>
      </c>
      <c r="O47" s="36">
        <f t="shared" si="14"/>
        <v>49597.752650661496</v>
      </c>
      <c r="P47" s="40">
        <f t="shared" si="15"/>
        <v>526.55391853388096</v>
      </c>
      <c r="Q47" s="4">
        <f>F46*B47+M46*I47</f>
        <v>99195.505301322992</v>
      </c>
      <c r="R47" s="42">
        <f t="shared" si="6"/>
        <v>4.536184261613255E-4</v>
      </c>
      <c r="S47" s="87">
        <f t="shared" si="9"/>
        <v>7.0661767001214108E-5</v>
      </c>
    </row>
    <row r="48" spans="1:19" x14ac:dyDescent="0.2">
      <c r="A48" s="15">
        <v>45996</v>
      </c>
      <c r="B48" s="22">
        <v>116.54</v>
      </c>
      <c r="C48" s="23">
        <v>-0.59999999999999398</v>
      </c>
      <c r="D48" s="12">
        <v>-5.12207614819869E-3</v>
      </c>
      <c r="E48" s="2">
        <f t="shared" si="7"/>
        <v>1.2897445836282942E-4</v>
      </c>
      <c r="F48" s="3">
        <f>H48/B48</f>
        <v>425.52241944892171</v>
      </c>
      <c r="G48" s="13">
        <f t="shared" si="10"/>
        <v>0.80566950141737537</v>
      </c>
      <c r="H48" s="24">
        <f t="shared" si="11"/>
        <v>49590.382762577341</v>
      </c>
      <c r="I48" s="22">
        <v>483.16</v>
      </c>
      <c r="J48" s="23">
        <v>2.32000000000005</v>
      </c>
      <c r="K48" s="12">
        <v>4.8248897762250397E-3</v>
      </c>
      <c r="L48" s="2">
        <f t="shared" si="8"/>
        <v>1.7693730983652856E-4</v>
      </c>
      <c r="M48" s="4">
        <f t="shared" si="12"/>
        <v>102.6375998894307</v>
      </c>
      <c r="N48" s="7">
        <f t="shared" si="13"/>
        <v>0.19433049858262466</v>
      </c>
      <c r="O48" s="36">
        <f t="shared" si="14"/>
        <v>49590.382762577341</v>
      </c>
      <c r="P48" s="40">
        <f t="shared" si="15"/>
        <v>528.16001933835241</v>
      </c>
      <c r="Q48" s="4">
        <f>F47*B48+M47*I48</f>
        <v>99180.765525154682</v>
      </c>
      <c r="R48" s="42">
        <f t="shared" si="6"/>
        <v>-1.485931859869565E-4</v>
      </c>
      <c r="S48" s="87">
        <f t="shared" si="9"/>
        <v>6.6434407161734444E-5</v>
      </c>
    </row>
    <row r="49" spans="1:19" x14ac:dyDescent="0.2">
      <c r="A49" s="15">
        <v>45999</v>
      </c>
      <c r="B49" s="22">
        <v>115.98</v>
      </c>
      <c r="C49" s="23">
        <v>-0.56000000000000205</v>
      </c>
      <c r="D49" s="12">
        <v>-4.8052170928436803E-3</v>
      </c>
      <c r="E49" s="2">
        <f t="shared" si="7"/>
        <v>1.2281013070513641E-4</v>
      </c>
      <c r="F49" s="3">
        <f>H49/B49</f>
        <v>430.02761038711077</v>
      </c>
      <c r="G49" s="13">
        <f t="shared" si="10"/>
        <v>0.80892915980230651</v>
      </c>
      <c r="H49" s="24">
        <f t="shared" si="11"/>
        <v>49874.602252697106</v>
      </c>
      <c r="I49" s="22">
        <v>491.02</v>
      </c>
      <c r="J49" s="23">
        <v>7.8599999999999604</v>
      </c>
      <c r="K49" s="12">
        <v>1.62679029721002E-2</v>
      </c>
      <c r="L49" s="2">
        <f t="shared" si="8"/>
        <v>1.677178449275001E-4</v>
      </c>
      <c r="M49" s="4">
        <f t="shared" si="12"/>
        <v>101.57346391734981</v>
      </c>
      <c r="N49" s="7">
        <f t="shared" si="13"/>
        <v>0.19107084019769358</v>
      </c>
      <c r="O49" s="36">
        <f t="shared" si="14"/>
        <v>49874.602252697106</v>
      </c>
      <c r="P49" s="40">
        <f t="shared" si="15"/>
        <v>531.60107430446055</v>
      </c>
      <c r="Q49" s="4">
        <f>F48*B49+M48*I49</f>
        <v>99749.204505394213</v>
      </c>
      <c r="R49" s="42">
        <f t="shared" si="6"/>
        <v>5.7313429396283564E-3</v>
      </c>
      <c r="S49" s="87">
        <f t="shared" si="9"/>
        <v>6.2449667528125682E-5</v>
      </c>
    </row>
    <row r="50" spans="1:19" x14ac:dyDescent="0.2">
      <c r="A50" s="15">
        <v>46000</v>
      </c>
      <c r="B50" s="22">
        <v>118.25</v>
      </c>
      <c r="C50" s="23">
        <v>2.27</v>
      </c>
      <c r="D50" s="12">
        <v>1.9572340058630799E-2</v>
      </c>
      <c r="E50" s="2">
        <f t="shared" si="7"/>
        <v>1.1682692954138964E-4</v>
      </c>
      <c r="F50" s="3">
        <f>H50/B50</f>
        <v>426.32955875217885</v>
      </c>
      <c r="G50" s="13">
        <f t="shared" si="10"/>
        <v>0.80623330656922332</v>
      </c>
      <c r="H50" s="24">
        <f t="shared" si="11"/>
        <v>50413.470322445151</v>
      </c>
      <c r="I50" s="22">
        <v>492.02</v>
      </c>
      <c r="J50" s="23">
        <v>1</v>
      </c>
      <c r="K50" s="12">
        <v>2.0365769215103299E-3</v>
      </c>
      <c r="L50" s="2">
        <f t="shared" si="8"/>
        <v>1.735334542584301E-4</v>
      </c>
      <c r="M50" s="4">
        <f t="shared" si="12"/>
        <v>102.46223796277621</v>
      </c>
      <c r="N50" s="7">
        <f t="shared" si="13"/>
        <v>0.19376669343077654</v>
      </c>
      <c r="O50" s="36">
        <f t="shared" si="14"/>
        <v>50413.470322445151</v>
      </c>
      <c r="P50" s="40">
        <f t="shared" si="15"/>
        <v>528.79179671495513</v>
      </c>
      <c r="Q50" s="4">
        <f>F49*B50+M49*I50</f>
        <v>100826.9406448903</v>
      </c>
      <c r="R50" s="42">
        <f t="shared" si="6"/>
        <v>1.0804458490070548E-2</v>
      </c>
      <c r="S50" s="87">
        <f t="shared" si="9"/>
        <v>6.0673584989935805E-5</v>
      </c>
    </row>
    <row r="51" spans="1:19" x14ac:dyDescent="0.2">
      <c r="A51" s="15">
        <v>46001</v>
      </c>
      <c r="B51" s="22">
        <v>119.54</v>
      </c>
      <c r="C51" s="23">
        <v>1.29000000000001</v>
      </c>
      <c r="D51" s="12">
        <v>1.0909090909091E-2</v>
      </c>
      <c r="E51" s="2">
        <f t="shared" si="7"/>
        <v>1.3280190349114731E-4</v>
      </c>
      <c r="F51" s="3">
        <f>H51/B51</f>
        <v>418.26068283713255</v>
      </c>
      <c r="G51" s="13">
        <f t="shared" si="10"/>
        <v>0.80013375689684008</v>
      </c>
      <c r="H51" s="24">
        <f t="shared" si="11"/>
        <v>49998.882026350824</v>
      </c>
      <c r="I51" s="22">
        <v>478.56</v>
      </c>
      <c r="J51" s="23">
        <v>-13.46</v>
      </c>
      <c r="K51" s="12">
        <v>-2.73566115198569E-2</v>
      </c>
      <c r="L51" s="2">
        <f t="shared" si="8"/>
        <v>1.6337030573635797E-4</v>
      </c>
      <c r="M51" s="4">
        <f t="shared" si="12"/>
        <v>104.47777086750006</v>
      </c>
      <c r="N51" s="7">
        <f t="shared" si="13"/>
        <v>0.19986624310316004</v>
      </c>
      <c r="O51" s="36">
        <f t="shared" si="14"/>
        <v>49998.882026350824</v>
      </c>
      <c r="P51" s="40">
        <f t="shared" si="15"/>
        <v>522.73845370463255</v>
      </c>
      <c r="Q51" s="4">
        <f>F50*B51+M50*I51</f>
        <v>99997.764052701648</v>
      </c>
      <c r="R51" s="42">
        <f t="shared" si="6"/>
        <v>-8.2237603053829777E-3</v>
      </c>
      <c r="S51" s="87">
        <f t="shared" si="9"/>
        <v>6.403734928635911E-5</v>
      </c>
    </row>
    <row r="52" spans="1:19" x14ac:dyDescent="0.2">
      <c r="A52" s="15">
        <v>46002</v>
      </c>
      <c r="B52" s="22">
        <v>119.54</v>
      </c>
      <c r="C52" s="23">
        <v>0</v>
      </c>
      <c r="D52" s="12">
        <v>0</v>
      </c>
      <c r="E52" s="2">
        <f t="shared" si="7"/>
        <v>1.3197428514944717E-4</v>
      </c>
      <c r="F52" s="3">
        <f>H52/B52</f>
        <v>420.40634895290731</v>
      </c>
      <c r="G52" s="13">
        <f t="shared" si="10"/>
        <v>0.8017611648231372</v>
      </c>
      <c r="H52" s="24">
        <f t="shared" si="11"/>
        <v>50255.374953830542</v>
      </c>
      <c r="I52" s="22">
        <v>483.47</v>
      </c>
      <c r="J52" s="23">
        <v>4.9100000000000303</v>
      </c>
      <c r="K52" s="12">
        <v>1.0259946506185299E-2</v>
      </c>
      <c r="L52" s="2">
        <f t="shared" si="8"/>
        <v>1.9847113902307856E-4</v>
      </c>
      <c r="M52" s="4">
        <f t="shared" si="12"/>
        <v>103.94724585564883</v>
      </c>
      <c r="N52" s="7">
        <f t="shared" si="13"/>
        <v>0.19823883517686272</v>
      </c>
      <c r="O52" s="36">
        <f t="shared" si="14"/>
        <v>50255.374953830542</v>
      </c>
      <c r="P52" s="40">
        <f t="shared" si="15"/>
        <v>524.35359480855618</v>
      </c>
      <c r="Q52" s="4">
        <f>F51*B52+M51*I52</f>
        <v>100510.74990766108</v>
      </c>
      <c r="R52" s="42">
        <f t="shared" si="6"/>
        <v>5.1299732530927138E-3</v>
      </c>
      <c r="S52" s="87">
        <f t="shared" si="9"/>
        <v>6.4252922342801128E-5</v>
      </c>
    </row>
    <row r="53" spans="1:19" x14ac:dyDescent="0.2">
      <c r="A53" s="15">
        <v>46003</v>
      </c>
      <c r="B53" s="22">
        <v>118.82</v>
      </c>
      <c r="C53" s="23">
        <v>-0.72000000000001296</v>
      </c>
      <c r="D53" s="12">
        <v>-6.0230885059395396E-3</v>
      </c>
      <c r="E53" s="2">
        <f>U$3*E52+(1-U$3)*D52^2</f>
        <v>1.2405582804048032E-4</v>
      </c>
      <c r="F53" s="3">
        <f>H53/B53</f>
        <v>419.51926418905947</v>
      </c>
      <c r="G53" s="13">
        <f t="shared" si="10"/>
        <v>0.80108813928182809</v>
      </c>
      <c r="H53" s="24">
        <f t="shared" si="11"/>
        <v>49847.27897094404</v>
      </c>
      <c r="I53" s="22">
        <v>478.53</v>
      </c>
      <c r="J53" s="23">
        <v>-4.9400000000000501</v>
      </c>
      <c r="K53" s="12">
        <v>-1.0217800484001199E-2</v>
      </c>
      <c r="L53" s="2">
        <f t="shared" si="8"/>
        <v>1.9287886082028089E-4</v>
      </c>
      <c r="M53" s="4">
        <f t="shared" si="12"/>
        <v>104.16751085813647</v>
      </c>
      <c r="N53" s="7">
        <f t="shared" si="13"/>
        <v>0.19891186071817191</v>
      </c>
      <c r="O53" s="36">
        <f t="shared" si="14"/>
        <v>49847.27897094404</v>
      </c>
      <c r="P53" s="40">
        <f t="shared" si="15"/>
        <v>523.68677504719597</v>
      </c>
      <c r="Q53" s="4">
        <f>F52*B53+M52*I53</f>
        <v>99694.557941888081</v>
      </c>
      <c r="R53" s="42">
        <f t="shared" si="6"/>
        <v>-8.1204444949703018E-3</v>
      </c>
      <c r="S53" s="87">
        <f t="shared" si="9"/>
        <v>6.1976744536879853E-5</v>
      </c>
    </row>
    <row r="54" spans="1:19" x14ac:dyDescent="0.2">
      <c r="A54" s="15">
        <v>46006</v>
      </c>
      <c r="B54" s="22">
        <v>117.76</v>
      </c>
      <c r="C54" s="23">
        <v>-1.0599999999999901</v>
      </c>
      <c r="D54" s="12">
        <v>-8.9210570611007196E-3</v>
      </c>
      <c r="E54" s="2">
        <f t="shared" si="7"/>
        <v>1.1878913406707435E-4</v>
      </c>
      <c r="F54" s="3">
        <f>H54/B54</f>
        <v>419.76649990049253</v>
      </c>
      <c r="G54" s="13">
        <f t="shared" si="10"/>
        <v>0.80127577711026365</v>
      </c>
      <c r="H54" s="24">
        <f t="shared" si="11"/>
        <v>49431.703028282005</v>
      </c>
      <c r="I54" s="22">
        <v>474.82</v>
      </c>
      <c r="J54" s="23">
        <v>-3.70999999999998</v>
      </c>
      <c r="K54" s="12">
        <v>-7.7529099533989098E-3</v>
      </c>
      <c r="L54" s="2">
        <f t="shared" si="8"/>
        <v>1.8757033597491536E-4</v>
      </c>
      <c r="M54" s="4">
        <f t="shared" si="12"/>
        <v>104.10619398568301</v>
      </c>
      <c r="N54" s="7">
        <f t="shared" si="13"/>
        <v>0.19872422288973643</v>
      </c>
      <c r="O54" s="36">
        <f t="shared" si="14"/>
        <v>49431.703028282005</v>
      </c>
      <c r="P54" s="40">
        <f t="shared" si="15"/>
        <v>523.87269388617551</v>
      </c>
      <c r="Q54" s="4">
        <f>F53*B54+M53*I54</f>
        <v>98863.40605656401</v>
      </c>
      <c r="R54" s="42">
        <f t="shared" si="6"/>
        <v>-8.3369835072496998E-3</v>
      </c>
      <c r="S54" s="87">
        <f t="shared" si="9"/>
        <v>6.2214636992420668E-5</v>
      </c>
    </row>
    <row r="55" spans="1:19" x14ac:dyDescent="0.2">
      <c r="A55" s="15">
        <v>46007</v>
      </c>
      <c r="B55" s="22">
        <v>114.68</v>
      </c>
      <c r="C55" s="23">
        <v>-3.08</v>
      </c>
      <c r="D55" s="12">
        <v>-2.61548913043478E-2</v>
      </c>
      <c r="E55" s="2">
        <f t="shared" si="7"/>
        <v>1.1643690156829479E-4</v>
      </c>
      <c r="F55" s="3">
        <f>H55/B55</f>
        <v>426.11602703796649</v>
      </c>
      <c r="G55" s="13">
        <f t="shared" si="10"/>
        <v>0.80597898726039219</v>
      </c>
      <c r="H55" s="24">
        <f t="shared" si="11"/>
        <v>48866.985980714002</v>
      </c>
      <c r="I55" s="22">
        <v>476.39</v>
      </c>
      <c r="J55" s="23">
        <v>1.5699999999999901</v>
      </c>
      <c r="K55" s="12">
        <v>3.3065161534897298E-3</v>
      </c>
      <c r="L55" s="2">
        <f t="shared" si="8"/>
        <v>1.7992257258115114E-4</v>
      </c>
      <c r="M55" s="4">
        <f t="shared" si="12"/>
        <v>102.5776905071769</v>
      </c>
      <c r="N55" s="7">
        <f t="shared" si="13"/>
        <v>0.19402101273960784</v>
      </c>
      <c r="O55" s="36">
        <f t="shared" si="14"/>
        <v>48866.985980714002</v>
      </c>
      <c r="P55" s="40">
        <f t="shared" si="15"/>
        <v>528.69371754514339</v>
      </c>
      <c r="Q55" s="4">
        <f>F54*B55+M54*I55</f>
        <v>97733.971961428004</v>
      </c>
      <c r="R55" s="42">
        <f t="shared" si="6"/>
        <v>-1.1424187575429158E-2</v>
      </c>
      <c r="S55" s="87">
        <f t="shared" si="9"/>
        <v>6.2652076412884642E-5</v>
      </c>
    </row>
    <row r="56" spans="1:19" x14ac:dyDescent="0.2">
      <c r="A56" s="15">
        <v>46008</v>
      </c>
      <c r="B56" s="22">
        <v>117.41</v>
      </c>
      <c r="C56" s="23">
        <v>2.7299999999999902</v>
      </c>
      <c r="D56" s="12">
        <v>2.3805371468433801E-2</v>
      </c>
      <c r="E56" s="2">
        <f t="shared" si="7"/>
        <v>1.5049538782273202E-4</v>
      </c>
      <c r="F56" s="3">
        <f>H56/B56</f>
        <v>421.04408797719407</v>
      </c>
      <c r="G56" s="13">
        <f t="shared" si="10"/>
        <v>0.80218354590332419</v>
      </c>
      <c r="H56" s="24">
        <f t="shared" si="11"/>
        <v>49434.786369402354</v>
      </c>
      <c r="I56" s="22">
        <v>476.12</v>
      </c>
      <c r="J56" s="23">
        <v>-0.26999999999998198</v>
      </c>
      <c r="K56" s="12">
        <v>-5.6676252650135798E-4</v>
      </c>
      <c r="L56" s="2">
        <f t="shared" si="8"/>
        <v>1.6978320117067936E-4</v>
      </c>
      <c r="M56" s="4">
        <f t="shared" si="12"/>
        <v>103.82841798160622</v>
      </c>
      <c r="N56" s="7">
        <f t="shared" si="13"/>
        <v>0.19781645409667584</v>
      </c>
      <c r="O56" s="36">
        <f t="shared" si="14"/>
        <v>49434.786369402354</v>
      </c>
      <c r="P56" s="40">
        <f t="shared" si="15"/>
        <v>524.87250595880028</v>
      </c>
      <c r="Q56" s="4">
        <f>F55*B56+M55*I56</f>
        <v>98869.572738804709</v>
      </c>
      <c r="R56" s="42">
        <f t="shared" si="6"/>
        <v>1.1619304470966194E-2</v>
      </c>
      <c r="S56" s="87">
        <f t="shared" si="9"/>
        <v>6.6723675533626967E-5</v>
      </c>
    </row>
    <row r="57" spans="1:19" x14ac:dyDescent="0.2">
      <c r="A57" s="15">
        <v>46009</v>
      </c>
      <c r="B57" s="22">
        <v>116.54</v>
      </c>
      <c r="C57" s="23">
        <v>-0.86999999999999</v>
      </c>
      <c r="D57" s="12">
        <v>-7.40993101098706E-3</v>
      </c>
      <c r="E57" s="2">
        <f t="shared" si="7"/>
        <v>1.7546740719837545E-4</v>
      </c>
      <c r="F57" s="3">
        <f>H57/B57</f>
        <v>426.11702311481025</v>
      </c>
      <c r="G57" s="13">
        <f t="shared" si="10"/>
        <v>0.80593485645773666</v>
      </c>
      <c r="H57" s="24">
        <f t="shared" si="11"/>
        <v>49659.677873799992</v>
      </c>
      <c r="I57" s="22">
        <v>483.98</v>
      </c>
      <c r="J57" s="23">
        <v>7.8600000000000101</v>
      </c>
      <c r="K57" s="12">
        <v>1.6508443249601001E-2</v>
      </c>
      <c r="L57" s="2">
        <f>U$3*L56+(1-U$3)*K56^2</f>
        <v>1.5961548228612537E-4</v>
      </c>
      <c r="M57" s="4">
        <f t="shared" si="12"/>
        <v>102.60688018885075</v>
      </c>
      <c r="N57" s="7">
        <f t="shared" si="13"/>
        <v>0.19406514354226337</v>
      </c>
      <c r="O57" s="36">
        <f t="shared" si="14"/>
        <v>49659.677873799992</v>
      </c>
      <c r="P57" s="40">
        <f t="shared" si="15"/>
        <v>528.72390330366102</v>
      </c>
      <c r="Q57" s="4">
        <f>F56*B57+M56*I57</f>
        <v>99319.355747599984</v>
      </c>
      <c r="R57" s="42">
        <f t="shared" si="6"/>
        <v>4.5492561193069938E-3</v>
      </c>
      <c r="S57" s="87">
        <f t="shared" si="9"/>
        <v>7.0820749184950246E-5</v>
      </c>
    </row>
    <row r="58" spans="1:19" x14ac:dyDescent="0.2">
      <c r="A58" s="15">
        <v>46010</v>
      </c>
      <c r="B58" s="22">
        <v>116.69</v>
      </c>
      <c r="C58" s="23">
        <v>0.149999999999991</v>
      </c>
      <c r="D58" s="12">
        <v>1.2871117212973401E-3</v>
      </c>
      <c r="E58" s="2">
        <f>U$3*E57+(1-U$3)*D57^2</f>
        <v>1.6823378742172816E-4</v>
      </c>
      <c r="F58" s="3">
        <f>H58/B58</f>
        <v>426.69607785000244</v>
      </c>
      <c r="G58" s="13">
        <f t="shared" si="10"/>
        <v>0.80635900499493862</v>
      </c>
      <c r="H58" s="24">
        <f t="shared" si="11"/>
        <v>49791.165324316782</v>
      </c>
      <c r="I58" s="22">
        <v>485.92</v>
      </c>
      <c r="J58" s="23">
        <v>1.94</v>
      </c>
      <c r="K58" s="12">
        <v>4.0084301004173701E-3</v>
      </c>
      <c r="L58" s="2">
        <f t="shared" si="8"/>
        <v>1.6639027526047567E-4</v>
      </c>
      <c r="M58" s="4">
        <f t="shared" si="12"/>
        <v>102.46782458906154</v>
      </c>
      <c r="N58" s="7">
        <f t="shared" si="13"/>
        <v>0.19364099500506129</v>
      </c>
      <c r="O58" s="36">
        <f t="shared" si="14"/>
        <v>49791.165324316782</v>
      </c>
      <c r="P58" s="40">
        <f t="shared" si="15"/>
        <v>529.16390243906403</v>
      </c>
      <c r="Q58" s="4">
        <f>F57*B58+M57*I58</f>
        <v>99582.330648633564</v>
      </c>
      <c r="R58" s="42">
        <f t="shared" si="6"/>
        <v>2.6477709108572692E-3</v>
      </c>
      <c r="S58" s="87">
        <f t="shared" si="9"/>
        <v>6.7813248108196351E-5</v>
      </c>
    </row>
    <row r="59" spans="1:19" x14ac:dyDescent="0.2">
      <c r="A59" s="15">
        <v>46013</v>
      </c>
      <c r="B59" s="22">
        <v>118.15</v>
      </c>
      <c r="C59" s="23">
        <v>1.46000000000001</v>
      </c>
      <c r="D59" s="12">
        <v>1.25117833576143E-2</v>
      </c>
      <c r="E59" s="2">
        <f t="shared" si="7"/>
        <v>1.5823915957141052E-4</v>
      </c>
      <c r="F59" s="3">
        <f>H59/B59</f>
        <v>423.62606473849132</v>
      </c>
      <c r="G59" s="13">
        <f t="shared" si="10"/>
        <v>0.8040857611885851</v>
      </c>
      <c r="H59" s="24">
        <f t="shared" si="11"/>
        <v>50051.419548852755</v>
      </c>
      <c r="I59" s="22">
        <v>484.92</v>
      </c>
      <c r="J59" s="23">
        <v>-1</v>
      </c>
      <c r="K59" s="12">
        <v>-2.057951926243E-3</v>
      </c>
      <c r="L59" s="2">
        <f t="shared" si="8"/>
        <v>1.5737090945704303E-4</v>
      </c>
      <c r="M59" s="4">
        <f t="shared" si="12"/>
        <v>103.21582848480729</v>
      </c>
      <c r="N59" s="7">
        <f t="shared" si="13"/>
        <v>0.19591423881141493</v>
      </c>
      <c r="O59" s="36">
        <f t="shared" si="14"/>
        <v>50051.419548852755</v>
      </c>
      <c r="P59" s="40">
        <f t="shared" si="15"/>
        <v>526.8418932232986</v>
      </c>
      <c r="Q59" s="4">
        <f>F58*B59+M58*I59</f>
        <v>100102.83909770551</v>
      </c>
      <c r="R59" s="42">
        <f t="shared" si="6"/>
        <v>5.2269157156856292E-3</v>
      </c>
      <c r="S59" s="87">
        <f t="shared" si="9"/>
        <v>6.4165094669487479E-5</v>
      </c>
    </row>
    <row r="60" spans="1:19" x14ac:dyDescent="0.2">
      <c r="A60" s="15">
        <v>46014</v>
      </c>
      <c r="B60" s="22">
        <v>119.42</v>
      </c>
      <c r="C60" s="23">
        <v>1.27</v>
      </c>
      <c r="D60" s="12">
        <v>1.0749047820566999E-2</v>
      </c>
      <c r="E60" s="2">
        <f t="shared" si="7"/>
        <v>1.5813749336439833E-4</v>
      </c>
      <c r="F60" s="3">
        <f>H60/B60</f>
        <v>422.20754793543404</v>
      </c>
      <c r="G60" s="13">
        <f t="shared" si="10"/>
        <v>0.80302505484355147</v>
      </c>
      <c r="H60" s="24">
        <f t="shared" si="11"/>
        <v>50420.025374449535</v>
      </c>
      <c r="I60" s="22">
        <v>486.85</v>
      </c>
      <c r="J60" s="23">
        <v>1.9300000000000099</v>
      </c>
      <c r="K60" s="12">
        <v>3.9800379444032098E-3</v>
      </c>
      <c r="L60" s="2">
        <f t="shared" si="8"/>
        <v>1.4818276485746408E-4</v>
      </c>
      <c r="M60" s="4">
        <f t="shared" si="12"/>
        <v>103.56377811327829</v>
      </c>
      <c r="N60" s="7">
        <f t="shared" si="13"/>
        <v>0.19697494515644845</v>
      </c>
      <c r="O60" s="36">
        <f t="shared" si="14"/>
        <v>50420.025374449535</v>
      </c>
      <c r="P60" s="40">
        <f t="shared" si="15"/>
        <v>525.77132604871235</v>
      </c>
      <c r="Q60" s="4">
        <f>F59*B60+M59*I60</f>
        <v>100840.05074889907</v>
      </c>
      <c r="R60" s="42">
        <f t="shared" si="6"/>
        <v>7.3645428824851179E-3</v>
      </c>
      <c r="S60" s="87">
        <f t="shared" si="9"/>
        <v>6.1954427863251119E-5</v>
      </c>
    </row>
    <row r="61" spans="1:19" x14ac:dyDescent="0.2">
      <c r="A61" s="15">
        <v>46015</v>
      </c>
      <c r="B61" s="22">
        <v>119.22</v>
      </c>
      <c r="C61" s="23">
        <v>-0.20000000000000301</v>
      </c>
      <c r="D61" s="12">
        <v>-1.67476134650815E-3</v>
      </c>
      <c r="E61" s="2">
        <f t="shared" si="7"/>
        <v>1.5558176550546461E-4</v>
      </c>
      <c r="F61" s="3">
        <f>H61/B61</f>
        <v>423.06986604472621</v>
      </c>
      <c r="G61" s="13">
        <f t="shared" si="10"/>
        <v>0.803669060009222</v>
      </c>
      <c r="H61" s="24">
        <f t="shared" si="11"/>
        <v>50438.389429852257</v>
      </c>
      <c r="I61" s="22">
        <v>488.02</v>
      </c>
      <c r="J61" s="23">
        <v>1.16999999999996</v>
      </c>
      <c r="K61" s="12">
        <v>2.40320427236307E-3</v>
      </c>
      <c r="L61" s="2">
        <f t="shared" si="8"/>
        <v>1.4024224108834959E-4</v>
      </c>
      <c r="M61" s="4">
        <f t="shared" si="12"/>
        <v>103.35311960545113</v>
      </c>
      <c r="N61" s="7">
        <f t="shared" si="13"/>
        <v>0.19633093999077794</v>
      </c>
      <c r="O61" s="36">
        <f t="shared" si="14"/>
        <v>50438.389429852257</v>
      </c>
      <c r="P61" s="40">
        <f t="shared" si="15"/>
        <v>526.42298565017734</v>
      </c>
      <c r="Q61" s="4">
        <f>F60*B61+M60*I61</f>
        <v>100876.77885970451</v>
      </c>
      <c r="R61" s="42">
        <f t="shared" si="6"/>
        <v>3.6422146292747545E-4</v>
      </c>
      <c r="S61" s="87">
        <f t="shared" si="9"/>
        <v>6.149135170353378E-5</v>
      </c>
    </row>
    <row r="62" spans="1:19" x14ac:dyDescent="0.2">
      <c r="A62" s="15">
        <v>46017</v>
      </c>
      <c r="B62" s="22">
        <v>119.11</v>
      </c>
      <c r="C62" s="23">
        <v>-0.109999999999999</v>
      </c>
      <c r="D62" s="12">
        <v>-9.2266398255325805E-4</v>
      </c>
      <c r="E62" s="2">
        <f t="shared" si="7"/>
        <v>1.464151491092022E-4</v>
      </c>
      <c r="F62" s="3">
        <f>H62/B62</f>
        <v>423.13072667014484</v>
      </c>
      <c r="G62" s="13">
        <f t="shared" si="10"/>
        <v>0.80371444579941331</v>
      </c>
      <c r="H62" s="24">
        <f t="shared" si="11"/>
        <v>50399.100853680953</v>
      </c>
      <c r="I62" s="22">
        <v>487.71</v>
      </c>
      <c r="J62" s="23">
        <v>-0.310000000000002</v>
      </c>
      <c r="K62" s="12">
        <v>-6.3521986803820004E-4</v>
      </c>
      <c r="L62" s="2">
        <f t="shared" si="8"/>
        <v>1.3217423006953088E-4</v>
      </c>
      <c r="M62" s="4">
        <f t="shared" si="12"/>
        <v>103.33825604084591</v>
      </c>
      <c r="N62" s="7">
        <f t="shared" si="13"/>
        <v>0.19628555420058669</v>
      </c>
      <c r="O62" s="36">
        <f t="shared" si="14"/>
        <v>50399.100853680953</v>
      </c>
      <c r="P62" s="40">
        <f t="shared" si="15"/>
        <v>526.46898271099076</v>
      </c>
      <c r="Q62" s="4">
        <f>F61*B62+M61*I62</f>
        <v>100798.20170736191</v>
      </c>
      <c r="R62" s="42">
        <f t="shared" si="6"/>
        <v>-7.7894192529571495E-4</v>
      </c>
      <c r="S62" s="87">
        <f t="shared" si="9"/>
        <v>5.7809830037765173E-5</v>
      </c>
    </row>
    <row r="63" spans="1:19" x14ac:dyDescent="0.2">
      <c r="A63" s="15">
        <v>46020</v>
      </c>
      <c r="B63" s="22">
        <v>120.53</v>
      </c>
      <c r="C63" s="23">
        <v>1.42</v>
      </c>
      <c r="D63" s="12">
        <v>1.1921753001427299E-2</v>
      </c>
      <c r="E63" s="2">
        <f t="shared" si="7"/>
        <v>1.3768131869213213E-4</v>
      </c>
      <c r="F63" s="3">
        <f>H63/B63</f>
        <v>420.37671535322573</v>
      </c>
      <c r="G63" s="13">
        <f t="shared" si="10"/>
        <v>0.80163915540707331</v>
      </c>
      <c r="H63" s="24">
        <f t="shared" si="11"/>
        <v>50668.005501524298</v>
      </c>
      <c r="I63" s="22">
        <v>487.1</v>
      </c>
      <c r="J63" s="23">
        <v>-0.60999999999995702</v>
      </c>
      <c r="K63" s="12">
        <v>-1.25074326956584E-3</v>
      </c>
      <c r="L63" s="2">
        <f t="shared" si="8"/>
        <v>1.2426798652220405E-4</v>
      </c>
      <c r="M63" s="4">
        <f t="shared" si="12"/>
        <v>104.01971977319708</v>
      </c>
      <c r="N63" s="7">
        <f t="shared" si="13"/>
        <v>0.19836084459292661</v>
      </c>
      <c r="O63" s="36">
        <f t="shared" si="14"/>
        <v>50668.005501524298</v>
      </c>
      <c r="P63" s="40">
        <f t="shared" si="15"/>
        <v>524.39643512642283</v>
      </c>
      <c r="Q63" s="4">
        <f>F62*B63+M62*I63</f>
        <v>101336.0110030486</v>
      </c>
      <c r="R63" s="42">
        <f t="shared" si="6"/>
        <v>5.3355048659306584E-3</v>
      </c>
      <c r="S63" s="87">
        <f t="shared" si="9"/>
        <v>5.4377645266878265E-5</v>
      </c>
    </row>
    <row r="64" spans="1:19" x14ac:dyDescent="0.2">
      <c r="A64" s="15">
        <v>46021</v>
      </c>
      <c r="B64" s="22">
        <v>120.99</v>
      </c>
      <c r="C64" s="23">
        <v>0.45999999999999402</v>
      </c>
      <c r="D64" s="12">
        <v>3.8164772255869402E-3</v>
      </c>
      <c r="E64" s="2">
        <f t="shared" si="7"/>
        <v>1.3794813124822666E-4</v>
      </c>
      <c r="F64" s="3">
        <f>H64/B64</f>
        <v>419.74093638162202</v>
      </c>
      <c r="G64" s="13">
        <f t="shared" si="10"/>
        <v>0.80115700034512793</v>
      </c>
      <c r="H64" s="24">
        <f t="shared" si="11"/>
        <v>50784.455892812446</v>
      </c>
      <c r="I64" s="22">
        <v>487.48</v>
      </c>
      <c r="J64" s="23">
        <v>0.37999999999999501</v>
      </c>
      <c r="K64" s="12">
        <v>7.80127283925263E-4</v>
      </c>
      <c r="L64" s="2">
        <f t="shared" si="8"/>
        <v>1.1690576885445366E-4</v>
      </c>
      <c r="M64" s="4">
        <f t="shared" si="12"/>
        <v>104.17751680645861</v>
      </c>
      <c r="N64" s="7">
        <f t="shared" si="13"/>
        <v>0.19884299965487204</v>
      </c>
      <c r="O64" s="36">
        <f t="shared" si="14"/>
        <v>50784.455892812446</v>
      </c>
      <c r="P64" s="40">
        <f t="shared" si="15"/>
        <v>523.91845318808066</v>
      </c>
      <c r="Q64" s="4">
        <f>F63*B64+M63*I64</f>
        <v>101568.91178562489</v>
      </c>
      <c r="R64" s="42">
        <f t="shared" si="6"/>
        <v>2.2983022547561093E-3</v>
      </c>
      <c r="S64" s="87">
        <f t="shared" si="9"/>
        <v>5.2823043281327746E-5</v>
      </c>
    </row>
    <row r="65" spans="1:19" x14ac:dyDescent="0.2">
      <c r="A65" s="15">
        <v>46022</v>
      </c>
      <c r="B65" s="22">
        <v>120.34</v>
      </c>
      <c r="C65" s="23">
        <v>-0.64999999999999103</v>
      </c>
      <c r="D65" s="12">
        <v>-5.3723448218860404E-3</v>
      </c>
      <c r="E65" s="2">
        <f t="shared" si="7"/>
        <v>1.3054517327813848E-4</v>
      </c>
      <c r="F65" s="3">
        <f>H65/B65</f>
        <v>419.2037350926704</v>
      </c>
      <c r="G65" s="13">
        <f t="shared" si="10"/>
        <v>0.80074839393337305</v>
      </c>
      <c r="H65" s="24">
        <f t="shared" si="11"/>
        <v>50446.977481051959</v>
      </c>
      <c r="I65" s="22">
        <v>483.62</v>
      </c>
      <c r="J65" s="23">
        <v>-3.8600000000000101</v>
      </c>
      <c r="K65" s="12">
        <v>-7.9182735701977796E-3</v>
      </c>
      <c r="L65" s="2">
        <f t="shared" si="8"/>
        <v>1.099279386379339E-4</v>
      </c>
      <c r="M65" s="4">
        <f t="shared" si="12"/>
        <v>104.31118953114421</v>
      </c>
      <c r="N65" s="7">
        <f t="shared" si="13"/>
        <v>0.19925160606662692</v>
      </c>
      <c r="O65" s="36">
        <f t="shared" si="14"/>
        <v>50446.977481051959</v>
      </c>
      <c r="P65" s="40">
        <f t="shared" si="15"/>
        <v>523.51492462381464</v>
      </c>
      <c r="Q65" s="4">
        <f>F64*B65+M64*I65</f>
        <v>100893.95496210392</v>
      </c>
      <c r="R65" s="42">
        <f t="shared" si="6"/>
        <v>-6.6453091960418211E-3</v>
      </c>
      <c r="S65" s="87">
        <f t="shared" si="9"/>
        <v>4.9970592279701098E-5</v>
      </c>
    </row>
    <row r="66" spans="1:19" x14ac:dyDescent="0.2">
      <c r="A66" s="15">
        <v>46024</v>
      </c>
      <c r="B66" s="22">
        <v>122.65</v>
      </c>
      <c r="C66" s="23">
        <v>2.31</v>
      </c>
      <c r="D66" s="12">
        <v>1.9195612431444301E-2</v>
      </c>
      <c r="E66" s="2">
        <f t="shared" si="7"/>
        <v>1.2444418821456489E-4</v>
      </c>
      <c r="F66" s="3">
        <f>H66/B66</f>
        <v>410.71452134519103</v>
      </c>
      <c r="G66" s="13">
        <f t="shared" si="10"/>
        <v>0.79406974596618485</v>
      </c>
      <c r="H66" s="24">
        <f t="shared" si="11"/>
        <v>50374.13604298768</v>
      </c>
      <c r="I66" s="22">
        <v>472.94</v>
      </c>
      <c r="J66" s="23">
        <v>-10.68</v>
      </c>
      <c r="K66" s="12">
        <v>-2.2083453951449498E-2</v>
      </c>
      <c r="L66" s="2">
        <f t="shared" si="8"/>
        <v>1.0709420569960743E-4</v>
      </c>
      <c r="M66" s="4">
        <f t="shared" si="12"/>
        <v>106.51274166487859</v>
      </c>
      <c r="N66" s="7">
        <f t="shared" si="13"/>
        <v>0.20593025403381524</v>
      </c>
      <c r="O66" s="36">
        <f t="shared" si="14"/>
        <v>50374.13604298768</v>
      </c>
      <c r="P66" s="40">
        <f t="shared" si="15"/>
        <v>517.22726301006958</v>
      </c>
      <c r="Q66" s="4">
        <f>F65*B66+M65*I66</f>
        <v>100748.27208597536</v>
      </c>
      <c r="R66" s="42">
        <f t="shared" si="6"/>
        <v>-1.4439207600026858E-3</v>
      </c>
      <c r="S66" s="87">
        <f t="shared" si="9"/>
        <v>4.9621964801578911E-5</v>
      </c>
    </row>
    <row r="67" spans="1:19" x14ac:dyDescent="0.2">
      <c r="A67" s="15">
        <v>46027</v>
      </c>
      <c r="B67" s="22">
        <v>125.36</v>
      </c>
      <c r="C67" s="23">
        <v>2.7099999999999902</v>
      </c>
      <c r="D67" s="12">
        <v>2.2095393395841802E-2</v>
      </c>
      <c r="E67" s="2">
        <f t="shared" si="7"/>
        <v>1.3908582911878416E-4</v>
      </c>
      <c r="F67" s="3">
        <f>H67/B67</f>
        <v>406.2369268190451</v>
      </c>
      <c r="G67" s="13">
        <f t="shared" ref="G67:G98" si="16">F67/P67</f>
        <v>0.79044148375988366</v>
      </c>
      <c r="H67" s="24">
        <f t="shared" ref="H67:H98" si="17">Q67/2</f>
        <v>50925.861146035495</v>
      </c>
      <c r="I67" s="22">
        <v>472.85</v>
      </c>
      <c r="J67" s="23">
        <v>-8.9999999999975003E-2</v>
      </c>
      <c r="K67" s="12">
        <v>-1.90298980843183E-4</v>
      </c>
      <c r="L67" s="2">
        <f t="shared" si="8"/>
        <v>1.2992928966317844E-4</v>
      </c>
      <c r="M67" s="4">
        <f t="shared" ref="M67:M98" si="18">O67/I67</f>
        <v>107.69982266265305</v>
      </c>
      <c r="N67" s="7">
        <f t="shared" ref="N67:N98" si="19">M67/P67</f>
        <v>0.20955851624011634</v>
      </c>
      <c r="O67" s="36">
        <f t="shared" ref="O67:O98" si="20">Q67/2</f>
        <v>50925.861146035495</v>
      </c>
      <c r="P67" s="40">
        <f t="shared" ref="P67:P98" si="21">M67+F67</f>
        <v>513.93674948169814</v>
      </c>
      <c r="Q67" s="4">
        <f>F66*B67+M66*I67</f>
        <v>101851.72229207099</v>
      </c>
      <c r="R67" s="42">
        <f t="shared" si="6"/>
        <v>1.0952547207499301E-2</v>
      </c>
      <c r="S67" s="87">
        <f t="shared" si="9"/>
        <v>4.6769741343154181E-5</v>
      </c>
    </row>
    <row r="68" spans="1:19" x14ac:dyDescent="0.2">
      <c r="A68" s="15">
        <v>46028</v>
      </c>
      <c r="B68" s="22">
        <v>121.05</v>
      </c>
      <c r="C68" s="23">
        <v>-4.3099999999999996</v>
      </c>
      <c r="D68" s="12">
        <v>-3.4380982769623501E-2</v>
      </c>
      <c r="E68" s="2">
        <f t="shared" si="7"/>
        <v>1.6003306393067769E-4</v>
      </c>
      <c r="F68" s="3">
        <f>H68/B68</f>
        <v>415.98687374535939</v>
      </c>
      <c r="G68" s="13">
        <f t="shared" si="16"/>
        <v>0.79810194142371071</v>
      </c>
      <c r="H68" s="24">
        <f t="shared" si="17"/>
        <v>50355.211066875752</v>
      </c>
      <c r="I68" s="22">
        <v>478.51</v>
      </c>
      <c r="J68" s="23">
        <v>5.6599999999999699</v>
      </c>
      <c r="K68" s="12">
        <v>1.19699693348841E-2</v>
      </c>
      <c r="L68" s="2">
        <f t="shared" si="8"/>
        <v>1.2213570510551431E-4</v>
      </c>
      <c r="M68" s="4">
        <f t="shared" si="18"/>
        <v>105.23335158486918</v>
      </c>
      <c r="N68" s="7">
        <f t="shared" si="19"/>
        <v>0.20189805857628929</v>
      </c>
      <c r="O68" s="36">
        <f t="shared" si="20"/>
        <v>50355.211066875752</v>
      </c>
      <c r="P68" s="40">
        <f t="shared" si="21"/>
        <v>521.22022533022857</v>
      </c>
      <c r="Q68" s="4">
        <f>F67*B68+M67*I68</f>
        <v>100710.4221337515</v>
      </c>
      <c r="R68" s="42">
        <f t="shared" si="6"/>
        <v>-1.1205506717369806E-2</v>
      </c>
      <c r="S68" s="87">
        <f t="shared" si="9"/>
        <v>5.116105428251498E-5</v>
      </c>
    </row>
    <row r="69" spans="1:19" x14ac:dyDescent="0.2">
      <c r="A69" s="15">
        <v>46029</v>
      </c>
      <c r="B69" s="22">
        <v>118.49</v>
      </c>
      <c r="C69" s="23">
        <v>-2.56</v>
      </c>
      <c r="D69" s="12">
        <v>-2.11482858323007E-2</v>
      </c>
      <c r="E69" s="2">
        <f t="shared" si="7"/>
        <v>2.2135419866714596E-4</v>
      </c>
      <c r="F69" s="3">
        <f>H69/B69</f>
        <v>422.68315115547449</v>
      </c>
      <c r="G69" s="13">
        <f t="shared" si="16"/>
        <v>0.80315967838394575</v>
      </c>
      <c r="H69" s="24">
        <f t="shared" si="17"/>
        <v>50083.726580412171</v>
      </c>
      <c r="I69" s="22">
        <v>483.47</v>
      </c>
      <c r="J69" s="23">
        <v>4.9600000000000399</v>
      </c>
      <c r="K69" s="12">
        <v>1.03655096027252E-2</v>
      </c>
      <c r="L69" s="2">
        <f t="shared" si="8"/>
        <v>1.2340437275186738E-4</v>
      </c>
      <c r="M69" s="4">
        <f t="shared" si="18"/>
        <v>103.59221167892976</v>
      </c>
      <c r="N69" s="7">
        <f t="shared" si="19"/>
        <v>0.19684032161605419</v>
      </c>
      <c r="O69" s="36">
        <f t="shared" si="20"/>
        <v>50083.726580412171</v>
      </c>
      <c r="P69" s="40">
        <f t="shared" si="21"/>
        <v>526.27536283440429</v>
      </c>
      <c r="Q69" s="4">
        <f>F68*B69+M68*I69</f>
        <v>100167.45316082434</v>
      </c>
      <c r="R69" s="42">
        <f t="shared" ref="R69:R127" si="22">(Q69-Q68)/Q68</f>
        <v>-5.391388114787731E-3</v>
      </c>
      <c r="S69" s="87">
        <f t="shared" si="9"/>
        <v>5.5625193873145277E-5</v>
      </c>
    </row>
    <row r="70" spans="1:19" x14ac:dyDescent="0.2">
      <c r="A70" s="15">
        <v>46030</v>
      </c>
      <c r="B70" s="22">
        <v>122.91</v>
      </c>
      <c r="C70" s="23">
        <v>4.42</v>
      </c>
      <c r="D70" s="12">
        <v>3.7302725968436201E-2</v>
      </c>
      <c r="E70" s="2">
        <f t="shared" ref="E70:E77" si="23">U$3*E69+(1-U$3)*D69^2</f>
        <v>2.3490794636579863E-4</v>
      </c>
      <c r="F70" s="3">
        <f>H70/B70</f>
        <v>412.82425528570695</v>
      </c>
      <c r="G70" s="13">
        <f t="shared" si="16"/>
        <v>0.79549765398822003</v>
      </c>
      <c r="H70" s="24">
        <f t="shared" si="17"/>
        <v>50740.229217166241</v>
      </c>
      <c r="I70" s="22">
        <v>478.11</v>
      </c>
      <c r="J70" s="23">
        <v>-5.3600000000000101</v>
      </c>
      <c r="K70" s="12">
        <v>-1.1086520363207701E-2</v>
      </c>
      <c r="L70" s="2">
        <f t="shared" ref="L70:L83" si="24">U$3*L69+(1-U$3)*K69^2</f>
        <v>1.2244673774620664E-4</v>
      </c>
      <c r="M70" s="4">
        <f t="shared" si="18"/>
        <v>106.12668469006346</v>
      </c>
      <c r="N70" s="7">
        <f t="shared" si="19"/>
        <v>0.20450234601177997</v>
      </c>
      <c r="O70" s="36">
        <f t="shared" si="20"/>
        <v>50740.229217166241</v>
      </c>
      <c r="P70" s="40">
        <f t="shared" si="21"/>
        <v>518.95093997577044</v>
      </c>
      <c r="Q70" s="4">
        <f>F69*B70+M69*I70</f>
        <v>101480.45843433248</v>
      </c>
      <c r="R70" s="42">
        <f t="shared" si="22"/>
        <v>1.3108102802614326E-2</v>
      </c>
      <c r="S70" s="87">
        <f t="shared" ref="S70:S127" si="25">U$3*S69+(1-U$3)*R69^2</f>
        <v>5.4031706189013027E-5</v>
      </c>
    </row>
    <row r="71" spans="1:19" x14ac:dyDescent="0.2">
      <c r="A71" s="15">
        <v>46031</v>
      </c>
      <c r="B71" s="22">
        <v>124.61</v>
      </c>
      <c r="C71" s="23">
        <v>1.7</v>
      </c>
      <c r="D71" s="12">
        <v>1.3831258644536701E-2</v>
      </c>
      <c r="E71" s="2">
        <f t="shared" si="23"/>
        <v>3.0430307146442543E-4</v>
      </c>
      <c r="F71" s="3">
        <f>H71/B71</f>
        <v>410.50649181207586</v>
      </c>
      <c r="G71" s="13">
        <f t="shared" si="16"/>
        <v>0.79365447349682883</v>
      </c>
      <c r="H71" s="24">
        <f t="shared" si="17"/>
        <v>51153.213944702773</v>
      </c>
      <c r="I71" s="22">
        <v>479.28</v>
      </c>
      <c r="J71" s="23">
        <v>1.16999999999996</v>
      </c>
      <c r="K71" s="12">
        <v>2.4471355964107802E-3</v>
      </c>
      <c r="L71" s="2">
        <f t="shared" si="24"/>
        <v>1.2247458950726339E-4</v>
      </c>
      <c r="M71" s="4">
        <f t="shared" si="18"/>
        <v>106.72928965260969</v>
      </c>
      <c r="N71" s="7">
        <f t="shared" si="19"/>
        <v>0.20634552650317109</v>
      </c>
      <c r="O71" s="36">
        <f t="shared" si="20"/>
        <v>51153.213944702773</v>
      </c>
      <c r="P71" s="40">
        <f t="shared" si="21"/>
        <v>517.2357814646856</v>
      </c>
      <c r="Q71" s="4">
        <f>F70*B71+M70*I71</f>
        <v>102306.42788940555</v>
      </c>
      <c r="R71" s="42">
        <f t="shared" si="22"/>
        <v>8.1391971204736388E-3</v>
      </c>
      <c r="S71" s="87">
        <f t="shared" si="25"/>
        <v>6.1099145362706592E-5</v>
      </c>
    </row>
    <row r="72" spans="1:19" x14ac:dyDescent="0.2">
      <c r="A72" s="15">
        <v>46034</v>
      </c>
      <c r="B72" s="22">
        <v>124.03</v>
      </c>
      <c r="C72" s="23">
        <v>-0.57999999999999796</v>
      </c>
      <c r="D72" s="12">
        <v>-4.6545221089799999E-3</v>
      </c>
      <c r="E72" s="2">
        <f t="shared" si="23"/>
        <v>2.9752311011808414E-4</v>
      </c>
      <c r="F72" s="3">
        <f>H72/B72</f>
        <v>410.56277761785083</v>
      </c>
      <c r="G72" s="13">
        <f t="shared" si="16"/>
        <v>0.79369937293125525</v>
      </c>
      <c r="H72" s="24">
        <f t="shared" si="17"/>
        <v>50922.101307942037</v>
      </c>
      <c r="I72" s="22">
        <v>477.18</v>
      </c>
      <c r="J72" s="23">
        <v>-2.0999999999999699</v>
      </c>
      <c r="K72" s="12">
        <v>-4.3815723585377397E-3</v>
      </c>
      <c r="L72" s="2">
        <f t="shared" si="24"/>
        <v>1.1548542249446081E-4</v>
      </c>
      <c r="M72" s="4">
        <f t="shared" si="18"/>
        <v>106.71465968385523</v>
      </c>
      <c r="N72" s="7">
        <f t="shared" si="19"/>
        <v>0.20630062706874469</v>
      </c>
      <c r="O72" s="36">
        <f t="shared" si="20"/>
        <v>50922.101307942037</v>
      </c>
      <c r="P72" s="40">
        <f t="shared" si="21"/>
        <v>517.27743730170607</v>
      </c>
      <c r="Q72" s="4">
        <f>F71*B72+M71*I72</f>
        <v>101844.20261588407</v>
      </c>
      <c r="R72" s="42">
        <f t="shared" si="22"/>
        <v>-4.5180472337587865E-3</v>
      </c>
      <c r="S72" s="87">
        <f t="shared" si="25"/>
        <v>6.140798842689978E-5</v>
      </c>
    </row>
    <row r="73" spans="1:19" x14ac:dyDescent="0.2">
      <c r="A73" s="15">
        <v>46035</v>
      </c>
      <c r="B73" s="22">
        <v>126.54</v>
      </c>
      <c r="C73" s="23">
        <v>2.51000000000001</v>
      </c>
      <c r="D73" s="12">
        <v>2.0237039425945399E-2</v>
      </c>
      <c r="E73" s="2">
        <f t="shared" si="23"/>
        <v>2.809715980747781E-4</v>
      </c>
      <c r="F73" s="3">
        <f>H73/B73</f>
        <v>403.74586199289939</v>
      </c>
      <c r="G73" s="13">
        <f t="shared" si="16"/>
        <v>0.78811473351082528</v>
      </c>
      <c r="H73" s="24">
        <f t="shared" si="17"/>
        <v>51090.001376581495</v>
      </c>
      <c r="I73" s="22">
        <v>470.67</v>
      </c>
      <c r="J73" s="23">
        <v>-6.50999999999999</v>
      </c>
      <c r="K73" s="12">
        <v>-1.3642650572111101E-2</v>
      </c>
      <c r="L73" s="2">
        <f t="shared" si="24"/>
        <v>1.0970818772477927E-4</v>
      </c>
      <c r="M73" s="4">
        <f t="shared" si="18"/>
        <v>108.54739281573394</v>
      </c>
      <c r="N73" s="7">
        <f t="shared" si="19"/>
        <v>0.21188526648917466</v>
      </c>
      <c r="O73" s="36">
        <f t="shared" si="20"/>
        <v>51090.001376581495</v>
      </c>
      <c r="P73" s="40">
        <f t="shared" si="21"/>
        <v>512.29325480863338</v>
      </c>
      <c r="Q73" s="4">
        <f>F72*B73+M72*I73</f>
        <v>102180.00275316299</v>
      </c>
      <c r="R73" s="42">
        <f t="shared" si="22"/>
        <v>3.297194426917159E-3</v>
      </c>
      <c r="S73" s="87">
        <f t="shared" si="25"/>
        <v>5.8948274169674314E-5</v>
      </c>
    </row>
    <row r="74" spans="1:19" x14ac:dyDescent="0.2">
      <c r="A74" s="15">
        <v>46036</v>
      </c>
      <c r="B74" s="22">
        <v>130.19999999999999</v>
      </c>
      <c r="C74" s="23">
        <v>3.6599999999999802</v>
      </c>
      <c r="D74" s="12">
        <v>2.8923660502607699E-2</v>
      </c>
      <c r="E74" s="2">
        <f t="shared" si="23"/>
        <v>2.8868556807392753E-4</v>
      </c>
      <c r="F74" s="3">
        <f>H74/B74</f>
        <v>393.36487151753977</v>
      </c>
      <c r="G74" s="13">
        <f t="shared" si="16"/>
        <v>0.77916482920044783</v>
      </c>
      <c r="H74" s="24">
        <f t="shared" si="17"/>
        <v>51216.106271583674</v>
      </c>
      <c r="I74" s="22">
        <v>459.38</v>
      </c>
      <c r="J74" s="23">
        <v>-11.29</v>
      </c>
      <c r="K74" s="12">
        <v>-2.3987082244460101E-2</v>
      </c>
      <c r="L74" s="2">
        <f t="shared" si="24"/>
        <v>1.1429301133925592E-4</v>
      </c>
      <c r="M74" s="4">
        <f t="shared" si="18"/>
        <v>111.48963009182741</v>
      </c>
      <c r="N74" s="7">
        <f t="shared" si="19"/>
        <v>0.22083517079955223</v>
      </c>
      <c r="O74" s="36">
        <f t="shared" si="20"/>
        <v>51216.106271583674</v>
      </c>
      <c r="P74" s="40">
        <f t="shared" si="21"/>
        <v>504.85450160936716</v>
      </c>
      <c r="Q74" s="4">
        <f>F73*B74+M73*I74</f>
        <v>102432.21254316735</v>
      </c>
      <c r="R74" s="42">
        <f t="shared" si="22"/>
        <v>2.4682891290737602E-3</v>
      </c>
      <c r="S74" s="87">
        <f t="shared" si="25"/>
        <v>5.6063667184827468E-5</v>
      </c>
    </row>
    <row r="75" spans="1:19" x14ac:dyDescent="0.2">
      <c r="A75" s="15">
        <v>46037</v>
      </c>
      <c r="B75" s="22">
        <v>129.13</v>
      </c>
      <c r="C75" s="23">
        <v>-1.0699999999999901</v>
      </c>
      <c r="D75" s="12">
        <v>-8.2181259600613895E-3</v>
      </c>
      <c r="E75" s="2">
        <f>U$3*E74+(1-U$3)*D74^2</f>
        <v>3.2155912220169843E-4</v>
      </c>
      <c r="F75" s="3">
        <f>H75/B75</f>
        <v>393.82041484083413</v>
      </c>
      <c r="G75" s="13">
        <f t="shared" si="16"/>
        <v>0.77956264190238822</v>
      </c>
      <c r="H75" s="24">
        <f t="shared" si="17"/>
        <v>50854.030168396908</v>
      </c>
      <c r="I75" s="22">
        <v>456.66</v>
      </c>
      <c r="J75" s="23">
        <v>-2.71999999999997</v>
      </c>
      <c r="K75" s="12">
        <v>-5.9210239888544802E-3</v>
      </c>
      <c r="L75" s="2">
        <f t="shared" si="24"/>
        <v>1.4195823753505017E-4</v>
      </c>
      <c r="M75" s="4">
        <f t="shared" si="18"/>
        <v>111.36081585511519</v>
      </c>
      <c r="N75" s="7">
        <f t="shared" si="19"/>
        <v>0.22043735809761172</v>
      </c>
      <c r="O75" s="36">
        <f t="shared" si="20"/>
        <v>50854.030168396908</v>
      </c>
      <c r="P75" s="40">
        <f t="shared" si="21"/>
        <v>505.18123069594935</v>
      </c>
      <c r="Q75" s="4">
        <f>F74*B75+M74*I75</f>
        <v>101708.06033679382</v>
      </c>
      <c r="R75" s="42">
        <f t="shared" si="22"/>
        <v>-7.069574974457934E-3</v>
      </c>
      <c r="S75" s="87">
        <f t="shared" si="25"/>
        <v>5.3065394227220036E-5</v>
      </c>
    </row>
    <row r="76" spans="1:19" x14ac:dyDescent="0.2">
      <c r="A76" s="15">
        <v>46038</v>
      </c>
      <c r="B76" s="22">
        <v>129.88999999999999</v>
      </c>
      <c r="C76" s="23">
        <v>0.75999999999999102</v>
      </c>
      <c r="D76" s="12">
        <v>5.88554170216054E-3</v>
      </c>
      <c r="E76" s="2">
        <f t="shared" si="23"/>
        <v>3.063178305273226E-4</v>
      </c>
      <c r="F76" s="3">
        <f>H76/B76</f>
        <v>394.04002795753803</v>
      </c>
      <c r="G76" s="13">
        <f t="shared" si="16"/>
        <v>0.77975413310724884</v>
      </c>
      <c r="H76" s="24">
        <f t="shared" si="17"/>
        <v>51181.859231404611</v>
      </c>
      <c r="I76" s="22">
        <v>459.86</v>
      </c>
      <c r="J76" s="23">
        <v>3.19999999999999</v>
      </c>
      <c r="K76" s="12">
        <v>7.0074015679060797E-3</v>
      </c>
      <c r="L76" s="2">
        <f t="shared" si="24"/>
        <v>1.3554425478754257E-4</v>
      </c>
      <c r="M76" s="4">
        <f t="shared" si="18"/>
        <v>111.29878491585397</v>
      </c>
      <c r="N76" s="7">
        <f t="shared" si="19"/>
        <v>0.22024586689275114</v>
      </c>
      <c r="O76" s="36">
        <f t="shared" si="20"/>
        <v>51181.859231404611</v>
      </c>
      <c r="P76" s="40">
        <f t="shared" si="21"/>
        <v>505.33881287339199</v>
      </c>
      <c r="Q76" s="4">
        <f>F75*B76+M75*I76</f>
        <v>102363.71846280922</v>
      </c>
      <c r="R76" s="42">
        <f t="shared" si="22"/>
        <v>6.446471635033384E-3</v>
      </c>
      <c r="S76" s="87">
        <f t="shared" si="25"/>
        <v>5.2880203992755747E-5</v>
      </c>
    </row>
    <row r="77" spans="1:19" x14ac:dyDescent="0.2">
      <c r="A77" s="15">
        <v>46042</v>
      </c>
      <c r="B77" s="22">
        <v>130.46</v>
      </c>
      <c r="C77" s="23">
        <v>0.57000000000002204</v>
      </c>
      <c r="D77" s="12">
        <v>4.3883285857265501E-3</v>
      </c>
      <c r="E77" s="2">
        <f t="shared" si="23"/>
        <v>2.9001713676335547E-4</v>
      </c>
      <c r="F77" s="3">
        <f>H77/B77</f>
        <v>390.90137117620094</v>
      </c>
      <c r="G77" s="13">
        <f t="shared" si="16"/>
        <v>0.77698382850695746</v>
      </c>
      <c r="H77" s="24">
        <f t="shared" si="17"/>
        <v>50996.992883647181</v>
      </c>
      <c r="I77" s="22">
        <v>454.52</v>
      </c>
      <c r="J77" s="23">
        <v>-5.3400000000000301</v>
      </c>
      <c r="K77" s="12">
        <v>-1.1612229809072399E-2</v>
      </c>
      <c r="L77" s="2">
        <f t="shared" si="24"/>
        <v>1.3035782010432356E-4</v>
      </c>
      <c r="M77" s="4">
        <f t="shared" si="18"/>
        <v>112.19966752540523</v>
      </c>
      <c r="N77" s="7">
        <f t="shared" si="19"/>
        <v>0.22301617149304254</v>
      </c>
      <c r="O77" s="36">
        <f t="shared" si="20"/>
        <v>50996.992883647181</v>
      </c>
      <c r="P77" s="40">
        <f t="shared" si="21"/>
        <v>503.10103870160617</v>
      </c>
      <c r="Q77" s="4">
        <f>F76*B77+M76*I77</f>
        <v>101993.98576729436</v>
      </c>
      <c r="R77" s="42">
        <f t="shared" si="22"/>
        <v>-3.6119506116729372E-3</v>
      </c>
      <c r="S77" s="87">
        <f t="shared" si="25"/>
        <v>5.22008115456678E-5</v>
      </c>
    </row>
    <row r="78" spans="1:19" x14ac:dyDescent="0.2">
      <c r="A78" s="15">
        <v>46043</v>
      </c>
      <c r="B78" s="22">
        <v>133.61000000000001</v>
      </c>
      <c r="C78" s="23">
        <v>3.1500000000000101</v>
      </c>
      <c r="D78" s="12">
        <v>2.4145331902498901E-2</v>
      </c>
      <c r="E78" s="2">
        <f>U$3*E77+(1-U$3)*D77^2</f>
        <v>2.7377155422413237E-4</v>
      </c>
      <c r="F78" s="3">
        <f>H78/B78</f>
        <v>381.92248539615269</v>
      </c>
      <c r="G78" s="13">
        <f t="shared" si="16"/>
        <v>0.76872879595651866</v>
      </c>
      <c r="H78" s="24">
        <f t="shared" si="17"/>
        <v>51028.663273779966</v>
      </c>
      <c r="I78" s="22">
        <v>444.11</v>
      </c>
      <c r="J78" s="23">
        <v>-10.41</v>
      </c>
      <c r="K78" s="12">
        <v>-2.29032825838246E-2</v>
      </c>
      <c r="L78" s="2">
        <f t="shared" si="24"/>
        <v>1.3062698376638675E-4</v>
      </c>
      <c r="M78" s="4">
        <f t="shared" si="18"/>
        <v>114.90095533489443</v>
      </c>
      <c r="N78" s="7">
        <f t="shared" si="19"/>
        <v>0.23127120404348128</v>
      </c>
      <c r="O78" s="36">
        <f t="shared" si="20"/>
        <v>51028.663273779966</v>
      </c>
      <c r="P78" s="40">
        <f t="shared" si="21"/>
        <v>496.82344073104713</v>
      </c>
      <c r="Q78" s="4">
        <f>F77*B78+M77*I78</f>
        <v>102057.32654755993</v>
      </c>
      <c r="R78" s="42">
        <f t="shared" si="22"/>
        <v>6.2102465933713998E-4</v>
      </c>
      <c r="S78" s="87">
        <f t="shared" si="25"/>
        <v>4.9851534086197598E-5</v>
      </c>
    </row>
    <row r="79" spans="1:19" x14ac:dyDescent="0.2">
      <c r="A79" s="15">
        <v>46044</v>
      </c>
      <c r="B79" s="22">
        <v>133.63999999999999</v>
      </c>
      <c r="C79" s="23">
        <v>2.9999999999972701E-2</v>
      </c>
      <c r="D79" s="12">
        <v>2.2453409175939501E-4</v>
      </c>
      <c r="E79" s="2">
        <f t="shared" ref="E79:E96" si="26">U$3*E78+(1-U$3)*D78^2</f>
        <v>2.9232508413159434E-4</v>
      </c>
      <c r="F79" s="3">
        <f>H79/B79</f>
        <v>384.90174325847846</v>
      </c>
      <c r="G79" s="13">
        <f t="shared" si="16"/>
        <v>0.7714696125038476</v>
      </c>
      <c r="H79" s="24">
        <f t="shared" si="17"/>
        <v>51438.268969063058</v>
      </c>
      <c r="I79" s="22">
        <v>451.14</v>
      </c>
      <c r="J79" s="23">
        <v>7.0299999999999701</v>
      </c>
      <c r="K79" s="12">
        <v>1.5829411632253199E-2</v>
      </c>
      <c r="L79" s="2">
        <f t="shared" si="24"/>
        <v>1.5426298592727497E-4</v>
      </c>
      <c r="M79" s="4">
        <f t="shared" si="18"/>
        <v>114.01841771747807</v>
      </c>
      <c r="N79" s="7">
        <f t="shared" si="19"/>
        <v>0.22853038749615237</v>
      </c>
      <c r="O79" s="36">
        <f t="shared" si="20"/>
        <v>51438.268969063058</v>
      </c>
      <c r="P79" s="40">
        <f t="shared" si="21"/>
        <v>498.92016097595655</v>
      </c>
      <c r="Q79" s="4">
        <f>F78*B79+M78*I79</f>
        <v>102876.53793812612</v>
      </c>
      <c r="R79" s="42">
        <f t="shared" si="22"/>
        <v>8.0269728620063381E-3</v>
      </c>
      <c r="S79" s="87">
        <f t="shared" si="25"/>
        <v>4.6883582338676031E-5</v>
      </c>
    </row>
    <row r="80" spans="1:19" x14ac:dyDescent="0.2">
      <c r="A80" s="15">
        <v>46045</v>
      </c>
      <c r="B80" s="22">
        <v>134.97</v>
      </c>
      <c r="C80" s="23">
        <v>1.3300000000000101</v>
      </c>
      <c r="D80" s="12">
        <v>9.9521101466627706E-3</v>
      </c>
      <c r="E80" s="2">
        <f t="shared" si="26"/>
        <v>2.7478860401720039E-4</v>
      </c>
      <c r="F80" s="3">
        <f>H80/B80</f>
        <v>389.26083582668645</v>
      </c>
      <c r="G80" s="13">
        <f t="shared" si="16"/>
        <v>0.77539439526060039</v>
      </c>
      <c r="H80" s="24">
        <f t="shared" si="17"/>
        <v>52538.535011527871</v>
      </c>
      <c r="I80" s="22">
        <v>465.95</v>
      </c>
      <c r="J80" s="23">
        <v>14.81</v>
      </c>
      <c r="K80" s="12">
        <v>3.2827946978764899E-2</v>
      </c>
      <c r="L80" s="2">
        <f t="shared" si="24"/>
        <v>1.6004142312903727E-4</v>
      </c>
      <c r="M80" s="4">
        <f t="shared" si="18"/>
        <v>112.75573561868842</v>
      </c>
      <c r="N80" s="7">
        <f t="shared" si="19"/>
        <v>0.22460560473939958</v>
      </c>
      <c r="O80" s="36">
        <f t="shared" si="20"/>
        <v>52538.535011527871</v>
      </c>
      <c r="P80" s="40">
        <f t="shared" si="21"/>
        <v>502.01657144537489</v>
      </c>
      <c r="Q80" s="4">
        <f>F79*B80+M79*I80</f>
        <v>105077.07002305574</v>
      </c>
      <c r="R80" s="42">
        <f t="shared" si="22"/>
        <v>2.1390028562713784E-2</v>
      </c>
      <c r="S80" s="87">
        <f t="shared" si="25"/>
        <v>4.7936504997998649E-5</v>
      </c>
    </row>
    <row r="81" spans="1:19" x14ac:dyDescent="0.2">
      <c r="A81" s="15">
        <v>46048</v>
      </c>
      <c r="B81" s="22">
        <v>134.84</v>
      </c>
      <c r="C81" s="23">
        <v>-0.12999999999999501</v>
      </c>
      <c r="D81" s="12">
        <v>-9.6317700229677297E-4</v>
      </c>
      <c r="E81" s="2">
        <f t="shared" si="26"/>
        <v>2.6424395755844687E-4</v>
      </c>
      <c r="F81" s="3">
        <f>H81/B81</f>
        <v>391.25889368743395</v>
      </c>
      <c r="G81" s="13">
        <f t="shared" si="16"/>
        <v>0.77716816499206776</v>
      </c>
      <c r="H81" s="24">
        <f t="shared" si="17"/>
        <v>52757.349224813595</v>
      </c>
      <c r="I81" s="22">
        <v>470.28</v>
      </c>
      <c r="J81" s="23">
        <v>4.3299999999999796</v>
      </c>
      <c r="K81" s="12">
        <v>9.2928425796759001E-3</v>
      </c>
      <c r="L81" s="2">
        <f t="shared" si="24"/>
        <v>2.1509938391173103E-4</v>
      </c>
      <c r="M81" s="4">
        <f t="shared" si="18"/>
        <v>112.18284686742706</v>
      </c>
      <c r="N81" s="7">
        <f t="shared" si="19"/>
        <v>0.22283183500793233</v>
      </c>
      <c r="O81" s="36">
        <f t="shared" si="20"/>
        <v>52757.349224813595</v>
      </c>
      <c r="P81" s="40">
        <f t="shared" si="21"/>
        <v>503.44174055486098</v>
      </c>
      <c r="Q81" s="4">
        <f>F80*B81+M80*I81</f>
        <v>105514.69844962719</v>
      </c>
      <c r="R81" s="42">
        <f t="shared" si="22"/>
        <v>4.164832788689541E-3</v>
      </c>
      <c r="S81" s="87">
        <f t="shared" si="25"/>
        <v>7.2512314012941435E-5</v>
      </c>
    </row>
    <row r="82" spans="1:19" x14ac:dyDescent="0.2">
      <c r="A82" s="15">
        <v>46049</v>
      </c>
      <c r="B82" s="22">
        <v>136.83000000000001</v>
      </c>
      <c r="C82" s="23">
        <v>1.99000000000001</v>
      </c>
      <c r="D82" s="12">
        <v>1.4758231978641401E-2</v>
      </c>
      <c r="E82" s="2">
        <f t="shared" si="26"/>
        <v>2.484449827012052E-4</v>
      </c>
      <c r="F82" s="3">
        <f>H82/B82</f>
        <v>392.6360701995165</v>
      </c>
      <c r="G82" s="13">
        <f t="shared" si="16"/>
        <v>0.77838065467031625</v>
      </c>
      <c r="H82" s="24">
        <f t="shared" si="17"/>
        <v>53724.393485399843</v>
      </c>
      <c r="I82" s="22">
        <v>480.58</v>
      </c>
      <c r="J82" s="23">
        <v>10.3</v>
      </c>
      <c r="K82" s="12">
        <v>2.19018457089394E-2</v>
      </c>
      <c r="L82" s="2">
        <f t="shared" si="24"/>
        <v>2.0737483626966541E-4</v>
      </c>
      <c r="M82" s="4">
        <f t="shared" si="18"/>
        <v>111.79073928461411</v>
      </c>
      <c r="N82" s="7">
        <f t="shared" si="19"/>
        <v>0.22161934532968369</v>
      </c>
      <c r="O82" s="36">
        <f t="shared" si="20"/>
        <v>53724.393485399843</v>
      </c>
      <c r="P82" s="40">
        <f t="shared" si="21"/>
        <v>504.42680948413062</v>
      </c>
      <c r="Q82" s="4">
        <f>F81*B82+M81*I82</f>
        <v>107448.78697079969</v>
      </c>
      <c r="R82" s="42">
        <f t="shared" si="22"/>
        <v>1.8330038843790392E-2</v>
      </c>
      <c r="S82" s="87">
        <f t="shared" si="25"/>
        <v>6.9202325101629556E-5</v>
      </c>
    </row>
    <row r="83" spans="1:19" x14ac:dyDescent="0.2">
      <c r="A83" s="15">
        <v>46050</v>
      </c>
      <c r="B83" s="22">
        <v>137.58000000000001</v>
      </c>
      <c r="C83" s="23">
        <v>0.75</v>
      </c>
      <c r="D83" s="12">
        <v>5.4812541109405801E-3</v>
      </c>
      <c r="E83" s="2">
        <f t="shared" si="26"/>
        <v>2.466066084072565E-4</v>
      </c>
      <c r="F83" s="3">
        <f>H83/B83</f>
        <v>391.99245638791308</v>
      </c>
      <c r="G83" s="13">
        <f t="shared" si="16"/>
        <v>0.77781366579997091</v>
      </c>
      <c r="H83" s="24">
        <f t="shared" si="17"/>
        <v>53930.322149849089</v>
      </c>
      <c r="I83" s="22">
        <v>481.63</v>
      </c>
      <c r="J83" s="23">
        <v>1.05000000000001</v>
      </c>
      <c r="K83" s="12">
        <v>2.1848599608806302E-3</v>
      </c>
      <c r="L83" s="2">
        <f t="shared" si="24"/>
        <v>2.2371379682097675E-4</v>
      </c>
      <c r="M83" s="4">
        <f t="shared" si="18"/>
        <v>111.97459076438156</v>
      </c>
      <c r="N83" s="7">
        <f t="shared" si="19"/>
        <v>0.22218633420002909</v>
      </c>
      <c r="O83" s="36">
        <f t="shared" si="20"/>
        <v>53930.322149849089</v>
      </c>
      <c r="P83" s="40">
        <f t="shared" si="21"/>
        <v>503.96704715229464</v>
      </c>
      <c r="Q83" s="4">
        <f>F82*B83+M82*I83</f>
        <v>107860.64429969818</v>
      </c>
      <c r="R83" s="42">
        <f t="shared" si="22"/>
        <v>3.8330570359106815E-3</v>
      </c>
      <c r="S83" s="87">
        <f t="shared" si="25"/>
        <v>8.5209605036423676E-5</v>
      </c>
    </row>
    <row r="84" spans="1:19" x14ac:dyDescent="0.2">
      <c r="A84" s="15">
        <v>46051</v>
      </c>
      <c r="B84" s="22">
        <v>140.51</v>
      </c>
      <c r="C84" s="23">
        <v>2.9299999999999802</v>
      </c>
      <c r="D84" s="12">
        <v>2.1296700101758801E-2</v>
      </c>
      <c r="E84" s="2">
        <f t="shared" si="26"/>
        <v>2.3361286070054329E-4</v>
      </c>
      <c r="F84" s="3">
        <f>H84/B84</f>
        <v>368.72765334647028</v>
      </c>
      <c r="G84" s="13">
        <f t="shared" si="16"/>
        <v>0.75521332380968975</v>
      </c>
      <c r="H84" s="24">
        <f t="shared" si="17"/>
        <v>51809.922571712537</v>
      </c>
      <c r="I84" s="22">
        <v>433.5</v>
      </c>
      <c r="J84" s="23">
        <v>-48.13</v>
      </c>
      <c r="K84" s="12">
        <v>-9.9931482673421501E-2</v>
      </c>
      <c r="L84" s="2">
        <f>U$3*L83+(1-U$3)*K83^2</f>
        <v>2.105773857946377E-4</v>
      </c>
      <c r="M84" s="4">
        <f t="shared" si="18"/>
        <v>119.51539232228959</v>
      </c>
      <c r="N84" s="7">
        <f t="shared" si="19"/>
        <v>0.24478667619031025</v>
      </c>
      <c r="O84" s="36">
        <f t="shared" si="20"/>
        <v>51809.922571712537</v>
      </c>
      <c r="P84" s="40">
        <f t="shared" si="21"/>
        <v>488.24304566875986</v>
      </c>
      <c r="Q84" s="4">
        <f>F83*B84+M83*I84</f>
        <v>103619.84514342507</v>
      </c>
      <c r="R84" s="42">
        <f t="shared" si="22"/>
        <v>-3.931739128583131E-2</v>
      </c>
      <c r="S84" s="87">
        <f t="shared" si="25"/>
        <v>8.0978568308670912E-5</v>
      </c>
    </row>
    <row r="85" spans="1:19" x14ac:dyDescent="0.2">
      <c r="A85" s="15">
        <v>46052</v>
      </c>
      <c r="B85" s="22">
        <v>141.4</v>
      </c>
      <c r="C85" s="23">
        <v>0.890000000000015</v>
      </c>
      <c r="D85" s="12">
        <v>6.3340687495552998E-3</v>
      </c>
      <c r="E85" s="2">
        <f t="shared" si="26"/>
        <v>2.4680905517196591E-4</v>
      </c>
      <c r="F85" s="3">
        <f>H85/B85</f>
        <v>366.21063771410496</v>
      </c>
      <c r="G85" s="13">
        <f t="shared" si="16"/>
        <v>0.75266315660585281</v>
      </c>
      <c r="H85" s="24">
        <f t="shared" si="17"/>
        <v>51782.184172774447</v>
      </c>
      <c r="I85" s="22">
        <v>430.29</v>
      </c>
      <c r="J85" s="23">
        <v>-3.20999999999998</v>
      </c>
      <c r="K85" s="12">
        <v>-7.4048442906573904E-3</v>
      </c>
      <c r="L85" s="2">
        <f t="shared" ref="L85:L102" si="27">U$3*L84+(1-U$3)*K84^2</f>
        <v>7.9712081640546039E-4</v>
      </c>
      <c r="M85" s="4">
        <f t="shared" si="18"/>
        <v>120.34252288636604</v>
      </c>
      <c r="N85" s="7">
        <f t="shared" si="19"/>
        <v>0.24733684339414719</v>
      </c>
      <c r="O85" s="36">
        <f t="shared" si="20"/>
        <v>51782.184172774447</v>
      </c>
      <c r="P85" s="40">
        <f t="shared" si="21"/>
        <v>486.55316060047102</v>
      </c>
      <c r="Q85" s="4">
        <f>F84*B85+M84*I85</f>
        <v>103564.36834554889</v>
      </c>
      <c r="R85" s="42">
        <f t="shared" si="22"/>
        <v>-5.3538777055102762E-4</v>
      </c>
      <c r="S85" s="87">
        <f t="shared" si="25"/>
        <v>1.6887128966154057E-4</v>
      </c>
    </row>
    <row r="86" spans="1:19" x14ac:dyDescent="0.2">
      <c r="A86" s="15">
        <v>46055</v>
      </c>
      <c r="B86" s="22">
        <v>138.4</v>
      </c>
      <c r="C86" s="23">
        <v>-3</v>
      </c>
      <c r="D86" s="12">
        <v>-2.12164073550212E-2</v>
      </c>
      <c r="E86" s="2">
        <f t="shared" si="26"/>
        <v>2.3440773747709353E-4</v>
      </c>
      <c r="F86" s="3">
        <f>H86/B86</f>
        <v>367.17112057092817</v>
      </c>
      <c r="G86" s="13">
        <f t="shared" si="16"/>
        <v>0.75363582960998277</v>
      </c>
      <c r="H86" s="24">
        <f t="shared" si="17"/>
        <v>50816.483087016459</v>
      </c>
      <c r="I86" s="22">
        <v>423.37</v>
      </c>
      <c r="J86" s="23">
        <v>-6.9200000000000204</v>
      </c>
      <c r="K86" s="12">
        <v>-1.60821771363499E-2</v>
      </c>
      <c r="L86" s="2">
        <f t="shared" si="27"/>
        <v>7.5258347055926563E-4</v>
      </c>
      <c r="M86" s="4">
        <f t="shared" si="18"/>
        <v>120.0285402532453</v>
      </c>
      <c r="N86" s="7">
        <f t="shared" si="19"/>
        <v>0.24636417039001729</v>
      </c>
      <c r="O86" s="36">
        <f t="shared" si="20"/>
        <v>50816.483087016459</v>
      </c>
      <c r="P86" s="40">
        <f t="shared" si="21"/>
        <v>487.19966082417346</v>
      </c>
      <c r="Q86" s="4">
        <f>F85*B86+M85*I86</f>
        <v>101632.96617403292</v>
      </c>
      <c r="R86" s="42">
        <f t="shared" si="22"/>
        <v>-1.8649292245685636E-2</v>
      </c>
      <c r="S86" s="87">
        <f t="shared" si="25"/>
        <v>1.5875621068573947E-4</v>
      </c>
    </row>
    <row r="87" spans="1:19" x14ac:dyDescent="0.2">
      <c r="A87" s="15">
        <v>46056</v>
      </c>
      <c r="B87" s="22">
        <v>143.72999999999999</v>
      </c>
      <c r="C87" s="23">
        <v>5.3299999999999796</v>
      </c>
      <c r="D87" s="12">
        <v>3.8511560693641499E-2</v>
      </c>
      <c r="E87" s="2">
        <f t="shared" si="26"/>
        <v>2.473514296917198E-4</v>
      </c>
      <c r="F87" s="3">
        <f>H87/B87</f>
        <v>355.28574826826861</v>
      </c>
      <c r="G87" s="13">
        <f t="shared" si="16"/>
        <v>0.7409990269218294</v>
      </c>
      <c r="H87" s="24">
        <f t="shared" si="17"/>
        <v>51065.220598598244</v>
      </c>
      <c r="I87" s="22">
        <v>411.21</v>
      </c>
      <c r="J87" s="23">
        <v>-12.16</v>
      </c>
      <c r="K87" s="12">
        <v>-2.8721921723315402E-2</v>
      </c>
      <c r="L87" s="2">
        <f t="shared" si="27"/>
        <v>7.2294664761240579E-4</v>
      </c>
      <c r="M87" s="4">
        <f t="shared" si="18"/>
        <v>124.18282774883453</v>
      </c>
      <c r="N87" s="7">
        <f t="shared" si="19"/>
        <v>0.2590009730781706</v>
      </c>
      <c r="O87" s="36">
        <f t="shared" si="20"/>
        <v>51065.220598598244</v>
      </c>
      <c r="P87" s="40">
        <f t="shared" si="21"/>
        <v>479.46857601710315</v>
      </c>
      <c r="Q87" s="4">
        <f>F86*B87+M86*I87</f>
        <v>102130.44119719649</v>
      </c>
      <c r="R87" s="42">
        <f t="shared" si="22"/>
        <v>4.8948194851630147E-3</v>
      </c>
      <c r="S87" s="87">
        <f t="shared" si="25"/>
        <v>1.7009860412049455E-4</v>
      </c>
    </row>
    <row r="88" spans="1:19" x14ac:dyDescent="0.2">
      <c r="A88" s="15">
        <v>46057</v>
      </c>
      <c r="B88" s="22">
        <v>147.59</v>
      </c>
      <c r="C88" s="23">
        <v>3.8600000000000101</v>
      </c>
      <c r="D88" s="12">
        <v>2.6855910387532302E-2</v>
      </c>
      <c r="E88" s="2">
        <f t="shared" si="26"/>
        <v>3.2149876233381861E-4</v>
      </c>
      <c r="F88" s="3">
        <f>H88/B88</f>
        <v>351.89345149469318</v>
      </c>
      <c r="G88" s="13">
        <f t="shared" si="16"/>
        <v>0.73728149809533983</v>
      </c>
      <c r="H88" s="24">
        <f t="shared" si="17"/>
        <v>51935.954506101771</v>
      </c>
      <c r="I88" s="22">
        <v>414.19</v>
      </c>
      <c r="J88" s="23">
        <v>2.98000000000002</v>
      </c>
      <c r="K88" s="12">
        <v>7.2469054740887098E-3</v>
      </c>
      <c r="L88" s="2">
        <f t="shared" si="27"/>
        <v>7.2906677600447693E-4</v>
      </c>
      <c r="M88" s="4">
        <f t="shared" si="18"/>
        <v>125.39161859557636</v>
      </c>
      <c r="N88" s="7">
        <f t="shared" si="19"/>
        <v>0.26271850190466023</v>
      </c>
      <c r="O88" s="36">
        <f t="shared" si="20"/>
        <v>51935.954506101771</v>
      </c>
      <c r="P88" s="40">
        <f t="shared" si="21"/>
        <v>477.28507009026953</v>
      </c>
      <c r="Q88" s="4">
        <f>F87*B88+M87*I88</f>
        <v>103871.90901220354</v>
      </c>
      <c r="R88" s="42">
        <f t="shared" si="22"/>
        <v>1.7051407930810523E-2</v>
      </c>
      <c r="S88" s="87">
        <f t="shared" si="25"/>
        <v>1.6133024334080478E-4</v>
      </c>
    </row>
    <row r="89" spans="1:19" x14ac:dyDescent="0.2">
      <c r="A89" s="15">
        <v>46058</v>
      </c>
      <c r="B89" s="22">
        <v>146.08000000000001</v>
      </c>
      <c r="C89" s="23">
        <v>-1.50999999999999</v>
      </c>
      <c r="D89" s="12">
        <v>-1.0231045463784699E-2</v>
      </c>
      <c r="E89" s="2">
        <f t="shared" si="26"/>
        <v>3.4548323195837942E-4</v>
      </c>
      <c r="F89" s="3">
        <f>H89/B89</f>
        <v>344.90523646928165</v>
      </c>
      <c r="G89" s="13">
        <f t="shared" si="16"/>
        <v>0.72935618341824915</v>
      </c>
      <c r="H89" s="24">
        <f t="shared" si="17"/>
        <v>50383.756943432665</v>
      </c>
      <c r="I89" s="22">
        <v>393.67</v>
      </c>
      <c r="J89" s="23">
        <v>-20.52</v>
      </c>
      <c r="K89" s="12">
        <v>-4.9542480504116401E-2</v>
      </c>
      <c r="L89" s="2">
        <f t="shared" si="27"/>
        <v>6.8847382778123092E-4</v>
      </c>
      <c r="M89" s="4">
        <f t="shared" si="18"/>
        <v>127.98475104385059</v>
      </c>
      <c r="N89" s="7">
        <f t="shared" si="19"/>
        <v>0.2706438165817508</v>
      </c>
      <c r="O89" s="36">
        <f t="shared" si="20"/>
        <v>50383.756943432665</v>
      </c>
      <c r="P89" s="40">
        <f t="shared" si="21"/>
        <v>472.88998751313227</v>
      </c>
      <c r="Q89" s="4">
        <f>F88*B89+M88*I89</f>
        <v>100767.51388686533</v>
      </c>
      <c r="R89" s="42">
        <f t="shared" si="22"/>
        <v>-2.9886762983950616E-2</v>
      </c>
      <c r="S89" s="87">
        <f t="shared" si="25"/>
        <v>1.6909545948573098E-4</v>
      </c>
    </row>
    <row r="90" spans="1:19" x14ac:dyDescent="0.2">
      <c r="A90" s="15">
        <v>46059</v>
      </c>
      <c r="B90" s="22">
        <v>149.05000000000001</v>
      </c>
      <c r="C90" s="23">
        <v>2.97</v>
      </c>
      <c r="D90" s="12">
        <v>2.0331325301204801E-2</v>
      </c>
      <c r="E90" s="2">
        <f t="shared" si="26"/>
        <v>3.3103469551779843E-4</v>
      </c>
      <c r="F90" s="3">
        <f>H90/B90</f>
        <v>344.67604337295086</v>
      </c>
      <c r="G90" s="13">
        <f t="shared" si="16"/>
        <v>0.72909358585216011</v>
      </c>
      <c r="H90" s="24">
        <f t="shared" si="17"/>
        <v>51373.96426473833</v>
      </c>
      <c r="I90" s="22">
        <v>401.14</v>
      </c>
      <c r="J90" s="23">
        <v>7.4699999999999704</v>
      </c>
      <c r="K90" s="12">
        <v>1.8975283867198298E-2</v>
      </c>
      <c r="L90" s="2">
        <f t="shared" si="27"/>
        <v>7.944328405844023E-4</v>
      </c>
      <c r="M90" s="4">
        <f t="shared" si="18"/>
        <v>128.06991141431504</v>
      </c>
      <c r="N90" s="7">
        <f t="shared" si="19"/>
        <v>0.27090641414783989</v>
      </c>
      <c r="O90" s="36">
        <f t="shared" si="20"/>
        <v>51373.96426473833</v>
      </c>
      <c r="P90" s="40">
        <f t="shared" si="21"/>
        <v>472.74595478726587</v>
      </c>
      <c r="Q90" s="4">
        <f>F89*B90+M89*I90</f>
        <v>102747.92852947666</v>
      </c>
      <c r="R90" s="42">
        <f t="shared" si="22"/>
        <v>1.9653304584201604E-2</v>
      </c>
      <c r="S90" s="87">
        <f t="shared" si="25"/>
        <v>2.1254284801611759E-4</v>
      </c>
    </row>
    <row r="91" spans="1:19" x14ac:dyDescent="0.2">
      <c r="A91" s="15">
        <v>46062</v>
      </c>
      <c r="B91" s="22">
        <v>151.21</v>
      </c>
      <c r="C91" s="23">
        <v>2.16</v>
      </c>
      <c r="D91" s="12">
        <v>1.4491781281449199E-2</v>
      </c>
      <c r="E91" s="2">
        <f t="shared" si="26"/>
        <v>3.3597438109693516E-4</v>
      </c>
      <c r="F91" s="3">
        <f>H91/B91</f>
        <v>347.4908401540394</v>
      </c>
      <c r="G91" s="13">
        <f t="shared" si="16"/>
        <v>0.73228165223703545</v>
      </c>
      <c r="H91" s="24">
        <f t="shared" si="17"/>
        <v>52544.089939692305</v>
      </c>
      <c r="I91" s="22">
        <v>413.6</v>
      </c>
      <c r="J91" s="23">
        <v>12.46</v>
      </c>
      <c r="K91" s="12">
        <v>3.1061474796829101E-2</v>
      </c>
      <c r="L91" s="2">
        <f t="shared" si="27"/>
        <v>7.6837055401978349E-4</v>
      </c>
      <c r="M91" s="4">
        <f t="shared" si="18"/>
        <v>127.04083641124831</v>
      </c>
      <c r="N91" s="7">
        <f t="shared" si="19"/>
        <v>0.26771834776296455</v>
      </c>
      <c r="O91" s="36">
        <f t="shared" si="20"/>
        <v>52544.089939692305</v>
      </c>
      <c r="P91" s="40">
        <f t="shared" si="21"/>
        <v>474.53167656528774</v>
      </c>
      <c r="Q91" s="4">
        <f>F90*B91+M90*I91</f>
        <v>105088.17987938461</v>
      </c>
      <c r="R91" s="42">
        <f t="shared" si="22"/>
        <v>2.277662803913922E-2</v>
      </c>
      <c r="S91" s="87">
        <f t="shared" si="25"/>
        <v>2.2296541999991453E-4</v>
      </c>
    </row>
    <row r="92" spans="1:19" x14ac:dyDescent="0.2">
      <c r="A92" s="15">
        <v>46063</v>
      </c>
      <c r="B92" s="22">
        <v>151.59</v>
      </c>
      <c r="C92" s="23">
        <v>0.37999999999999501</v>
      </c>
      <c r="D92" s="12">
        <v>2.5130613054691799E-3</v>
      </c>
      <c r="E92" s="2">
        <f t="shared" si="26"/>
        <v>3.2841662171368069E-4</v>
      </c>
      <c r="F92" s="3">
        <f>H92/B92</f>
        <v>346.91702263548854</v>
      </c>
      <c r="G92" s="13">
        <f t="shared" si="16"/>
        <v>0.73163261693162907</v>
      </c>
      <c r="H92" s="24">
        <f t="shared" si="17"/>
        <v>52589.151461313711</v>
      </c>
      <c r="I92" s="22">
        <v>413.27</v>
      </c>
      <c r="J92" s="23">
        <v>-0.33000000000004098</v>
      </c>
      <c r="K92" s="12">
        <v>-7.9787234042563097E-4</v>
      </c>
      <c r="L92" s="2">
        <f t="shared" si="27"/>
        <v>7.8015723377183952E-4</v>
      </c>
      <c r="M92" s="4">
        <f t="shared" si="18"/>
        <v>127.2513162371179</v>
      </c>
      <c r="N92" s="7">
        <f t="shared" si="19"/>
        <v>0.26836738306837093</v>
      </c>
      <c r="O92" s="36">
        <f t="shared" si="20"/>
        <v>52589.151461313711</v>
      </c>
      <c r="P92" s="40">
        <f t="shared" si="21"/>
        <v>474.16833887260645</v>
      </c>
      <c r="Q92" s="4">
        <f>F91*B92+M91*I92</f>
        <v>105178.30292262742</v>
      </c>
      <c r="R92" s="42">
        <f t="shared" si="22"/>
        <v>8.5759448252174461E-4</v>
      </c>
      <c r="S92" s="87">
        <f t="shared" si="25"/>
        <v>2.4071398188991783E-4</v>
      </c>
    </row>
    <row r="93" spans="1:19" x14ac:dyDescent="0.2">
      <c r="A93" s="15">
        <v>46064</v>
      </c>
      <c r="B93" s="22">
        <v>155.56</v>
      </c>
      <c r="C93" s="23">
        <v>3.97</v>
      </c>
      <c r="D93" s="12">
        <v>2.61890626030741E-2</v>
      </c>
      <c r="E93" s="2">
        <f t="shared" si="26"/>
        <v>3.0909055303836265E-4</v>
      </c>
      <c r="F93" s="3">
        <f>H93/B93</f>
        <v>338.85004753143471</v>
      </c>
      <c r="G93" s="13">
        <f t="shared" si="16"/>
        <v>0.72217955815905555</v>
      </c>
      <c r="H93" s="24">
        <f t="shared" si="17"/>
        <v>52711.513393989982</v>
      </c>
      <c r="I93" s="22">
        <v>404.37</v>
      </c>
      <c r="J93" s="23">
        <v>-8.8999999999999808</v>
      </c>
      <c r="K93" s="12">
        <v>-2.1535557867737701E-2</v>
      </c>
      <c r="L93" s="2">
        <f t="shared" si="27"/>
        <v>7.333859957618261E-4</v>
      </c>
      <c r="M93" s="4">
        <f t="shared" si="18"/>
        <v>130.35465883717879</v>
      </c>
      <c r="N93" s="7">
        <f t="shared" si="19"/>
        <v>0.2778204418409444</v>
      </c>
      <c r="O93" s="36">
        <f t="shared" si="20"/>
        <v>52711.513393989982</v>
      </c>
      <c r="P93" s="40">
        <f t="shared" si="21"/>
        <v>469.20470636861353</v>
      </c>
      <c r="Q93" s="4">
        <f>F92*B93+M92*I93</f>
        <v>105423.02678797996</v>
      </c>
      <c r="R93" s="42">
        <f t="shared" si="22"/>
        <v>2.326752367668156E-3</v>
      </c>
      <c r="S93" s="87">
        <f t="shared" si="25"/>
        <v>2.2631527107430985E-4</v>
      </c>
    </row>
    <row r="94" spans="1:19" x14ac:dyDescent="0.2">
      <c r="A94" s="15">
        <v>46065</v>
      </c>
      <c r="B94" s="22">
        <v>149.93</v>
      </c>
      <c r="C94" s="23">
        <v>-5.63</v>
      </c>
      <c r="D94" s="12">
        <v>-3.61918230907688E-2</v>
      </c>
      <c r="E94" s="2">
        <f t="shared" si="26"/>
        <v>3.3169713985772495E-4</v>
      </c>
      <c r="F94" s="3">
        <f>H94/B94</f>
        <v>344.11226483532289</v>
      </c>
      <c r="G94" s="13">
        <f t="shared" si="16"/>
        <v>0.72827446218533076</v>
      </c>
      <c r="H94" s="24">
        <f t="shared" si="17"/>
        <v>51592.751866759965</v>
      </c>
      <c r="I94" s="22">
        <v>401.84</v>
      </c>
      <c r="J94" s="23">
        <v>-2.53000000000003</v>
      </c>
      <c r="K94" s="12">
        <v>-6.2566461409106298E-3</v>
      </c>
      <c r="L94" s="2">
        <f t="shared" si="27"/>
        <v>7.1720965117659725E-4</v>
      </c>
      <c r="M94" s="4">
        <f t="shared" si="18"/>
        <v>128.39127977991234</v>
      </c>
      <c r="N94" s="7">
        <f t="shared" si="19"/>
        <v>0.27172553781466918</v>
      </c>
      <c r="O94" s="36">
        <f t="shared" si="20"/>
        <v>51592.751866759965</v>
      </c>
      <c r="P94" s="40">
        <f t="shared" si="21"/>
        <v>472.50354461523523</v>
      </c>
      <c r="Q94" s="4">
        <f>F93*B94+M93*I94</f>
        <v>103185.50373351993</v>
      </c>
      <c r="R94" s="42">
        <f t="shared" si="22"/>
        <v>-2.1224234615839645E-2</v>
      </c>
      <c r="S94" s="87">
        <f t="shared" si="25"/>
        <v>2.1306118140467821E-4</v>
      </c>
    </row>
    <row r="95" spans="1:19" x14ac:dyDescent="0.2">
      <c r="A95" s="15">
        <v>46066</v>
      </c>
      <c r="B95" s="22">
        <v>148.44999999999999</v>
      </c>
      <c r="C95" s="23">
        <v>-1.48000000000002</v>
      </c>
      <c r="D95" s="12">
        <v>-9.8712732608551897E-3</v>
      </c>
      <c r="E95" s="2">
        <f>U$3*E94+(1-U$3)*D94^2</f>
        <v>3.9038619498427184E-4</v>
      </c>
      <c r="F95" s="3">
        <f>H95/B95</f>
        <v>345.60274205482688</v>
      </c>
      <c r="G95" s="13">
        <f t="shared" si="16"/>
        <v>0.72997799079615122</v>
      </c>
      <c r="H95" s="24">
        <f t="shared" si="17"/>
        <v>51304.727058039047</v>
      </c>
      <c r="I95" s="22">
        <v>401.32</v>
      </c>
      <c r="J95" s="23">
        <v>-0.51999999999998203</v>
      </c>
      <c r="K95" s="12">
        <v>-1.2940473820425599E-3</v>
      </c>
      <c r="L95" s="2">
        <f t="shared" si="27"/>
        <v>6.7652580936195569E-4</v>
      </c>
      <c r="M95" s="4">
        <f t="shared" si="18"/>
        <v>127.83994582387882</v>
      </c>
      <c r="N95" s="7">
        <f t="shared" si="19"/>
        <v>0.27002200920384889</v>
      </c>
      <c r="O95" s="36">
        <f t="shared" si="20"/>
        <v>51304.727058039047</v>
      </c>
      <c r="P95" s="40">
        <f t="shared" si="21"/>
        <v>473.44268787870567</v>
      </c>
      <c r="Q95" s="4">
        <f>F94*B95+M94*I95</f>
        <v>102609.45411607809</v>
      </c>
      <c r="R95" s="42">
        <f t="shared" si="22"/>
        <v>-5.5826603214488776E-3</v>
      </c>
      <c r="S95" s="87">
        <f t="shared" si="25"/>
        <v>2.2730559862208988E-4</v>
      </c>
    </row>
    <row r="96" spans="1:19" x14ac:dyDescent="0.2">
      <c r="A96" s="15">
        <v>46070</v>
      </c>
      <c r="B96" s="22">
        <v>146.19</v>
      </c>
      <c r="C96" s="23">
        <v>-2.25999999999999</v>
      </c>
      <c r="D96" s="12">
        <v>-1.52239811384304E-2</v>
      </c>
      <c r="E96" s="2">
        <f t="shared" si="26"/>
        <v>3.7280954543264397E-4</v>
      </c>
      <c r="F96" s="3">
        <f>H96/B96</f>
        <v>346.32405007408067</v>
      </c>
      <c r="G96" s="13">
        <f t="shared" si="16"/>
        <v>0.73079826903600043</v>
      </c>
      <c r="H96" s="24">
        <f t="shared" si="17"/>
        <v>50629.112880329849</v>
      </c>
      <c r="I96" s="22">
        <v>396.86</v>
      </c>
      <c r="J96" s="23">
        <v>-4.4599999999999804</v>
      </c>
      <c r="K96" s="12">
        <v>-1.11133260241204E-2</v>
      </c>
      <c r="L96" s="2">
        <f t="shared" si="27"/>
        <v>6.3603473431785658E-4</v>
      </c>
      <c r="M96" s="4">
        <f t="shared" si="18"/>
        <v>127.57423998470455</v>
      </c>
      <c r="N96" s="7">
        <f t="shared" si="19"/>
        <v>0.26920173096399963</v>
      </c>
      <c r="O96" s="36">
        <f t="shared" si="20"/>
        <v>50629.112880329849</v>
      </c>
      <c r="P96" s="40">
        <f t="shared" si="21"/>
        <v>473.89829005878522</v>
      </c>
      <c r="Q96" s="4">
        <f>F95*B96+M95*I96</f>
        <v>101258.2257606597</v>
      </c>
      <c r="R96" s="42">
        <f t="shared" si="22"/>
        <v>-1.3168653581275306E-2</v>
      </c>
      <c r="S96" s="87">
        <f t="shared" si="25"/>
        <v>2.1553722848064526E-4</v>
      </c>
    </row>
    <row r="97" spans="1:19" x14ac:dyDescent="0.2">
      <c r="A97" s="15">
        <v>46071</v>
      </c>
      <c r="B97" s="22">
        <v>150.68</v>
      </c>
      <c r="C97" s="23">
        <v>4.49000000000001</v>
      </c>
      <c r="D97" s="12">
        <v>3.0713455092687698E-2</v>
      </c>
      <c r="E97" s="2">
        <f>U$3*E96+(1-U$3)*D96^2</f>
        <v>3.6434714880888243E-4</v>
      </c>
      <c r="F97" s="3">
        <f>H97/B97</f>
        <v>342.32404487340858</v>
      </c>
      <c r="G97" s="13">
        <f t="shared" si="16"/>
        <v>0.72617576506505777</v>
      </c>
      <c r="H97" s="24">
        <f t="shared" si="17"/>
        <v>51581.387081525208</v>
      </c>
      <c r="I97" s="22">
        <v>399.6</v>
      </c>
      <c r="J97" s="23">
        <v>2.74000000000001</v>
      </c>
      <c r="K97" s="12">
        <v>6.9041979539384403E-3</v>
      </c>
      <c r="L97" s="2">
        <f t="shared" si="27"/>
        <v>6.0528301117788866E-4</v>
      </c>
      <c r="M97" s="4">
        <f t="shared" si="18"/>
        <v>129.08255025406709</v>
      </c>
      <c r="N97" s="7">
        <f t="shared" si="19"/>
        <v>0.27382423493494223</v>
      </c>
      <c r="O97" s="36">
        <f t="shared" si="20"/>
        <v>51581.387081525208</v>
      </c>
      <c r="P97" s="40">
        <f t="shared" si="21"/>
        <v>471.40659512747567</v>
      </c>
      <c r="Q97" s="4">
        <f>F96*B97+M96*I97</f>
        <v>103162.77416305042</v>
      </c>
      <c r="R97" s="42">
        <f t="shared" si="22"/>
        <v>1.8808826523313074E-2</v>
      </c>
      <c r="S97" s="87">
        <f t="shared" si="25"/>
        <v>2.1300980100042466E-4</v>
      </c>
    </row>
    <row r="98" spans="1:19" x14ac:dyDescent="0.2">
      <c r="A98" s="15">
        <v>46072</v>
      </c>
      <c r="B98" s="22">
        <v>150.97</v>
      </c>
      <c r="C98" s="23">
        <v>0.28999999999999199</v>
      </c>
      <c r="D98" s="12">
        <v>1.92460844173077E-3</v>
      </c>
      <c r="E98" s="2">
        <f t="shared" ref="E98:E127" si="28">U$3*E97+(1-U$3)*D97^2</f>
        <v>3.9908529930418211E-4</v>
      </c>
      <c r="F98" s="3">
        <f>H98/B98</f>
        <v>341.50789570369631</v>
      </c>
      <c r="G98" s="13">
        <f t="shared" si="16"/>
        <v>0.72522432338969478</v>
      </c>
      <c r="H98" s="24">
        <f t="shared" si="17"/>
        <v>51557.447014387028</v>
      </c>
      <c r="I98" s="22">
        <v>398.46</v>
      </c>
      <c r="J98" s="23">
        <v>-1.1400000000000401</v>
      </c>
      <c r="K98" s="12">
        <v>-2.85285285285296E-3</v>
      </c>
      <c r="L98" s="2">
        <f t="shared" si="27"/>
        <v>5.7182610747044541E-4</v>
      </c>
      <c r="M98" s="4">
        <f t="shared" si="18"/>
        <v>129.39177587307893</v>
      </c>
      <c r="N98" s="7">
        <f t="shared" si="19"/>
        <v>0.27477567661030522</v>
      </c>
      <c r="O98" s="36">
        <f t="shared" si="20"/>
        <v>51557.447014387028</v>
      </c>
      <c r="P98" s="40">
        <f t="shared" si="21"/>
        <v>470.89967157677523</v>
      </c>
      <c r="Q98" s="4">
        <f>F97*B98+M97*I98</f>
        <v>103114.89402877406</v>
      </c>
      <c r="R98" s="42">
        <f t="shared" si="22"/>
        <v>-4.6412220556115005E-4</v>
      </c>
      <c r="S98" s="87">
        <f t="shared" si="25"/>
        <v>2.214555302514443E-4</v>
      </c>
    </row>
    <row r="99" spans="1:19" x14ac:dyDescent="0.2">
      <c r="A99" s="15">
        <v>46073</v>
      </c>
      <c r="B99" s="22">
        <v>147.28</v>
      </c>
      <c r="C99" s="23">
        <v>-3.69</v>
      </c>
      <c r="D99" s="12">
        <v>-2.44419421077035E-2</v>
      </c>
      <c r="E99" s="2">
        <f t="shared" si="28"/>
        <v>3.7536242840517002E-4</v>
      </c>
      <c r="F99" s="3">
        <f>H99/B99</f>
        <v>345.24571567525646</v>
      </c>
      <c r="G99" s="13">
        <f t="shared" ref="G99:G127" si="29">F99/P99</f>
        <v>0.72951828249251627</v>
      </c>
      <c r="H99" s="24">
        <f t="shared" ref="H99:H127" si="30">Q99/2</f>
        <v>50847.789004651771</v>
      </c>
      <c r="I99" s="22">
        <v>397.23</v>
      </c>
      <c r="J99" s="23">
        <v>-1.22999999999996</v>
      </c>
      <c r="K99" s="12">
        <v>-3.0868845053454801E-3</v>
      </c>
      <c r="L99" s="2">
        <f t="shared" si="27"/>
        <v>5.3800486718622053E-4</v>
      </c>
      <c r="M99" s="4">
        <f t="shared" ref="M99:M127" si="31">O99/I99</f>
        <v>128.00591346235623</v>
      </c>
      <c r="N99" s="7">
        <f t="shared" ref="N99:N127" si="32">M99/P99</f>
        <v>0.27048171750748379</v>
      </c>
      <c r="O99" s="36">
        <f t="shared" ref="O99:O127" si="33">Q99/2</f>
        <v>50847.789004651771</v>
      </c>
      <c r="P99" s="40">
        <f t="shared" ref="P99:P127" si="34">M99+F99</f>
        <v>473.25162913761267</v>
      </c>
      <c r="Q99" s="4">
        <f>F98*B99+M98*I99</f>
        <v>101695.57800930354</v>
      </c>
      <c r="R99" s="42">
        <f t="shared" si="22"/>
        <v>-1.3764413306524413E-2</v>
      </c>
      <c r="S99" s="87">
        <f t="shared" si="25"/>
        <v>2.0818112300165933E-4</v>
      </c>
    </row>
    <row r="100" spans="1:19" x14ac:dyDescent="0.2">
      <c r="A100" s="15">
        <v>46076</v>
      </c>
      <c r="B100" s="22">
        <v>150.76</v>
      </c>
      <c r="C100" s="23">
        <v>3.4799999999999902</v>
      </c>
      <c r="D100" s="12">
        <v>2.3628462791960798E-2</v>
      </c>
      <c r="E100" s="2">
        <f t="shared" si="28"/>
        <v>3.8868519474063963E-4</v>
      </c>
      <c r="F100" s="3">
        <f>H100/B100</f>
        <v>335.84398263489572</v>
      </c>
      <c r="G100" s="13">
        <f t="shared" si="29"/>
        <v>0.71832670067073967</v>
      </c>
      <c r="H100" s="24">
        <f t="shared" si="30"/>
        <v>50631.83882203688</v>
      </c>
      <c r="I100" s="22">
        <v>384.47</v>
      </c>
      <c r="J100" s="23">
        <v>-12.76</v>
      </c>
      <c r="K100" s="12">
        <v>-3.2122447952067999E-2</v>
      </c>
      <c r="L100" s="2">
        <f t="shared" si="27"/>
        <v>5.0629630651200777E-4</v>
      </c>
      <c r="M100" s="4">
        <f t="shared" si="31"/>
        <v>131.69256072525002</v>
      </c>
      <c r="N100" s="7">
        <f t="shared" si="32"/>
        <v>0.28167329932926027</v>
      </c>
      <c r="O100" s="36">
        <f t="shared" si="33"/>
        <v>50631.83882203688</v>
      </c>
      <c r="P100" s="40">
        <f t="shared" si="34"/>
        <v>467.53654336014574</v>
      </c>
      <c r="Q100" s="4">
        <f>F99*B100+M99*I100</f>
        <v>101263.67764407376</v>
      </c>
      <c r="R100" s="42">
        <f t="shared" si="22"/>
        <v>-4.2469925800536898E-3</v>
      </c>
      <c r="S100" s="87">
        <f t="shared" si="25"/>
        <v>2.0705780004192937E-4</v>
      </c>
    </row>
    <row r="101" spans="1:19" x14ac:dyDescent="0.2">
      <c r="A101" s="15">
        <v>46077</v>
      </c>
      <c r="B101" s="22">
        <v>149.26</v>
      </c>
      <c r="C101" s="23">
        <v>-1.5</v>
      </c>
      <c r="D101" s="12">
        <v>-9.9495887503316498E-3</v>
      </c>
      <c r="E101" s="2">
        <f t="shared" si="28"/>
        <v>3.988623382908658E-4</v>
      </c>
      <c r="F101" s="3">
        <f>H101/B101</f>
        <v>339.52994429253249</v>
      </c>
      <c r="G101" s="13">
        <f t="shared" si="29"/>
        <v>0.72269906736521383</v>
      </c>
      <c r="H101" s="24">
        <f t="shared" si="30"/>
        <v>50678.239485103397</v>
      </c>
      <c r="I101" s="22">
        <v>389</v>
      </c>
      <c r="J101" s="23">
        <v>4.5299999999999701</v>
      </c>
      <c r="K101" s="12">
        <v>1.17824537675241E-2</v>
      </c>
      <c r="L101" s="2">
        <f t="shared" si="27"/>
        <v>5.3782962786728646E-4</v>
      </c>
      <c r="M101" s="4">
        <f t="shared" si="31"/>
        <v>130.27825060437891</v>
      </c>
      <c r="N101" s="7">
        <f t="shared" si="32"/>
        <v>0.27730093263478617</v>
      </c>
      <c r="O101" s="36">
        <f t="shared" si="33"/>
        <v>50678.239485103397</v>
      </c>
      <c r="P101" s="40">
        <f t="shared" si="34"/>
        <v>469.8081948969114</v>
      </c>
      <c r="Q101" s="4">
        <f>F100*B101+M100*I101</f>
        <v>101356.47897020679</v>
      </c>
      <c r="R101" s="42">
        <f t="shared" si="22"/>
        <v>9.1643250859618872E-4</v>
      </c>
      <c r="S101" s="87">
        <f t="shared" si="25"/>
        <v>1.9571654879791547E-4</v>
      </c>
    </row>
    <row r="102" spans="1:19" x14ac:dyDescent="0.2">
      <c r="A102" s="15">
        <v>46078</v>
      </c>
      <c r="B102" s="22">
        <v>149.06</v>
      </c>
      <c r="C102" s="23">
        <v>-0.19999999999998899</v>
      </c>
      <c r="D102" s="12">
        <v>-1.3399437223635801E-3</v>
      </c>
      <c r="E102" s="2">
        <f t="shared" si="28"/>
        <v>3.8087025697145741E-4</v>
      </c>
      <c r="F102" s="3">
        <f>H102/B102</f>
        <v>344.82691764510628</v>
      </c>
      <c r="G102" s="13">
        <f t="shared" si="29"/>
        <v>0.72881417603609511</v>
      </c>
      <c r="H102" s="24">
        <f t="shared" si="30"/>
        <v>51399.900344179543</v>
      </c>
      <c r="I102" s="22">
        <v>400.6</v>
      </c>
      <c r="J102" s="23">
        <v>11.6</v>
      </c>
      <c r="K102" s="12">
        <v>2.9820051413881801E-2</v>
      </c>
      <c r="L102" s="2">
        <f t="shared" si="27"/>
        <v>5.1388942320227976E-4</v>
      </c>
      <c r="M102" s="4">
        <f t="shared" si="31"/>
        <v>128.3072899255605</v>
      </c>
      <c r="N102" s="7">
        <f t="shared" si="32"/>
        <v>0.27118582396390495</v>
      </c>
      <c r="O102" s="36">
        <f t="shared" si="33"/>
        <v>51399.900344179543</v>
      </c>
      <c r="P102" s="40">
        <f t="shared" si="34"/>
        <v>473.13420757066677</v>
      </c>
      <c r="Q102" s="4">
        <f>F101*B102+M101*I102</f>
        <v>102799.80068835909</v>
      </c>
      <c r="R102" s="42">
        <f t="shared" si="22"/>
        <v>1.4240053845759078E-2</v>
      </c>
      <c r="S102" s="87">
        <f t="shared" si="25"/>
        <v>1.8402394678260925E-4</v>
      </c>
    </row>
    <row r="103" spans="1:19" x14ac:dyDescent="0.2">
      <c r="A103" s="15">
        <v>46079</v>
      </c>
      <c r="B103" s="22">
        <v>148.54</v>
      </c>
      <c r="C103" s="23">
        <v>-0.52000000000001001</v>
      </c>
      <c r="D103" s="12">
        <v>-3.48852810948618E-3</v>
      </c>
      <c r="E103" s="2">
        <f t="shared" si="28"/>
        <v>3.5812576850391604E-4</v>
      </c>
      <c r="F103" s="3">
        <f>H103/B103</f>
        <v>345.91421454120189</v>
      </c>
      <c r="G103" s="13">
        <f t="shared" si="29"/>
        <v>0.73005488314614919</v>
      </c>
      <c r="H103" s="24">
        <f t="shared" si="30"/>
        <v>51382.097427950124</v>
      </c>
      <c r="I103" s="22">
        <v>401.72</v>
      </c>
      <c r="J103" s="23">
        <v>1.1200000000000001</v>
      </c>
      <c r="K103" s="12">
        <v>2.79580629056416E-3</v>
      </c>
      <c r="L103" s="2">
        <f>U$3*L102+(1-U$3)*K102^2</f>
        <v>5.3641018578973621E-4</v>
      </c>
      <c r="M103" s="4">
        <f t="shared" si="31"/>
        <v>127.90525099061566</v>
      </c>
      <c r="N103" s="7">
        <f t="shared" si="32"/>
        <v>0.26994511685385092</v>
      </c>
      <c r="O103" s="36">
        <f t="shared" si="33"/>
        <v>51382.097427950124</v>
      </c>
      <c r="P103" s="40">
        <f t="shared" si="34"/>
        <v>473.81946553181751</v>
      </c>
      <c r="Q103" s="4">
        <f>F102*B103+M102*I103</f>
        <v>102764.19485590025</v>
      </c>
      <c r="R103" s="42">
        <f t="shared" si="22"/>
        <v>-3.4636090946107734E-4</v>
      </c>
      <c r="S103" s="87">
        <f t="shared" si="25"/>
        <v>1.8514925798745978E-4</v>
      </c>
    </row>
    <row r="104" spans="1:19" x14ac:dyDescent="0.2">
      <c r="A104" s="15">
        <v>46080</v>
      </c>
      <c r="B104" s="22">
        <v>152.5</v>
      </c>
      <c r="C104" s="23">
        <v>3.9600000000000102</v>
      </c>
      <c r="D104" s="12">
        <v>2.6659485660428198E-2</v>
      </c>
      <c r="E104" s="2">
        <f t="shared" si="28"/>
        <v>3.3736841209592157E-4</v>
      </c>
      <c r="F104" s="3">
        <f>H104/B104</f>
        <v>337.65713439864817</v>
      </c>
      <c r="G104" s="13">
        <f t="shared" si="29"/>
        <v>0.72030665395055393</v>
      </c>
      <c r="H104" s="24">
        <f t="shared" si="30"/>
        <v>51492.712995793845</v>
      </c>
      <c r="I104" s="22">
        <v>392.74</v>
      </c>
      <c r="J104" s="23">
        <v>-8.98000000000002</v>
      </c>
      <c r="K104" s="12">
        <v>-2.2353878323210199E-2</v>
      </c>
      <c r="L104" s="2">
        <f t="shared" ref="L104:L118" si="35">U$3*L103+(1-U$3)*K103^2</f>
        <v>5.0469456661121354E-4</v>
      </c>
      <c r="M104" s="4">
        <f t="shared" si="31"/>
        <v>131.11145540508693</v>
      </c>
      <c r="N104" s="7">
        <f t="shared" si="32"/>
        <v>0.27969334604944607</v>
      </c>
      <c r="O104" s="36">
        <f t="shared" si="33"/>
        <v>51492.712995793845</v>
      </c>
      <c r="P104" s="40">
        <f t="shared" si="34"/>
        <v>468.7685898037351</v>
      </c>
      <c r="Q104" s="4">
        <f>F103*B104+M103*I104</f>
        <v>102985.42599158769</v>
      </c>
      <c r="R104" s="42">
        <f t="shared" si="22"/>
        <v>2.1528036686090913E-3</v>
      </c>
      <c r="S104" s="87">
        <f t="shared" si="25"/>
        <v>1.7404750046098833E-4</v>
      </c>
    </row>
    <row r="105" spans="1:19" x14ac:dyDescent="0.2">
      <c r="A105" s="15">
        <v>46083</v>
      </c>
      <c r="B105" s="22">
        <v>154.22</v>
      </c>
      <c r="C105" s="23">
        <v>1.72</v>
      </c>
      <c r="D105" s="12">
        <v>1.12786885245902E-2</v>
      </c>
      <c r="E105" s="2">
        <f t="shared" si="28"/>
        <v>3.597699979108809E-4</v>
      </c>
      <c r="F105" s="3">
        <f>H105/B105</f>
        <v>338.24391719185877</v>
      </c>
      <c r="G105" s="13">
        <f t="shared" si="29"/>
        <v>0.72100511967002545</v>
      </c>
      <c r="H105" s="24">
        <f t="shared" si="30"/>
        <v>52163.976909328456</v>
      </c>
      <c r="I105" s="22">
        <v>398.55</v>
      </c>
      <c r="J105" s="23">
        <v>5.81</v>
      </c>
      <c r="K105" s="12">
        <v>1.4793502062433199E-2</v>
      </c>
      <c r="L105" s="2">
        <f t="shared" si="35"/>
        <v>5.0439464517987396E-4</v>
      </c>
      <c r="M105" s="4">
        <f t="shared" si="31"/>
        <v>130.88439821685725</v>
      </c>
      <c r="N105" s="7">
        <f t="shared" si="32"/>
        <v>0.27899488032997444</v>
      </c>
      <c r="O105" s="36">
        <f t="shared" si="33"/>
        <v>52163.976909328456</v>
      </c>
      <c r="P105" s="40">
        <f t="shared" si="34"/>
        <v>469.12831540871605</v>
      </c>
      <c r="Q105" s="4">
        <f>F104*B105+M104*I105</f>
        <v>104327.95381865691</v>
      </c>
      <c r="R105" s="42">
        <f t="shared" si="22"/>
        <v>1.3036095293511581E-2</v>
      </c>
      <c r="S105" s="87">
        <f t="shared" si="25"/>
        <v>1.6388272425146364E-4</v>
      </c>
    </row>
    <row r="106" spans="1:19" x14ac:dyDescent="0.2">
      <c r="A106" s="15">
        <v>46084</v>
      </c>
      <c r="B106" s="22">
        <v>151.83000000000001</v>
      </c>
      <c r="C106" s="23">
        <v>-2.3899999999999899</v>
      </c>
      <c r="D106" s="12">
        <v>-1.54973414602515E-2</v>
      </c>
      <c r="E106" s="2">
        <f t="shared" si="28"/>
        <v>3.4581632692631136E-4</v>
      </c>
      <c r="F106" s="3">
        <f>H106/B106</f>
        <v>343.22501784553469</v>
      </c>
      <c r="G106" s="13">
        <f t="shared" si="29"/>
        <v>0.72680653519504823</v>
      </c>
      <c r="H106" s="24">
        <f t="shared" si="30"/>
        <v>52111.854459487535</v>
      </c>
      <c r="I106" s="22">
        <v>403.93</v>
      </c>
      <c r="J106" s="23">
        <v>5.38</v>
      </c>
      <c r="K106" s="12">
        <v>1.34989336344248E-2</v>
      </c>
      <c r="L106" s="2">
        <f t="shared" si="35"/>
        <v>4.8726182866535439E-4</v>
      </c>
      <c r="M106" s="4">
        <f t="shared" si="31"/>
        <v>129.01209234146395</v>
      </c>
      <c r="N106" s="7">
        <f t="shared" si="32"/>
        <v>0.27319346480495182</v>
      </c>
      <c r="O106" s="36">
        <f t="shared" si="33"/>
        <v>52111.854459487535</v>
      </c>
      <c r="P106" s="40">
        <f t="shared" si="34"/>
        <v>472.23711018699862</v>
      </c>
      <c r="Q106" s="4">
        <f>F105*B106+M105*I106</f>
        <v>104223.70891897507</v>
      </c>
      <c r="R106" s="42">
        <f t="shared" si="22"/>
        <v>-9.9920391291331932E-4</v>
      </c>
      <c r="S106" s="87">
        <f t="shared" si="25"/>
        <v>1.6424614762646671E-4</v>
      </c>
    </row>
    <row r="107" spans="1:19" x14ac:dyDescent="0.2">
      <c r="A107" s="15">
        <v>46085</v>
      </c>
      <c r="B107" s="22">
        <v>149.82</v>
      </c>
      <c r="C107" s="23">
        <v>-2.0100000000000202</v>
      </c>
      <c r="D107" s="12">
        <v>-1.3238490416913801E-2</v>
      </c>
      <c r="E107" s="2">
        <f t="shared" si="28"/>
        <v>3.3947740285087048E-4</v>
      </c>
      <c r="F107" s="3">
        <f>H107/B107</f>
        <v>346.07419566940064</v>
      </c>
      <c r="G107" s="13">
        <f t="shared" si="29"/>
        <v>0.73006378148535189</v>
      </c>
      <c r="H107" s="24">
        <f t="shared" si="30"/>
        <v>51848.835995189598</v>
      </c>
      <c r="I107" s="22">
        <v>405.2</v>
      </c>
      <c r="J107" s="23">
        <v>1.26999999999998</v>
      </c>
      <c r="K107" s="12">
        <v>3.1441091278191298E-3</v>
      </c>
      <c r="L107" s="2">
        <f t="shared" si="35"/>
        <v>4.6895939150142939E-4</v>
      </c>
      <c r="M107" s="4">
        <f t="shared" si="31"/>
        <v>127.95862782623297</v>
      </c>
      <c r="N107" s="7">
        <f t="shared" si="32"/>
        <v>0.26993621851464811</v>
      </c>
      <c r="O107" s="36">
        <f t="shared" si="33"/>
        <v>51848.835995189598</v>
      </c>
      <c r="P107" s="40">
        <f t="shared" si="34"/>
        <v>474.03282349563358</v>
      </c>
      <c r="Q107" s="4">
        <f>F106*B107+M106*I107</f>
        <v>103697.6719903792</v>
      </c>
      <c r="R107" s="42">
        <f t="shared" si="22"/>
        <v>-5.0471906445473114E-3</v>
      </c>
      <c r="S107" s="87">
        <f t="shared" si="25"/>
        <v>1.5445128327645359E-4</v>
      </c>
    </row>
    <row r="108" spans="1:19" x14ac:dyDescent="0.2">
      <c r="A108" s="15">
        <v>46086</v>
      </c>
      <c r="B108" s="22">
        <v>150.76</v>
      </c>
      <c r="C108" s="23">
        <v>0.93999999999999795</v>
      </c>
      <c r="D108" s="12">
        <v>6.2741957015084596E-3</v>
      </c>
      <c r="E108" s="2">
        <f t="shared" si="28"/>
        <v>3.2962421639094134E-4</v>
      </c>
      <c r="F108" s="3">
        <f>H108/B108</f>
        <v>347.32089086891813</v>
      </c>
      <c r="G108" s="13">
        <f t="shared" si="29"/>
        <v>0.73147620404673697</v>
      </c>
      <c r="H108" s="24">
        <f t="shared" si="30"/>
        <v>52362.097507398095</v>
      </c>
      <c r="I108" s="22">
        <v>410.68</v>
      </c>
      <c r="J108" s="23">
        <v>5.48000000000002</v>
      </c>
      <c r="K108" s="12">
        <v>1.3524185587364301E-2</v>
      </c>
      <c r="L108" s="2">
        <f t="shared" si="35"/>
        <v>4.4141495334380174E-4</v>
      </c>
      <c r="M108" s="4">
        <f t="shared" si="31"/>
        <v>127.50096792490039</v>
      </c>
      <c r="N108" s="7">
        <f t="shared" si="32"/>
        <v>0.26852379595326303</v>
      </c>
      <c r="O108" s="36">
        <f t="shared" si="33"/>
        <v>52362.097507398095</v>
      </c>
      <c r="P108" s="40">
        <f t="shared" si="34"/>
        <v>474.82185879381854</v>
      </c>
      <c r="Q108" s="4">
        <f>F107*B108+M107*I108</f>
        <v>104724.19501479619</v>
      </c>
      <c r="R108" s="42">
        <f t="shared" si="22"/>
        <v>9.8991906444363814E-3</v>
      </c>
      <c r="S108" s="87">
        <f t="shared" si="25"/>
        <v>1.4671265428401072E-4</v>
      </c>
    </row>
    <row r="109" spans="1:19" x14ac:dyDescent="0.2">
      <c r="A109" s="15">
        <v>46087</v>
      </c>
      <c r="B109" s="22">
        <v>151.21</v>
      </c>
      <c r="C109" s="23">
        <v>0.450000000000017</v>
      </c>
      <c r="D109" s="12">
        <v>2.9848766250996101E-3</v>
      </c>
      <c r="E109" s="2">
        <f t="shared" si="28"/>
        <v>3.1220869530953452E-4</v>
      </c>
      <c r="F109" s="3">
        <f>H109/B109</f>
        <v>346.07892252779703</v>
      </c>
      <c r="G109" s="13">
        <f t="shared" si="29"/>
        <v>0.73006408768766629</v>
      </c>
      <c r="H109" s="24">
        <f t="shared" si="30"/>
        <v>52330.593875428189</v>
      </c>
      <c r="I109" s="22">
        <v>408.96</v>
      </c>
      <c r="J109" s="23">
        <v>-1.7200000000000299</v>
      </c>
      <c r="K109" s="12">
        <v>-4.1881757085809601E-3</v>
      </c>
      <c r="L109" s="2">
        <f t="shared" si="35"/>
        <v>4.2590427189126195E-4</v>
      </c>
      <c r="M109" s="4">
        <f t="shared" si="31"/>
        <v>127.96017672982245</v>
      </c>
      <c r="N109" s="7">
        <f t="shared" si="32"/>
        <v>0.26993591231233377</v>
      </c>
      <c r="O109" s="36">
        <f t="shared" si="33"/>
        <v>52330.593875428189</v>
      </c>
      <c r="P109" s="40">
        <f t="shared" si="34"/>
        <v>474.03909925761945</v>
      </c>
      <c r="Q109" s="4">
        <f>F108*B109+M108*I109</f>
        <v>104661.18775085638</v>
      </c>
      <c r="R109" s="42">
        <f t="shared" si="22"/>
        <v>-6.0164954174067424E-4</v>
      </c>
      <c r="S109" s="87">
        <f t="shared" si="25"/>
        <v>1.4378953355186389E-4</v>
      </c>
    </row>
    <row r="110" spans="1:19" x14ac:dyDescent="0.2">
      <c r="A110" s="15">
        <v>46090</v>
      </c>
      <c r="B110" s="22">
        <v>150.44</v>
      </c>
      <c r="C110" s="23">
        <v>-0.77000000000001001</v>
      </c>
      <c r="D110" s="12">
        <v>-5.0922558031876904E-3</v>
      </c>
      <c r="E110" s="2">
        <f t="shared" si="28"/>
        <v>2.940107428989864E-4</v>
      </c>
      <c r="F110" s="3">
        <f>H110/B110</f>
        <v>347.1559726802659</v>
      </c>
      <c r="G110" s="13">
        <f t="shared" si="29"/>
        <v>0.73128516566937574</v>
      </c>
      <c r="H110" s="24">
        <f t="shared" si="30"/>
        <v>52226.144530019199</v>
      </c>
      <c r="I110" s="22">
        <v>409.41</v>
      </c>
      <c r="J110" s="23">
        <v>0.45000000000004498</v>
      </c>
      <c r="K110" s="12">
        <v>1.10035211267617E-3</v>
      </c>
      <c r="L110" s="2">
        <f t="shared" si="35"/>
        <v>4.0140246452374312E-4</v>
      </c>
      <c r="M110" s="4">
        <f t="shared" si="31"/>
        <v>127.56440861244033</v>
      </c>
      <c r="N110" s="7">
        <f t="shared" si="32"/>
        <v>0.26871483433062426</v>
      </c>
      <c r="O110" s="36">
        <f t="shared" si="33"/>
        <v>52226.144530019199</v>
      </c>
      <c r="P110" s="40">
        <f t="shared" si="34"/>
        <v>474.72038129270624</v>
      </c>
      <c r="Q110" s="4">
        <f>F109*B110+M109*I110</f>
        <v>104452.2890600384</v>
      </c>
      <c r="R110" s="42">
        <f t="shared" si="22"/>
        <v>-1.9959518452557427E-3</v>
      </c>
      <c r="S110" s="87">
        <f t="shared" si="25"/>
        <v>1.3518388046901666E-4</v>
      </c>
    </row>
    <row r="111" spans="1:19" x14ac:dyDescent="0.2">
      <c r="A111" s="15">
        <v>46091</v>
      </c>
      <c r="B111" s="22">
        <v>148.13</v>
      </c>
      <c r="C111" s="23">
        <v>-2.31</v>
      </c>
      <c r="D111" s="12">
        <v>-1.5354958787556499E-2</v>
      </c>
      <c r="E111" s="2">
        <f t="shared" si="28"/>
        <v>2.7792596247495314E-4</v>
      </c>
      <c r="F111" s="3">
        <f>H111/B111</f>
        <v>348.29119243810021</v>
      </c>
      <c r="G111" s="13">
        <f t="shared" si="29"/>
        <v>0.73256422755420758</v>
      </c>
      <c r="H111" s="24">
        <f t="shared" si="30"/>
        <v>51592.374335855784</v>
      </c>
      <c r="I111" s="22">
        <v>405.76</v>
      </c>
      <c r="J111" s="23">
        <v>-3.6500000000000301</v>
      </c>
      <c r="K111" s="12">
        <v>-8.9152683129382106E-3</v>
      </c>
      <c r="L111" s="2">
        <f t="shared" si="35"/>
        <v>3.7739096313863077E-4</v>
      </c>
      <c r="M111" s="4">
        <f t="shared" si="31"/>
        <v>127.14997618260988</v>
      </c>
      <c r="N111" s="7">
        <f t="shared" si="32"/>
        <v>0.26743577244579247</v>
      </c>
      <c r="O111" s="36">
        <f t="shared" si="33"/>
        <v>51592.374335855784</v>
      </c>
      <c r="P111" s="40">
        <f t="shared" si="34"/>
        <v>475.44116862071007</v>
      </c>
      <c r="Q111" s="4">
        <f>F110*B111+M110*I111</f>
        <v>103184.74867171157</v>
      </c>
      <c r="R111" s="42">
        <f t="shared" si="22"/>
        <v>-1.2135113550247397E-2</v>
      </c>
      <c r="S111" s="87">
        <f t="shared" si="25"/>
        <v>1.2731187706699045E-4</v>
      </c>
    </row>
    <row r="112" spans="1:19" x14ac:dyDescent="0.2">
      <c r="A112" s="15">
        <v>46092</v>
      </c>
      <c r="B112" s="22">
        <v>151.58000000000001</v>
      </c>
      <c r="C112" s="23">
        <v>3.4500000000000202</v>
      </c>
      <c r="D112" s="12">
        <v>2.3290353068250998E-2</v>
      </c>
      <c r="E112" s="2">
        <f t="shared" si="28"/>
        <v>2.7539689028850949E-4</v>
      </c>
      <c r="F112" s="3">
        <f>H112/B112</f>
        <v>343.95850807026756</v>
      </c>
      <c r="G112" s="13">
        <f t="shared" si="29"/>
        <v>0.72759946806598852</v>
      </c>
      <c r="H112" s="24">
        <f t="shared" si="30"/>
        <v>52137.230653291161</v>
      </c>
      <c r="I112" s="22">
        <v>404.88</v>
      </c>
      <c r="J112" s="23">
        <v>-0.87999999999999501</v>
      </c>
      <c r="K112" s="12">
        <v>-2.1687697160883198E-3</v>
      </c>
      <c r="L112" s="2">
        <f t="shared" si="35"/>
        <v>3.5951642589581372E-4</v>
      </c>
      <c r="M112" s="4">
        <f t="shared" si="31"/>
        <v>128.7720575313455</v>
      </c>
      <c r="N112" s="7">
        <f t="shared" si="32"/>
        <v>0.27240053193401143</v>
      </c>
      <c r="O112" s="36">
        <f t="shared" si="33"/>
        <v>52137.230653291161</v>
      </c>
      <c r="P112" s="40">
        <f t="shared" si="34"/>
        <v>472.73056560161308</v>
      </c>
      <c r="Q112" s="4">
        <f>F111*B112+M111*I112</f>
        <v>104274.46130658232</v>
      </c>
      <c r="R112" s="42">
        <f t="shared" si="22"/>
        <v>1.0560791676081309E-2</v>
      </c>
      <c r="S112" s="87">
        <f t="shared" si="25"/>
        <v>1.2850882329561489E-4</v>
      </c>
    </row>
    <row r="113" spans="1:19" x14ac:dyDescent="0.2">
      <c r="A113" s="15">
        <v>46093</v>
      </c>
      <c r="B113" s="22">
        <v>153.53</v>
      </c>
      <c r="C113" s="23">
        <v>1.94999999999999</v>
      </c>
      <c r="D113" s="12">
        <v>1.2864493996569399E-2</v>
      </c>
      <c r="E113" s="2">
        <f t="shared" si="28"/>
        <v>2.9141950963382625E-4</v>
      </c>
      <c r="F113" s="3">
        <f>H113/B113</f>
        <v>340.5076818327841</v>
      </c>
      <c r="G113" s="13">
        <f t="shared" si="29"/>
        <v>0.72356362195934387</v>
      </c>
      <c r="H113" s="24">
        <f t="shared" si="30"/>
        <v>52278.14439178734</v>
      </c>
      <c r="I113" s="22">
        <v>401.86</v>
      </c>
      <c r="J113" s="23">
        <v>-3.01999999999998</v>
      </c>
      <c r="K113" s="12">
        <v>-7.4590001975893602E-3</v>
      </c>
      <c r="L113" s="2">
        <f t="shared" si="35"/>
        <v>3.382276540669502E-4</v>
      </c>
      <c r="M113" s="4">
        <f t="shared" si="31"/>
        <v>130.09044043146204</v>
      </c>
      <c r="N113" s="7">
        <f t="shared" si="32"/>
        <v>0.27643637804065607</v>
      </c>
      <c r="O113" s="36">
        <f t="shared" si="33"/>
        <v>52278.14439178734</v>
      </c>
      <c r="P113" s="40">
        <f t="shared" si="34"/>
        <v>470.59812226424617</v>
      </c>
      <c r="Q113" s="4">
        <f>F112*B113+M112*I113</f>
        <v>104556.28878357468</v>
      </c>
      <c r="R113" s="42">
        <f t="shared" si="22"/>
        <v>2.7027468994900365E-3</v>
      </c>
      <c r="S113" s="87">
        <f t="shared" si="25"/>
        <v>1.274901131474133E-4</v>
      </c>
    </row>
    <row r="114" spans="1:19" x14ac:dyDescent="0.2">
      <c r="A114" s="15">
        <v>46094</v>
      </c>
      <c r="B114" s="22">
        <v>156.12</v>
      </c>
      <c r="C114" s="23">
        <v>2.59</v>
      </c>
      <c r="D114" s="12">
        <v>1.6869667166026201E-2</v>
      </c>
      <c r="E114" s="2">
        <f>U$3*E113+(1-U$3)*D113^2</f>
        <v>2.838640514030629E-4</v>
      </c>
      <c r="F114" s="3">
        <f>H114/B114</f>
        <v>335.0542307212371</v>
      </c>
      <c r="G114" s="13">
        <f t="shared" si="29"/>
        <v>0.71700473108923812</v>
      </c>
      <c r="H114" s="24">
        <f t="shared" si="30"/>
        <v>52308.666500199535</v>
      </c>
      <c r="I114" s="22">
        <v>395.55</v>
      </c>
      <c r="J114" s="23">
        <v>-6.31</v>
      </c>
      <c r="K114" s="12">
        <v>-1.5701985766187199E-2</v>
      </c>
      <c r="L114" s="2">
        <f t="shared" si="35"/>
        <v>3.2127219585979149E-4</v>
      </c>
      <c r="M114" s="4">
        <f t="shared" si="31"/>
        <v>132.24286815876511</v>
      </c>
      <c r="N114" s="7">
        <f t="shared" si="32"/>
        <v>0.28299526891076188</v>
      </c>
      <c r="O114" s="36">
        <f t="shared" si="33"/>
        <v>52308.666500199535</v>
      </c>
      <c r="P114" s="40">
        <f t="shared" si="34"/>
        <v>467.29709888000218</v>
      </c>
      <c r="Q114" s="4">
        <f>F113*B114+M113*I114</f>
        <v>104617.33300039907</v>
      </c>
      <c r="R114" s="42">
        <f t="shared" si="22"/>
        <v>5.8384069991952172E-4</v>
      </c>
      <c r="S114" s="87">
        <f t="shared" si="25"/>
        <v>1.2027899680673068E-4</v>
      </c>
    </row>
    <row r="115" spans="1:19" x14ac:dyDescent="0.2">
      <c r="A115" s="15">
        <v>46097</v>
      </c>
      <c r="B115" s="22">
        <v>157.22999999999999</v>
      </c>
      <c r="C115" s="23">
        <v>1.1099999999999901</v>
      </c>
      <c r="D115" s="12">
        <v>7.1099154496540203E-3</v>
      </c>
      <c r="E115" s="2">
        <f t="shared" si="28"/>
        <v>2.8390734853642928E-4</v>
      </c>
      <c r="F115" s="3">
        <f>H115/B115</f>
        <v>335.72190999299823</v>
      </c>
      <c r="G115" s="13">
        <f t="shared" si="29"/>
        <v>0.71781112028428873</v>
      </c>
      <c r="H115" s="24">
        <f t="shared" si="30"/>
        <v>52785.555908199109</v>
      </c>
      <c r="I115" s="22">
        <v>399.95</v>
      </c>
      <c r="J115" s="23">
        <v>4.3999999999999799</v>
      </c>
      <c r="K115" s="12">
        <v>1.1123751738086199E-2</v>
      </c>
      <c r="L115" s="2">
        <f t="shared" si="35"/>
        <v>3.1678900552829673E-4</v>
      </c>
      <c r="M115" s="4">
        <f t="shared" si="31"/>
        <v>131.98038731891265</v>
      </c>
      <c r="N115" s="7">
        <f t="shared" si="32"/>
        <v>0.28218887971571127</v>
      </c>
      <c r="O115" s="36">
        <f t="shared" si="33"/>
        <v>52785.555908199109</v>
      </c>
      <c r="P115" s="40">
        <f t="shared" si="34"/>
        <v>467.70229731191091</v>
      </c>
      <c r="Q115" s="4">
        <f>F114*B115+M114*I115</f>
        <v>105571.11181639822</v>
      </c>
      <c r="R115" s="42">
        <f t="shared" si="22"/>
        <v>9.1168335938702303E-3</v>
      </c>
      <c r="S115" s="87">
        <f t="shared" si="25"/>
        <v>1.1308270919609978E-4</v>
      </c>
    </row>
    <row r="116" spans="1:19" x14ac:dyDescent="0.2">
      <c r="A116" s="15">
        <v>46098</v>
      </c>
      <c r="B116" s="22">
        <v>158.81</v>
      </c>
      <c r="C116" s="23">
        <v>1.5800000000000101</v>
      </c>
      <c r="D116" s="12">
        <v>1.0048972842333E-2</v>
      </c>
      <c r="E116" s="2">
        <f t="shared" si="28"/>
        <v>2.6990596148631729E-4</v>
      </c>
      <c r="F116" s="3">
        <f>H116/B116</f>
        <v>333.82747630827703</v>
      </c>
      <c r="G116" s="13">
        <f t="shared" si="29"/>
        <v>0.71550643115617496</v>
      </c>
      <c r="H116" s="24">
        <f t="shared" si="30"/>
        <v>53015.141512517475</v>
      </c>
      <c r="I116" s="22">
        <v>399.41</v>
      </c>
      <c r="J116" s="23">
        <v>-0.53999999999996395</v>
      </c>
      <c r="K116" s="12">
        <v>-1.3501687710963E-3</v>
      </c>
      <c r="L116" s="2">
        <f t="shared" si="35"/>
        <v>3.0520593636043349E-4</v>
      </c>
      <c r="M116" s="4">
        <f t="shared" si="31"/>
        <v>132.73363589423769</v>
      </c>
      <c r="N116" s="7">
        <f t="shared" si="32"/>
        <v>0.28449356884382504</v>
      </c>
      <c r="O116" s="36">
        <f t="shared" si="33"/>
        <v>53015.141512517475</v>
      </c>
      <c r="P116" s="40">
        <f t="shared" si="34"/>
        <v>466.56111220251472</v>
      </c>
      <c r="Q116" s="4">
        <f>F115*B116+M115*I116</f>
        <v>106030.28302503495</v>
      </c>
      <c r="R116" s="42">
        <f t="shared" si="22"/>
        <v>4.349402035618336E-3</v>
      </c>
      <c r="S116" s="87">
        <f t="shared" si="25"/>
        <v>1.1128474593103305E-4</v>
      </c>
    </row>
    <row r="117" spans="1:19" x14ac:dyDescent="0.2">
      <c r="A117" s="15">
        <v>46099</v>
      </c>
      <c r="B117" s="22">
        <v>157.59</v>
      </c>
      <c r="C117" s="23">
        <v>-1.22</v>
      </c>
      <c r="D117" s="12">
        <v>-7.68213588564951E-3</v>
      </c>
      <c r="E117" s="2">
        <f t="shared" si="28"/>
        <v>2.5977051510829504E-4</v>
      </c>
      <c r="F117" s="3">
        <f>H117/B117</f>
        <v>331.91060092145688</v>
      </c>
      <c r="G117" s="13">
        <f t="shared" si="29"/>
        <v>0.71314936837889986</v>
      </c>
      <c r="H117" s="24">
        <f t="shared" si="30"/>
        <v>52305.791599212389</v>
      </c>
      <c r="I117" s="22">
        <v>391.79</v>
      </c>
      <c r="J117" s="23">
        <v>-7.62</v>
      </c>
      <c r="K117" s="12">
        <v>-1.90781402568789E-2</v>
      </c>
      <c r="L117" s="2">
        <f t="shared" si="35"/>
        <v>2.8700295752143412E-4</v>
      </c>
      <c r="M117" s="4">
        <f t="shared" si="31"/>
        <v>133.50466218946983</v>
      </c>
      <c r="N117" s="7">
        <f t="shared" si="32"/>
        <v>0.28685063162110008</v>
      </c>
      <c r="O117" s="36">
        <f t="shared" si="33"/>
        <v>52305.791599212389</v>
      </c>
      <c r="P117" s="40">
        <f t="shared" si="34"/>
        <v>465.41526311092673</v>
      </c>
      <c r="Q117" s="4">
        <f>F116*B117+M116*I117</f>
        <v>104611.58319842478</v>
      </c>
      <c r="R117" s="42">
        <f t="shared" si="22"/>
        <v>-1.3380138071264052E-2</v>
      </c>
      <c r="S117" s="87">
        <f t="shared" si="25"/>
        <v>1.0574269905921751E-4</v>
      </c>
    </row>
    <row r="118" spans="1:19" x14ac:dyDescent="0.2">
      <c r="A118" s="15">
        <v>46100</v>
      </c>
      <c r="B118" s="22">
        <v>158.16</v>
      </c>
      <c r="C118" s="23">
        <v>0.56999999999999296</v>
      </c>
      <c r="D118" s="12">
        <v>3.6169807728916401E-3</v>
      </c>
      <c r="E118" s="2">
        <f t="shared" si="28"/>
        <v>2.4772519690773238E-4</v>
      </c>
      <c r="F118" s="3">
        <f>H118/B118</f>
        <v>330.14341276771989</v>
      </c>
      <c r="G118" s="13">
        <f t="shared" si="29"/>
        <v>0.71095434774662813</v>
      </c>
      <c r="H118" s="24">
        <f t="shared" si="30"/>
        <v>52215.482163342582</v>
      </c>
      <c r="I118" s="22">
        <v>389.02</v>
      </c>
      <c r="J118" s="23">
        <v>-2.77000000000004</v>
      </c>
      <c r="K118" s="12">
        <v>-7.0701140917329101E-3</v>
      </c>
      <c r="L118" s="2">
        <f t="shared" si="35"/>
        <v>2.9162130620981666E-4</v>
      </c>
      <c r="M118" s="4">
        <f t="shared" si="31"/>
        <v>134.22313033608191</v>
      </c>
      <c r="N118" s="7">
        <f t="shared" si="32"/>
        <v>0.28904565225337187</v>
      </c>
      <c r="O118" s="36">
        <f t="shared" si="33"/>
        <v>52215.482163342582</v>
      </c>
      <c r="P118" s="40">
        <f t="shared" si="34"/>
        <v>464.3665431038018</v>
      </c>
      <c r="Q118" s="4">
        <f>F117*B118+M117*I118</f>
        <v>104430.96432668516</v>
      </c>
      <c r="R118" s="42">
        <f t="shared" si="22"/>
        <v>-1.7265666594206953E-3</v>
      </c>
      <c r="S118" s="87">
        <f t="shared" si="25"/>
        <v>1.1013982280402985E-4</v>
      </c>
    </row>
    <row r="119" spans="1:19" x14ac:dyDescent="0.2">
      <c r="A119" s="15">
        <v>46101</v>
      </c>
      <c r="B119" s="22">
        <v>159.66999999999999</v>
      </c>
      <c r="C119" s="23">
        <v>1.50999999999999</v>
      </c>
      <c r="D119" s="12">
        <v>9.5472938796155194E-3</v>
      </c>
      <c r="E119" s="2">
        <f t="shared" si="28"/>
        <v>2.3364663808795647E-4</v>
      </c>
      <c r="F119" s="3">
        <f>H119/B119</f>
        <v>325.57708241392072</v>
      </c>
      <c r="G119" s="13">
        <f t="shared" si="29"/>
        <v>0.7051556671714001</v>
      </c>
      <c r="H119" s="24">
        <f t="shared" si="30"/>
        <v>51984.892749030718</v>
      </c>
      <c r="I119" s="22">
        <v>381.87</v>
      </c>
      <c r="J119" s="23">
        <v>-7.1499999999999799</v>
      </c>
      <c r="K119" s="12">
        <v>-1.83795177625828E-2</v>
      </c>
      <c r="L119" s="2">
        <f>U$3*L118+(1-U$3)*K118^2</f>
        <v>2.7712321863343487E-4</v>
      </c>
      <c r="M119" s="4">
        <f t="shared" si="31"/>
        <v>136.1324344646888</v>
      </c>
      <c r="N119" s="7">
        <f t="shared" si="32"/>
        <v>0.2948443328285999</v>
      </c>
      <c r="O119" s="36">
        <f t="shared" si="33"/>
        <v>51984.892749030718</v>
      </c>
      <c r="P119" s="40">
        <f t="shared" si="34"/>
        <v>461.70951687860952</v>
      </c>
      <c r="Q119" s="4">
        <f>F118*B119+M118*I119</f>
        <v>103969.78549806144</v>
      </c>
      <c r="R119" s="42">
        <f t="shared" si="22"/>
        <v>-4.4161119414836544E-3</v>
      </c>
      <c r="S119" s="87">
        <f t="shared" si="25"/>
        <v>1.0371029538155344E-4</v>
      </c>
    </row>
    <row r="120" spans="1:19" x14ac:dyDescent="0.2">
      <c r="A120" s="15">
        <v>46104</v>
      </c>
      <c r="B120" s="22">
        <v>161.13</v>
      </c>
      <c r="C120" s="23">
        <v>1.46000000000001</v>
      </c>
      <c r="D120" s="12">
        <v>9.1438592096198899E-3</v>
      </c>
      <c r="E120" s="2">
        <f t="shared" si="28"/>
        <v>2.2509688902810373E-4</v>
      </c>
      <c r="F120" s="3">
        <f>H120/B120</f>
        <v>324.57940076128239</v>
      </c>
      <c r="G120" s="13">
        <f t="shared" si="29"/>
        <v>0.70387591200632205</v>
      </c>
      <c r="H120" s="24">
        <f t="shared" si="30"/>
        <v>52299.478844665427</v>
      </c>
      <c r="I120" s="22">
        <v>383</v>
      </c>
      <c r="J120" s="23">
        <v>1.1299999999999999</v>
      </c>
      <c r="K120" s="12">
        <v>2.9591222143661301E-3</v>
      </c>
      <c r="L120" s="2">
        <f t="shared" ref="L120:L127" si="36">U$3*L119+(1-U$3)*K119^2</f>
        <v>2.8076422590653461E-4</v>
      </c>
      <c r="M120" s="4">
        <f t="shared" si="31"/>
        <v>136.55216408528833</v>
      </c>
      <c r="N120" s="7">
        <f t="shared" si="32"/>
        <v>0.29612408799367795</v>
      </c>
      <c r="O120" s="36">
        <f t="shared" si="33"/>
        <v>52299.478844665427</v>
      </c>
      <c r="P120" s="40">
        <f t="shared" si="34"/>
        <v>461.13156484657071</v>
      </c>
      <c r="Q120" s="4">
        <f>F119*B120+M119*I120</f>
        <v>104598.95768933085</v>
      </c>
      <c r="R120" s="42">
        <f t="shared" si="22"/>
        <v>6.0514907119929616E-3</v>
      </c>
      <c r="S120" s="87">
        <f t="shared" si="25"/>
        <v>9.8657800339443089E-5</v>
      </c>
    </row>
    <row r="121" spans="1:19" x14ac:dyDescent="0.2">
      <c r="A121" s="15">
        <v>46105</v>
      </c>
      <c r="B121" s="22">
        <v>165.38</v>
      </c>
      <c r="C121" s="23">
        <v>4.25</v>
      </c>
      <c r="D121" s="12">
        <v>2.6376217960652901E-2</v>
      </c>
      <c r="E121" s="2">
        <f t="shared" si="28"/>
        <v>2.1660768536113851E-4</v>
      </c>
      <c r="F121" s="3">
        <f>H121/B121</f>
        <v>316.17304069129051</v>
      </c>
      <c r="G121" s="13">
        <f t="shared" si="29"/>
        <v>0.69267077975172819</v>
      </c>
      <c r="H121" s="24">
        <f t="shared" si="30"/>
        <v>52288.697469525621</v>
      </c>
      <c r="I121" s="22">
        <v>372.74</v>
      </c>
      <c r="J121" s="23">
        <v>-10.26</v>
      </c>
      <c r="K121" s="12">
        <v>-2.67885117493472E-2</v>
      </c>
      <c r="L121" s="2">
        <f t="shared" si="36"/>
        <v>2.6444375660891582E-4</v>
      </c>
      <c r="M121" s="4">
        <f t="shared" si="31"/>
        <v>140.28195919280361</v>
      </c>
      <c r="N121" s="7">
        <f t="shared" si="32"/>
        <v>0.3073292202482717</v>
      </c>
      <c r="O121" s="36">
        <f t="shared" si="33"/>
        <v>52288.697469525621</v>
      </c>
      <c r="P121" s="40">
        <f t="shared" si="34"/>
        <v>456.45499988409415</v>
      </c>
      <c r="Q121" s="4">
        <f>F120*B121+M120*I121</f>
        <v>104577.39493905124</v>
      </c>
      <c r="R121" s="42">
        <f t="shared" si="22"/>
        <v>-2.0614689434722525E-4</v>
      </c>
      <c r="S121" s="87">
        <f t="shared" si="25"/>
        <v>9.4935564709316728E-5</v>
      </c>
    </row>
    <row r="122" spans="1:19" x14ac:dyDescent="0.2">
      <c r="A122" s="15">
        <v>46106</v>
      </c>
      <c r="B122" s="22">
        <v>163.26</v>
      </c>
      <c r="C122" s="23">
        <v>-2.12</v>
      </c>
      <c r="D122" s="12">
        <v>-1.28189623896481E-2</v>
      </c>
      <c r="E122" s="2">
        <f t="shared" si="28"/>
        <v>2.4535351667394237E-4</v>
      </c>
      <c r="F122" s="3">
        <f>H122/B122</f>
        <v>317.49549418766981</v>
      </c>
      <c r="G122" s="13">
        <f t="shared" si="29"/>
        <v>0.6944413250982594</v>
      </c>
      <c r="H122" s="24">
        <f t="shared" si="30"/>
        <v>51834.31438107897</v>
      </c>
      <c r="I122" s="22">
        <v>371.04</v>
      </c>
      <c r="J122" s="23">
        <v>-1.69999999999999</v>
      </c>
      <c r="K122" s="12">
        <v>-4.5608198744432797E-3</v>
      </c>
      <c r="L122" s="2">
        <f t="shared" si="36"/>
        <v>2.9163459291707566E-4</v>
      </c>
      <c r="M122" s="4">
        <f t="shared" si="31"/>
        <v>139.70007110036374</v>
      </c>
      <c r="N122" s="7">
        <f t="shared" si="32"/>
        <v>0.30555867490174055</v>
      </c>
      <c r="O122" s="36">
        <f t="shared" si="33"/>
        <v>51834.31438107897</v>
      </c>
      <c r="P122" s="40">
        <f t="shared" si="34"/>
        <v>457.19556528803355</v>
      </c>
      <c r="Q122" s="4">
        <f>F121*B122+M121*I122</f>
        <v>103668.62876215794</v>
      </c>
      <c r="R122" s="42">
        <f t="shared" si="22"/>
        <v>-8.6898911320457076E-3</v>
      </c>
      <c r="S122" s="87">
        <f t="shared" si="25"/>
        <v>8.9241980619280664E-5</v>
      </c>
    </row>
    <row r="123" spans="1:19" x14ac:dyDescent="0.2">
      <c r="A123" s="15">
        <v>46107</v>
      </c>
      <c r="B123" s="22">
        <v>165.43</v>
      </c>
      <c r="C123" s="23">
        <v>2.1700000000000199</v>
      </c>
      <c r="D123" s="12">
        <v>1.32916819796644E-2</v>
      </c>
      <c r="E123" s="2">
        <f t="shared" si="28"/>
        <v>2.4049185347833858E-4</v>
      </c>
      <c r="F123" s="3">
        <f>H123/B123</f>
        <v>313.27242526768526</v>
      </c>
      <c r="G123" s="13">
        <f t="shared" si="29"/>
        <v>0.68869025216409485</v>
      </c>
      <c r="H123" s="24">
        <f t="shared" si="30"/>
        <v>51824.657312033174</v>
      </c>
      <c r="I123" s="22">
        <v>365.97</v>
      </c>
      <c r="J123" s="23">
        <v>-5.0699999999999896</v>
      </c>
      <c r="K123" s="12">
        <v>-1.36642949547218E-2</v>
      </c>
      <c r="L123" s="2">
        <f t="shared" si="36"/>
        <v>2.7538458201767813E-4</v>
      </c>
      <c r="M123" s="4">
        <f t="shared" si="31"/>
        <v>141.60903164749342</v>
      </c>
      <c r="N123" s="7">
        <f t="shared" si="32"/>
        <v>0.31130974783590515</v>
      </c>
      <c r="O123" s="36">
        <f t="shared" si="33"/>
        <v>51824.657312033174</v>
      </c>
      <c r="P123" s="40">
        <f t="shared" si="34"/>
        <v>454.88145691517866</v>
      </c>
      <c r="Q123" s="4">
        <f>F122*B123+M122*I123</f>
        <v>103649.31462406635</v>
      </c>
      <c r="R123" s="42">
        <f t="shared" si="22"/>
        <v>-1.8630648752867004E-4</v>
      </c>
      <c r="S123" s="87">
        <f t="shared" si="25"/>
        <v>8.8418314255332212E-5</v>
      </c>
    </row>
    <row r="124" spans="1:19" x14ac:dyDescent="0.2">
      <c r="A124" s="15">
        <v>46108</v>
      </c>
      <c r="B124" s="22">
        <v>170.99</v>
      </c>
      <c r="C124" s="23">
        <v>5.56</v>
      </c>
      <c r="D124" s="12">
        <v>3.3609381611557798E-2</v>
      </c>
      <c r="E124" s="2">
        <f t="shared" si="28"/>
        <v>2.3666247086055037E-4</v>
      </c>
      <c r="F124" s="3">
        <f>H124/B124</f>
        <v>304.36957195566328</v>
      </c>
      <c r="G124" s="13">
        <f t="shared" si="29"/>
        <v>0.67600803395482789</v>
      </c>
      <c r="H124" s="24">
        <f t="shared" si="30"/>
        <v>52044.153108698869</v>
      </c>
      <c r="I124" s="22">
        <v>356.77</v>
      </c>
      <c r="J124" s="23">
        <v>-9.2000000000000508</v>
      </c>
      <c r="K124" s="12">
        <v>-2.5138672568789901E-2</v>
      </c>
      <c r="L124" s="2">
        <f t="shared" si="36"/>
        <v>2.7006428449319558E-4</v>
      </c>
      <c r="M124" s="4">
        <f t="shared" si="31"/>
        <v>145.8759231681444</v>
      </c>
      <c r="N124" s="7">
        <f t="shared" si="32"/>
        <v>0.32399196604517211</v>
      </c>
      <c r="O124" s="36">
        <f t="shared" si="33"/>
        <v>52044.153108698869</v>
      </c>
      <c r="P124" s="40">
        <f t="shared" si="34"/>
        <v>450.2454951238077</v>
      </c>
      <c r="Q124" s="4">
        <f>F123*B124+M123*I124</f>
        <v>104088.30621739774</v>
      </c>
      <c r="R124" s="42">
        <f t="shared" si="22"/>
        <v>4.2353545213839753E-3</v>
      </c>
      <c r="S124" s="87">
        <f t="shared" si="25"/>
        <v>8.3115298006449981E-5</v>
      </c>
    </row>
    <row r="125" spans="1:19" x14ac:dyDescent="0.2">
      <c r="A125" s="15">
        <v>46111</v>
      </c>
      <c r="B125" s="22">
        <v>171.47</v>
      </c>
      <c r="C125" s="23">
        <v>0.47999999999998999</v>
      </c>
      <c r="D125" s="12">
        <v>2.8071817065324898E-3</v>
      </c>
      <c r="E125" s="2">
        <f t="shared" si="28"/>
        <v>2.9023815454759657E-4</v>
      </c>
      <c r="F125" s="3">
        <f>H125/B125</f>
        <v>304.87511484129789</v>
      </c>
      <c r="G125" s="13">
        <f t="shared" si="29"/>
        <v>0.67673397055219342</v>
      </c>
      <c r="H125" s="24">
        <f t="shared" si="30"/>
        <v>52276.93594183735</v>
      </c>
      <c r="I125" s="22">
        <v>358.96</v>
      </c>
      <c r="J125" s="23">
        <v>2.19</v>
      </c>
      <c r="K125" s="12">
        <v>6.1384084984724002E-3</v>
      </c>
      <c r="L125" s="2">
        <f t="shared" si="36"/>
        <v>2.9177759893485365E-4</v>
      </c>
      <c r="M125" s="4">
        <f t="shared" si="31"/>
        <v>145.63443264385268</v>
      </c>
      <c r="N125" s="7">
        <f t="shared" si="32"/>
        <v>0.32326602944780652</v>
      </c>
      <c r="O125" s="36">
        <f t="shared" si="33"/>
        <v>52276.93594183735</v>
      </c>
      <c r="P125" s="40">
        <f t="shared" si="34"/>
        <v>450.50954748515056</v>
      </c>
      <c r="Q125" s="4">
        <f>F124*B125+M124*I125</f>
        <v>104553.8718836747</v>
      </c>
      <c r="R125" s="42">
        <f t="shared" si="22"/>
        <v>4.4727951025025428E-3</v>
      </c>
      <c r="S125" s="87">
        <f t="shared" si="25"/>
        <v>7.9204673801371438E-5</v>
      </c>
    </row>
    <row r="126" spans="1:19" x14ac:dyDescent="0.2">
      <c r="A126" s="15">
        <v>46112</v>
      </c>
      <c r="B126" s="22">
        <v>169.66</v>
      </c>
      <c r="C126" s="23">
        <v>-1.81</v>
      </c>
      <c r="D126" s="12">
        <v>-1.05557823525981E-2</v>
      </c>
      <c r="E126" s="2">
        <f t="shared" si="28"/>
        <v>2.7329668142275017E-4</v>
      </c>
      <c r="F126" s="3">
        <f>H126/B126</f>
        <v>311.31265447291509</v>
      </c>
      <c r="G126" s="13">
        <f t="shared" si="29"/>
        <v>0.68571587351573637</v>
      </c>
      <c r="H126" s="24">
        <f t="shared" si="30"/>
        <v>52817.304957874774</v>
      </c>
      <c r="I126" s="22">
        <v>370.17</v>
      </c>
      <c r="J126" s="23">
        <v>11.21</v>
      </c>
      <c r="K126" s="12">
        <v>3.1229106307109501E-2</v>
      </c>
      <c r="L126" s="2">
        <f t="shared" si="36"/>
        <v>2.7653174653240951E-4</v>
      </c>
      <c r="M126" s="4">
        <f t="shared" si="31"/>
        <v>142.68391538448489</v>
      </c>
      <c r="N126" s="7">
        <f t="shared" si="32"/>
        <v>0.31428412648426352</v>
      </c>
      <c r="O126" s="36">
        <f t="shared" si="33"/>
        <v>52817.304957874774</v>
      </c>
      <c r="P126" s="40">
        <f t="shared" si="34"/>
        <v>453.9965698574</v>
      </c>
      <c r="Q126" s="4">
        <f>F125*B126+M125*I126</f>
        <v>105634.60991574955</v>
      </c>
      <c r="R126" s="42">
        <f t="shared" si="22"/>
        <v>1.0336661977255746E-2</v>
      </c>
      <c r="S126" s="87">
        <f t="shared" si="25"/>
        <v>7.5652747135027389E-5</v>
      </c>
    </row>
    <row r="127" spans="1:19" s="81" customFormat="1" x14ac:dyDescent="0.2">
      <c r="A127" s="16">
        <v>46113</v>
      </c>
      <c r="B127" s="25">
        <v>160.78</v>
      </c>
      <c r="C127" s="26">
        <v>-8.8800000000000008</v>
      </c>
      <c r="D127" s="27">
        <v>-5.2339974065778602E-2</v>
      </c>
      <c r="E127" s="82">
        <f t="shared" si="28"/>
        <v>2.6358435300191039E-4</v>
      </c>
      <c r="F127" s="28">
        <f>H127/B127</f>
        <v>319.55469091840553</v>
      </c>
      <c r="G127" s="29">
        <f t="shared" si="29"/>
        <v>0.69672734131849479</v>
      </c>
      <c r="H127" s="30">
        <f t="shared" si="30"/>
        <v>51378.003205861241</v>
      </c>
      <c r="I127" s="25">
        <v>369.37</v>
      </c>
      <c r="J127" s="26">
        <v>-0.80000000000001104</v>
      </c>
      <c r="K127" s="27">
        <v>-2.16116919253319E-3</v>
      </c>
      <c r="L127" s="82">
        <f t="shared" si="36"/>
        <v>3.1845526658490979E-4</v>
      </c>
      <c r="M127" s="37">
        <f t="shared" si="31"/>
        <v>139.09630778314764</v>
      </c>
      <c r="N127" s="38">
        <f t="shared" si="32"/>
        <v>0.30327265868150527</v>
      </c>
      <c r="O127" s="39">
        <f t="shared" si="33"/>
        <v>51378.003205861241</v>
      </c>
      <c r="P127" s="43">
        <f t="shared" si="34"/>
        <v>458.65099870155314</v>
      </c>
      <c r="Q127" s="37">
        <f>F126*B127+M126*I127</f>
        <v>102756.00641172248</v>
      </c>
      <c r="R127" s="44">
        <f t="shared" si="22"/>
        <v>-2.7250571629155809E-2</v>
      </c>
      <c r="S127" s="88">
        <f t="shared" si="25"/>
        <v>7.7524377156848421E-5</v>
      </c>
    </row>
    <row r="128" spans="1:19" x14ac:dyDescent="0.2">
      <c r="C128" s="62" t="s">
        <v>40</v>
      </c>
      <c r="J128" s="62" t="s">
        <v>26</v>
      </c>
      <c r="Q128" s="62" t="s">
        <v>30</v>
      </c>
      <c r="R128" s="14"/>
    </row>
    <row r="129" spans="1:23" x14ac:dyDescent="0.2">
      <c r="C129" s="58" t="s">
        <v>25</v>
      </c>
      <c r="D129" s="67">
        <f>SQRT(D130)</f>
        <v>1.623528111865977E-2</v>
      </c>
      <c r="E129" s="5"/>
      <c r="J129" s="58" t="s">
        <v>25</v>
      </c>
      <c r="K129" s="67">
        <f>SQRT(K130)</f>
        <v>1.7845314975783132E-2</v>
      </c>
      <c r="N129" s="63" t="s">
        <v>31</v>
      </c>
      <c r="O129" s="64">
        <f>CORREL(D4:D127,K4:K127)</f>
        <v>-0.18431301625893881</v>
      </c>
      <c r="Q129" s="58" t="s">
        <v>25</v>
      </c>
      <c r="R129" s="67">
        <f>SQRT(R130)</f>
        <v>8.8047928514445144E-3</v>
      </c>
    </row>
    <row r="130" spans="1:23" x14ac:dyDescent="0.2">
      <c r="C130" s="60" t="s">
        <v>27</v>
      </c>
      <c r="D130" s="68">
        <f>E127</f>
        <v>2.6358435300191039E-4</v>
      </c>
      <c r="E130" s="5"/>
      <c r="F130" s="5"/>
      <c r="J130" s="60" t="s">
        <v>27</v>
      </c>
      <c r="K130" s="68">
        <f>L127</f>
        <v>3.1845526658490979E-4</v>
      </c>
      <c r="Q130" s="60" t="s">
        <v>27</v>
      </c>
      <c r="R130" s="68">
        <f>S127</f>
        <v>7.7524377156848421E-5</v>
      </c>
      <c r="S130" s="8"/>
    </row>
    <row r="131" spans="1:23" x14ac:dyDescent="0.2">
      <c r="C131" s="61" t="s">
        <v>28</v>
      </c>
      <c r="D131" s="69">
        <f>AVERAGE(D4:D127)</f>
        <v>3.0883995714037654E-3</v>
      </c>
      <c r="E131" s="5"/>
      <c r="J131" s="61" t="s">
        <v>28</v>
      </c>
      <c r="K131" s="69">
        <f>AVERAGE(K4:K127)</f>
        <v>-2.5438817435686641E-3</v>
      </c>
      <c r="Q131" s="61" t="s">
        <v>28</v>
      </c>
      <c r="R131" s="69">
        <f>AVERAGE(R4:R127)</f>
        <v>2.7225891391755177E-4</v>
      </c>
    </row>
    <row r="133" spans="1:23" x14ac:dyDescent="0.2">
      <c r="A133" s="9" t="s">
        <v>33</v>
      </c>
      <c r="B133" s="10">
        <v>95</v>
      </c>
      <c r="C133" s="6">
        <v>99</v>
      </c>
      <c r="D133" s="6">
        <v>99.5</v>
      </c>
      <c r="H133" s="9" t="s">
        <v>33</v>
      </c>
      <c r="I133" s="10">
        <v>95</v>
      </c>
      <c r="J133" s="6">
        <v>99</v>
      </c>
      <c r="K133" s="6">
        <v>99.5</v>
      </c>
      <c r="L133" s="6"/>
      <c r="O133" s="9" t="s">
        <v>33</v>
      </c>
      <c r="P133" s="10">
        <v>95</v>
      </c>
      <c r="Q133" s="6">
        <v>99</v>
      </c>
      <c r="R133" s="6">
        <v>99.5</v>
      </c>
    </row>
    <row r="134" spans="1:23" x14ac:dyDescent="0.2">
      <c r="A134" s="9" t="s">
        <v>39</v>
      </c>
      <c r="B134">
        <v>1.64</v>
      </c>
      <c r="C134">
        <v>2.33</v>
      </c>
      <c r="D134" s="6">
        <v>2.58</v>
      </c>
      <c r="H134" s="9" t="s">
        <v>39</v>
      </c>
      <c r="I134">
        <v>1.64</v>
      </c>
      <c r="J134">
        <v>2.33</v>
      </c>
      <c r="K134" s="6">
        <v>2.58</v>
      </c>
      <c r="L134" s="6"/>
      <c r="O134" s="9" t="s">
        <v>39</v>
      </c>
      <c r="P134">
        <v>1.64</v>
      </c>
      <c r="Q134">
        <v>2.33</v>
      </c>
      <c r="R134" s="6">
        <v>2.58</v>
      </c>
    </row>
    <row r="135" spans="1:23" x14ac:dyDescent="0.2">
      <c r="A135" s="6" t="s">
        <v>36</v>
      </c>
      <c r="B135" s="4">
        <f>(B134*$D129-$D131)*$H127</f>
        <v>1209.3077705140354</v>
      </c>
      <c r="C135" s="4">
        <f>(C134*$D129-$D131)*$H127</f>
        <v>1784.8618350142021</v>
      </c>
      <c r="D135" s="4">
        <f>(D134*$D129)*$H127</f>
        <v>2152.0717194354052</v>
      </c>
      <c r="E135" s="4"/>
      <c r="H135" s="6" t="s">
        <v>36</v>
      </c>
      <c r="I135" s="4">
        <f>(I134*$K129-$K131)*$O127</f>
        <v>1634.3444704344415</v>
      </c>
      <c r="J135" s="4">
        <f>(J134*$K129-$K131)*$O127</f>
        <v>2266.9755589588599</v>
      </c>
      <c r="K135" s="4">
        <f>(K134*$K129-$K131)*$O127</f>
        <v>2496.1897214677074</v>
      </c>
      <c r="L135" s="4"/>
      <c r="O135" s="6" t="s">
        <v>36</v>
      </c>
      <c r="P135" s="4">
        <f>(P134*$R129-$R131)*$Q127</f>
        <v>1455.8061364387895</v>
      </c>
      <c r="Q135" s="4">
        <f t="shared" ref="Q135:R135" si="37">(Q134*$R129-$R131)*$Q127</f>
        <v>2080.0804284196652</v>
      </c>
      <c r="R135" s="4">
        <f t="shared" si="37"/>
        <v>2306.2667660938955</v>
      </c>
    </row>
    <row r="136" spans="1:23" x14ac:dyDescent="0.2">
      <c r="A136" s="6"/>
      <c r="D136" s="5"/>
      <c r="E136" s="5"/>
    </row>
    <row r="138" spans="1:23" x14ac:dyDescent="0.2">
      <c r="A138" s="58" t="s">
        <v>32</v>
      </c>
      <c r="B138" s="65"/>
      <c r="C138" s="65"/>
      <c r="D138" s="59" t="s">
        <v>35</v>
      </c>
      <c r="H138" s="58" t="s">
        <v>32</v>
      </c>
      <c r="I138" s="65"/>
      <c r="J138" s="65"/>
      <c r="K138" s="59" t="s">
        <v>35</v>
      </c>
      <c r="L138" s="6"/>
      <c r="O138" s="58" t="s">
        <v>37</v>
      </c>
      <c r="P138" s="65"/>
      <c r="Q138" s="65"/>
      <c r="R138" s="59" t="s">
        <v>35</v>
      </c>
      <c r="T138" s="58" t="s">
        <v>38</v>
      </c>
      <c r="U138" s="65"/>
      <c r="V138" s="65"/>
      <c r="W138" s="66"/>
    </row>
    <row r="139" spans="1:23" x14ac:dyDescent="0.2">
      <c r="A139" s="60"/>
      <c r="B139" s="77" t="s">
        <v>33</v>
      </c>
      <c r="C139" s="77"/>
      <c r="D139" s="78"/>
      <c r="E139" s="79"/>
      <c r="H139" s="60"/>
      <c r="I139" s="77" t="s">
        <v>33</v>
      </c>
      <c r="J139" s="77"/>
      <c r="K139" s="78"/>
      <c r="L139" s="79"/>
      <c r="O139" s="60"/>
      <c r="P139" s="77" t="s">
        <v>33</v>
      </c>
      <c r="Q139" s="77"/>
      <c r="R139" s="78"/>
      <c r="T139" s="60"/>
      <c r="U139" s="77" t="s">
        <v>33</v>
      </c>
      <c r="V139" s="77"/>
      <c r="W139" s="78"/>
    </row>
    <row r="140" spans="1:23" x14ac:dyDescent="0.2">
      <c r="A140" s="60" t="s">
        <v>34</v>
      </c>
      <c r="B140">
        <v>95</v>
      </c>
      <c r="C140" s="75">
        <v>99</v>
      </c>
      <c r="D140" s="76">
        <v>99.5</v>
      </c>
      <c r="E140" s="75"/>
      <c r="F140" s="74"/>
      <c r="G140" s="74"/>
      <c r="H140" s="60" t="s">
        <v>34</v>
      </c>
      <c r="I140">
        <v>95</v>
      </c>
      <c r="J140" s="75">
        <v>99</v>
      </c>
      <c r="K140" s="76">
        <v>99.5</v>
      </c>
      <c r="L140" s="75"/>
      <c r="O140" s="60" t="s">
        <v>34</v>
      </c>
      <c r="P140">
        <v>95</v>
      </c>
      <c r="Q140" s="75">
        <v>99</v>
      </c>
      <c r="R140" s="76">
        <v>99.5</v>
      </c>
      <c r="T140" s="60" t="s">
        <v>34</v>
      </c>
      <c r="U140">
        <v>95</v>
      </c>
      <c r="V140" s="75">
        <v>99</v>
      </c>
      <c r="W140" s="76">
        <v>99.5</v>
      </c>
    </row>
    <row r="141" spans="1:23" x14ac:dyDescent="0.2">
      <c r="A141" s="60">
        <v>1</v>
      </c>
      <c r="B141" s="70">
        <f t="shared" ref="B141:D160" si="38">SQRT($A141)*B$135</f>
        <v>1209.3077705140354</v>
      </c>
      <c r="C141" s="70">
        <f t="shared" si="38"/>
        <v>1784.8618350142021</v>
      </c>
      <c r="D141" s="71">
        <f t="shared" si="38"/>
        <v>2152.0717194354052</v>
      </c>
      <c r="E141" s="80"/>
      <c r="F141" s="74"/>
      <c r="G141" s="74"/>
      <c r="H141" s="60">
        <v>1</v>
      </c>
      <c r="I141" s="70">
        <f>I$135*SQRT($H141)</f>
        <v>1634.3444704344415</v>
      </c>
      <c r="J141" s="70">
        <f t="shared" ref="J141:K156" si="39">J$135*SQRT($H141)</f>
        <v>2266.9755589588599</v>
      </c>
      <c r="K141" s="71">
        <f t="shared" si="39"/>
        <v>2496.1897214677074</v>
      </c>
      <c r="L141" s="80"/>
      <c r="O141" s="60">
        <v>1</v>
      </c>
      <c r="P141" s="70">
        <f>P$135*SQRT($H141)</f>
        <v>1455.8061364387895</v>
      </c>
      <c r="Q141" s="70">
        <f t="shared" ref="Q141:R156" si="40">Q$135*SQRT($H141)</f>
        <v>2080.0804284196652</v>
      </c>
      <c r="R141" s="71">
        <f t="shared" si="40"/>
        <v>2306.2667660938955</v>
      </c>
      <c r="T141" s="60">
        <v>1</v>
      </c>
      <c r="U141" s="70">
        <f>B141+I141-P141</f>
        <v>1387.8461045096874</v>
      </c>
      <c r="V141" s="70">
        <f>C141+J141-Q141</f>
        <v>1971.7569655533966</v>
      </c>
      <c r="W141" s="71">
        <f t="shared" ref="W141" si="41">D141+K141-R141</f>
        <v>2341.9946748092166</v>
      </c>
    </row>
    <row r="142" spans="1:23" x14ac:dyDescent="0.2">
      <c r="A142" s="60">
        <v>2</v>
      </c>
      <c r="B142" s="70">
        <f t="shared" si="38"/>
        <v>1710.2194501441195</v>
      </c>
      <c r="C142" s="70">
        <f t="shared" si="38"/>
        <v>2524.1758140392144</v>
      </c>
      <c r="D142" s="71">
        <f t="shared" si="38"/>
        <v>3043.4890128251363</v>
      </c>
      <c r="E142" s="80"/>
      <c r="F142" s="74"/>
      <c r="G142" s="74"/>
      <c r="H142" s="60">
        <v>2</v>
      </c>
      <c r="I142" s="70">
        <f t="shared" ref="I142:K173" si="42">I$135*SQRT($H142)</f>
        <v>2311.3121156778611</v>
      </c>
      <c r="J142" s="70">
        <f t="shared" si="39"/>
        <v>3205.987581047948</v>
      </c>
      <c r="K142" s="71">
        <f t="shared" si="39"/>
        <v>3530.1453583559505</v>
      </c>
      <c r="L142" s="80"/>
      <c r="O142" s="60">
        <v>2</v>
      </c>
      <c r="P142" s="70">
        <f t="shared" ref="P142:R173" si="43">P$135*SQRT($H142)</f>
        <v>2058.8207823377129</v>
      </c>
      <c r="Q142" s="70">
        <f t="shared" si="40"/>
        <v>2941.6779526979285</v>
      </c>
      <c r="R142" s="71">
        <f t="shared" si="40"/>
        <v>3261.5537390603258</v>
      </c>
      <c r="T142" s="60">
        <v>2</v>
      </c>
      <c r="U142" s="70">
        <f>B142+I142-P142</f>
        <v>1962.7107834842677</v>
      </c>
      <c r="V142" s="70">
        <f>C142+J142-Q142</f>
        <v>2788.4854423892334</v>
      </c>
      <c r="W142" s="71">
        <f t="shared" ref="W142:W205" si="44">D142+K142-R142</f>
        <v>3312.080632120761</v>
      </c>
    </row>
    <row r="143" spans="1:23" x14ac:dyDescent="0.2">
      <c r="A143" s="60">
        <v>3</v>
      </c>
      <c r="B143" s="70">
        <f t="shared" si="38"/>
        <v>2094.5825005181532</v>
      </c>
      <c r="C143" s="70">
        <f t="shared" si="38"/>
        <v>3091.471382735217</v>
      </c>
      <c r="D143" s="71">
        <f t="shared" si="38"/>
        <v>3727.4975595942356</v>
      </c>
      <c r="E143" s="80"/>
      <c r="F143" s="74"/>
      <c r="G143" s="74"/>
      <c r="H143" s="60">
        <v>3</v>
      </c>
      <c r="I143" s="70">
        <f t="shared" si="42"/>
        <v>2830.7676598617036</v>
      </c>
      <c r="J143" s="70">
        <f t="shared" si="39"/>
        <v>3926.5168476336003</v>
      </c>
      <c r="K143" s="71">
        <f t="shared" si="39"/>
        <v>4323.5274229132729</v>
      </c>
      <c r="L143" s="80"/>
      <c r="O143" s="60">
        <v>3</v>
      </c>
      <c r="P143" s="70">
        <f t="shared" si="43"/>
        <v>2521.5301942825322</v>
      </c>
      <c r="Q143" s="70">
        <f t="shared" si="40"/>
        <v>3602.8049858524969</v>
      </c>
      <c r="R143" s="71">
        <f t="shared" si="40"/>
        <v>3994.5712146821947</v>
      </c>
      <c r="T143" s="60">
        <v>3</v>
      </c>
      <c r="U143" s="70">
        <f>B143+I143-P143</f>
        <v>2403.8199660973246</v>
      </c>
      <c r="V143" s="70">
        <f>C143+J143-Q143</f>
        <v>3415.1832445163204</v>
      </c>
      <c r="W143" s="71">
        <f t="shared" si="44"/>
        <v>4056.4537678253132</v>
      </c>
    </row>
    <row r="144" spans="1:23" x14ac:dyDescent="0.2">
      <c r="A144" s="60">
        <v>4</v>
      </c>
      <c r="B144" s="70">
        <f t="shared" si="38"/>
        <v>2418.6155410280708</v>
      </c>
      <c r="C144" s="70">
        <f t="shared" si="38"/>
        <v>3569.7236700284043</v>
      </c>
      <c r="D144" s="71">
        <f t="shared" si="38"/>
        <v>4304.1434388708103</v>
      </c>
      <c r="E144" s="80"/>
      <c r="F144" s="74"/>
      <c r="G144" s="75"/>
      <c r="H144" s="60">
        <v>4</v>
      </c>
      <c r="I144" s="70">
        <f t="shared" si="42"/>
        <v>3268.688940868883</v>
      </c>
      <c r="J144" s="70">
        <f t="shared" si="39"/>
        <v>4533.9511179177198</v>
      </c>
      <c r="K144" s="71">
        <f t="shared" si="39"/>
        <v>4992.3794429354148</v>
      </c>
      <c r="L144" s="80"/>
      <c r="O144" s="60">
        <v>4</v>
      </c>
      <c r="P144" s="70">
        <f t="shared" si="43"/>
        <v>2911.612272877579</v>
      </c>
      <c r="Q144" s="70">
        <f t="shared" si="40"/>
        <v>4160.1608568393303</v>
      </c>
      <c r="R144" s="71">
        <f t="shared" si="40"/>
        <v>4612.533532187791</v>
      </c>
      <c r="T144" s="60">
        <v>4</v>
      </c>
      <c r="U144" s="70">
        <f>B144+I144-P144</f>
        <v>2775.6922090193748</v>
      </c>
      <c r="V144" s="70">
        <f>C144+J144-Q144</f>
        <v>3943.5139311067933</v>
      </c>
      <c r="W144" s="71">
        <f t="shared" si="44"/>
        <v>4683.9893496184332</v>
      </c>
    </row>
    <row r="145" spans="1:23" x14ac:dyDescent="0.2">
      <c r="A145" s="60">
        <v>5</v>
      </c>
      <c r="B145" s="70">
        <f t="shared" si="38"/>
        <v>2704.0943805880988</v>
      </c>
      <c r="C145" s="70">
        <f t="shared" si="38"/>
        <v>3991.0723935367705</v>
      </c>
      <c r="D145" s="71">
        <f t="shared" si="38"/>
        <v>4812.1786571124212</v>
      </c>
      <c r="E145" s="80"/>
      <c r="F145" s="74"/>
      <c r="G145" s="75"/>
      <c r="H145" s="60">
        <v>5</v>
      </c>
      <c r="I145" s="70">
        <f t="shared" si="42"/>
        <v>3654.5053345423066</v>
      </c>
      <c r="J145" s="70">
        <f t="shared" si="39"/>
        <v>5069.1114531625935</v>
      </c>
      <c r="K145" s="71">
        <f t="shared" si="39"/>
        <v>5581.6499019380599</v>
      </c>
      <c r="L145" s="80"/>
      <c r="O145" s="60">
        <v>5</v>
      </c>
      <c r="P145" s="70">
        <f t="shared" si="43"/>
        <v>3255.2814831384671</v>
      </c>
      <c r="Q145" s="70">
        <f t="shared" si="40"/>
        <v>4651.2012366132567</v>
      </c>
      <c r="R145" s="71">
        <f t="shared" si="40"/>
        <v>5156.9692632345577</v>
      </c>
      <c r="T145" s="60">
        <v>5</v>
      </c>
      <c r="U145" s="70">
        <f>B145+I145-P145</f>
        <v>3103.3182319919383</v>
      </c>
      <c r="V145" s="70">
        <f>C145+J145-Q145</f>
        <v>4408.9826100861083</v>
      </c>
      <c r="W145" s="71">
        <f t="shared" si="44"/>
        <v>5236.8592958159243</v>
      </c>
    </row>
    <row r="146" spans="1:23" x14ac:dyDescent="0.2">
      <c r="A146" s="60">
        <v>6</v>
      </c>
      <c r="B146" s="70">
        <f t="shared" si="38"/>
        <v>2962.1869797421227</v>
      </c>
      <c r="C146" s="70">
        <f t="shared" si="38"/>
        <v>4372.0007571524493</v>
      </c>
      <c r="D146" s="71">
        <f t="shared" si="38"/>
        <v>5271.4776024907824</v>
      </c>
      <c r="E146" s="80"/>
      <c r="F146" s="74"/>
      <c r="G146" s="75"/>
      <c r="H146" s="60">
        <v>6</v>
      </c>
      <c r="I146" s="70">
        <f t="shared" si="42"/>
        <v>4003.3100165035694</v>
      </c>
      <c r="J146" s="70">
        <f t="shared" si="39"/>
        <v>5552.9333788098884</v>
      </c>
      <c r="K146" s="71">
        <f t="shared" si="39"/>
        <v>6114.3911187759468</v>
      </c>
      <c r="L146" s="80"/>
      <c r="O146" s="60">
        <v>6</v>
      </c>
      <c r="P146" s="70">
        <f t="shared" si="43"/>
        <v>3565.9821986876223</v>
      </c>
      <c r="Q146" s="70">
        <f t="shared" si="40"/>
        <v>5095.1356735780082</v>
      </c>
      <c r="R146" s="71">
        <f t="shared" si="40"/>
        <v>5649.1767876687272</v>
      </c>
      <c r="T146" s="60">
        <v>6</v>
      </c>
      <c r="U146" s="70">
        <f>B146+I146-P146</f>
        <v>3399.5147975580703</v>
      </c>
      <c r="V146" s="70">
        <f>C146+J146-Q146</f>
        <v>4829.7984623843295</v>
      </c>
      <c r="W146" s="71">
        <f t="shared" si="44"/>
        <v>5736.691933598001</v>
      </c>
    </row>
    <row r="147" spans="1:23" x14ac:dyDescent="0.2">
      <c r="A147" s="60">
        <v>7</v>
      </c>
      <c r="B147" s="70">
        <f t="shared" si="38"/>
        <v>3199.5276193181062</v>
      </c>
      <c r="C147" s="70">
        <f t="shared" si="38"/>
        <v>4722.3005400579768</v>
      </c>
      <c r="D147" s="71">
        <f t="shared" si="38"/>
        <v>5693.846573201251</v>
      </c>
      <c r="E147" s="80"/>
      <c r="F147" s="74"/>
      <c r="G147" s="75"/>
      <c r="H147" s="60">
        <v>7</v>
      </c>
      <c r="I147" s="70">
        <f t="shared" si="42"/>
        <v>4324.069025383088</v>
      </c>
      <c r="J147" s="70">
        <f t="shared" si="39"/>
        <v>5997.853557266787</v>
      </c>
      <c r="K147" s="71">
        <f t="shared" si="39"/>
        <v>6604.297228239142</v>
      </c>
      <c r="L147" s="80"/>
      <c r="O147" s="60">
        <v>7</v>
      </c>
      <c r="P147" s="70">
        <f t="shared" si="43"/>
        <v>3851.7009941388037</v>
      </c>
      <c r="Q147" s="70">
        <f t="shared" si="40"/>
        <v>5503.3755206111246</v>
      </c>
      <c r="R147" s="71">
        <f t="shared" si="40"/>
        <v>6101.8083200576175</v>
      </c>
      <c r="T147" s="60">
        <v>7</v>
      </c>
      <c r="U147" s="70">
        <f>B147+I147-P147</f>
        <v>3671.8956505623905</v>
      </c>
      <c r="V147" s="70">
        <f>C147+J147-Q147</f>
        <v>5216.7785767136402</v>
      </c>
      <c r="W147" s="71">
        <f t="shared" si="44"/>
        <v>6196.3354813827764</v>
      </c>
    </row>
    <row r="148" spans="1:23" x14ac:dyDescent="0.2">
      <c r="A148" s="60">
        <v>8</v>
      </c>
      <c r="B148" s="70">
        <f t="shared" si="38"/>
        <v>3420.438900288239</v>
      </c>
      <c r="C148" s="70">
        <f t="shared" si="38"/>
        <v>5048.3516280784288</v>
      </c>
      <c r="D148" s="71">
        <f t="shared" si="38"/>
        <v>6086.9780256502727</v>
      </c>
      <c r="E148" s="80"/>
      <c r="F148" s="74"/>
      <c r="G148" s="75"/>
      <c r="H148" s="60">
        <v>8</v>
      </c>
      <c r="I148" s="70">
        <f t="shared" si="42"/>
        <v>4622.6242313557223</v>
      </c>
      <c r="J148" s="70">
        <f t="shared" si="39"/>
        <v>6411.9751620958959</v>
      </c>
      <c r="K148" s="71">
        <f t="shared" si="39"/>
        <v>7060.290716711901</v>
      </c>
      <c r="L148" s="80"/>
      <c r="O148" s="60">
        <v>8</v>
      </c>
      <c r="P148" s="70">
        <f t="shared" si="43"/>
        <v>4117.6415646754258</v>
      </c>
      <c r="Q148" s="70">
        <f t="shared" si="40"/>
        <v>5883.355905395857</v>
      </c>
      <c r="R148" s="71">
        <f t="shared" si="40"/>
        <v>6523.1074781206516</v>
      </c>
      <c r="T148" s="60">
        <v>8</v>
      </c>
      <c r="U148" s="70">
        <f>B148+I148-P148</f>
        <v>3925.4215669685354</v>
      </c>
      <c r="V148" s="70">
        <f>C148+J148-Q148</f>
        <v>5576.9708847784668</v>
      </c>
      <c r="W148" s="71">
        <f t="shared" si="44"/>
        <v>6624.1612642415221</v>
      </c>
    </row>
    <row r="149" spans="1:23" x14ac:dyDescent="0.2">
      <c r="A149" s="60">
        <v>9</v>
      </c>
      <c r="B149" s="70">
        <f t="shared" si="38"/>
        <v>3627.9233115421061</v>
      </c>
      <c r="C149" s="70">
        <f t="shared" si="38"/>
        <v>5354.5855050426062</v>
      </c>
      <c r="D149" s="71">
        <f t="shared" si="38"/>
        <v>6456.215158306215</v>
      </c>
      <c r="E149" s="80"/>
      <c r="F149" s="74"/>
      <c r="G149" s="75"/>
      <c r="H149" s="60">
        <v>9</v>
      </c>
      <c r="I149" s="70">
        <f t="shared" si="42"/>
        <v>4903.0334113033241</v>
      </c>
      <c r="J149" s="70">
        <f t="shared" si="39"/>
        <v>6800.9266768765792</v>
      </c>
      <c r="K149" s="71">
        <f t="shared" si="39"/>
        <v>7488.5691644031222</v>
      </c>
      <c r="L149" s="80"/>
      <c r="O149" s="60">
        <v>9</v>
      </c>
      <c r="P149" s="70">
        <f t="shared" si="43"/>
        <v>4367.4184093163685</v>
      </c>
      <c r="Q149" s="70">
        <f t="shared" si="40"/>
        <v>6240.241285258995</v>
      </c>
      <c r="R149" s="71">
        <f t="shared" si="40"/>
        <v>6918.800298281687</v>
      </c>
      <c r="T149" s="60">
        <v>9</v>
      </c>
      <c r="U149" s="70">
        <f>B149+I149-P149</f>
        <v>4163.5383135290622</v>
      </c>
      <c r="V149" s="70">
        <f>C149+J149-Q149</f>
        <v>5915.2708966601895</v>
      </c>
      <c r="W149" s="71">
        <f t="shared" si="44"/>
        <v>7025.9840244276493</v>
      </c>
    </row>
    <row r="150" spans="1:23" x14ac:dyDescent="0.2">
      <c r="A150" s="60">
        <v>10</v>
      </c>
      <c r="B150" s="70">
        <f t="shared" si="38"/>
        <v>3824.1669469645635</v>
      </c>
      <c r="C150" s="70">
        <f t="shared" si="38"/>
        <v>5644.2287073525513</v>
      </c>
      <c r="D150" s="71">
        <f t="shared" si="38"/>
        <v>6805.4483214507345</v>
      </c>
      <c r="E150" s="80"/>
      <c r="F150" s="74"/>
      <c r="G150" s="75"/>
      <c r="H150" s="60">
        <v>10</v>
      </c>
      <c r="I150" s="70">
        <f t="shared" si="42"/>
        <v>5168.2510078745554</v>
      </c>
      <c r="J150" s="70">
        <f t="shared" si="39"/>
        <v>7168.8061662433274</v>
      </c>
      <c r="K150" s="71">
        <f t="shared" si="39"/>
        <v>7893.6449917392611</v>
      </c>
      <c r="L150" s="80"/>
      <c r="O150" s="60">
        <v>10</v>
      </c>
      <c r="P150" s="70">
        <f t="shared" si="43"/>
        <v>4603.6632227964237</v>
      </c>
      <c r="Q150" s="70">
        <f t="shared" si="40"/>
        <v>6577.7918701449789</v>
      </c>
      <c r="R150" s="71">
        <f t="shared" si="40"/>
        <v>7293.0558728074993</v>
      </c>
      <c r="T150" s="60">
        <v>10</v>
      </c>
      <c r="U150" s="70">
        <f>B150+I150-P150</f>
        <v>4388.7547320426947</v>
      </c>
      <c r="V150" s="70">
        <f>C150+J150-Q150</f>
        <v>6235.2430034509007</v>
      </c>
      <c r="W150" s="71">
        <f t="shared" si="44"/>
        <v>7406.0374403824953</v>
      </c>
    </row>
    <row r="151" spans="1:23" x14ac:dyDescent="0.2">
      <c r="A151" s="60">
        <v>11</v>
      </c>
      <c r="B151" s="70">
        <f t="shared" si="38"/>
        <v>4010.8201308562684</v>
      </c>
      <c r="C151" s="70">
        <f t="shared" si="38"/>
        <v>5919.7170093673321</v>
      </c>
      <c r="D151" s="71">
        <f t="shared" si="38"/>
        <v>7137.6144153022351</v>
      </c>
      <c r="E151" s="80"/>
      <c r="F151" s="74"/>
      <c r="G151" s="75"/>
      <c r="H151" s="60">
        <v>11</v>
      </c>
      <c r="I151" s="70">
        <f t="shared" si="42"/>
        <v>5420.5073866231369</v>
      </c>
      <c r="J151" s="70">
        <f t="shared" si="39"/>
        <v>7518.7073379727444</v>
      </c>
      <c r="K151" s="71">
        <f t="shared" si="39"/>
        <v>8278.9247116501392</v>
      </c>
      <c r="L151" s="80"/>
      <c r="O151" s="60">
        <v>11</v>
      </c>
      <c r="P151" s="70">
        <f t="shared" si="43"/>
        <v>4828.3627220644048</v>
      </c>
      <c r="Q151" s="70">
        <f t="shared" si="40"/>
        <v>6898.8463148297424</v>
      </c>
      <c r="R151" s="71">
        <f t="shared" si="40"/>
        <v>7649.0215295997923</v>
      </c>
      <c r="T151" s="60">
        <v>11</v>
      </c>
      <c r="U151" s="70">
        <f>B151+I151-P151</f>
        <v>4602.9647954150005</v>
      </c>
      <c r="V151" s="70">
        <f>C151+J151-Q151</f>
        <v>6539.5780325103342</v>
      </c>
      <c r="W151" s="71">
        <f t="shared" si="44"/>
        <v>7767.5175973525829</v>
      </c>
    </row>
    <row r="152" spans="1:23" x14ac:dyDescent="0.2">
      <c r="A152" s="60">
        <v>12</v>
      </c>
      <c r="B152" s="70">
        <f t="shared" si="38"/>
        <v>4189.1650010363064</v>
      </c>
      <c r="C152" s="70">
        <f t="shared" si="38"/>
        <v>6182.9427654704341</v>
      </c>
      <c r="D152" s="71">
        <f t="shared" si="38"/>
        <v>7454.9951191884711</v>
      </c>
      <c r="E152" s="80"/>
      <c r="F152" s="5"/>
      <c r="G152" s="6"/>
      <c r="H152" s="60">
        <v>12</v>
      </c>
      <c r="I152" s="70">
        <f t="shared" si="42"/>
        <v>5661.5353197234072</v>
      </c>
      <c r="J152" s="70">
        <f t="shared" si="39"/>
        <v>7853.0336952672005</v>
      </c>
      <c r="K152" s="71">
        <f t="shared" si="39"/>
        <v>8647.0548458265457</v>
      </c>
      <c r="L152" s="80"/>
      <c r="O152" s="60">
        <v>12</v>
      </c>
      <c r="P152" s="70">
        <f t="shared" si="43"/>
        <v>5043.0603885650644</v>
      </c>
      <c r="Q152" s="70">
        <f t="shared" si="40"/>
        <v>7205.6099717049938</v>
      </c>
      <c r="R152" s="71">
        <f t="shared" si="40"/>
        <v>7989.1424293643895</v>
      </c>
      <c r="T152" s="60">
        <v>12</v>
      </c>
      <c r="U152" s="70">
        <f>B152+I152-P152</f>
        <v>4807.6399321946492</v>
      </c>
      <c r="V152" s="70">
        <f>C152+J152-Q152</f>
        <v>6830.3664890326409</v>
      </c>
      <c r="W152" s="71">
        <f t="shared" si="44"/>
        <v>8112.9075356506264</v>
      </c>
    </row>
    <row r="153" spans="1:23" x14ac:dyDescent="0.2">
      <c r="A153" s="60">
        <v>13</v>
      </c>
      <c r="B153" s="70">
        <f t="shared" si="38"/>
        <v>4360.221174405393</v>
      </c>
      <c r="C153" s="70">
        <f t="shared" si="38"/>
        <v>6435.4108657624529</v>
      </c>
      <c r="D153" s="71">
        <f t="shared" si="38"/>
        <v>7759.4049329003055</v>
      </c>
      <c r="E153" s="80"/>
      <c r="F153" s="5"/>
      <c r="G153" s="6"/>
      <c r="H153" s="60">
        <v>13</v>
      </c>
      <c r="I153" s="70">
        <f t="shared" si="42"/>
        <v>5892.7127899224188</v>
      </c>
      <c r="J153" s="70">
        <f t="shared" si="39"/>
        <v>8173.6966180498066</v>
      </c>
      <c r="K153" s="71">
        <f t="shared" si="39"/>
        <v>9000.1400340379914</v>
      </c>
      <c r="L153" s="80"/>
      <c r="O153" s="60">
        <v>13</v>
      </c>
      <c r="P153" s="70">
        <f t="shared" si="43"/>
        <v>5248.9836720651792</v>
      </c>
      <c r="Q153" s="70">
        <f t="shared" si="40"/>
        <v>7499.8366417562047</v>
      </c>
      <c r="R153" s="71">
        <f t="shared" si="40"/>
        <v>8315.3630800500541</v>
      </c>
      <c r="T153" s="60">
        <v>13</v>
      </c>
      <c r="U153" s="70">
        <f>B153+I153-P153</f>
        <v>5003.9502922626316</v>
      </c>
      <c r="V153" s="70">
        <f>C153+J153-Q153</f>
        <v>7109.2708420560539</v>
      </c>
      <c r="W153" s="71">
        <f t="shared" si="44"/>
        <v>8444.1818868882438</v>
      </c>
    </row>
    <row r="154" spans="1:23" x14ac:dyDescent="0.2">
      <c r="A154" s="60">
        <v>14</v>
      </c>
      <c r="B154" s="70">
        <f t="shared" si="38"/>
        <v>4524.8153524269665</v>
      </c>
      <c r="C154" s="70">
        <f t="shared" si="38"/>
        <v>6678.3414693517816</v>
      </c>
      <c r="D154" s="71">
        <f t="shared" si="38"/>
        <v>8052.3150458927803</v>
      </c>
      <c r="E154" s="80"/>
      <c r="F154" s="5"/>
      <c r="G154" s="6"/>
      <c r="H154" s="60">
        <v>14</v>
      </c>
      <c r="I154" s="70">
        <f t="shared" si="42"/>
        <v>6115.1570603341734</v>
      </c>
      <c r="J154" s="70">
        <f t="shared" si="39"/>
        <v>8482.2458458144029</v>
      </c>
      <c r="K154" s="71">
        <f t="shared" si="39"/>
        <v>9339.8867101188353</v>
      </c>
      <c r="L154" s="80"/>
      <c r="O154" s="60">
        <v>14</v>
      </c>
      <c r="P154" s="70">
        <f t="shared" si="43"/>
        <v>5447.1277841170295</v>
      </c>
      <c r="Q154" s="70">
        <f t="shared" si="40"/>
        <v>7782.9483000803448</v>
      </c>
      <c r="R154" s="71">
        <f t="shared" si="40"/>
        <v>8629.2600812264736</v>
      </c>
      <c r="T154" s="60">
        <v>14</v>
      </c>
      <c r="U154" s="70">
        <f>B154+I154-P154</f>
        <v>5192.8446286441113</v>
      </c>
      <c r="V154" s="70">
        <f>C154+J154-Q154</f>
        <v>7377.6390150858388</v>
      </c>
      <c r="W154" s="71">
        <f t="shared" si="44"/>
        <v>8762.941674785141</v>
      </c>
    </row>
    <row r="155" spans="1:23" x14ac:dyDescent="0.2">
      <c r="A155" s="60">
        <v>15</v>
      </c>
      <c r="B155" s="70">
        <f t="shared" si="38"/>
        <v>4683.6288556400796</v>
      </c>
      <c r="C155" s="70">
        <f t="shared" si="38"/>
        <v>6912.7401622912157</v>
      </c>
      <c r="D155" s="71">
        <f t="shared" si="38"/>
        <v>8334.9379292172853</v>
      </c>
      <c r="E155" s="80"/>
      <c r="F155" s="5"/>
      <c r="G155" s="6"/>
      <c r="H155" s="60">
        <v>15</v>
      </c>
      <c r="I155" s="70">
        <f t="shared" si="42"/>
        <v>6329.7889159587721</v>
      </c>
      <c r="J155" s="70">
        <f t="shared" si="39"/>
        <v>8779.9585861069154</v>
      </c>
      <c r="K155" s="71">
        <f t="shared" si="39"/>
        <v>9667.7012202185615</v>
      </c>
      <c r="L155" s="80"/>
      <c r="O155" s="60">
        <v>15</v>
      </c>
      <c r="P155" s="70">
        <f t="shared" si="43"/>
        <v>5638.3129217339947</v>
      </c>
      <c r="Q155" s="70">
        <f t="shared" si="40"/>
        <v>8056.1168580413523</v>
      </c>
      <c r="R155" s="71">
        <f t="shared" si="40"/>
        <v>8932.1327769932941</v>
      </c>
      <c r="T155" s="60">
        <v>15</v>
      </c>
      <c r="U155" s="70">
        <f>B155+I155-P155</f>
        <v>5375.104849864857</v>
      </c>
      <c r="V155" s="70">
        <f>C155+J155-Q155</f>
        <v>7636.5818903567797</v>
      </c>
      <c r="W155" s="71">
        <f t="shared" si="44"/>
        <v>9070.5063724425527</v>
      </c>
    </row>
    <row r="156" spans="1:23" x14ac:dyDescent="0.2">
      <c r="A156" s="60">
        <v>16</v>
      </c>
      <c r="B156" s="70">
        <f t="shared" si="38"/>
        <v>4837.2310820561415</v>
      </c>
      <c r="C156" s="70">
        <f t="shared" si="38"/>
        <v>7139.4473400568086</v>
      </c>
      <c r="D156" s="71">
        <f t="shared" si="38"/>
        <v>8608.2868777416206</v>
      </c>
      <c r="E156" s="80"/>
      <c r="F156" s="5"/>
      <c r="G156" s="6"/>
      <c r="H156" s="60">
        <v>16</v>
      </c>
      <c r="I156" s="70">
        <f t="shared" si="42"/>
        <v>6537.3778817377661</v>
      </c>
      <c r="J156" s="70">
        <f t="shared" si="39"/>
        <v>9067.9022358354396</v>
      </c>
      <c r="K156" s="71">
        <f t="shared" si="39"/>
        <v>9984.7588858708295</v>
      </c>
      <c r="L156" s="80"/>
      <c r="O156" s="60">
        <v>16</v>
      </c>
      <c r="P156" s="70">
        <f t="shared" si="43"/>
        <v>5823.224545755158</v>
      </c>
      <c r="Q156" s="70">
        <f t="shared" si="40"/>
        <v>8320.3217136786607</v>
      </c>
      <c r="R156" s="71">
        <f t="shared" si="40"/>
        <v>9225.067064375582</v>
      </c>
      <c r="T156" s="60">
        <v>16</v>
      </c>
      <c r="U156" s="70">
        <f>B156+I156-P156</f>
        <v>5551.3844180387496</v>
      </c>
      <c r="V156" s="70">
        <f>C156+J156-Q156</f>
        <v>7887.0278622135866</v>
      </c>
      <c r="W156" s="71">
        <f t="shared" si="44"/>
        <v>9367.9786992368663</v>
      </c>
    </row>
    <row r="157" spans="1:23" x14ac:dyDescent="0.2">
      <c r="A157" s="60">
        <v>17</v>
      </c>
      <c r="B157" s="70">
        <f t="shared" si="38"/>
        <v>4986.1036717095703</v>
      </c>
      <c r="C157" s="70">
        <f t="shared" si="38"/>
        <v>7359.1738728973178</v>
      </c>
      <c r="D157" s="71">
        <f t="shared" si="38"/>
        <v>8873.2190131367915</v>
      </c>
      <c r="E157" s="80"/>
      <c r="F157" s="5"/>
      <c r="G157" s="6"/>
      <c r="H157" s="60">
        <v>17</v>
      </c>
      <c r="I157" s="70">
        <f t="shared" si="42"/>
        <v>6738.5748802453618</v>
      </c>
      <c r="J157" s="70">
        <f t="shared" si="42"/>
        <v>9346.979680281016</v>
      </c>
      <c r="K157" s="71">
        <f t="shared" si="42"/>
        <v>10292.053883192486</v>
      </c>
      <c r="L157" s="80"/>
      <c r="O157" s="60">
        <v>17</v>
      </c>
      <c r="P157" s="70">
        <f t="shared" si="43"/>
        <v>6002.4424709594841</v>
      </c>
      <c r="Q157" s="70">
        <f t="shared" si="43"/>
        <v>8576.3913161543151</v>
      </c>
      <c r="R157" s="71">
        <f t="shared" si="43"/>
        <v>9508.9814774567894</v>
      </c>
      <c r="T157" s="60">
        <v>17</v>
      </c>
      <c r="U157" s="70">
        <f>B157+I157-P157</f>
        <v>5722.236080995448</v>
      </c>
      <c r="V157" s="70">
        <f>C157+J157-Q157</f>
        <v>8129.7622370240188</v>
      </c>
      <c r="W157" s="71">
        <f t="shared" si="44"/>
        <v>9656.2914188724862</v>
      </c>
    </row>
    <row r="158" spans="1:23" x14ac:dyDescent="0.2">
      <c r="A158" s="60">
        <v>18</v>
      </c>
      <c r="B158" s="70">
        <f t="shared" si="38"/>
        <v>5130.6583504323571</v>
      </c>
      <c r="C158" s="70">
        <f t="shared" si="38"/>
        <v>7572.5274421176418</v>
      </c>
      <c r="D158" s="71">
        <f t="shared" si="38"/>
        <v>9130.4670384754081</v>
      </c>
      <c r="E158" s="80"/>
      <c r="F158" s="5"/>
      <c r="G158" s="6"/>
      <c r="H158" s="60">
        <v>18</v>
      </c>
      <c r="I158" s="70">
        <f t="shared" si="42"/>
        <v>6933.9363470335829</v>
      </c>
      <c r="J158" s="70">
        <f t="shared" si="42"/>
        <v>9617.9627431438421</v>
      </c>
      <c r="K158" s="71">
        <f t="shared" si="42"/>
        <v>10590.43607506785</v>
      </c>
      <c r="L158" s="80"/>
      <c r="O158" s="60">
        <v>18</v>
      </c>
      <c r="P158" s="70">
        <f t="shared" si="43"/>
        <v>6176.4623470131373</v>
      </c>
      <c r="Q158" s="70">
        <f t="shared" si="43"/>
        <v>8825.0338580937841</v>
      </c>
      <c r="R158" s="71">
        <f t="shared" si="43"/>
        <v>9784.6612171809757</v>
      </c>
      <c r="T158" s="60">
        <v>18</v>
      </c>
      <c r="U158" s="70">
        <f>B158+I158-P158</f>
        <v>5888.1323504528027</v>
      </c>
      <c r="V158" s="70">
        <f>C158+J158-Q158</f>
        <v>8365.4563271677016</v>
      </c>
      <c r="W158" s="71">
        <f t="shared" si="44"/>
        <v>9936.241896362284</v>
      </c>
    </row>
    <row r="159" spans="1:23" x14ac:dyDescent="0.2">
      <c r="A159" s="60">
        <v>19</v>
      </c>
      <c r="B159" s="70">
        <f t="shared" si="38"/>
        <v>5271.2503633091565</v>
      </c>
      <c r="C159" s="70">
        <f t="shared" si="38"/>
        <v>7780.032367009474</v>
      </c>
      <c r="D159" s="71">
        <f t="shared" si="38"/>
        <v>9380.6631442707494</v>
      </c>
      <c r="E159" s="80"/>
      <c r="F159" s="5"/>
      <c r="G159" s="6"/>
      <c r="H159" s="60">
        <v>19</v>
      </c>
      <c r="I159" s="70">
        <f t="shared" si="42"/>
        <v>7123.942385558229</v>
      </c>
      <c r="J159" s="70">
        <f t="shared" si="42"/>
        <v>9881.5173689783041</v>
      </c>
      <c r="K159" s="71">
        <f t="shared" si="42"/>
        <v>10880.638739782678</v>
      </c>
      <c r="L159" s="80"/>
      <c r="O159" s="60">
        <v>19</v>
      </c>
      <c r="P159" s="70">
        <f t="shared" si="43"/>
        <v>6345.7118301230703</v>
      </c>
      <c r="Q159" s="70">
        <f t="shared" si="43"/>
        <v>9066.8603819181117</v>
      </c>
      <c r="R159" s="71">
        <f t="shared" si="43"/>
        <v>10052.783770249647</v>
      </c>
      <c r="T159" s="60">
        <v>19</v>
      </c>
      <c r="U159" s="70">
        <f>B159+I159-P159</f>
        <v>6049.4809187443161</v>
      </c>
      <c r="V159" s="70">
        <f>C159+J159-Q159</f>
        <v>8594.6893540696656</v>
      </c>
      <c r="W159" s="71">
        <f t="shared" si="44"/>
        <v>10208.518113803781</v>
      </c>
    </row>
    <row r="160" spans="1:23" x14ac:dyDescent="0.2">
      <c r="A160" s="60">
        <v>20</v>
      </c>
      <c r="B160" s="70">
        <f t="shared" si="38"/>
        <v>5408.1887611761977</v>
      </c>
      <c r="C160" s="70">
        <f t="shared" si="38"/>
        <v>7982.144787073541</v>
      </c>
      <c r="D160" s="71">
        <f t="shared" si="38"/>
        <v>9624.3573142248424</v>
      </c>
      <c r="E160" s="80"/>
      <c r="F160" s="5"/>
      <c r="G160" s="6"/>
      <c r="H160" s="60">
        <v>20</v>
      </c>
      <c r="I160" s="70">
        <f t="shared" si="42"/>
        <v>7309.0106690846133</v>
      </c>
      <c r="J160" s="70">
        <f t="shared" si="42"/>
        <v>10138.222906325187</v>
      </c>
      <c r="K160" s="71">
        <f t="shared" si="42"/>
        <v>11163.29980387612</v>
      </c>
      <c r="L160" s="80"/>
      <c r="O160" s="60">
        <v>20</v>
      </c>
      <c r="P160" s="70">
        <f t="shared" si="43"/>
        <v>6510.5629662769343</v>
      </c>
      <c r="Q160" s="70">
        <f t="shared" si="43"/>
        <v>9302.4024732265134</v>
      </c>
      <c r="R160" s="71">
        <f t="shared" si="43"/>
        <v>10313.938526469115</v>
      </c>
      <c r="T160" s="60">
        <v>20</v>
      </c>
      <c r="U160" s="70">
        <f>B160+I160-P160</f>
        <v>6206.6364639838766</v>
      </c>
      <c r="V160" s="70">
        <f>C160+J160-Q160</f>
        <v>8817.9652201722165</v>
      </c>
      <c r="W160" s="71">
        <f t="shared" si="44"/>
        <v>10473.718591631849</v>
      </c>
    </row>
    <row r="161" spans="1:23" x14ac:dyDescent="0.2">
      <c r="A161" s="60">
        <v>21</v>
      </c>
      <c r="B161" s="70">
        <f t="shared" ref="B161:D180" si="45">SQRT($A161)*B$135</f>
        <v>5541.744396878853</v>
      </c>
      <c r="C161" s="70">
        <f t="shared" si="45"/>
        <v>8179.2644639903629</v>
      </c>
      <c r="D161" s="71">
        <f t="shared" si="45"/>
        <v>9862.0315552865104</v>
      </c>
      <c r="E161" s="80"/>
      <c r="F161" s="5"/>
      <c r="G161" s="6"/>
      <c r="H161" s="60">
        <v>21</v>
      </c>
      <c r="I161" s="70">
        <f t="shared" si="42"/>
        <v>7489.5072473983446</v>
      </c>
      <c r="J161" s="70">
        <f t="shared" si="42"/>
        <v>10388.587097543801</v>
      </c>
      <c r="K161" s="71">
        <f t="shared" si="42"/>
        <v>11438.978347596503</v>
      </c>
      <c r="L161" s="80"/>
      <c r="O161" s="60">
        <v>21</v>
      </c>
      <c r="P161" s="70">
        <f t="shared" si="43"/>
        <v>6671.3418174119624</v>
      </c>
      <c r="Q161" s="70">
        <f t="shared" si="43"/>
        <v>9532.1260148292877</v>
      </c>
      <c r="R161" s="71">
        <f t="shared" si="43"/>
        <v>10568.64202838629</v>
      </c>
      <c r="T161" s="60">
        <v>21</v>
      </c>
      <c r="U161" s="70">
        <f>B161+I161-P161</f>
        <v>6359.9098268652351</v>
      </c>
      <c r="V161" s="70">
        <f>C161+J161-Q161</f>
        <v>9035.7255467048763</v>
      </c>
      <c r="W161" s="71">
        <f t="shared" si="44"/>
        <v>10732.367874496726</v>
      </c>
    </row>
    <row r="162" spans="1:23" x14ac:dyDescent="0.2">
      <c r="A162" s="60">
        <v>22</v>
      </c>
      <c r="B162" s="70">
        <f t="shared" si="45"/>
        <v>5672.1562252959675</v>
      </c>
      <c r="C162" s="70">
        <f t="shared" si="45"/>
        <v>8371.7440800579807</v>
      </c>
      <c r="D162" s="71">
        <f t="shared" si="45"/>
        <v>10094.11110911013</v>
      </c>
      <c r="E162" s="80"/>
      <c r="F162" s="5"/>
      <c r="G162" s="6"/>
      <c r="H162" s="60">
        <v>22</v>
      </c>
      <c r="I162" s="70">
        <f t="shared" si="42"/>
        <v>7665.7550611059823</v>
      </c>
      <c r="J162" s="70">
        <f t="shared" si="42"/>
        <v>10633.057888875164</v>
      </c>
      <c r="K162" s="71">
        <f t="shared" si="42"/>
        <v>11708.167609081393</v>
      </c>
      <c r="L162" s="80"/>
      <c r="O162" s="60">
        <v>22</v>
      </c>
      <c r="P162" s="70">
        <f t="shared" si="43"/>
        <v>6828.3360456001565</v>
      </c>
      <c r="Q162" s="70">
        <f t="shared" si="43"/>
        <v>9756.4420231598688</v>
      </c>
      <c r="R162" s="71">
        <f t="shared" si="43"/>
        <v>10817.349986043822</v>
      </c>
      <c r="T162" s="60">
        <v>22</v>
      </c>
      <c r="U162" s="70">
        <f>B162+I162-P162</f>
        <v>6509.5752408017934</v>
      </c>
      <c r="V162" s="70">
        <f>C162+J162-Q162</f>
        <v>9248.3599457732762</v>
      </c>
      <c r="W162" s="71">
        <f t="shared" si="44"/>
        <v>10984.9287321477</v>
      </c>
    </row>
    <row r="163" spans="1:23" x14ac:dyDescent="0.2">
      <c r="A163" s="60">
        <v>23</v>
      </c>
      <c r="B163" s="70">
        <f t="shared" si="45"/>
        <v>5799.6363272182343</v>
      </c>
      <c r="C163" s="70">
        <f t="shared" si="45"/>
        <v>8559.8966531188962</v>
      </c>
      <c r="D163" s="71">
        <f t="shared" si="45"/>
        <v>10320.973392498121</v>
      </c>
      <c r="E163" s="80"/>
      <c r="F163" s="5"/>
      <c r="G163" s="6"/>
      <c r="H163" s="60">
        <v>23</v>
      </c>
      <c r="I163" s="70">
        <f t="shared" si="42"/>
        <v>7838.040731261327</v>
      </c>
      <c r="J163" s="70">
        <f t="shared" si="42"/>
        <v>10872.032848234372</v>
      </c>
      <c r="K163" s="71">
        <f t="shared" si="42"/>
        <v>11971.305354384027</v>
      </c>
      <c r="L163" s="80"/>
      <c r="O163" s="60">
        <v>23</v>
      </c>
      <c r="P163" s="70">
        <f t="shared" si="43"/>
        <v>6981.8009609652445</v>
      </c>
      <c r="Q163" s="70">
        <f t="shared" si="43"/>
        <v>9975.715289640857</v>
      </c>
      <c r="R163" s="71">
        <f t="shared" si="43"/>
        <v>11060.466858001586</v>
      </c>
      <c r="T163" s="60">
        <v>23</v>
      </c>
      <c r="U163" s="70">
        <f>B163+I163-P163</f>
        <v>6655.8760975143168</v>
      </c>
      <c r="V163" s="70">
        <f>C163+J163-Q163</f>
        <v>9456.2142117124113</v>
      </c>
      <c r="W163" s="71">
        <f t="shared" si="44"/>
        <v>11231.811888880562</v>
      </c>
    </row>
    <row r="164" spans="1:23" x14ac:dyDescent="0.2">
      <c r="A164" s="60">
        <v>24</v>
      </c>
      <c r="B164" s="70">
        <f t="shared" si="45"/>
        <v>5924.3739594842455</v>
      </c>
      <c r="C164" s="70">
        <f t="shared" si="45"/>
        <v>8744.0015143048986</v>
      </c>
      <c r="D164" s="71">
        <f t="shared" si="45"/>
        <v>10542.955204981565</v>
      </c>
      <c r="E164" s="80"/>
      <c r="F164" s="5"/>
      <c r="G164" s="6"/>
      <c r="H164" s="60">
        <v>24</v>
      </c>
      <c r="I164" s="70">
        <f t="shared" si="42"/>
        <v>8006.6200330071388</v>
      </c>
      <c r="J164" s="70">
        <f t="shared" si="42"/>
        <v>11105.866757619777</v>
      </c>
      <c r="K164" s="71">
        <f t="shared" si="42"/>
        <v>12228.782237551894</v>
      </c>
      <c r="L164" s="80"/>
      <c r="O164" s="60">
        <v>24</v>
      </c>
      <c r="P164" s="70">
        <f t="shared" si="43"/>
        <v>7131.9643973752445</v>
      </c>
      <c r="Q164" s="70">
        <f t="shared" si="43"/>
        <v>10190.271347156016</v>
      </c>
      <c r="R164" s="71">
        <f t="shared" si="43"/>
        <v>11298.353575337454</v>
      </c>
      <c r="T164" s="60">
        <v>24</v>
      </c>
      <c r="U164" s="70">
        <f>B164+I164-P164</f>
        <v>6799.0295951161406</v>
      </c>
      <c r="V164" s="70">
        <f>C164+J164-Q164</f>
        <v>9659.5969247686589</v>
      </c>
      <c r="W164" s="71">
        <f t="shared" si="44"/>
        <v>11473.383867196002</v>
      </c>
    </row>
    <row r="165" spans="1:23" x14ac:dyDescent="0.2">
      <c r="A165" s="60">
        <v>25</v>
      </c>
      <c r="B165" s="70">
        <f t="shared" si="45"/>
        <v>6046.5388525701765</v>
      </c>
      <c r="C165" s="70">
        <f t="shared" si="45"/>
        <v>8924.30917507101</v>
      </c>
      <c r="D165" s="71">
        <f t="shared" si="45"/>
        <v>10760.358597177026</v>
      </c>
      <c r="E165" s="80"/>
      <c r="F165" s="5"/>
      <c r="G165" s="6"/>
      <c r="H165" s="60">
        <v>25</v>
      </c>
      <c r="I165" s="70">
        <f t="shared" si="42"/>
        <v>8171.722352172208</v>
      </c>
      <c r="J165" s="70">
        <f t="shared" si="42"/>
        <v>11334.8777947943</v>
      </c>
      <c r="K165" s="71">
        <f t="shared" si="42"/>
        <v>12480.948607338538</v>
      </c>
      <c r="L165" s="80"/>
      <c r="O165" s="60">
        <v>25</v>
      </c>
      <c r="P165" s="70">
        <f t="shared" si="43"/>
        <v>7279.0306821939475</v>
      </c>
      <c r="Q165" s="70">
        <f t="shared" si="43"/>
        <v>10400.402142098326</v>
      </c>
      <c r="R165" s="71">
        <f t="shared" si="43"/>
        <v>11531.333830469477</v>
      </c>
      <c r="T165" s="60">
        <v>25</v>
      </c>
      <c r="U165" s="70">
        <f>B165+I165-P165</f>
        <v>6939.230522548437</v>
      </c>
      <c r="V165" s="70">
        <f>C165+J165-Q165</f>
        <v>9858.7848277669837</v>
      </c>
      <c r="W165" s="71">
        <f t="shared" si="44"/>
        <v>11709.973374046087</v>
      </c>
    </row>
    <row r="166" spans="1:23" x14ac:dyDescent="0.2">
      <c r="A166" s="60">
        <v>26</v>
      </c>
      <c r="B166" s="70">
        <f t="shared" si="45"/>
        <v>6166.2839197904514</v>
      </c>
      <c r="C166" s="70">
        <f t="shared" si="45"/>
        <v>9101.0453258044417</v>
      </c>
      <c r="D166" s="71">
        <f t="shared" si="45"/>
        <v>10973.455692052306</v>
      </c>
      <c r="E166" s="80"/>
      <c r="F166" s="5"/>
      <c r="G166" s="6"/>
      <c r="H166" s="60">
        <v>26</v>
      </c>
      <c r="I166" s="70">
        <f t="shared" si="42"/>
        <v>8333.5543466776835</v>
      </c>
      <c r="J166" s="70">
        <f t="shared" si="42"/>
        <v>11559.352611969136</v>
      </c>
      <c r="K166" s="71">
        <f t="shared" si="42"/>
        <v>12728.120099393578</v>
      </c>
      <c r="L166" s="80"/>
      <c r="O166" s="60">
        <v>26</v>
      </c>
      <c r="P166" s="70">
        <f t="shared" si="43"/>
        <v>7423.1838977095076</v>
      </c>
      <c r="Q166" s="70">
        <f t="shared" si="43"/>
        <v>10606.370694354311</v>
      </c>
      <c r="R166" s="71">
        <f t="shared" si="43"/>
        <v>11759.699243863299</v>
      </c>
      <c r="T166" s="60">
        <v>26</v>
      </c>
      <c r="U166" s="70">
        <f>B166+I166-P166</f>
        <v>7076.6543687586263</v>
      </c>
      <c r="V166" s="70">
        <f>C166+J166-Q166</f>
        <v>10054.027243419267</v>
      </c>
      <c r="W166" s="71">
        <f t="shared" si="44"/>
        <v>11941.876547582586</v>
      </c>
    </row>
    <row r="167" spans="1:23" x14ac:dyDescent="0.2">
      <c r="A167" s="60">
        <v>27</v>
      </c>
      <c r="B167" s="70">
        <f t="shared" si="45"/>
        <v>6283.7475015544605</v>
      </c>
      <c r="C167" s="70">
        <f t="shared" si="45"/>
        <v>9274.4141482056511</v>
      </c>
      <c r="D167" s="71">
        <f t="shared" si="45"/>
        <v>11182.492678782708</v>
      </c>
      <c r="E167" s="80"/>
      <c r="F167" s="5"/>
      <c r="G167" s="6"/>
      <c r="H167" s="60">
        <v>27</v>
      </c>
      <c r="I167" s="70">
        <f t="shared" si="42"/>
        <v>8492.3029795851107</v>
      </c>
      <c r="J167" s="70">
        <f t="shared" si="42"/>
        <v>11779.550542900801</v>
      </c>
      <c r="K167" s="71">
        <f t="shared" si="42"/>
        <v>12970.582268739821</v>
      </c>
      <c r="L167" s="80"/>
      <c r="O167" s="60">
        <v>27</v>
      </c>
      <c r="P167" s="70">
        <f t="shared" si="43"/>
        <v>7564.5905828475979</v>
      </c>
      <c r="Q167" s="70">
        <f t="shared" si="43"/>
        <v>10808.414957557492</v>
      </c>
      <c r="R167" s="71">
        <f t="shared" si="43"/>
        <v>11983.713644046584</v>
      </c>
      <c r="T167" s="60">
        <v>27</v>
      </c>
      <c r="U167" s="70">
        <f>B167+I167-P167</f>
        <v>7211.4598982919733</v>
      </c>
      <c r="V167" s="70">
        <f>C167+J167-Q167</f>
        <v>10245.54973354896</v>
      </c>
      <c r="W167" s="71">
        <f t="shared" si="44"/>
        <v>12169.361303475947</v>
      </c>
    </row>
    <row r="168" spans="1:23" x14ac:dyDescent="0.2">
      <c r="A168" s="60">
        <v>28</v>
      </c>
      <c r="B168" s="70">
        <f t="shared" si="45"/>
        <v>6399.0552386362124</v>
      </c>
      <c r="C168" s="70">
        <f t="shared" si="45"/>
        <v>9444.6010801159537</v>
      </c>
      <c r="D168" s="71">
        <f t="shared" si="45"/>
        <v>11387.693146402502</v>
      </c>
      <c r="E168" s="80"/>
      <c r="F168" s="5"/>
      <c r="G168" s="6"/>
      <c r="H168" s="60">
        <v>28</v>
      </c>
      <c r="I168" s="70">
        <f t="shared" si="42"/>
        <v>8648.1380507661761</v>
      </c>
      <c r="J168" s="70">
        <f t="shared" si="42"/>
        <v>11995.707114533574</v>
      </c>
      <c r="K168" s="71">
        <f t="shared" si="42"/>
        <v>13208.594456478284</v>
      </c>
      <c r="L168" s="80"/>
      <c r="O168" s="60">
        <v>28</v>
      </c>
      <c r="P168" s="70">
        <f t="shared" si="43"/>
        <v>7703.4019882776074</v>
      </c>
      <c r="Q168" s="70">
        <f t="shared" si="43"/>
        <v>11006.751041222249</v>
      </c>
      <c r="R168" s="71">
        <f t="shared" si="43"/>
        <v>12203.616640115235</v>
      </c>
      <c r="T168" s="60">
        <v>28</v>
      </c>
      <c r="U168" s="70">
        <f>B168+I168-P168</f>
        <v>7343.7913011247811</v>
      </c>
      <c r="V168" s="70">
        <f>C168+J168-Q168</f>
        <v>10433.55715342728</v>
      </c>
      <c r="W168" s="71">
        <f t="shared" si="44"/>
        <v>12392.670962765553</v>
      </c>
    </row>
    <row r="169" spans="1:23" x14ac:dyDescent="0.2">
      <c r="A169" s="60">
        <v>29</v>
      </c>
      <c r="B169" s="70">
        <f t="shared" si="45"/>
        <v>6512.3216467664724</v>
      </c>
      <c r="C169" s="70">
        <f t="shared" si="45"/>
        <v>9611.7751395159921</v>
      </c>
      <c r="D169" s="71">
        <f t="shared" si="45"/>
        <v>11589.260885932983</v>
      </c>
      <c r="E169" s="80"/>
      <c r="F169" s="5"/>
      <c r="G169" s="6"/>
      <c r="H169" s="60">
        <v>29</v>
      </c>
      <c r="I169" s="70">
        <f t="shared" si="42"/>
        <v>8801.2143249184319</v>
      </c>
      <c r="J169" s="70">
        <f t="shared" si="42"/>
        <v>12208.036998739322</v>
      </c>
      <c r="K169" s="71">
        <f t="shared" si="42"/>
        <v>13442.393039978777</v>
      </c>
      <c r="L169" s="80"/>
      <c r="O169" s="60">
        <v>29</v>
      </c>
      <c r="P169" s="70">
        <f t="shared" si="43"/>
        <v>7839.7559719606206</v>
      </c>
      <c r="Q169" s="70">
        <f t="shared" si="43"/>
        <v>11201.575919134842</v>
      </c>
      <c r="R169" s="71">
        <f t="shared" si="43"/>
        <v>12419.626624632749</v>
      </c>
      <c r="T169" s="60">
        <v>29</v>
      </c>
      <c r="U169" s="70">
        <f>B169+I169-P169</f>
        <v>7473.7799997242846</v>
      </c>
      <c r="V169" s="70">
        <f>C169+J169-Q169</f>
        <v>10618.236219120472</v>
      </c>
      <c r="W169" s="71">
        <f t="shared" si="44"/>
        <v>12612.027301279011</v>
      </c>
    </row>
    <row r="170" spans="1:23" x14ac:dyDescent="0.2">
      <c r="A170" s="60">
        <v>30</v>
      </c>
      <c r="B170" s="70">
        <f t="shared" si="45"/>
        <v>6623.6514487681798</v>
      </c>
      <c r="C170" s="70">
        <f t="shared" si="45"/>
        <v>9776.0908906734257</v>
      </c>
      <c r="D170" s="71">
        <f t="shared" si="45"/>
        <v>11787.382261037004</v>
      </c>
      <c r="E170" s="80"/>
      <c r="F170" s="5"/>
      <c r="G170" s="6"/>
      <c r="H170" s="60">
        <v>30</v>
      </c>
      <c r="I170" s="70">
        <f t="shared" si="42"/>
        <v>8951.6733319077866</v>
      </c>
      <c r="J170" s="70">
        <f t="shared" si="42"/>
        <v>12416.736509546503</v>
      </c>
      <c r="K170" s="71">
        <f t="shared" si="42"/>
        <v>13672.194182604009</v>
      </c>
      <c r="L170" s="80"/>
      <c r="O170" s="60">
        <v>30</v>
      </c>
      <c r="P170" s="70">
        <f t="shared" si="43"/>
        <v>7973.7786028196861</v>
      </c>
      <c r="Q170" s="70">
        <f t="shared" si="43"/>
        <v>11393.069720704607</v>
      </c>
      <c r="R170" s="71">
        <f t="shared" si="43"/>
        <v>12631.943314141172</v>
      </c>
      <c r="T170" s="60">
        <v>30</v>
      </c>
      <c r="U170" s="70">
        <f>B170+I170-P170</f>
        <v>7601.5461778562803</v>
      </c>
      <c r="V170" s="70">
        <f>C170+J170-Q170</f>
        <v>10799.757679515322</v>
      </c>
      <c r="W170" s="71">
        <f t="shared" si="44"/>
        <v>12827.633129499842</v>
      </c>
    </row>
    <row r="171" spans="1:23" x14ac:dyDescent="0.2">
      <c r="A171" s="60">
        <v>31</v>
      </c>
      <c r="B171" s="70">
        <f t="shared" si="45"/>
        <v>6733.1407083614722</v>
      </c>
      <c r="C171" s="70">
        <f t="shared" si="45"/>
        <v>9937.690117567472</v>
      </c>
      <c r="D171" s="71">
        <f t="shared" si="45"/>
        <v>11982.228225726778</v>
      </c>
      <c r="E171" s="80"/>
      <c r="F171" s="5"/>
      <c r="G171" s="6"/>
      <c r="H171" s="60">
        <v>31</v>
      </c>
      <c r="I171" s="70">
        <f t="shared" si="42"/>
        <v>9099.6448990731878</v>
      </c>
      <c r="J171" s="70">
        <f t="shared" si="42"/>
        <v>12621.985728577809</v>
      </c>
      <c r="K171" s="71">
        <f t="shared" si="42"/>
        <v>13898.196174050499</v>
      </c>
      <c r="L171" s="80"/>
      <c r="O171" s="60">
        <v>31</v>
      </c>
      <c r="P171" s="70">
        <f t="shared" si="43"/>
        <v>8105.5855256531522</v>
      </c>
      <c r="Q171" s="70">
        <f t="shared" si="43"/>
        <v>11581.397681175215</v>
      </c>
      <c r="R171" s="71">
        <f t="shared" si="43"/>
        <v>12840.749911436833</v>
      </c>
      <c r="T171" s="60">
        <v>31</v>
      </c>
      <c r="U171" s="70">
        <f>B171+I171-P171</f>
        <v>7727.2000817815078</v>
      </c>
      <c r="V171" s="70">
        <f>C171+J171-Q171</f>
        <v>10978.278164970066</v>
      </c>
      <c r="W171" s="71">
        <f t="shared" si="44"/>
        <v>13039.674488340446</v>
      </c>
    </row>
    <row r="172" spans="1:23" x14ac:dyDescent="0.2">
      <c r="A172" s="60">
        <v>32</v>
      </c>
      <c r="B172" s="70">
        <f t="shared" si="45"/>
        <v>6840.877800576478</v>
      </c>
      <c r="C172" s="70">
        <f t="shared" si="45"/>
        <v>10096.703256156858</v>
      </c>
      <c r="D172" s="71">
        <f t="shared" si="45"/>
        <v>12173.956051300545</v>
      </c>
      <c r="E172" s="80"/>
      <c r="F172" s="5"/>
      <c r="G172" s="6"/>
      <c r="H172" s="60">
        <v>32</v>
      </c>
      <c r="I172" s="70">
        <f t="shared" si="42"/>
        <v>9245.2484627114445</v>
      </c>
      <c r="J172" s="70">
        <f t="shared" si="42"/>
        <v>12823.950324191792</v>
      </c>
      <c r="K172" s="71">
        <f t="shared" si="42"/>
        <v>14120.581433423802</v>
      </c>
      <c r="L172" s="80"/>
      <c r="O172" s="60">
        <v>32</v>
      </c>
      <c r="P172" s="70">
        <f t="shared" si="43"/>
        <v>8235.2831293508516</v>
      </c>
      <c r="Q172" s="70">
        <f t="shared" si="43"/>
        <v>11766.711810791714</v>
      </c>
      <c r="R172" s="71">
        <f t="shared" si="43"/>
        <v>13046.214956241303</v>
      </c>
      <c r="T172" s="60">
        <v>32</v>
      </c>
      <c r="U172" s="70">
        <f>B172+I172-P172</f>
        <v>7850.8431339370709</v>
      </c>
      <c r="V172" s="70">
        <f>C172+J172-Q172</f>
        <v>11153.941769556934</v>
      </c>
      <c r="W172" s="71">
        <f t="shared" si="44"/>
        <v>13248.322528483044</v>
      </c>
    </row>
    <row r="173" spans="1:23" x14ac:dyDescent="0.2">
      <c r="A173" s="60">
        <v>33</v>
      </c>
      <c r="B173" s="70">
        <f t="shared" si="45"/>
        <v>6946.9442466631099</v>
      </c>
      <c r="C173" s="70">
        <f t="shared" si="45"/>
        <v>10253.250626653908</v>
      </c>
      <c r="D173" s="71">
        <f t="shared" si="45"/>
        <v>12362.710812139498</v>
      </c>
      <c r="E173" s="80"/>
      <c r="F173" s="5"/>
      <c r="G173" s="6"/>
      <c r="H173" s="60">
        <v>33</v>
      </c>
      <c r="I173" s="70">
        <f t="shared" si="42"/>
        <v>9388.5941964336689</v>
      </c>
      <c r="J173" s="70">
        <f t="shared" si="42"/>
        <v>13022.783116609735</v>
      </c>
      <c r="K173" s="71">
        <f t="shared" si="42"/>
        <v>14339.518232615557</v>
      </c>
      <c r="L173" s="80"/>
      <c r="O173" s="60">
        <v>33</v>
      </c>
      <c r="P173" s="70">
        <f t="shared" si="43"/>
        <v>8362.9695519871148</v>
      </c>
      <c r="Q173" s="70">
        <f t="shared" si="43"/>
        <v>11949.152330894429</v>
      </c>
      <c r="R173" s="71">
        <f t="shared" si="43"/>
        <v>13248.493917455049</v>
      </c>
      <c r="T173" s="60">
        <v>33</v>
      </c>
      <c r="U173" s="70">
        <f>B173+I173-P173</f>
        <v>7972.568891109664</v>
      </c>
      <c r="V173" s="70">
        <f>C173+J173-Q173</f>
        <v>11326.881412369215</v>
      </c>
      <c r="W173" s="71">
        <f t="shared" si="44"/>
        <v>13453.735127300006</v>
      </c>
    </row>
    <row r="174" spans="1:23" x14ac:dyDescent="0.2">
      <c r="A174" s="60">
        <v>34</v>
      </c>
      <c r="B174" s="70">
        <f t="shared" si="45"/>
        <v>7051.4154359299609</v>
      </c>
      <c r="C174" s="70">
        <f t="shared" si="45"/>
        <v>10407.443498913122</v>
      </c>
      <c r="D174" s="71">
        <f t="shared" si="45"/>
        <v>12548.626670284861</v>
      </c>
      <c r="E174" s="80"/>
      <c r="F174" s="5"/>
      <c r="G174" s="6"/>
      <c r="H174" s="60">
        <v>34</v>
      </c>
      <c r="I174" s="70">
        <f t="shared" ref="I174:K205" si="46">I$135*SQRT($H174)</f>
        <v>9529.7839867096463</v>
      </c>
      <c r="J174" s="70">
        <f t="shared" si="46"/>
        <v>13218.625431079148</v>
      </c>
      <c r="K174" s="71">
        <f t="shared" si="46"/>
        <v>14555.162186285492</v>
      </c>
      <c r="L174" s="80"/>
      <c r="O174" s="60">
        <v>34</v>
      </c>
      <c r="P174" s="70">
        <f t="shared" ref="P174:R205" si="47">P$135*SQRT($H174)</f>
        <v>8488.7355497951758</v>
      </c>
      <c r="Q174" s="70">
        <f t="shared" si="47"/>
        <v>12128.848915524271</v>
      </c>
      <c r="R174" s="71">
        <f t="shared" si="47"/>
        <v>13447.730569773945</v>
      </c>
      <c r="T174" s="60">
        <v>34</v>
      </c>
      <c r="U174" s="70">
        <f>B174+I174-P174</f>
        <v>8092.4638728444297</v>
      </c>
      <c r="V174" s="70">
        <f>C174+J174-Q174</f>
        <v>11497.220014467999</v>
      </c>
      <c r="W174" s="71">
        <f t="shared" si="44"/>
        <v>13656.058286796409</v>
      </c>
    </row>
    <row r="175" spans="1:23" x14ac:dyDescent="0.2">
      <c r="A175" s="60">
        <v>35</v>
      </c>
      <c r="B175" s="70">
        <f t="shared" si="45"/>
        <v>7154.3612526833549</v>
      </c>
      <c r="C175" s="70">
        <f t="shared" si="45"/>
        <v>10559.385017753604</v>
      </c>
      <c r="D175" s="71">
        <f t="shared" si="45"/>
        <v>12731.82799113223</v>
      </c>
      <c r="E175" s="80"/>
      <c r="F175" s="5"/>
      <c r="G175" s="6"/>
      <c r="H175" s="60">
        <v>35</v>
      </c>
      <c r="I175" s="70">
        <f t="shared" si="46"/>
        <v>9668.9122801578469</v>
      </c>
      <c r="J175" s="70">
        <f t="shared" si="46"/>
        <v>13411.608273137463</v>
      </c>
      <c r="K175" s="71">
        <f t="shared" si="46"/>
        <v>14767.657545956166</v>
      </c>
      <c r="L175" s="80"/>
      <c r="O175" s="60">
        <v>35</v>
      </c>
      <c r="P175" s="70">
        <f t="shared" si="47"/>
        <v>8612.6652518978844</v>
      </c>
      <c r="Q175" s="70">
        <f t="shared" si="47"/>
        <v>12305.92176979477</v>
      </c>
      <c r="R175" s="71">
        <f t="shared" si="47"/>
        <v>13644.058189322626</v>
      </c>
      <c r="T175" s="60">
        <v>35</v>
      </c>
      <c r="U175" s="70">
        <f>B175+I175-P175</f>
        <v>8210.6082809433174</v>
      </c>
      <c r="V175" s="70">
        <f>C175+J175-Q175</f>
        <v>11665.071521096297</v>
      </c>
      <c r="W175" s="71">
        <f t="shared" si="44"/>
        <v>13855.42734776577</v>
      </c>
    </row>
    <row r="176" spans="1:23" x14ac:dyDescent="0.2">
      <c r="A176" s="60">
        <v>36</v>
      </c>
      <c r="B176" s="70">
        <f t="shared" si="45"/>
        <v>7255.8466230842123</v>
      </c>
      <c r="C176" s="70">
        <f t="shared" si="45"/>
        <v>10709.171010085212</v>
      </c>
      <c r="D176" s="71">
        <f t="shared" si="45"/>
        <v>12912.43031661243</v>
      </c>
      <c r="E176" s="80"/>
      <c r="F176" s="5"/>
      <c r="G176" s="6"/>
      <c r="H176" s="60">
        <v>36</v>
      </c>
      <c r="I176" s="70">
        <f t="shared" si="46"/>
        <v>9806.0668226066482</v>
      </c>
      <c r="J176" s="70">
        <f t="shared" si="46"/>
        <v>13601.853353753158</v>
      </c>
      <c r="K176" s="71">
        <f t="shared" si="46"/>
        <v>14977.138328806244</v>
      </c>
      <c r="L176" s="80"/>
      <c r="O176" s="60">
        <v>36</v>
      </c>
      <c r="P176" s="70">
        <f t="shared" si="47"/>
        <v>8734.836818632737</v>
      </c>
      <c r="Q176" s="70">
        <f t="shared" si="47"/>
        <v>12480.48257051799</v>
      </c>
      <c r="R176" s="71">
        <f t="shared" si="47"/>
        <v>13837.600596563374</v>
      </c>
      <c r="T176" s="60">
        <v>36</v>
      </c>
      <c r="U176" s="70">
        <f>B176+I176-P176</f>
        <v>8327.0766270581244</v>
      </c>
      <c r="V176" s="70">
        <f>C176+J176-Q176</f>
        <v>11830.541793320379</v>
      </c>
      <c r="W176" s="71">
        <f t="shared" si="44"/>
        <v>14051.968048855299</v>
      </c>
    </row>
    <row r="177" spans="1:23" x14ac:dyDescent="0.2">
      <c r="A177" s="60">
        <v>37</v>
      </c>
      <c r="B177" s="70">
        <f t="shared" si="45"/>
        <v>7355.931994081252</v>
      </c>
      <c r="C177" s="70">
        <f t="shared" si="45"/>
        <v>10856.89069178371</v>
      </c>
      <c r="D177" s="71">
        <f t="shared" si="45"/>
        <v>13090.541217496144</v>
      </c>
      <c r="E177" s="80"/>
      <c r="F177" s="5"/>
      <c r="G177" s="6"/>
      <c r="H177" s="60">
        <v>37</v>
      </c>
      <c r="I177" s="70">
        <f t="shared" si="46"/>
        <v>9941.3293063587062</v>
      </c>
      <c r="J177" s="70">
        <f t="shared" si="46"/>
        <v>13789.473987136815</v>
      </c>
      <c r="K177" s="71">
        <f t="shared" si="46"/>
        <v>15183.72930625932</v>
      </c>
      <c r="L177" s="80"/>
      <c r="O177" s="60">
        <v>37</v>
      </c>
      <c r="P177" s="70">
        <f t="shared" si="47"/>
        <v>8855.3230181080853</v>
      </c>
      <c r="Q177" s="70">
        <f t="shared" si="47"/>
        <v>12652.635289997806</v>
      </c>
      <c r="R177" s="71">
        <f t="shared" si="47"/>
        <v>14028.473069667996</v>
      </c>
      <c r="T177" s="60">
        <v>37</v>
      </c>
      <c r="U177" s="70">
        <f>B177+I177-P177</f>
        <v>8441.938282331872</v>
      </c>
      <c r="V177" s="70">
        <f>C177+J177-Q177</f>
        <v>11993.729388922717</v>
      </c>
      <c r="W177" s="71">
        <f t="shared" si="44"/>
        <v>14245.797454087466</v>
      </c>
    </row>
    <row r="178" spans="1:23" x14ac:dyDescent="0.2">
      <c r="A178" s="60">
        <v>38</v>
      </c>
      <c r="B178" s="70">
        <f t="shared" si="45"/>
        <v>7454.6737544559128</v>
      </c>
      <c r="C178" s="70">
        <f t="shared" si="45"/>
        <v>11002.627289126451</v>
      </c>
      <c r="D178" s="71">
        <f t="shared" si="45"/>
        <v>13266.261042681133</v>
      </c>
      <c r="E178" s="80"/>
      <c r="F178" s="5"/>
      <c r="G178" s="6"/>
      <c r="H178" s="60">
        <v>38</v>
      </c>
      <c r="I178" s="70">
        <f t="shared" si="46"/>
        <v>10074.775939220986</v>
      </c>
      <c r="J178" s="70">
        <f t="shared" si="46"/>
        <v>13974.575880034417</v>
      </c>
      <c r="K178" s="71">
        <f t="shared" si="46"/>
        <v>15387.546873082763</v>
      </c>
      <c r="L178" s="80"/>
      <c r="O178" s="60">
        <v>38</v>
      </c>
      <c r="P178" s="70">
        <f t="shared" si="47"/>
        <v>8974.1917330714368</v>
      </c>
      <c r="Q178" s="70">
        <f t="shared" si="47"/>
        <v>12822.476920251891</v>
      </c>
      <c r="R178" s="71">
        <f t="shared" si="47"/>
        <v>14216.783147491185</v>
      </c>
      <c r="T178" s="60">
        <v>38</v>
      </c>
      <c r="U178" s="70">
        <f>B178+I178-P178</f>
        <v>8555.2579606054624</v>
      </c>
      <c r="V178" s="70">
        <f>C178+J178-Q178</f>
        <v>12154.726248908977</v>
      </c>
      <c r="W178" s="71">
        <f t="shared" si="44"/>
        <v>14437.024768272711</v>
      </c>
    </row>
    <row r="179" spans="1:23" x14ac:dyDescent="0.2">
      <c r="A179" s="60">
        <v>39</v>
      </c>
      <c r="B179" s="70">
        <f t="shared" si="45"/>
        <v>7552.1246063077806</v>
      </c>
      <c r="C179" s="70">
        <f t="shared" si="45"/>
        <v>11146.458587081384</v>
      </c>
      <c r="D179" s="71">
        <f t="shared" si="45"/>
        <v>13439.683580283905</v>
      </c>
      <c r="E179" s="80"/>
      <c r="F179" s="5"/>
      <c r="G179" s="6"/>
      <c r="H179" s="60">
        <v>39</v>
      </c>
      <c r="I179" s="70">
        <f t="shared" si="46"/>
        <v>10206.477946556577</v>
      </c>
      <c r="J179" s="70">
        <f t="shared" si="46"/>
        <v>14157.25782811617</v>
      </c>
      <c r="K179" s="71">
        <f t="shared" si="46"/>
        <v>15588.699814188489</v>
      </c>
      <c r="L179" s="80"/>
      <c r="O179" s="60">
        <v>39</v>
      </c>
      <c r="P179" s="70">
        <f t="shared" si="47"/>
        <v>9091.5064081163455</v>
      </c>
      <c r="Q179" s="70">
        <f t="shared" si="47"/>
        <v>12990.098111988491</v>
      </c>
      <c r="R179" s="71">
        <f t="shared" si="47"/>
        <v>14402.631338029125</v>
      </c>
      <c r="T179" s="60">
        <v>39</v>
      </c>
      <c r="U179" s="70">
        <f>B179+I179-P179</f>
        <v>8667.0961447480131</v>
      </c>
      <c r="V179" s="70">
        <f>C179+J179-Q179</f>
        <v>12313.618303209061</v>
      </c>
      <c r="W179" s="71">
        <f t="shared" si="44"/>
        <v>14625.752056443271</v>
      </c>
    </row>
    <row r="180" spans="1:23" x14ac:dyDescent="0.2">
      <c r="A180" s="60">
        <v>40</v>
      </c>
      <c r="B180" s="70">
        <f t="shared" si="45"/>
        <v>7648.333893929127</v>
      </c>
      <c r="C180" s="70">
        <f t="shared" si="45"/>
        <v>11288.457414705103</v>
      </c>
      <c r="D180" s="71">
        <f t="shared" si="45"/>
        <v>13610.896642901469</v>
      </c>
      <c r="E180" s="80"/>
      <c r="F180" s="5"/>
      <c r="G180" s="6"/>
      <c r="H180" s="60">
        <v>40</v>
      </c>
      <c r="I180" s="70">
        <f t="shared" si="46"/>
        <v>10336.502015749111</v>
      </c>
      <c r="J180" s="70">
        <f t="shared" si="46"/>
        <v>14337.612332486655</v>
      </c>
      <c r="K180" s="71">
        <f t="shared" si="46"/>
        <v>15787.289983478522</v>
      </c>
      <c r="L180" s="80"/>
      <c r="O180" s="60">
        <v>40</v>
      </c>
      <c r="P180" s="70">
        <f t="shared" si="47"/>
        <v>9207.3264455928474</v>
      </c>
      <c r="Q180" s="70">
        <f t="shared" si="47"/>
        <v>13155.583740289958</v>
      </c>
      <c r="R180" s="71">
        <f t="shared" si="47"/>
        <v>14586.111745614999</v>
      </c>
      <c r="T180" s="60">
        <v>40</v>
      </c>
      <c r="U180" s="70">
        <f>B180+I180-P180</f>
        <v>8777.5094640853895</v>
      </c>
      <c r="V180" s="70">
        <f>C180+J180-Q180</f>
        <v>12470.486006901801</v>
      </c>
      <c r="W180" s="71">
        <f t="shared" si="44"/>
        <v>14812.074880764991</v>
      </c>
    </row>
    <row r="181" spans="1:23" x14ac:dyDescent="0.2">
      <c r="A181" s="60">
        <v>41</v>
      </c>
      <c r="B181" s="70">
        <f t="shared" ref="B181:D200" si="48">SQRT($A181)*B$135</f>
        <v>7743.3478958943006</v>
      </c>
      <c r="C181" s="70">
        <f t="shared" si="48"/>
        <v>11428.692076248308</v>
      </c>
      <c r="D181" s="71">
        <f t="shared" si="48"/>
        <v>13779.982587410628</v>
      </c>
      <c r="E181" s="80"/>
      <c r="F181" s="5"/>
      <c r="G181" s="6"/>
      <c r="H181" s="60">
        <v>41</v>
      </c>
      <c r="I181" s="70">
        <f t="shared" si="46"/>
        <v>10464.910690953126</v>
      </c>
      <c r="J181" s="70">
        <f t="shared" si="46"/>
        <v>14515.726147237356</v>
      </c>
      <c r="K181" s="71">
        <f t="shared" si="46"/>
        <v>15983.412906760628</v>
      </c>
      <c r="L181" s="80"/>
      <c r="O181" s="60">
        <v>41</v>
      </c>
      <c r="P181" s="70">
        <f t="shared" si="47"/>
        <v>9321.7075572346857</v>
      </c>
      <c r="Q181" s="70">
        <f t="shared" si="47"/>
        <v>13319.013407023662</v>
      </c>
      <c r="R181" s="71">
        <f t="shared" si="47"/>
        <v>14767.312627961697</v>
      </c>
      <c r="T181" s="60">
        <v>41</v>
      </c>
      <c r="U181" s="70">
        <f>B181+I181-P181</f>
        <v>8886.5510296127413</v>
      </c>
      <c r="V181" s="70">
        <f>C181+J181-Q181</f>
        <v>12625.404816462002</v>
      </c>
      <c r="W181" s="71">
        <f t="shared" si="44"/>
        <v>14996.082866209561</v>
      </c>
    </row>
    <row r="182" spans="1:23" x14ac:dyDescent="0.2">
      <c r="A182" s="60">
        <v>42</v>
      </c>
      <c r="B182" s="70">
        <f t="shared" si="48"/>
        <v>7837.2100852711819</v>
      </c>
      <c r="C182" s="70">
        <f t="shared" si="48"/>
        <v>11567.226735211476</v>
      </c>
      <c r="D182" s="71">
        <f t="shared" si="48"/>
        <v>13947.018778037613</v>
      </c>
      <c r="E182" s="80"/>
      <c r="F182" s="5"/>
      <c r="G182" s="6"/>
      <c r="H182" s="60">
        <v>42</v>
      </c>
      <c r="I182" s="70">
        <f t="shared" si="46"/>
        <v>10591.762724762328</v>
      </c>
      <c r="J182" s="70">
        <f t="shared" si="46"/>
        <v>14691.680767240592</v>
      </c>
      <c r="K182" s="71">
        <f t="shared" si="46"/>
        <v>16177.158318863152</v>
      </c>
      <c r="L182" s="80"/>
      <c r="O182" s="60">
        <v>42</v>
      </c>
      <c r="P182" s="70">
        <f t="shared" si="47"/>
        <v>9434.7020774107696</v>
      </c>
      <c r="Q182" s="70">
        <f t="shared" si="47"/>
        <v>13480.461888420983</v>
      </c>
      <c r="R182" s="71">
        <f t="shared" si="47"/>
        <v>14946.31689241019</v>
      </c>
      <c r="T182" s="60">
        <v>42</v>
      </c>
      <c r="U182" s="70">
        <f>B182+I182-P182</f>
        <v>8994.2707326227392</v>
      </c>
      <c r="V182" s="70">
        <f>C182+J182-Q182</f>
        <v>12778.445614031085</v>
      </c>
      <c r="W182" s="71">
        <f t="shared" si="44"/>
        <v>15177.860204490573</v>
      </c>
    </row>
    <row r="183" spans="1:23" x14ac:dyDescent="0.2">
      <c r="A183" s="60">
        <v>43</v>
      </c>
      <c r="B183" s="70">
        <f t="shared" si="48"/>
        <v>7929.9613621064982</v>
      </c>
      <c r="C183" s="70">
        <f t="shared" si="48"/>
        <v>11704.12175747849</v>
      </c>
      <c r="D183" s="71">
        <f t="shared" si="48"/>
        <v>14112.078000086573</v>
      </c>
      <c r="E183" s="80"/>
      <c r="F183" s="5"/>
      <c r="G183" s="6"/>
      <c r="H183" s="60">
        <v>43</v>
      </c>
      <c r="I183" s="70">
        <f t="shared" si="46"/>
        <v>10717.113392406758</v>
      </c>
      <c r="J183" s="70">
        <f t="shared" si="46"/>
        <v>14865.552863967889</v>
      </c>
      <c r="K183" s="71">
        <f t="shared" si="46"/>
        <v>16368.610643519025</v>
      </c>
      <c r="L183" s="80"/>
      <c r="O183" s="60">
        <v>43</v>
      </c>
      <c r="P183" s="70">
        <f t="shared" si="47"/>
        <v>9546.3592429989731</v>
      </c>
      <c r="Q183" s="70">
        <f t="shared" si="47"/>
        <v>13639.999534965722</v>
      </c>
      <c r="R183" s="71">
        <f t="shared" si="47"/>
        <v>15123.202539301501</v>
      </c>
      <c r="T183" s="60">
        <v>43</v>
      </c>
      <c r="U183" s="70">
        <f>B183+I183-P183</f>
        <v>9100.7155115142814</v>
      </c>
      <c r="V183" s="70">
        <f>C183+J183-Q183</f>
        <v>12929.675086480656</v>
      </c>
      <c r="W183" s="71">
        <f t="shared" si="44"/>
        <v>15357.486104304096</v>
      </c>
    </row>
    <row r="184" spans="1:23" x14ac:dyDescent="0.2">
      <c r="A184" s="60">
        <v>44</v>
      </c>
      <c r="B184" s="70">
        <f t="shared" si="48"/>
        <v>8021.6402617125368</v>
      </c>
      <c r="C184" s="70">
        <f t="shared" si="48"/>
        <v>11839.434018734664</v>
      </c>
      <c r="D184" s="71">
        <f t="shared" si="48"/>
        <v>14275.22883060447</v>
      </c>
      <c r="E184" s="80"/>
      <c r="F184" s="5"/>
      <c r="G184" s="6"/>
      <c r="H184" s="60">
        <v>44</v>
      </c>
      <c r="I184" s="70">
        <f t="shared" si="46"/>
        <v>10841.014773246274</v>
      </c>
      <c r="J184" s="70">
        <f t="shared" si="46"/>
        <v>15037.414675945489</v>
      </c>
      <c r="K184" s="71">
        <f t="shared" si="46"/>
        <v>16557.849423300278</v>
      </c>
      <c r="L184" s="80"/>
      <c r="O184" s="60">
        <v>44</v>
      </c>
      <c r="P184" s="70">
        <f t="shared" si="47"/>
        <v>9656.7254441288096</v>
      </c>
      <c r="Q184" s="70">
        <f t="shared" si="47"/>
        <v>13797.692629659485</v>
      </c>
      <c r="R184" s="71">
        <f t="shared" si="47"/>
        <v>15298.043059199585</v>
      </c>
      <c r="T184" s="60">
        <v>44</v>
      </c>
      <c r="U184" s="70">
        <f>B184+I184-P184</f>
        <v>9205.929590830001</v>
      </c>
      <c r="V184" s="70">
        <f>C184+J184-Q184</f>
        <v>13079.156065020668</v>
      </c>
      <c r="W184" s="71">
        <f t="shared" si="44"/>
        <v>15535.035194705166</v>
      </c>
    </row>
    <row r="185" spans="1:23" x14ac:dyDescent="0.2">
      <c r="A185" s="60">
        <v>45</v>
      </c>
      <c r="B185" s="70">
        <f t="shared" si="48"/>
        <v>8112.2831417642974</v>
      </c>
      <c r="C185" s="70">
        <f t="shared" si="48"/>
        <v>11973.217180610311</v>
      </c>
      <c r="D185" s="71">
        <f t="shared" si="48"/>
        <v>14436.535971337264</v>
      </c>
      <c r="E185" s="80"/>
      <c r="F185" s="5"/>
      <c r="G185" s="6"/>
      <c r="H185" s="60">
        <v>45</v>
      </c>
      <c r="I185" s="70">
        <f t="shared" si="46"/>
        <v>10963.516003626921</v>
      </c>
      <c r="J185" s="70">
        <f t="shared" si="46"/>
        <v>15207.334359487781</v>
      </c>
      <c r="K185" s="71">
        <f t="shared" si="46"/>
        <v>16744.949705814179</v>
      </c>
      <c r="L185" s="80"/>
      <c r="O185" s="60">
        <v>45</v>
      </c>
      <c r="P185" s="70">
        <f t="shared" si="47"/>
        <v>9765.844449415401</v>
      </c>
      <c r="Q185" s="70">
        <f t="shared" si="47"/>
        <v>13953.60370983977</v>
      </c>
      <c r="R185" s="71">
        <f t="shared" si="47"/>
        <v>15470.907789703673</v>
      </c>
      <c r="T185" s="60">
        <v>45</v>
      </c>
      <c r="U185" s="70">
        <f>B185+I185-P185</f>
        <v>9309.9546959758172</v>
      </c>
      <c r="V185" s="70">
        <f>C185+J185-Q185</f>
        <v>13226.947830258321</v>
      </c>
      <c r="W185" s="71">
        <f t="shared" si="44"/>
        <v>15710.577887447769</v>
      </c>
    </row>
    <row r="186" spans="1:23" x14ac:dyDescent="0.2">
      <c r="A186" s="60">
        <v>46</v>
      </c>
      <c r="B186" s="70">
        <f t="shared" si="48"/>
        <v>8201.9243507837127</v>
      </c>
      <c r="C186" s="70">
        <f t="shared" si="48"/>
        <v>12105.52193935281</v>
      </c>
      <c r="D186" s="71">
        <f t="shared" si="48"/>
        <v>14596.060548562698</v>
      </c>
      <c r="E186" s="80"/>
      <c r="F186" s="5"/>
      <c r="G186" s="6"/>
      <c r="H186" s="60">
        <v>46</v>
      </c>
      <c r="I186" s="70">
        <f t="shared" si="46"/>
        <v>11084.663504582501</v>
      </c>
      <c r="J186" s="70">
        <f t="shared" si="46"/>
        <v>15375.376304538839</v>
      </c>
      <c r="K186" s="71">
        <f t="shared" si="46"/>
        <v>16929.982391479545</v>
      </c>
      <c r="L186" s="80"/>
      <c r="O186" s="60">
        <v>46</v>
      </c>
      <c r="P186" s="70">
        <f t="shared" si="47"/>
        <v>9873.7576087865564</v>
      </c>
      <c r="Q186" s="70">
        <f t="shared" si="47"/>
        <v>14107.791856982749</v>
      </c>
      <c r="R186" s="71">
        <f t="shared" si="47"/>
        <v>15641.862236763976</v>
      </c>
      <c r="T186" s="60">
        <v>46</v>
      </c>
      <c r="U186" s="70">
        <f>B186+I186-P186</f>
        <v>9412.8302465796551</v>
      </c>
      <c r="V186" s="70">
        <f>C186+J186-Q186</f>
        <v>13373.106386908901</v>
      </c>
      <c r="W186" s="71">
        <f t="shared" si="44"/>
        <v>15884.180703278267</v>
      </c>
    </row>
    <row r="187" spans="1:23" x14ac:dyDescent="0.2">
      <c r="A187" s="60">
        <v>47</v>
      </c>
      <c r="B187" s="70">
        <f t="shared" si="48"/>
        <v>8290.5963802252772</v>
      </c>
      <c r="C187" s="70">
        <f t="shared" si="48"/>
        <v>12236.396250295364</v>
      </c>
      <c r="D187" s="71">
        <f t="shared" si="48"/>
        <v>14753.860383740321</v>
      </c>
      <c r="E187" s="80"/>
      <c r="F187" s="5"/>
      <c r="G187" s="6"/>
      <c r="H187" s="60">
        <v>47</v>
      </c>
      <c r="I187" s="70">
        <f t="shared" si="46"/>
        <v>11204.501187373888</v>
      </c>
      <c r="J187" s="70">
        <f t="shared" si="46"/>
        <v>15541.601419773036</v>
      </c>
      <c r="K187" s="71">
        <f t="shared" si="46"/>
        <v>17113.014547453888</v>
      </c>
      <c r="L187" s="80"/>
      <c r="O187" s="60">
        <v>47</v>
      </c>
      <c r="P187" s="70">
        <f t="shared" si="47"/>
        <v>9980.5040365686564</v>
      </c>
      <c r="Q187" s="70">
        <f t="shared" si="47"/>
        <v>14260.312958299452</v>
      </c>
      <c r="R187" s="71">
        <f t="shared" si="47"/>
        <v>15810.968364723652</v>
      </c>
      <c r="T187" s="60">
        <v>47</v>
      </c>
      <c r="U187" s="70">
        <f>B187+I187-P187</f>
        <v>9514.5935310305085</v>
      </c>
      <c r="V187" s="70">
        <f>C187+J187-Q187</f>
        <v>13517.684711768947</v>
      </c>
      <c r="W187" s="71">
        <f t="shared" si="44"/>
        <v>16055.906566470556</v>
      </c>
    </row>
    <row r="188" spans="1:23" x14ac:dyDescent="0.2">
      <c r="A188" s="60">
        <v>48</v>
      </c>
      <c r="B188" s="70">
        <f t="shared" si="48"/>
        <v>8378.3300020726128</v>
      </c>
      <c r="C188" s="70">
        <f t="shared" si="48"/>
        <v>12365.885530940868</v>
      </c>
      <c r="D188" s="71">
        <f t="shared" si="48"/>
        <v>14909.990238376942</v>
      </c>
      <c r="E188" s="80"/>
      <c r="F188" s="5"/>
      <c r="G188" s="6"/>
      <c r="H188" s="60">
        <v>48</v>
      </c>
      <c r="I188" s="70">
        <f t="shared" si="46"/>
        <v>11323.070639446814</v>
      </c>
      <c r="J188" s="70">
        <f t="shared" si="46"/>
        <v>15706.067390534401</v>
      </c>
      <c r="K188" s="71">
        <f t="shared" si="46"/>
        <v>17294.109691653091</v>
      </c>
      <c r="L188" s="80"/>
      <c r="O188" s="60">
        <v>48</v>
      </c>
      <c r="P188" s="70">
        <f t="shared" si="47"/>
        <v>10086.120777130129</v>
      </c>
      <c r="Q188" s="70">
        <f t="shared" si="47"/>
        <v>14411.219943409988</v>
      </c>
      <c r="R188" s="71">
        <f t="shared" si="47"/>
        <v>15978.284858728779</v>
      </c>
      <c r="T188" s="60">
        <v>48</v>
      </c>
      <c r="U188" s="70">
        <f>B188+I188-P188</f>
        <v>9615.2798643892984</v>
      </c>
      <c r="V188" s="70">
        <f>C188+J188-Q188</f>
        <v>13660.732978065282</v>
      </c>
      <c r="W188" s="71">
        <f t="shared" si="44"/>
        <v>16225.815071301253</v>
      </c>
    </row>
    <row r="189" spans="1:23" x14ac:dyDescent="0.2">
      <c r="A189" s="60">
        <v>49</v>
      </c>
      <c r="B189" s="70">
        <f t="shared" si="48"/>
        <v>8465.1543935982481</v>
      </c>
      <c r="C189" s="70">
        <f t="shared" si="48"/>
        <v>12494.032845099415</v>
      </c>
      <c r="D189" s="71">
        <f t="shared" si="48"/>
        <v>15064.502036047836</v>
      </c>
      <c r="E189" s="80"/>
      <c r="F189" s="5"/>
      <c r="G189" s="6"/>
      <c r="H189" s="60">
        <v>49</v>
      </c>
      <c r="I189" s="70">
        <f t="shared" si="46"/>
        <v>11440.41129304109</v>
      </c>
      <c r="J189" s="70">
        <f t="shared" si="46"/>
        <v>15868.828912712019</v>
      </c>
      <c r="K189" s="71">
        <f t="shared" si="46"/>
        <v>17473.328050273951</v>
      </c>
      <c r="L189" s="80"/>
      <c r="O189" s="60">
        <v>49</v>
      </c>
      <c r="P189" s="70">
        <f t="shared" si="47"/>
        <v>10190.642955071526</v>
      </c>
      <c r="Q189" s="70">
        <f t="shared" si="47"/>
        <v>14560.562998937656</v>
      </c>
      <c r="R189" s="71">
        <f t="shared" si="47"/>
        <v>16143.867362657269</v>
      </c>
      <c r="T189" s="60">
        <v>49</v>
      </c>
      <c r="U189" s="70">
        <f>B189+I189-P189</f>
        <v>9714.9227315678145</v>
      </c>
      <c r="V189" s="70">
        <f>C189+J189-Q189</f>
        <v>13802.29875887378</v>
      </c>
      <c r="W189" s="71">
        <f t="shared" si="44"/>
        <v>16393.962723664517</v>
      </c>
    </row>
    <row r="190" spans="1:23" x14ac:dyDescent="0.2">
      <c r="A190" s="60">
        <v>50</v>
      </c>
      <c r="B190" s="70">
        <f t="shared" si="48"/>
        <v>8551.097250720597</v>
      </c>
      <c r="C190" s="70">
        <f t="shared" si="48"/>
        <v>12620.879070196072</v>
      </c>
      <c r="D190" s="71">
        <f t="shared" si="48"/>
        <v>15217.445064125683</v>
      </c>
      <c r="E190" s="80"/>
      <c r="F190" s="74"/>
      <c r="G190" s="75"/>
      <c r="H190" s="60">
        <v>50</v>
      </c>
      <c r="I190" s="70">
        <f t="shared" si="46"/>
        <v>11556.560578389306</v>
      </c>
      <c r="J190" s="70">
        <f t="shared" si="46"/>
        <v>16029.937905239738</v>
      </c>
      <c r="K190" s="71">
        <f t="shared" si="46"/>
        <v>17650.726791779751</v>
      </c>
      <c r="L190" s="80"/>
      <c r="O190" s="60">
        <v>50</v>
      </c>
      <c r="P190" s="70">
        <f t="shared" si="47"/>
        <v>10294.103911688564</v>
      </c>
      <c r="Q190" s="70">
        <f t="shared" si="47"/>
        <v>14708.389763489642</v>
      </c>
      <c r="R190" s="71">
        <f t="shared" si="47"/>
        <v>16307.768695301627</v>
      </c>
      <c r="T190" s="60">
        <v>50</v>
      </c>
      <c r="U190" s="70">
        <f>B190+I190-P190</f>
        <v>9813.5539174213391</v>
      </c>
      <c r="V190" s="70">
        <f>C190+J190-Q190</f>
        <v>13942.427211946168</v>
      </c>
      <c r="W190" s="71">
        <f t="shared" si="44"/>
        <v>16560.403160603808</v>
      </c>
    </row>
    <row r="191" spans="1:23" x14ac:dyDescent="0.2">
      <c r="A191" s="60">
        <v>51</v>
      </c>
      <c r="B191" s="70">
        <f t="shared" si="48"/>
        <v>8636.1848912067053</v>
      </c>
      <c r="C191" s="70">
        <f t="shared" si="48"/>
        <v>12746.463049591583</v>
      </c>
      <c r="D191" s="71">
        <f t="shared" si="48"/>
        <v>15368.866157439095</v>
      </c>
      <c r="E191" s="80"/>
      <c r="F191" s="5"/>
      <c r="G191" s="6"/>
      <c r="H191" s="60">
        <v>51</v>
      </c>
      <c r="I191" s="70">
        <f t="shared" si="46"/>
        <v>11671.55406319233</v>
      </c>
      <c r="J191" s="70">
        <f t="shared" si="46"/>
        <v>16189.443703560621</v>
      </c>
      <c r="K191" s="71">
        <f t="shared" si="46"/>
        <v>17826.360239925943</v>
      </c>
      <c r="L191" s="80"/>
      <c r="O191" s="60">
        <v>51</v>
      </c>
      <c r="P191" s="70">
        <f t="shared" si="47"/>
        <v>10396.535329211103</v>
      </c>
      <c r="Q191" s="70">
        <f t="shared" si="47"/>
        <v>14854.745505171788</v>
      </c>
      <c r="R191" s="71">
        <f t="shared" si="47"/>
        <v>16470.039047186528</v>
      </c>
      <c r="T191" s="60">
        <v>51</v>
      </c>
      <c r="U191" s="70">
        <f>B191+I191-P191</f>
        <v>9911.2036251879326</v>
      </c>
      <c r="V191" s="70">
        <f>C191+J191-Q191</f>
        <v>14081.161247980413</v>
      </c>
      <c r="W191" s="71">
        <f t="shared" si="44"/>
        <v>16725.187350178512</v>
      </c>
    </row>
    <row r="192" spans="1:23" x14ac:dyDescent="0.2">
      <c r="A192" s="60">
        <v>52</v>
      </c>
      <c r="B192" s="70">
        <f t="shared" si="48"/>
        <v>8720.4423488107859</v>
      </c>
      <c r="C192" s="70">
        <f t="shared" si="48"/>
        <v>12870.821731524906</v>
      </c>
      <c r="D192" s="71">
        <f t="shared" si="48"/>
        <v>15518.809865800611</v>
      </c>
      <c r="E192" s="80"/>
      <c r="F192" s="5"/>
      <c r="G192" s="6"/>
      <c r="H192" s="60">
        <v>52</v>
      </c>
      <c r="I192" s="70">
        <f t="shared" si="46"/>
        <v>11785.425579844838</v>
      </c>
      <c r="J192" s="70">
        <f t="shared" si="46"/>
        <v>16347.393236099613</v>
      </c>
      <c r="K192" s="71">
        <f t="shared" si="46"/>
        <v>18000.280068075983</v>
      </c>
      <c r="L192" s="80"/>
      <c r="O192" s="60">
        <v>52</v>
      </c>
      <c r="P192" s="70">
        <f t="shared" si="47"/>
        <v>10497.967344130358</v>
      </c>
      <c r="Q192" s="70">
        <f t="shared" si="47"/>
        <v>14999.673283512409</v>
      </c>
      <c r="R192" s="71">
        <f t="shared" si="47"/>
        <v>16630.726160100108</v>
      </c>
      <c r="T192" s="60">
        <v>52</v>
      </c>
      <c r="U192" s="70">
        <f>B192+I192-P192</f>
        <v>10007.900584525263</v>
      </c>
      <c r="V192" s="70">
        <f>C192+J192-Q192</f>
        <v>14218.541684112108</v>
      </c>
      <c r="W192" s="71">
        <f t="shared" si="44"/>
        <v>16888.363773776488</v>
      </c>
    </row>
    <row r="193" spans="1:23" x14ac:dyDescent="0.2">
      <c r="A193" s="60">
        <v>53</v>
      </c>
      <c r="B193" s="70">
        <f t="shared" si="48"/>
        <v>8803.8934593030044</v>
      </c>
      <c r="C193" s="70">
        <f t="shared" si="48"/>
        <v>12993.990296086266</v>
      </c>
      <c r="D193" s="71">
        <f t="shared" si="48"/>
        <v>15667.318607102621</v>
      </c>
      <c r="E193" s="80"/>
      <c r="F193" s="5"/>
      <c r="G193" s="6"/>
      <c r="H193" s="60">
        <v>53</v>
      </c>
      <c r="I193" s="70">
        <f t="shared" si="46"/>
        <v>11898.207341700709</v>
      </c>
      <c r="J193" s="70">
        <f t="shared" si="46"/>
        <v>16503.831185533625</v>
      </c>
      <c r="K193" s="71">
        <f t="shared" si="46"/>
        <v>18172.535476777437</v>
      </c>
      <c r="L193" s="80"/>
      <c r="O193" s="60">
        <v>53</v>
      </c>
      <c r="P193" s="70">
        <f t="shared" si="47"/>
        <v>10598.428650763295</v>
      </c>
      <c r="Q193" s="70">
        <f t="shared" si="47"/>
        <v>15143.214097436861</v>
      </c>
      <c r="R193" s="71">
        <f t="shared" si="47"/>
        <v>16789.875491159168</v>
      </c>
      <c r="T193" s="60">
        <v>53</v>
      </c>
      <c r="U193" s="70">
        <f>B193+I193-P193</f>
        <v>10103.672150240416</v>
      </c>
      <c r="V193" s="70">
        <f>C193+J193-Q193</f>
        <v>14354.607384183028</v>
      </c>
      <c r="W193" s="71">
        <f t="shared" si="44"/>
        <v>17049.978592720887</v>
      </c>
    </row>
    <row r="194" spans="1:23" x14ac:dyDescent="0.2">
      <c r="A194" s="60">
        <v>54</v>
      </c>
      <c r="B194" s="70">
        <f t="shared" si="48"/>
        <v>8886.5609392263705</v>
      </c>
      <c r="C194" s="70">
        <f t="shared" si="48"/>
        <v>13116.002271457348</v>
      </c>
      <c r="D194" s="71">
        <f t="shared" si="48"/>
        <v>15814.432807472347</v>
      </c>
      <c r="E194" s="80"/>
      <c r="F194" s="5"/>
      <c r="G194" s="6"/>
      <c r="H194" s="60">
        <v>54</v>
      </c>
      <c r="I194" s="70">
        <f t="shared" si="46"/>
        <v>12009.930049510709</v>
      </c>
      <c r="J194" s="70">
        <f t="shared" si="46"/>
        <v>16658.800136429669</v>
      </c>
      <c r="K194" s="71">
        <f t="shared" si="46"/>
        <v>18343.173356327843</v>
      </c>
      <c r="L194" s="80"/>
      <c r="O194" s="60">
        <v>54</v>
      </c>
      <c r="P194" s="70">
        <f t="shared" si="47"/>
        <v>10697.94659606287</v>
      </c>
      <c r="Q194" s="70">
        <f t="shared" si="47"/>
        <v>15285.407020734026</v>
      </c>
      <c r="R194" s="71">
        <f t="shared" si="47"/>
        <v>16947.530363006186</v>
      </c>
      <c r="T194" s="60">
        <v>54</v>
      </c>
      <c r="U194" s="70">
        <f>B194+I194-P194</f>
        <v>10198.544392674212</v>
      </c>
      <c r="V194" s="70">
        <f>C194+J194-Q194</f>
        <v>14489.395387152988</v>
      </c>
      <c r="W194" s="71">
        <f t="shared" si="44"/>
        <v>17210.075800794006</v>
      </c>
    </row>
    <row r="195" spans="1:23" x14ac:dyDescent="0.2">
      <c r="A195" s="60">
        <v>55</v>
      </c>
      <c r="B195" s="70">
        <f t="shared" si="48"/>
        <v>8968.4664581192192</v>
      </c>
      <c r="C195" s="70">
        <f t="shared" si="48"/>
        <v>13236.889640507115</v>
      </c>
      <c r="D195" s="71">
        <f t="shared" si="48"/>
        <v>15960.191029798214</v>
      </c>
      <c r="E195" s="80"/>
      <c r="F195" s="5"/>
      <c r="G195" s="6"/>
      <c r="H195" s="60">
        <v>55</v>
      </c>
      <c r="I195" s="70">
        <f t="shared" si="46"/>
        <v>12120.622989029067</v>
      </c>
      <c r="J195" s="70">
        <f t="shared" si="46"/>
        <v>16812.34071063354</v>
      </c>
      <c r="K195" s="71">
        <f t="shared" si="46"/>
        <v>18512.238435852556</v>
      </c>
      <c r="L195" s="80"/>
      <c r="O195" s="60">
        <v>55</v>
      </c>
      <c r="P195" s="70">
        <f t="shared" si="47"/>
        <v>10796.547266561933</v>
      </c>
      <c r="Q195" s="70">
        <f t="shared" si="47"/>
        <v>15426.289326283219</v>
      </c>
      <c r="R195" s="71">
        <f t="shared" si="47"/>
        <v>17103.732101544556</v>
      </c>
      <c r="T195" s="60">
        <v>55</v>
      </c>
      <c r="U195" s="70">
        <f>B195+I195-P195</f>
        <v>10292.542180586353</v>
      </c>
      <c r="V195" s="70">
        <f>C195+J195-Q195</f>
        <v>14622.941024857439</v>
      </c>
      <c r="W195" s="71">
        <f t="shared" si="44"/>
        <v>17368.697364106214</v>
      </c>
    </row>
    <row r="196" spans="1:23" x14ac:dyDescent="0.2">
      <c r="A196" s="60">
        <v>56</v>
      </c>
      <c r="B196" s="70">
        <f t="shared" si="48"/>
        <v>9049.6307048539329</v>
      </c>
      <c r="C196" s="70">
        <f t="shared" si="48"/>
        <v>13356.682938703563</v>
      </c>
      <c r="D196" s="71">
        <f t="shared" si="48"/>
        <v>16104.630091785561</v>
      </c>
      <c r="E196" s="80"/>
      <c r="F196" s="5"/>
      <c r="G196" s="6"/>
      <c r="H196" s="60">
        <v>56</v>
      </c>
      <c r="I196" s="70">
        <f t="shared" si="46"/>
        <v>12230.314120668347</v>
      </c>
      <c r="J196" s="70">
        <f t="shared" si="46"/>
        <v>16964.491691628806</v>
      </c>
      <c r="K196" s="71">
        <f t="shared" si="46"/>
        <v>18679.773420237671</v>
      </c>
      <c r="L196" s="80"/>
      <c r="O196" s="60">
        <v>56</v>
      </c>
      <c r="P196" s="70">
        <f t="shared" si="47"/>
        <v>10894.255568234059</v>
      </c>
      <c r="Q196" s="70">
        <f t="shared" si="47"/>
        <v>15565.89660016069</v>
      </c>
      <c r="R196" s="71">
        <f t="shared" si="47"/>
        <v>17258.520162452947</v>
      </c>
      <c r="T196" s="60">
        <v>56</v>
      </c>
      <c r="U196" s="70">
        <f>B196+I196-P196</f>
        <v>10385.689257288223</v>
      </c>
      <c r="V196" s="70">
        <f>C196+J196-Q196</f>
        <v>14755.278030171678</v>
      </c>
      <c r="W196" s="71">
        <f t="shared" si="44"/>
        <v>17525.883349570282</v>
      </c>
    </row>
    <row r="197" spans="1:23" x14ac:dyDescent="0.2">
      <c r="A197" s="60">
        <v>57</v>
      </c>
      <c r="B197" s="70">
        <f t="shared" si="48"/>
        <v>9130.0734486673628</v>
      </c>
      <c r="C197" s="70">
        <f t="shared" si="48"/>
        <v>13475.411344190763</v>
      </c>
      <c r="D197" s="71">
        <f t="shared" si="48"/>
        <v>16247.785174565754</v>
      </c>
      <c r="E197" s="80"/>
      <c r="F197" s="5"/>
      <c r="G197" s="6"/>
      <c r="H197" s="60">
        <v>57</v>
      </c>
      <c r="I197" s="70">
        <f t="shared" si="46"/>
        <v>12339.030161980285</v>
      </c>
      <c r="J197" s="70">
        <f t="shared" si="46"/>
        <v>17115.290138944758</v>
      </c>
      <c r="K197" s="71">
        <f t="shared" si="46"/>
        <v>18845.819116105798</v>
      </c>
      <c r="L197" s="80"/>
      <c r="O197" s="60">
        <v>57</v>
      </c>
      <c r="P197" s="70">
        <f t="shared" si="47"/>
        <v>10991.095299964041</v>
      </c>
      <c r="Q197" s="70">
        <f t="shared" si="47"/>
        <v>15704.262846615522</v>
      </c>
      <c r="R197" s="71">
        <f t="shared" si="47"/>
        <v>17411.932247576206</v>
      </c>
      <c r="T197" s="60">
        <v>57</v>
      </c>
      <c r="U197" s="70">
        <f>B197+I197-P197</f>
        <v>10478.008310683605</v>
      </c>
      <c r="V197" s="70">
        <f>C197+J197-Q197</f>
        <v>14886.438636519997</v>
      </c>
      <c r="W197" s="71">
        <f t="shared" si="44"/>
        <v>17681.672043095346</v>
      </c>
    </row>
    <row r="198" spans="1:23" x14ac:dyDescent="0.2">
      <c r="A198" s="60">
        <v>58</v>
      </c>
      <c r="B198" s="70">
        <f t="shared" si="48"/>
        <v>9209.8135953930341</v>
      </c>
      <c r="C198" s="70">
        <f t="shared" si="48"/>
        <v>13593.102760784066</v>
      </c>
      <c r="D198" s="71">
        <f t="shared" si="48"/>
        <v>16389.689922766458</v>
      </c>
      <c r="E198" s="80"/>
      <c r="F198" s="5"/>
      <c r="G198" s="6"/>
      <c r="H198" s="60">
        <v>58</v>
      </c>
      <c r="I198" s="70">
        <f t="shared" si="46"/>
        <v>12446.796663652012</v>
      </c>
      <c r="J198" s="70">
        <f t="shared" si="46"/>
        <v>17264.771493569686</v>
      </c>
      <c r="K198" s="71">
        <f t="shared" si="46"/>
        <v>19010.414547887685</v>
      </c>
      <c r="L198" s="80"/>
      <c r="O198" s="60">
        <v>58</v>
      </c>
      <c r="P198" s="70">
        <f t="shared" si="47"/>
        <v>11087.089221242177</v>
      </c>
      <c r="Q198" s="70">
        <f t="shared" si="47"/>
        <v>15841.420584792364</v>
      </c>
      <c r="R198" s="71">
        <f t="shared" si="47"/>
        <v>17564.004412165617</v>
      </c>
      <c r="T198" s="60">
        <v>58</v>
      </c>
      <c r="U198" s="70">
        <f>B198+I198-P198</f>
        <v>10569.52103780287</v>
      </c>
      <c r="V198" s="70">
        <f>C198+J198-Q198</f>
        <v>15016.453669561388</v>
      </c>
      <c r="W198" s="71">
        <f t="shared" si="44"/>
        <v>17836.100058488526</v>
      </c>
    </row>
    <row r="199" spans="1:23" x14ac:dyDescent="0.2">
      <c r="A199" s="60">
        <v>59</v>
      </c>
      <c r="B199" s="70">
        <f t="shared" si="48"/>
        <v>9288.8692393483489</v>
      </c>
      <c r="C199" s="70">
        <f t="shared" si="48"/>
        <v>13709.7838945523</v>
      </c>
      <c r="D199" s="71">
        <f t="shared" si="48"/>
        <v>16530.376536849544</v>
      </c>
      <c r="E199" s="80"/>
      <c r="F199" s="5"/>
      <c r="G199" s="6"/>
      <c r="H199" s="60">
        <v>59</v>
      </c>
      <c r="I199" s="70">
        <f t="shared" si="46"/>
        <v>12553.638079630082</v>
      </c>
      <c r="J199" s="70">
        <f t="shared" si="46"/>
        <v>17412.969675218908</v>
      </c>
      <c r="K199" s="71">
        <f t="shared" si="46"/>
        <v>19173.597064925005</v>
      </c>
      <c r="L199" s="80"/>
      <c r="O199" s="60">
        <v>59</v>
      </c>
      <c r="P199" s="70">
        <f t="shared" si="47"/>
        <v>11182.259114627834</v>
      </c>
      <c r="Q199" s="70">
        <f t="shared" si="47"/>
        <v>15977.400937980423</v>
      </c>
      <c r="R199" s="71">
        <f t="shared" si="47"/>
        <v>17714.771163832811</v>
      </c>
      <c r="T199" s="60">
        <v>59</v>
      </c>
      <c r="U199" s="70">
        <f>B199+I199-P199</f>
        <v>10660.248204350597</v>
      </c>
      <c r="V199" s="70">
        <f>C199+J199-Q199</f>
        <v>15145.352631790785</v>
      </c>
      <c r="W199" s="71">
        <f t="shared" si="44"/>
        <v>17989.202437941734</v>
      </c>
    </row>
    <row r="200" spans="1:23" x14ac:dyDescent="0.2">
      <c r="A200" s="60">
        <v>60</v>
      </c>
      <c r="B200" s="70">
        <f t="shared" si="48"/>
        <v>9367.2577112801591</v>
      </c>
      <c r="C200" s="70">
        <f t="shared" si="48"/>
        <v>13825.480324582431</v>
      </c>
      <c r="D200" s="71">
        <f t="shared" si="48"/>
        <v>16669.875858434571</v>
      </c>
      <c r="E200" s="80"/>
      <c r="F200" s="5"/>
      <c r="G200" s="6"/>
      <c r="H200" s="60">
        <v>60</v>
      </c>
      <c r="I200" s="70">
        <f t="shared" si="46"/>
        <v>12659.577831917544</v>
      </c>
      <c r="J200" s="70">
        <f t="shared" si="46"/>
        <v>17559.917172213831</v>
      </c>
      <c r="K200" s="71">
        <f t="shared" si="46"/>
        <v>19335.402440437123</v>
      </c>
      <c r="L200" s="80"/>
      <c r="O200" s="60">
        <v>60</v>
      </c>
      <c r="P200" s="70">
        <f t="shared" si="47"/>
        <v>11276.625843467989</v>
      </c>
      <c r="Q200" s="70">
        <f t="shared" si="47"/>
        <v>16112.233716082705</v>
      </c>
      <c r="R200" s="71">
        <f t="shared" si="47"/>
        <v>17864.265553986588</v>
      </c>
      <c r="T200" s="60">
        <v>60</v>
      </c>
      <c r="U200" s="70">
        <f>B200+I200-P200</f>
        <v>10750.209699729714</v>
      </c>
      <c r="V200" s="70">
        <f>C200+J200-Q200</f>
        <v>15273.163780713559</v>
      </c>
      <c r="W200" s="71">
        <f t="shared" si="44"/>
        <v>18141.012744885105</v>
      </c>
    </row>
    <row r="201" spans="1:23" x14ac:dyDescent="0.2">
      <c r="A201" s="60">
        <v>61</v>
      </c>
      <c r="B201" s="70">
        <f t="shared" ref="B201:D220" si="49">SQRT($A201)*B$135</f>
        <v>9444.9956227286439</v>
      </c>
      <c r="C201" s="70">
        <f t="shared" si="49"/>
        <v>13940.216568457829</v>
      </c>
      <c r="D201" s="71">
        <f t="shared" si="49"/>
        <v>16808.217449248248</v>
      </c>
      <c r="E201" s="80"/>
      <c r="F201" s="5"/>
      <c r="G201" s="6"/>
      <c r="H201" s="60">
        <v>61</v>
      </c>
      <c r="I201" s="70">
        <f t="shared" si="46"/>
        <v>12764.638370530429</v>
      </c>
      <c r="J201" s="70">
        <f t="shared" si="46"/>
        <v>17705.64512464674</v>
      </c>
      <c r="K201" s="71">
        <f t="shared" si="46"/>
        <v>19495.864963094682</v>
      </c>
      <c r="L201" s="80"/>
      <c r="O201" s="60">
        <v>61</v>
      </c>
      <c r="P201" s="70">
        <f t="shared" si="47"/>
        <v>11370.209405303975</v>
      </c>
      <c r="Q201" s="70">
        <f t="shared" si="47"/>
        <v>16245.947491924464</v>
      </c>
      <c r="R201" s="71">
        <f t="shared" si="47"/>
        <v>18012.519262439135</v>
      </c>
      <c r="T201" s="60">
        <v>61</v>
      </c>
      <c r="U201" s="70">
        <f>B201+I201-P201</f>
        <v>10839.424587955096</v>
      </c>
      <c r="V201" s="70">
        <f>C201+J201-Q201</f>
        <v>15399.914201180105</v>
      </c>
      <c r="W201" s="71">
        <f t="shared" si="44"/>
        <v>18291.563149903799</v>
      </c>
    </row>
    <row r="202" spans="1:23" x14ac:dyDescent="0.2">
      <c r="A202" s="60">
        <v>62</v>
      </c>
      <c r="B202" s="70">
        <f t="shared" si="49"/>
        <v>9522.0989071311833</v>
      </c>
      <c r="C202" s="70">
        <f t="shared" si="49"/>
        <v>14054.016142924998</v>
      </c>
      <c r="D202" s="71">
        <f t="shared" si="49"/>
        <v>16945.429664272517</v>
      </c>
      <c r="E202" s="80"/>
      <c r="F202" s="5"/>
      <c r="G202" s="6"/>
      <c r="H202" s="60">
        <v>62</v>
      </c>
      <c r="I202" s="70">
        <f t="shared" si="46"/>
        <v>12868.841229048456</v>
      </c>
      <c r="J202" s="70">
        <f t="shared" si="46"/>
        <v>17850.183401434391</v>
      </c>
      <c r="K202" s="71">
        <f t="shared" si="46"/>
        <v>19655.017521864076</v>
      </c>
      <c r="L202" s="80"/>
      <c r="O202" s="60">
        <v>62</v>
      </c>
      <c r="P202" s="70">
        <f t="shared" si="47"/>
        <v>11463.028981353742</v>
      </c>
      <c r="Q202" s="70">
        <f t="shared" si="47"/>
        <v>16378.569671954305</v>
      </c>
      <c r="R202" s="71">
        <f t="shared" si="47"/>
        <v>18159.562675795089</v>
      </c>
      <c r="T202" s="60">
        <v>62</v>
      </c>
      <c r="U202" s="70">
        <f>B202+I202-P202</f>
        <v>10927.911154825899</v>
      </c>
      <c r="V202" s="70">
        <f>C202+J202-Q202</f>
        <v>15525.629872405087</v>
      </c>
      <c r="W202" s="71">
        <f t="shared" si="44"/>
        <v>18440.884510341501</v>
      </c>
    </row>
    <row r="203" spans="1:23" x14ac:dyDescent="0.2">
      <c r="A203" s="60">
        <v>63</v>
      </c>
      <c r="B203" s="70">
        <f t="shared" si="49"/>
        <v>9598.5828579543195</v>
      </c>
      <c r="C203" s="70">
        <f t="shared" si="49"/>
        <v>14166.901620173929</v>
      </c>
      <c r="D203" s="71">
        <f t="shared" si="49"/>
        <v>17081.539719603752</v>
      </c>
      <c r="E203" s="80"/>
      <c r="F203" s="5"/>
      <c r="G203" s="6"/>
      <c r="H203" s="60">
        <v>63</v>
      </c>
      <c r="I203" s="70">
        <f t="shared" si="46"/>
        <v>12972.207076149263</v>
      </c>
      <c r="J203" s="70">
        <f t="shared" si="46"/>
        <v>17993.560671800362</v>
      </c>
      <c r="K203" s="71">
        <f t="shared" si="46"/>
        <v>19812.891684717426</v>
      </c>
      <c r="L203" s="80"/>
      <c r="O203" s="60">
        <v>63</v>
      </c>
      <c r="P203" s="70">
        <f t="shared" si="47"/>
        <v>11555.102982416411</v>
      </c>
      <c r="Q203" s="70">
        <f t="shared" si="47"/>
        <v>16510.126561833375</v>
      </c>
      <c r="R203" s="71">
        <f t="shared" si="47"/>
        <v>18305.424960172855</v>
      </c>
      <c r="T203" s="60">
        <v>63</v>
      </c>
      <c r="U203" s="70">
        <f>B203+I203-P203</f>
        <v>11015.68695168717</v>
      </c>
      <c r="V203" s="70">
        <f>C203+J203-Q203</f>
        <v>15650.335730140916</v>
      </c>
      <c r="W203" s="71">
        <f t="shared" si="44"/>
        <v>18589.006444148323</v>
      </c>
    </row>
    <row r="204" spans="1:23" x14ac:dyDescent="0.2">
      <c r="A204" s="60">
        <v>64</v>
      </c>
      <c r="B204" s="70">
        <f t="shared" si="49"/>
        <v>9674.4621641122831</v>
      </c>
      <c r="C204" s="70">
        <f t="shared" si="49"/>
        <v>14278.894680113617</v>
      </c>
      <c r="D204" s="71">
        <f t="shared" si="49"/>
        <v>17216.573755483241</v>
      </c>
      <c r="E204" s="80"/>
      <c r="F204" s="5"/>
      <c r="G204" s="6"/>
      <c r="H204" s="60">
        <v>64</v>
      </c>
      <c r="I204" s="70">
        <f t="shared" si="46"/>
        <v>13074.755763475532</v>
      </c>
      <c r="J204" s="70">
        <f t="shared" si="46"/>
        <v>18135.804471670879</v>
      </c>
      <c r="K204" s="71">
        <f t="shared" si="46"/>
        <v>19969.517771741659</v>
      </c>
      <c r="L204" s="80"/>
      <c r="O204" s="60">
        <v>64</v>
      </c>
      <c r="P204" s="70">
        <f t="shared" si="47"/>
        <v>11646.449091510316</v>
      </c>
      <c r="Q204" s="70">
        <f t="shared" si="47"/>
        <v>16640.643427357321</v>
      </c>
      <c r="R204" s="71">
        <f t="shared" si="47"/>
        <v>18450.134128751164</v>
      </c>
      <c r="T204" s="60">
        <v>64</v>
      </c>
      <c r="U204" s="70">
        <f>B204+I204-P204</f>
        <v>11102.768836077499</v>
      </c>
      <c r="V204" s="70">
        <f>C204+J204-Q204</f>
        <v>15774.055724427173</v>
      </c>
      <c r="W204" s="71">
        <f t="shared" si="44"/>
        <v>18735.957398473733</v>
      </c>
    </row>
    <row r="205" spans="1:23" x14ac:dyDescent="0.2">
      <c r="A205" s="60">
        <v>65</v>
      </c>
      <c r="B205" s="70">
        <f t="shared" si="49"/>
        <v>9749.7509429044258</v>
      </c>
      <c r="C205" s="70">
        <f t="shared" si="49"/>
        <v>14390.016158985618</v>
      </c>
      <c r="D205" s="71">
        <f t="shared" si="49"/>
        <v>17350.556894912275</v>
      </c>
      <c r="E205" s="80"/>
      <c r="F205" s="5"/>
      <c r="G205" s="6"/>
      <c r="H205" s="60">
        <v>65</v>
      </c>
      <c r="I205" s="70">
        <f t="shared" si="46"/>
        <v>13176.506370148965</v>
      </c>
      <c r="J205" s="70">
        <f t="shared" si="46"/>
        <v>18276.941265419504</v>
      </c>
      <c r="K205" s="71">
        <f t="shared" si="46"/>
        <v>20124.924923126222</v>
      </c>
      <c r="L205" s="80"/>
      <c r="O205" s="60">
        <v>65</v>
      </c>
      <c r="P205" s="70">
        <f t="shared" si="47"/>
        <v>11737.084303524205</v>
      </c>
      <c r="Q205" s="70">
        <f t="shared" si="47"/>
        <v>16770.14455111061</v>
      </c>
      <c r="R205" s="71">
        <f t="shared" si="47"/>
        <v>18593.717104583946</v>
      </c>
      <c r="T205" s="60">
        <v>65</v>
      </c>
      <c r="U205" s="70">
        <f>B205+I205-P205</f>
        <v>11189.173009529188</v>
      </c>
      <c r="V205" s="70">
        <f>C205+J205-Q205</f>
        <v>15896.812873294512</v>
      </c>
      <c r="W205" s="71">
        <f t="shared" si="44"/>
        <v>18881.764713454551</v>
      </c>
    </row>
    <row r="206" spans="1:23" x14ac:dyDescent="0.2">
      <c r="A206" s="60">
        <v>66</v>
      </c>
      <c r="B206" s="70">
        <f t="shared" si="49"/>
        <v>9824.462770680715</v>
      </c>
      <c r="C206" s="70">
        <f t="shared" si="49"/>
        <v>14500.286094624393</v>
      </c>
      <c r="D206" s="71">
        <f t="shared" si="49"/>
        <v>17483.513298224178</v>
      </c>
      <c r="E206" s="80"/>
      <c r="F206" s="5"/>
      <c r="G206" s="6"/>
      <c r="H206" s="60">
        <v>66</v>
      </c>
      <c r="I206" s="70">
        <f t="shared" ref="I206:K240" si="50">I$135*SQRT($H206)</f>
        <v>13277.477244213824</v>
      </c>
      <c r="J206" s="70">
        <f t="shared" si="50"/>
        <v>18416.996503352853</v>
      </c>
      <c r="K206" s="71">
        <f t="shared" si="50"/>
        <v>20279.141162461197</v>
      </c>
      <c r="L206" s="80"/>
      <c r="O206" s="60">
        <v>66</v>
      </c>
      <c r="P206" s="70">
        <f t="shared" ref="P206:R240" si="51">P$135*SQRT($H206)</f>
        <v>11827.024962133426</v>
      </c>
      <c r="Q206" s="70">
        <f t="shared" si="51"/>
        <v>16898.653285212982</v>
      </c>
      <c r="R206" s="71">
        <f t="shared" si="51"/>
        <v>18736.199779082388</v>
      </c>
      <c r="T206" s="60">
        <v>66</v>
      </c>
      <c r="U206" s="70">
        <f>B206+I206-P206</f>
        <v>11274.915052761113</v>
      </c>
      <c r="V206" s="70">
        <f>C206+J206-Q206</f>
        <v>16018.629312764264</v>
      </c>
      <c r="W206" s="71">
        <f t="shared" ref="W206:W240" si="52">D206+K206-R206</f>
        <v>19026.454681602983</v>
      </c>
    </row>
    <row r="207" spans="1:23" x14ac:dyDescent="0.2">
      <c r="A207" s="60">
        <v>67</v>
      </c>
      <c r="B207" s="70">
        <f t="shared" si="49"/>
        <v>9898.610711423953</v>
      </c>
      <c r="C207" s="70">
        <f t="shared" si="49"/>
        <v>14609.723768642847</v>
      </c>
      <c r="D207" s="71">
        <f t="shared" si="49"/>
        <v>17615.466213948905</v>
      </c>
      <c r="E207" s="80"/>
      <c r="F207" s="5"/>
      <c r="G207" s="6"/>
      <c r="H207" s="60">
        <v>67</v>
      </c>
      <c r="I207" s="70">
        <f t="shared" si="50"/>
        <v>13377.686041264968</v>
      </c>
      <c r="J207" s="70">
        <f t="shared" si="50"/>
        <v>18555.994675291</v>
      </c>
      <c r="K207" s="71">
        <f t="shared" si="50"/>
        <v>20432.193455735218</v>
      </c>
      <c r="L207" s="80"/>
      <c r="O207" s="60">
        <v>67</v>
      </c>
      <c r="P207" s="70">
        <f t="shared" si="51"/>
        <v>11916.286794208168</v>
      </c>
      <c r="Q207" s="70">
        <f t="shared" si="51"/>
        <v>17026.192100482542</v>
      </c>
      <c r="R207" s="71">
        <f t="shared" si="51"/>
        <v>18877.607066523979</v>
      </c>
      <c r="T207" s="60">
        <v>67</v>
      </c>
      <c r="U207" s="70">
        <f>B207+I207-P207</f>
        <v>11360.00995848075</v>
      </c>
      <c r="V207" s="70">
        <f>C207+J207-Q207</f>
        <v>16139.526343451304</v>
      </c>
      <c r="W207" s="71">
        <f t="shared" si="52"/>
        <v>19170.052603160144</v>
      </c>
    </row>
    <row r="208" spans="1:23" x14ac:dyDescent="0.2">
      <c r="A208" s="60">
        <v>68</v>
      </c>
      <c r="B208" s="70">
        <f t="shared" si="49"/>
        <v>9972.2073434191407</v>
      </c>
      <c r="C208" s="70">
        <f t="shared" si="49"/>
        <v>14718.347745794636</v>
      </c>
      <c r="D208" s="71">
        <f t="shared" si="49"/>
        <v>17746.438026273583</v>
      </c>
      <c r="E208" s="80"/>
      <c r="F208" s="5"/>
      <c r="G208" s="6"/>
      <c r="H208" s="60">
        <v>68</v>
      </c>
      <c r="I208" s="70">
        <f t="shared" si="50"/>
        <v>13477.149760490724</v>
      </c>
      <c r="J208" s="70">
        <f t="shared" si="50"/>
        <v>18693.959360562032</v>
      </c>
      <c r="K208" s="71">
        <f t="shared" si="50"/>
        <v>20584.107766384972</v>
      </c>
      <c r="L208" s="80"/>
      <c r="O208" s="60">
        <v>68</v>
      </c>
      <c r="P208" s="70">
        <f t="shared" si="51"/>
        <v>12004.884941918968</v>
      </c>
      <c r="Q208" s="70">
        <f t="shared" si="51"/>
        <v>17152.78263230863</v>
      </c>
      <c r="R208" s="71">
        <f t="shared" si="51"/>
        <v>19017.962954913579</v>
      </c>
      <c r="T208" s="60">
        <v>68</v>
      </c>
      <c r="U208" s="70">
        <f>B208+I208-P208</f>
        <v>11444.472161990896</v>
      </c>
      <c r="V208" s="70">
        <f>C208+J208-Q208</f>
        <v>16259.524474048038</v>
      </c>
      <c r="W208" s="71">
        <f t="shared" si="52"/>
        <v>19312.582837744972</v>
      </c>
    </row>
    <row r="209" spans="1:23" x14ac:dyDescent="0.2">
      <c r="A209" s="60">
        <v>69</v>
      </c>
      <c r="B209" s="70">
        <f t="shared" si="49"/>
        <v>10045.264784164141</v>
      </c>
      <c r="C209" s="70">
        <f t="shared" si="49"/>
        <v>14826.175910740716</v>
      </c>
      <c r="D209" s="71">
        <f t="shared" si="49"/>
        <v>17876.450299373268</v>
      </c>
      <c r="E209" s="80"/>
      <c r="F209" s="5"/>
      <c r="G209" s="6"/>
      <c r="H209" s="60">
        <v>69</v>
      </c>
      <c r="I209" s="70">
        <f t="shared" si="50"/>
        <v>13575.884778338936</v>
      </c>
      <c r="J209" s="70">
        <f t="shared" si="50"/>
        <v>18830.913274699706</v>
      </c>
      <c r="K209" s="71">
        <f t="shared" si="50"/>
        <v>20734.90910671448</v>
      </c>
      <c r="L209" s="80"/>
      <c r="O209" s="60">
        <v>69</v>
      </c>
      <c r="P209" s="70">
        <f t="shared" si="51"/>
        <v>12092.833992725016</v>
      </c>
      <c r="Q209" s="70">
        <f t="shared" si="51"/>
        <v>17278.445723499644</v>
      </c>
      <c r="R209" s="71">
        <f t="shared" si="51"/>
        <v>19157.290553490449</v>
      </c>
      <c r="T209" s="60">
        <v>69</v>
      </c>
      <c r="U209" s="70">
        <f>B209+I209-P209</f>
        <v>11528.31556977806</v>
      </c>
      <c r="V209" s="70">
        <f>C209+J209-Q209</f>
        <v>16378.643461940774</v>
      </c>
      <c r="W209" s="71">
        <f t="shared" si="52"/>
        <v>19454.068852597302</v>
      </c>
    </row>
    <row r="210" spans="1:23" x14ac:dyDescent="0.2">
      <c r="A210" s="60">
        <v>70</v>
      </c>
      <c r="B210" s="70">
        <f t="shared" si="49"/>
        <v>10117.794713661366</v>
      </c>
      <c r="C210" s="70">
        <f t="shared" si="49"/>
        <v>14933.225502426412</v>
      </c>
      <c r="D210" s="71">
        <f t="shared" si="49"/>
        <v>18005.523818860598</v>
      </c>
      <c r="E210" s="80"/>
      <c r="F210" s="5"/>
      <c r="G210" s="6"/>
      <c r="H210" s="60">
        <v>70</v>
      </c>
      <c r="I210" s="70">
        <f t="shared" si="50"/>
        <v>13673.906879994995</v>
      </c>
      <c r="J210" s="70">
        <f t="shared" si="50"/>
        <v>18966.878313106205</v>
      </c>
      <c r="K210" s="71">
        <f t="shared" si="50"/>
        <v>20884.621585972589</v>
      </c>
      <c r="L210" s="80"/>
      <c r="O210" s="60">
        <v>70</v>
      </c>
      <c r="P210" s="70">
        <f t="shared" si="51"/>
        <v>12180.148007413476</v>
      </c>
      <c r="Q210" s="70">
        <f t="shared" si="51"/>
        <v>17403.201464346083</v>
      </c>
      <c r="R210" s="71">
        <f t="shared" si="51"/>
        <v>19295.612137147753</v>
      </c>
      <c r="T210" s="60">
        <v>70</v>
      </c>
      <c r="U210" s="70">
        <f>B210+I210-P210</f>
        <v>11611.553586242886</v>
      </c>
      <c r="V210" s="70">
        <f>C210+J210-Q210</f>
        <v>16496.902351186534</v>
      </c>
      <c r="W210" s="71">
        <f t="shared" si="52"/>
        <v>19594.533267685434</v>
      </c>
    </row>
    <row r="211" spans="1:23" x14ac:dyDescent="0.2">
      <c r="A211" s="60">
        <v>71</v>
      </c>
      <c r="B211" s="70">
        <f t="shared" si="49"/>
        <v>10189.808396217248</v>
      </c>
      <c r="C211" s="70">
        <f t="shared" si="49"/>
        <v>15039.513146256058</v>
      </c>
      <c r="D211" s="71">
        <f t="shared" si="49"/>
        <v>18133.678630579896</v>
      </c>
      <c r="E211" s="80"/>
      <c r="F211" s="5"/>
      <c r="G211" s="6"/>
      <c r="H211" s="60">
        <v>71</v>
      </c>
      <c r="I211" s="70">
        <f t="shared" si="50"/>
        <v>13771.231288843206</v>
      </c>
      <c r="J211" s="70">
        <f t="shared" si="50"/>
        <v>19101.875591917546</v>
      </c>
      <c r="K211" s="71">
        <f t="shared" si="50"/>
        <v>21033.26845535028</v>
      </c>
      <c r="L211" s="80"/>
      <c r="O211" s="60">
        <v>71</v>
      </c>
      <c r="P211" s="70">
        <f t="shared" si="51"/>
        <v>12266.840546342457</v>
      </c>
      <c r="Q211" s="70">
        <f t="shared" si="51"/>
        <v>17527.069230116944</v>
      </c>
      <c r="R211" s="71">
        <f t="shared" si="51"/>
        <v>19432.949188006252</v>
      </c>
      <c r="T211" s="60">
        <v>71</v>
      </c>
      <c r="U211" s="70">
        <f>B211+I211-P211</f>
        <v>11694.199138717995</v>
      </c>
      <c r="V211" s="70">
        <f>C211+J211-Q211</f>
        <v>16614.319508056662</v>
      </c>
      <c r="W211" s="71">
        <f t="shared" si="52"/>
        <v>19733.997897923928</v>
      </c>
    </row>
    <row r="212" spans="1:23" x14ac:dyDescent="0.2">
      <c r="A212" s="60">
        <v>72</v>
      </c>
      <c r="B212" s="70">
        <f t="shared" si="49"/>
        <v>10261.316700864714</v>
      </c>
      <c r="C212" s="70">
        <f t="shared" si="49"/>
        <v>15145.054884235284</v>
      </c>
      <c r="D212" s="71">
        <f t="shared" si="49"/>
        <v>18260.934076950816</v>
      </c>
      <c r="E212" s="80"/>
      <c r="F212" s="5"/>
      <c r="G212" s="6"/>
      <c r="H212" s="60">
        <v>72</v>
      </c>
      <c r="I212" s="70">
        <f t="shared" si="50"/>
        <v>13867.872694067166</v>
      </c>
      <c r="J212" s="70">
        <f t="shared" si="50"/>
        <v>19235.925486287684</v>
      </c>
      <c r="K212" s="71">
        <f t="shared" si="50"/>
        <v>21180.872150135699</v>
      </c>
      <c r="L212" s="80"/>
      <c r="O212" s="60">
        <v>72</v>
      </c>
      <c r="P212" s="70">
        <f t="shared" si="51"/>
        <v>12352.924694026275</v>
      </c>
      <c r="Q212" s="70">
        <f t="shared" si="51"/>
        <v>17650.067716187568</v>
      </c>
      <c r="R212" s="71">
        <f t="shared" si="51"/>
        <v>19569.322434361951</v>
      </c>
      <c r="T212" s="60">
        <v>72</v>
      </c>
      <c r="U212" s="70">
        <f>B212+I212-P212</f>
        <v>11776.264700905605</v>
      </c>
      <c r="V212" s="70">
        <f>C212+J212-Q212</f>
        <v>16730.912654335403</v>
      </c>
      <c r="W212" s="71">
        <f t="shared" si="52"/>
        <v>19872.483792724568</v>
      </c>
    </row>
    <row r="213" spans="1:23" x14ac:dyDescent="0.2">
      <c r="A213" s="60">
        <v>73</v>
      </c>
      <c r="B213" s="70">
        <f t="shared" si="49"/>
        <v>10332.33012051351</v>
      </c>
      <c r="C213" s="70">
        <f t="shared" si="49"/>
        <v>15249.866203235662</v>
      </c>
      <c r="D213" s="71">
        <f t="shared" si="49"/>
        <v>18387.308831048038</v>
      </c>
      <c r="E213" s="80"/>
      <c r="F213" s="5"/>
      <c r="G213" s="6"/>
      <c r="H213" s="60">
        <v>73</v>
      </c>
      <c r="I213" s="70">
        <f t="shared" si="50"/>
        <v>13963.845276530865</v>
      </c>
      <c r="J213" s="70">
        <f t="shared" si="50"/>
        <v>19369.047666287799</v>
      </c>
      <c r="K213" s="71">
        <f t="shared" si="50"/>
        <v>21327.454329243214</v>
      </c>
      <c r="L213" s="80"/>
      <c r="O213" s="60">
        <v>73</v>
      </c>
      <c r="P213" s="70">
        <f t="shared" si="51"/>
        <v>12438.413082189261</v>
      </c>
      <c r="Q213" s="70">
        <f t="shared" si="51"/>
        <v>17772.214970979312</v>
      </c>
      <c r="R213" s="71">
        <f t="shared" si="51"/>
        <v>19704.751887207593</v>
      </c>
      <c r="T213" s="60">
        <v>73</v>
      </c>
      <c r="U213" s="70">
        <f>B213+I213-P213</f>
        <v>11857.762314855114</v>
      </c>
      <c r="V213" s="70">
        <f>C213+J213-Q213</f>
        <v>16846.698898544146</v>
      </c>
      <c r="W213" s="71">
        <f t="shared" si="52"/>
        <v>20010.011273083659</v>
      </c>
    </row>
    <row r="214" spans="1:23" x14ac:dyDescent="0.2">
      <c r="A214" s="60">
        <v>74</v>
      </c>
      <c r="B214" s="70">
        <f t="shared" si="49"/>
        <v>10402.858789923874</v>
      </c>
      <c r="C214" s="70">
        <f t="shared" si="49"/>
        <v>15353.96206152274</v>
      </c>
      <c r="D214" s="71">
        <f t="shared" si="49"/>
        <v>18512.820928587058</v>
      </c>
      <c r="E214" s="80"/>
      <c r="F214" s="5"/>
      <c r="G214" s="6"/>
      <c r="H214" s="60">
        <v>74</v>
      </c>
      <c r="I214" s="70">
        <f t="shared" si="50"/>
        <v>14059.162733069597</v>
      </c>
      <c r="J214" s="70">
        <f t="shared" si="50"/>
        <v>19501.261130599883</v>
      </c>
      <c r="K214" s="71">
        <f t="shared" si="50"/>
        <v>21473.035912313757</v>
      </c>
      <c r="L214" s="80"/>
      <c r="O214" s="60">
        <v>74</v>
      </c>
      <c r="P214" s="70">
        <f t="shared" si="51"/>
        <v>12523.317911403105</v>
      </c>
      <c r="Q214" s="70">
        <f t="shared" si="51"/>
        <v>17893.528426875338</v>
      </c>
      <c r="R214" s="71">
        <f t="shared" si="51"/>
        <v>19839.256874510203</v>
      </c>
      <c r="T214" s="60">
        <v>74</v>
      </c>
      <c r="U214" s="70">
        <f>B214+I214-P214</f>
        <v>11938.703611590365</v>
      </c>
      <c r="V214" s="70">
        <f>C214+J214-Q214</f>
        <v>16961.694765247281</v>
      </c>
      <c r="W214" s="71">
        <f t="shared" si="52"/>
        <v>20146.599966390611</v>
      </c>
    </row>
    <row r="215" spans="1:23" x14ac:dyDescent="0.2">
      <c r="A215" s="60">
        <v>75</v>
      </c>
      <c r="B215" s="70">
        <f t="shared" si="49"/>
        <v>10472.912502590769</v>
      </c>
      <c r="C215" s="70">
        <f t="shared" si="49"/>
        <v>15457.356913676087</v>
      </c>
      <c r="D215" s="71">
        <f t="shared" si="49"/>
        <v>18637.487797971182</v>
      </c>
      <c r="E215" s="80"/>
      <c r="F215" s="5"/>
      <c r="G215" s="6"/>
      <c r="H215" s="60">
        <v>75</v>
      </c>
      <c r="I215" s="70">
        <f t="shared" si="50"/>
        <v>14153.83829930852</v>
      </c>
      <c r="J215" s="70">
        <f t="shared" si="50"/>
        <v>19632.584238168005</v>
      </c>
      <c r="K215" s="71">
        <f t="shared" si="50"/>
        <v>21617.637114566369</v>
      </c>
      <c r="L215" s="80"/>
      <c r="O215" s="60">
        <v>75</v>
      </c>
      <c r="P215" s="70">
        <f t="shared" si="51"/>
        <v>12607.650971412664</v>
      </c>
      <c r="Q215" s="70">
        <f t="shared" si="51"/>
        <v>18014.024929262487</v>
      </c>
      <c r="R215" s="71">
        <f t="shared" si="51"/>
        <v>19972.856073410974</v>
      </c>
      <c r="T215" s="60">
        <v>75</v>
      </c>
      <c r="U215" s="70">
        <f>B215+I215-P215</f>
        <v>12019.099830486624</v>
      </c>
      <c r="V215" s="70">
        <f>C215+J215-Q215</f>
        <v>17075.916222581604</v>
      </c>
      <c r="W215" s="71">
        <f t="shared" si="52"/>
        <v>20282.268839126573</v>
      </c>
    </row>
    <row r="216" spans="1:23" x14ac:dyDescent="0.2">
      <c r="A216" s="60">
        <v>76</v>
      </c>
      <c r="B216" s="70">
        <f t="shared" si="49"/>
        <v>10542.500726618313</v>
      </c>
      <c r="C216" s="70">
        <f t="shared" si="49"/>
        <v>15560.064734018948</v>
      </c>
      <c r="D216" s="71">
        <f t="shared" si="49"/>
        <v>18761.326288541499</v>
      </c>
      <c r="E216" s="80"/>
      <c r="F216" s="5"/>
      <c r="G216" s="6"/>
      <c r="H216" s="60">
        <v>76</v>
      </c>
      <c r="I216" s="70">
        <f t="shared" si="50"/>
        <v>14247.884771116458</v>
      </c>
      <c r="J216" s="70">
        <f t="shared" si="50"/>
        <v>19763.034737956608</v>
      </c>
      <c r="K216" s="71">
        <f t="shared" si="50"/>
        <v>21761.277479565357</v>
      </c>
      <c r="L216" s="80"/>
      <c r="O216" s="60">
        <v>76</v>
      </c>
      <c r="P216" s="70">
        <f t="shared" si="51"/>
        <v>12691.423660246141</v>
      </c>
      <c r="Q216" s="70">
        <f t="shared" si="51"/>
        <v>18133.720763836223</v>
      </c>
      <c r="R216" s="71">
        <f t="shared" si="51"/>
        <v>20105.567540499294</v>
      </c>
      <c r="T216" s="60">
        <v>76</v>
      </c>
      <c r="U216" s="70">
        <f>B216+I216-P216</f>
        <v>12098.961837488632</v>
      </c>
      <c r="V216" s="70">
        <f>C216+J216-Q216</f>
        <v>17189.378708139331</v>
      </c>
      <c r="W216" s="71">
        <f t="shared" si="52"/>
        <v>20417.036227607561</v>
      </c>
    </row>
    <row r="217" spans="1:23" x14ac:dyDescent="0.2">
      <c r="A217" s="60">
        <v>77</v>
      </c>
      <c r="B217" s="70">
        <f t="shared" si="49"/>
        <v>10611.632619657226</v>
      </c>
      <c r="C217" s="70">
        <f t="shared" si="49"/>
        <v>15662.099038664977</v>
      </c>
      <c r="D217" s="71">
        <f t="shared" si="49"/>
        <v>18884.352697159411</v>
      </c>
      <c r="E217" s="80"/>
      <c r="F217" s="5"/>
      <c r="G217" s="6"/>
      <c r="H217" s="60">
        <v>77</v>
      </c>
      <c r="I217" s="70">
        <f t="shared" si="50"/>
        <v>14341.314524793463</v>
      </c>
      <c r="J217" s="70">
        <f t="shared" si="50"/>
        <v>19892.629796952348</v>
      </c>
      <c r="K217" s="71">
        <f t="shared" si="50"/>
        <v>21903.975910053396</v>
      </c>
      <c r="L217" s="80"/>
      <c r="O217" s="60">
        <v>77</v>
      </c>
      <c r="P217" s="70">
        <f t="shared" si="51"/>
        <v>12774.647002197295</v>
      </c>
      <c r="Q217" s="70">
        <f t="shared" si="51"/>
        <v>18252.631682293912</v>
      </c>
      <c r="R217" s="71">
        <f t="shared" si="51"/>
        <v>20237.408740299932</v>
      </c>
      <c r="T217" s="60">
        <v>77</v>
      </c>
      <c r="U217" s="70">
        <f>B217+I217-P217</f>
        <v>12178.300142253394</v>
      </c>
      <c r="V217" s="70">
        <f>C217+J217-Q217</f>
        <v>17302.097153323411</v>
      </c>
      <c r="W217" s="71">
        <f t="shared" si="52"/>
        <v>20550.919866912878</v>
      </c>
    </row>
    <row r="218" spans="1:23" x14ac:dyDescent="0.2">
      <c r="A218" s="60">
        <v>78</v>
      </c>
      <c r="B218" s="70">
        <f t="shared" si="49"/>
        <v>10680.317042972036</v>
      </c>
      <c r="C218" s="70">
        <f t="shared" si="49"/>
        <v>15763.472906280542</v>
      </c>
      <c r="D218" s="71">
        <f t="shared" si="49"/>
        <v>19006.582793240494</v>
      </c>
      <c r="E218" s="80"/>
      <c r="F218" s="5"/>
      <c r="G218" s="6"/>
      <c r="H218" s="60">
        <v>78</v>
      </c>
      <c r="I218" s="70">
        <f t="shared" si="50"/>
        <v>14434.139536082212</v>
      </c>
      <c r="J218" s="70">
        <f t="shared" si="50"/>
        <v>20021.386026534557</v>
      </c>
      <c r="K218" s="71">
        <f t="shared" si="50"/>
        <v>22045.750696988307</v>
      </c>
      <c r="L218" s="80"/>
      <c r="O218" s="60">
        <v>78</v>
      </c>
      <c r="P218" s="70">
        <f t="shared" si="51"/>
        <v>12857.33166476004</v>
      </c>
      <c r="Q218" s="70">
        <f t="shared" si="51"/>
        <v>18370.772926531263</v>
      </c>
      <c r="R218" s="71">
        <f t="shared" si="51"/>
        <v>20368.396572100548</v>
      </c>
      <c r="T218" s="60">
        <v>78</v>
      </c>
      <c r="U218" s="70">
        <f>B218+I218-P218</f>
        <v>12257.124914294207</v>
      </c>
      <c r="V218" s="70">
        <f>C218+J218-Q218</f>
        <v>17414.086006283836</v>
      </c>
      <c r="W218" s="71">
        <f t="shared" si="52"/>
        <v>20683.936918128256</v>
      </c>
    </row>
    <row r="219" spans="1:23" x14ac:dyDescent="0.2">
      <c r="A219" s="60">
        <v>79</v>
      </c>
      <c r="B219" s="70">
        <f t="shared" si="49"/>
        <v>10748.56257469921</v>
      </c>
      <c r="C219" s="70">
        <f t="shared" si="49"/>
        <v>15864.198997652889</v>
      </c>
      <c r="D219" s="71">
        <f t="shared" si="49"/>
        <v>19128.03184234853</v>
      </c>
      <c r="E219" s="80"/>
      <c r="F219" s="5"/>
      <c r="G219" s="6"/>
      <c r="H219" s="60">
        <v>79</v>
      </c>
      <c r="I219" s="70">
        <f t="shared" si="50"/>
        <v>14526.371398086005</v>
      </c>
      <c r="J219" s="70">
        <f t="shared" si="50"/>
        <v>20149.319507329026</v>
      </c>
      <c r="K219" s="71">
        <f t="shared" si="50"/>
        <v>22186.619546909831</v>
      </c>
      <c r="L219" s="80"/>
      <c r="O219" s="60">
        <v>79</v>
      </c>
      <c r="P219" s="70">
        <f t="shared" si="51"/>
        <v>12939.487974589025</v>
      </c>
      <c r="Q219" s="70">
        <f t="shared" si="51"/>
        <v>18488.159251447087</v>
      </c>
      <c r="R219" s="71">
        <f t="shared" si="51"/>
        <v>20498.547395236237</v>
      </c>
      <c r="T219" s="60">
        <v>79</v>
      </c>
      <c r="U219" s="70">
        <f>B219+I219-P219</f>
        <v>12335.445998196188</v>
      </c>
      <c r="V219" s="70">
        <f>C219+J219-Q219</f>
        <v>17525.359253534825</v>
      </c>
      <c r="W219" s="71">
        <f t="shared" si="52"/>
        <v>20816.103994022124</v>
      </c>
    </row>
    <row r="220" spans="1:23" x14ac:dyDescent="0.2">
      <c r="A220" s="60">
        <v>80</v>
      </c>
      <c r="B220" s="70">
        <f t="shared" si="49"/>
        <v>10816.377522352395</v>
      </c>
      <c r="C220" s="70">
        <f t="shared" si="49"/>
        <v>15964.289574147082</v>
      </c>
      <c r="D220" s="71">
        <f t="shared" si="49"/>
        <v>19248.714628449685</v>
      </c>
      <c r="E220" s="80"/>
      <c r="F220" s="5"/>
      <c r="G220" s="6"/>
      <c r="H220" s="60">
        <v>80</v>
      </c>
      <c r="I220" s="70">
        <f t="shared" si="50"/>
        <v>14618.021338169227</v>
      </c>
      <c r="J220" s="70">
        <f t="shared" si="50"/>
        <v>20276.445812650374</v>
      </c>
      <c r="K220" s="71">
        <f t="shared" si="50"/>
        <v>22326.59960775224</v>
      </c>
      <c r="L220" s="80"/>
      <c r="O220" s="60">
        <v>80</v>
      </c>
      <c r="P220" s="70">
        <f t="shared" si="51"/>
        <v>13021.125932553869</v>
      </c>
      <c r="Q220" s="70">
        <f t="shared" si="51"/>
        <v>18604.804946453027</v>
      </c>
      <c r="R220" s="71">
        <f t="shared" si="51"/>
        <v>20627.877052938231</v>
      </c>
      <c r="T220" s="60">
        <v>80</v>
      </c>
      <c r="U220" s="70">
        <f>B220+I220-P220</f>
        <v>12413.272927967753</v>
      </c>
      <c r="V220" s="70">
        <f>C220+J220-Q220</f>
        <v>17635.930440344433</v>
      </c>
      <c r="W220" s="71">
        <f t="shared" si="52"/>
        <v>20947.437183263697</v>
      </c>
    </row>
    <row r="221" spans="1:23" x14ac:dyDescent="0.2">
      <c r="A221" s="60">
        <v>81</v>
      </c>
      <c r="B221" s="70">
        <f t="shared" ref="B221:D240" si="53">SQRT($A221)*B$135</f>
        <v>10883.769934626318</v>
      </c>
      <c r="C221" s="70">
        <f t="shared" si="53"/>
        <v>16063.75651512782</v>
      </c>
      <c r="D221" s="71">
        <f t="shared" si="53"/>
        <v>19368.645474918645</v>
      </c>
      <c r="E221" s="80"/>
      <c r="F221" s="5"/>
      <c r="G221" s="6"/>
      <c r="H221" s="60">
        <v>81</v>
      </c>
      <c r="I221" s="70">
        <f t="shared" si="50"/>
        <v>14709.100233909974</v>
      </c>
      <c r="J221" s="70">
        <f t="shared" si="50"/>
        <v>20402.780030629739</v>
      </c>
      <c r="K221" s="71">
        <f t="shared" si="50"/>
        <v>22465.707493209367</v>
      </c>
      <c r="L221" s="80"/>
      <c r="O221" s="60">
        <v>81</v>
      </c>
      <c r="P221" s="70">
        <f t="shared" si="51"/>
        <v>13102.255227949106</v>
      </c>
      <c r="Q221" s="70">
        <f t="shared" si="51"/>
        <v>18720.723855776985</v>
      </c>
      <c r="R221" s="71">
        <f t="shared" si="51"/>
        <v>20756.400894845061</v>
      </c>
      <c r="T221" s="60">
        <v>81</v>
      </c>
      <c r="U221" s="70">
        <f>B221+I221-P221</f>
        <v>12490.614940587184</v>
      </c>
      <c r="V221" s="70">
        <f>C221+J221-Q221</f>
        <v>17745.812689980576</v>
      </c>
      <c r="W221" s="71">
        <f t="shared" si="52"/>
        <v>21077.952073282951</v>
      </c>
    </row>
    <row r="222" spans="1:23" x14ac:dyDescent="0.2">
      <c r="A222" s="60">
        <v>82</v>
      </c>
      <c r="B222" s="70">
        <f t="shared" si="53"/>
        <v>10950.747612546891</v>
      </c>
      <c r="C222" s="70">
        <f t="shared" si="53"/>
        <v>16162.611334416286</v>
      </c>
      <c r="D222" s="71">
        <f t="shared" si="53"/>
        <v>19487.838264381204</v>
      </c>
      <c r="E222" s="80"/>
      <c r="F222" s="5"/>
      <c r="G222" s="6"/>
      <c r="H222" s="60">
        <v>82</v>
      </c>
      <c r="I222" s="70">
        <f t="shared" si="50"/>
        <v>14799.61862816911</v>
      </c>
      <c r="J222" s="70">
        <f t="shared" si="50"/>
        <v>20528.336785116826</v>
      </c>
      <c r="K222" s="71">
        <f t="shared" si="50"/>
        <v>22603.959305750057</v>
      </c>
      <c r="L222" s="80"/>
      <c r="O222" s="60">
        <v>82</v>
      </c>
      <c r="P222" s="70">
        <f t="shared" si="51"/>
        <v>13182.885251917067</v>
      </c>
      <c r="Q222" s="70">
        <f t="shared" si="51"/>
        <v>18835.929397641947</v>
      </c>
      <c r="R222" s="71">
        <f t="shared" si="51"/>
        <v>20884.133798266903</v>
      </c>
      <c r="T222" s="60">
        <v>82</v>
      </c>
      <c r="U222" s="70">
        <f>B222+I222-P222</f>
        <v>12567.480988798934</v>
      </c>
      <c r="V222" s="70">
        <f>C222+J222-Q222</f>
        <v>17855.018721891163</v>
      </c>
      <c r="W222" s="71">
        <f t="shared" si="52"/>
        <v>21207.663771864358</v>
      </c>
    </row>
    <row r="223" spans="1:23" x14ac:dyDescent="0.2">
      <c r="A223" s="60">
        <v>83</v>
      </c>
      <c r="B223" s="70">
        <f t="shared" si="53"/>
        <v>11017.318120011196</v>
      </c>
      <c r="C223" s="70">
        <f t="shared" si="53"/>
        <v>16260.8651958465</v>
      </c>
      <c r="D223" s="71">
        <f t="shared" si="53"/>
        <v>19606.306457471124</v>
      </c>
      <c r="E223" s="80"/>
      <c r="F223" s="5"/>
      <c r="G223" s="6"/>
      <c r="H223" s="60">
        <v>83</v>
      </c>
      <c r="I223" s="70">
        <f t="shared" si="50"/>
        <v>14889.586743334743</v>
      </c>
      <c r="J223" s="70">
        <f t="shared" si="50"/>
        <v>20653.130255438213</v>
      </c>
      <c r="K223" s="71">
        <f t="shared" si="50"/>
        <v>22741.370658374257</v>
      </c>
      <c r="L223" s="80"/>
      <c r="O223" s="60">
        <v>83</v>
      </c>
      <c r="P223" s="70">
        <f t="shared" si="51"/>
        <v>13263.025110136276</v>
      </c>
      <c r="Q223" s="70">
        <f t="shared" si="51"/>
        <v>18950.434582395377</v>
      </c>
      <c r="R223" s="71">
        <f t="shared" si="51"/>
        <v>21011.090188286358</v>
      </c>
      <c r="T223" s="60">
        <v>83</v>
      </c>
      <c r="U223" s="70">
        <f>B223+I223-P223</f>
        <v>12643.879753209663</v>
      </c>
      <c r="V223" s="70">
        <f>C223+J223-Q223</f>
        <v>17963.560868889334</v>
      </c>
      <c r="W223" s="71">
        <f t="shared" si="52"/>
        <v>21336.586927559019</v>
      </c>
    </row>
    <row r="224" spans="1:23" x14ac:dyDescent="0.2">
      <c r="A224" s="60">
        <v>84</v>
      </c>
      <c r="B224" s="70">
        <f t="shared" si="53"/>
        <v>11083.488793757706</v>
      </c>
      <c r="C224" s="70">
        <f t="shared" si="53"/>
        <v>16358.528927980726</v>
      </c>
      <c r="D224" s="71">
        <f t="shared" si="53"/>
        <v>19724.063110573021</v>
      </c>
      <c r="E224" s="80"/>
      <c r="F224" s="5"/>
      <c r="G224" s="6"/>
      <c r="H224" s="60">
        <v>84</v>
      </c>
      <c r="I224" s="70">
        <f t="shared" si="50"/>
        <v>14979.014494796689</v>
      </c>
      <c r="J224" s="70">
        <f t="shared" si="50"/>
        <v>20777.174195087602</v>
      </c>
      <c r="K224" s="71">
        <f t="shared" si="50"/>
        <v>22877.956695193006</v>
      </c>
      <c r="L224" s="80"/>
      <c r="O224" s="60">
        <v>84</v>
      </c>
      <c r="P224" s="70">
        <f t="shared" si="51"/>
        <v>13342.683634823925</v>
      </c>
      <c r="Q224" s="70">
        <f t="shared" si="51"/>
        <v>19064.252029658575</v>
      </c>
      <c r="R224" s="71">
        <f t="shared" si="51"/>
        <v>21137.28405677258</v>
      </c>
      <c r="T224" s="60">
        <v>84</v>
      </c>
      <c r="U224" s="70">
        <f>B224+I224-P224</f>
        <v>12719.81965373047</v>
      </c>
      <c r="V224" s="70">
        <f>C224+J224-Q224</f>
        <v>18071.451093409753</v>
      </c>
      <c r="W224" s="71">
        <f t="shared" si="52"/>
        <v>21464.735748993451</v>
      </c>
    </row>
    <row r="225" spans="1:23" x14ac:dyDescent="0.2">
      <c r="A225" s="60">
        <v>85</v>
      </c>
      <c r="B225" s="70">
        <f t="shared" si="53"/>
        <v>11149.266752803893</v>
      </c>
      <c r="C225" s="70">
        <f t="shared" si="53"/>
        <v>16455.613038038799</v>
      </c>
      <c r="D225" s="71">
        <f t="shared" si="53"/>
        <v>19841.120892617462</v>
      </c>
      <c r="E225" s="80"/>
      <c r="F225" s="5"/>
      <c r="G225" s="6"/>
      <c r="H225" s="60">
        <v>85</v>
      </c>
      <c r="I225" s="70">
        <f t="shared" si="50"/>
        <v>15067.911503701134</v>
      </c>
      <c r="J225" s="70">
        <f t="shared" si="50"/>
        <v>20900.481949417601</v>
      </c>
      <c r="K225" s="71">
        <f t="shared" si="50"/>
        <v>23013.732110909077</v>
      </c>
      <c r="L225" s="80"/>
      <c r="O225" s="60">
        <v>85</v>
      </c>
      <c r="P225" s="70">
        <f t="shared" si="51"/>
        <v>13421.869396097214</v>
      </c>
      <c r="Q225" s="70">
        <f t="shared" si="51"/>
        <v>19177.393984559938</v>
      </c>
      <c r="R225" s="71">
        <f t="shared" si="51"/>
        <v>21262.728980379765</v>
      </c>
      <c r="T225" s="60">
        <v>85</v>
      </c>
      <c r="U225" s="70">
        <f>B225+I225-P225</f>
        <v>12795.308860407813</v>
      </c>
      <c r="V225" s="70">
        <f>C225+J225-Q225</f>
        <v>18178.701002896458</v>
      </c>
      <c r="W225" s="71">
        <f t="shared" si="52"/>
        <v>21592.124023146778</v>
      </c>
    </row>
    <row r="226" spans="1:23" x14ac:dyDescent="0.2">
      <c r="A226" s="60">
        <v>86</v>
      </c>
      <c r="B226" s="70">
        <f t="shared" si="53"/>
        <v>11214.658907385632</v>
      </c>
      <c r="C226" s="70">
        <f t="shared" si="53"/>
        <v>16552.127725092105</v>
      </c>
      <c r="D226" s="71">
        <f t="shared" si="53"/>
        <v>19957.492100989413</v>
      </c>
      <c r="E226" s="80"/>
      <c r="F226" s="5"/>
      <c r="G226" s="6"/>
      <c r="H226" s="60">
        <v>86</v>
      </c>
      <c r="I226" s="70">
        <f t="shared" si="50"/>
        <v>15156.287109031968</v>
      </c>
      <c r="J226" s="70">
        <f t="shared" si="50"/>
        <v>21023.066472397593</v>
      </c>
      <c r="K226" s="71">
        <f t="shared" si="50"/>
        <v>23148.711169269201</v>
      </c>
      <c r="L226" s="80"/>
      <c r="O226" s="60">
        <v>86</v>
      </c>
      <c r="P226" s="70">
        <f t="shared" si="51"/>
        <v>13500.5907127349</v>
      </c>
      <c r="Q226" s="70">
        <f t="shared" si="51"/>
        <v>19289.872333111234</v>
      </c>
      <c r="R226" s="71">
        <f t="shared" si="51"/>
        <v>21387.438137595414</v>
      </c>
      <c r="T226" s="60">
        <v>86</v>
      </c>
      <c r="U226" s="70">
        <f>B226+I226-P226</f>
        <v>12870.355303682698</v>
      </c>
      <c r="V226" s="70">
        <f>C226+J226-Q226</f>
        <v>18285.321864378464</v>
      </c>
      <c r="W226" s="71">
        <f t="shared" si="52"/>
        <v>21718.7651326632</v>
      </c>
    </row>
    <row r="227" spans="1:23" x14ac:dyDescent="0.2">
      <c r="A227" s="60">
        <v>87</v>
      </c>
      <c r="B227" s="70">
        <f t="shared" si="53"/>
        <v>11279.671967430149</v>
      </c>
      <c r="C227" s="70">
        <f t="shared" si="53"/>
        <v>16648.082892569135</v>
      </c>
      <c r="D227" s="71">
        <f t="shared" si="53"/>
        <v>20073.188676606627</v>
      </c>
      <c r="E227" s="80"/>
      <c r="F227" s="5"/>
      <c r="G227" s="6"/>
      <c r="H227" s="60">
        <v>87</v>
      </c>
      <c r="I227" s="70">
        <f t="shared" si="50"/>
        <v>15244.150379061743</v>
      </c>
      <c r="J227" s="70">
        <f t="shared" si="50"/>
        <v>21144.940342497179</v>
      </c>
      <c r="K227" s="71">
        <f t="shared" si="50"/>
        <v>23282.9077205535</v>
      </c>
      <c r="L227" s="80"/>
      <c r="O227" s="60">
        <v>87</v>
      </c>
      <c r="P227" s="70">
        <f t="shared" si="51"/>
        <v>13578.855662377324</v>
      </c>
      <c r="Q227" s="70">
        <f t="shared" si="51"/>
        <v>19401.698616781596</v>
      </c>
      <c r="R227" s="71">
        <f t="shared" si="51"/>
        <v>21511.424324899082</v>
      </c>
      <c r="T227" s="60">
        <v>87</v>
      </c>
      <c r="U227" s="70">
        <f>B227+I227-P227</f>
        <v>12944.966684114568</v>
      </c>
      <c r="V227" s="70">
        <f>C227+J227-Q227</f>
        <v>18391.324618284718</v>
      </c>
      <c r="W227" s="71">
        <f t="shared" si="52"/>
        <v>21844.672072261048</v>
      </c>
    </row>
    <row r="228" spans="1:23" x14ac:dyDescent="0.2">
      <c r="A228" s="60">
        <v>88</v>
      </c>
      <c r="B228" s="70">
        <f t="shared" si="53"/>
        <v>11344.312450591935</v>
      </c>
      <c r="C228" s="70">
        <f t="shared" si="53"/>
        <v>16743.488160115961</v>
      </c>
      <c r="D228" s="71">
        <f t="shared" si="53"/>
        <v>20188.22221822026</v>
      </c>
      <c r="E228" s="80"/>
      <c r="F228" s="5"/>
      <c r="G228" s="6"/>
      <c r="H228" s="60">
        <v>88</v>
      </c>
      <c r="I228" s="70">
        <f t="shared" si="50"/>
        <v>15331.510122211965</v>
      </c>
      <c r="J228" s="70">
        <f t="shared" si="50"/>
        <v>21266.115777750329</v>
      </c>
      <c r="K228" s="71">
        <f t="shared" si="50"/>
        <v>23416.335218162785</v>
      </c>
      <c r="L228" s="80"/>
      <c r="O228" s="60">
        <v>88</v>
      </c>
      <c r="P228" s="70">
        <f t="shared" si="51"/>
        <v>13656.672091200313</v>
      </c>
      <c r="Q228" s="70">
        <f t="shared" si="51"/>
        <v>19512.884046319738</v>
      </c>
      <c r="R228" s="71">
        <f t="shared" si="51"/>
        <v>21634.699972087645</v>
      </c>
      <c r="T228" s="60">
        <v>88</v>
      </c>
      <c r="U228" s="70">
        <f>B228+I228-P228</f>
        <v>13019.150481603587</v>
      </c>
      <c r="V228" s="70">
        <f>C228+J228-Q228</f>
        <v>18496.719891546552</v>
      </c>
      <c r="W228" s="71">
        <f t="shared" si="52"/>
        <v>21969.857464295401</v>
      </c>
    </row>
    <row r="229" spans="1:23" x14ac:dyDescent="0.2">
      <c r="A229" s="60">
        <v>89</v>
      </c>
      <c r="B229" s="70">
        <f t="shared" si="53"/>
        <v>11408.586689878846</v>
      </c>
      <c r="C229" s="70">
        <f t="shared" si="53"/>
        <v>16838.352874851909</v>
      </c>
      <c r="D229" s="71">
        <f t="shared" si="53"/>
        <v>20302.603995986225</v>
      </c>
      <c r="E229" s="80"/>
      <c r="F229" s="5"/>
      <c r="G229" s="6"/>
      <c r="H229" s="60">
        <v>89</v>
      </c>
      <c r="I229" s="70">
        <f t="shared" si="50"/>
        <v>15418.374897359563</v>
      </c>
      <c r="J229" s="70">
        <f t="shared" si="50"/>
        <v>21386.604650051355</v>
      </c>
      <c r="K229" s="71">
        <f t="shared" si="50"/>
        <v>23549.00673435998</v>
      </c>
      <c r="L229" s="80"/>
      <c r="O229" s="60">
        <v>89</v>
      </c>
      <c r="P229" s="70">
        <f t="shared" si="51"/>
        <v>13734.047623095761</v>
      </c>
      <c r="Q229" s="70">
        <f t="shared" si="51"/>
        <v>19623.439514871337</v>
      </c>
      <c r="R229" s="71">
        <f t="shared" si="51"/>
        <v>21757.277156819011</v>
      </c>
      <c r="T229" s="60">
        <v>89</v>
      </c>
      <c r="U229" s="70">
        <f>B229+I229-P229</f>
        <v>13092.913964142648</v>
      </c>
      <c r="V229" s="70">
        <f>C229+J229-Q229</f>
        <v>18601.518010031927</v>
      </c>
      <c r="W229" s="71">
        <f t="shared" si="52"/>
        <v>22094.333573527194</v>
      </c>
    </row>
    <row r="230" spans="1:23" x14ac:dyDescent="0.2">
      <c r="A230" s="60">
        <v>90</v>
      </c>
      <c r="B230" s="70">
        <f t="shared" si="53"/>
        <v>11472.50084089369</v>
      </c>
      <c r="C230" s="70">
        <f t="shared" si="53"/>
        <v>16932.686122057654</v>
      </c>
      <c r="D230" s="71">
        <f t="shared" si="53"/>
        <v>20416.344964352204</v>
      </c>
      <c r="E230" s="80"/>
      <c r="F230" s="5"/>
      <c r="G230" s="6"/>
      <c r="H230" s="60">
        <v>90</v>
      </c>
      <c r="I230" s="70">
        <f t="shared" si="50"/>
        <v>15504.753023623665</v>
      </c>
      <c r="J230" s="70">
        <f t="shared" si="50"/>
        <v>21506.418498729981</v>
      </c>
      <c r="K230" s="71">
        <f t="shared" si="50"/>
        <v>23680.93497521778</v>
      </c>
      <c r="L230" s="80"/>
      <c r="O230" s="60">
        <v>90</v>
      </c>
      <c r="P230" s="70">
        <f t="shared" si="51"/>
        <v>13810.989668389271</v>
      </c>
      <c r="Q230" s="70">
        <f t="shared" si="51"/>
        <v>19733.375610434938</v>
      </c>
      <c r="R230" s="71">
        <f t="shared" si="51"/>
        <v>21879.167618422496</v>
      </c>
      <c r="T230" s="60">
        <v>90</v>
      </c>
      <c r="U230" s="70">
        <f>B230+I230-P230</f>
        <v>13166.264196128084</v>
      </c>
      <c r="V230" s="70">
        <f>C230+J230-Q230</f>
        <v>18705.729010352698</v>
      </c>
      <c r="W230" s="71">
        <f t="shared" si="52"/>
        <v>22218.112321147488</v>
      </c>
    </row>
    <row r="231" spans="1:23" x14ac:dyDescent="0.2">
      <c r="A231" s="60">
        <v>91</v>
      </c>
      <c r="B231" s="70">
        <f t="shared" si="53"/>
        <v>11536.060888714659</v>
      </c>
      <c r="C231" s="70">
        <f t="shared" si="53"/>
        <v>17026.496735330322</v>
      </c>
      <c r="D231" s="71">
        <f t="shared" si="53"/>
        <v>20529.455774302034</v>
      </c>
      <c r="E231" s="80"/>
      <c r="F231" s="5"/>
      <c r="G231" s="6"/>
      <c r="H231" s="60">
        <v>91</v>
      </c>
      <c r="I231" s="70">
        <f t="shared" si="50"/>
        <v>15590.65258966432</v>
      </c>
      <c r="J231" s="70">
        <f t="shared" si="50"/>
        <v>21625.568543449488</v>
      </c>
      <c r="K231" s="71">
        <f t="shared" si="50"/>
        <v>23812.132294820927</v>
      </c>
      <c r="L231" s="80"/>
      <c r="O231" s="60">
        <v>91</v>
      </c>
      <c r="P231" s="70">
        <f t="shared" si="51"/>
        <v>13887.505432123078</v>
      </c>
      <c r="Q231" s="70">
        <f t="shared" si="51"/>
        <v>19842.702627696734</v>
      </c>
      <c r="R231" s="71">
        <f t="shared" si="51"/>
        <v>22000.382771020522</v>
      </c>
      <c r="T231" s="60">
        <v>91</v>
      </c>
      <c r="U231" s="70">
        <f>B231+I231-P231</f>
        <v>13239.208046255902</v>
      </c>
      <c r="V231" s="70">
        <f>C231+J231-Q231</f>
        <v>18809.362651083076</v>
      </c>
      <c r="W231" s="71">
        <f t="shared" si="52"/>
        <v>22341.205298102439</v>
      </c>
    </row>
    <row r="232" spans="1:23" x14ac:dyDescent="0.2">
      <c r="A232" s="60">
        <v>92</v>
      </c>
      <c r="B232" s="70">
        <f t="shared" si="53"/>
        <v>11599.272654436469</v>
      </c>
      <c r="C232" s="70">
        <f t="shared" si="53"/>
        <v>17119.793306237792</v>
      </c>
      <c r="D232" s="71">
        <f t="shared" si="53"/>
        <v>20641.946784996242</v>
      </c>
      <c r="E232" s="80"/>
      <c r="F232" s="5"/>
      <c r="G232" s="6"/>
      <c r="H232" s="60">
        <v>92</v>
      </c>
      <c r="I232" s="70">
        <f t="shared" si="50"/>
        <v>15676.081462522654</v>
      </c>
      <c r="J232" s="70">
        <f t="shared" si="50"/>
        <v>21744.065696468744</v>
      </c>
      <c r="K232" s="71">
        <f t="shared" si="50"/>
        <v>23942.610708768054</v>
      </c>
      <c r="L232" s="80"/>
      <c r="O232" s="60">
        <v>92</v>
      </c>
      <c r="P232" s="70">
        <f t="shared" si="51"/>
        <v>13963.601921930489</v>
      </c>
      <c r="Q232" s="70">
        <f t="shared" si="51"/>
        <v>19951.430579281714</v>
      </c>
      <c r="R232" s="71">
        <f t="shared" si="51"/>
        <v>22120.933716003172</v>
      </c>
      <c r="T232" s="60">
        <v>92</v>
      </c>
      <c r="U232" s="70">
        <f>B232+I232-P232</f>
        <v>13311.752195028634</v>
      </c>
      <c r="V232" s="70">
        <f>C232+J232-Q232</f>
        <v>18912.428423424823</v>
      </c>
      <c r="W232" s="71">
        <f t="shared" si="52"/>
        <v>22463.623777761124</v>
      </c>
    </row>
    <row r="233" spans="1:23" x14ac:dyDescent="0.2">
      <c r="A233" s="60">
        <v>93</v>
      </c>
      <c r="B233" s="70">
        <f t="shared" si="53"/>
        <v>11662.14180139237</v>
      </c>
      <c r="C233" s="70">
        <f t="shared" si="53"/>
        <v>17212.584193501993</v>
      </c>
      <c r="D233" s="71">
        <f t="shared" si="53"/>
        <v>20753.828074844663</v>
      </c>
      <c r="E233" s="80"/>
      <c r="F233" s="5"/>
      <c r="G233" s="6"/>
      <c r="H233" s="60">
        <v>93</v>
      </c>
      <c r="I233" s="70">
        <f t="shared" si="50"/>
        <v>15761.04729602973</v>
      </c>
      <c r="J233" s="70">
        <f t="shared" si="50"/>
        <v>21861.920574306037</v>
      </c>
      <c r="K233" s="71">
        <f t="shared" si="50"/>
        <v>24072.381907014849</v>
      </c>
      <c r="L233" s="80"/>
      <c r="O233" s="60">
        <v>93</v>
      </c>
      <c r="P233" s="70">
        <f t="shared" si="51"/>
        <v>14039.285955526146</v>
      </c>
      <c r="Q233" s="70">
        <f t="shared" si="51"/>
        <v>20059.569206455857</v>
      </c>
      <c r="R233" s="71">
        <f t="shared" si="51"/>
        <v>22240.831253894157</v>
      </c>
      <c r="T233" s="60">
        <v>93</v>
      </c>
      <c r="U233" s="70">
        <f>B233+I233-P233</f>
        <v>13383.903141895957</v>
      </c>
      <c r="V233" s="70">
        <f>C233+J233-Q233</f>
        <v>19014.935561352173</v>
      </c>
      <c r="W233" s="71">
        <f t="shared" si="52"/>
        <v>22585.378727965359</v>
      </c>
    </row>
    <row r="234" spans="1:23" x14ac:dyDescent="0.2">
      <c r="A234" s="60">
        <v>94</v>
      </c>
      <c r="B234" s="70">
        <f t="shared" si="53"/>
        <v>11724.673841075877</v>
      </c>
      <c r="C234" s="70">
        <f t="shared" si="53"/>
        <v>17304.877531738992</v>
      </c>
      <c r="D234" s="71">
        <f t="shared" si="53"/>
        <v>20865.109452044679</v>
      </c>
      <c r="E234" s="80"/>
      <c r="F234" s="5"/>
      <c r="G234" s="6"/>
      <c r="H234" s="60">
        <v>94</v>
      </c>
      <c r="I234" s="70">
        <f t="shared" si="50"/>
        <v>15845.5575388096</v>
      </c>
      <c r="J234" s="70">
        <f t="shared" si="50"/>
        <v>21979.143508839978</v>
      </c>
      <c r="K234" s="71">
        <f t="shared" si="50"/>
        <v>24201.457266097364</v>
      </c>
      <c r="L234" s="80"/>
      <c r="O234" s="60">
        <v>94</v>
      </c>
      <c r="P234" s="70">
        <f t="shared" si="51"/>
        <v>14114.564167834817</v>
      </c>
      <c r="Q234" s="70">
        <f t="shared" si="51"/>
        <v>20167.127989311881</v>
      </c>
      <c r="R234" s="71">
        <f t="shared" si="51"/>
        <v>22360.085895644148</v>
      </c>
      <c r="T234" s="60">
        <v>94</v>
      </c>
      <c r="U234" s="70">
        <f>B234+I234-P234</f>
        <v>13455.667212050661</v>
      </c>
      <c r="V234" s="70">
        <f>C234+J234-Q234</f>
        <v>19116.893051267089</v>
      </c>
      <c r="W234" s="71">
        <f t="shared" si="52"/>
        <v>22706.480822497895</v>
      </c>
    </row>
    <row r="235" spans="1:23" x14ac:dyDescent="0.2">
      <c r="A235" s="60">
        <v>95</v>
      </c>
      <c r="B235" s="70">
        <f t="shared" si="53"/>
        <v>11786.874138779736</v>
      </c>
      <c r="C235" s="70">
        <f t="shared" si="53"/>
        <v>17396.681239781774</v>
      </c>
      <c r="D235" s="71">
        <f t="shared" si="53"/>
        <v>20975.80046461631</v>
      </c>
      <c r="E235" s="80"/>
      <c r="F235" s="5"/>
      <c r="G235" s="6"/>
      <c r="H235" s="60">
        <v>95</v>
      </c>
      <c r="I235" s="70">
        <f t="shared" si="50"/>
        <v>15929.619441900215</v>
      </c>
      <c r="J235" s="70">
        <f t="shared" si="50"/>
        <v>22095.744557880353</v>
      </c>
      <c r="K235" s="71">
        <f t="shared" si="50"/>
        <v>24329.847860771712</v>
      </c>
      <c r="L235" s="80"/>
      <c r="O235" s="60">
        <v>95</v>
      </c>
      <c r="P235" s="70">
        <f t="shared" si="51"/>
        <v>14189.443017779779</v>
      </c>
      <c r="Q235" s="70">
        <f t="shared" si="51"/>
        <v>20274.116156468597</v>
      </c>
      <c r="R235" s="71">
        <f t="shared" si="51"/>
        <v>22478.707873384836</v>
      </c>
      <c r="T235" s="60">
        <v>95</v>
      </c>
      <c r="U235" s="70">
        <f>B235+I235-P235</f>
        <v>13527.050562900173</v>
      </c>
      <c r="V235" s="70">
        <f>C235+J235-Q235</f>
        <v>19218.309641193533</v>
      </c>
      <c r="W235" s="71">
        <f t="shared" si="52"/>
        <v>22826.940452003186</v>
      </c>
    </row>
    <row r="236" spans="1:23" x14ac:dyDescent="0.2">
      <c r="A236" s="60">
        <v>96</v>
      </c>
      <c r="B236" s="70">
        <f t="shared" si="53"/>
        <v>11848.747918968491</v>
      </c>
      <c r="C236" s="70">
        <f t="shared" si="53"/>
        <v>17488.003028609797</v>
      </c>
      <c r="D236" s="71">
        <f t="shared" si="53"/>
        <v>21085.910409963129</v>
      </c>
      <c r="E236" s="80"/>
      <c r="F236" s="5"/>
      <c r="G236" s="6"/>
      <c r="H236" s="60">
        <v>96</v>
      </c>
      <c r="I236" s="70">
        <f t="shared" si="50"/>
        <v>16013.240066014278</v>
      </c>
      <c r="J236" s="70">
        <f t="shared" si="50"/>
        <v>22211.733515239554</v>
      </c>
      <c r="K236" s="71">
        <f t="shared" si="50"/>
        <v>24457.564475103787</v>
      </c>
      <c r="L236" s="80"/>
      <c r="O236" s="60">
        <v>96</v>
      </c>
      <c r="P236" s="70">
        <f t="shared" si="51"/>
        <v>14263.928794750489</v>
      </c>
      <c r="Q236" s="70">
        <f t="shared" si="51"/>
        <v>20380.542694312033</v>
      </c>
      <c r="R236" s="71">
        <f t="shared" si="51"/>
        <v>22596.707150674909</v>
      </c>
      <c r="T236" s="60">
        <v>96</v>
      </c>
      <c r="U236" s="70">
        <f>B236+I236-P236</f>
        <v>13598.059190232281</v>
      </c>
      <c r="V236" s="70">
        <f>C236+J236-Q236</f>
        <v>19319.193849537318</v>
      </c>
      <c r="W236" s="71">
        <f t="shared" si="52"/>
        <v>22946.767734392004</v>
      </c>
    </row>
    <row r="237" spans="1:23" x14ac:dyDescent="0.2">
      <c r="A237" s="60">
        <v>97</v>
      </c>
      <c r="B237" s="70">
        <f t="shared" si="53"/>
        <v>11910.30027039981</v>
      </c>
      <c r="C237" s="70">
        <f t="shared" si="53"/>
        <v>17578.850408907736</v>
      </c>
      <c r="D237" s="71">
        <f t="shared" si="53"/>
        <v>21195.448343986147</v>
      </c>
      <c r="E237" s="80"/>
      <c r="F237" s="5"/>
      <c r="G237" s="6"/>
      <c r="H237" s="60">
        <v>97</v>
      </c>
      <c r="I237" s="70">
        <f t="shared" si="50"/>
        <v>16096.426288460571</v>
      </c>
      <c r="J237" s="70">
        <f t="shared" si="50"/>
        <v>22327.119920333051</v>
      </c>
      <c r="K237" s="71">
        <f t="shared" si="50"/>
        <v>24584.617613040475</v>
      </c>
      <c r="L237" s="80"/>
      <c r="O237" s="60">
        <v>97</v>
      </c>
      <c r="P237" s="70">
        <f t="shared" si="51"/>
        <v>14338.027624767816</v>
      </c>
      <c r="Q237" s="70">
        <f t="shared" si="51"/>
        <v>20486.416355804402</v>
      </c>
      <c r="R237" s="71">
        <f t="shared" si="51"/>
        <v>22714.093432266935</v>
      </c>
      <c r="T237" s="60">
        <v>97</v>
      </c>
      <c r="U237" s="70">
        <f>B237+I237-P237</f>
        <v>13668.698934092565</v>
      </c>
      <c r="V237" s="70">
        <f>C237+J237-Q237</f>
        <v>19419.553973436385</v>
      </c>
      <c r="W237" s="71">
        <f t="shared" si="52"/>
        <v>23065.972524759687</v>
      </c>
    </row>
    <row r="238" spans="1:23" x14ac:dyDescent="0.2">
      <c r="A238" s="60">
        <v>98</v>
      </c>
      <c r="B238" s="70">
        <f t="shared" si="53"/>
        <v>11971.536151008835</v>
      </c>
      <c r="C238" s="70">
        <f t="shared" si="53"/>
        <v>17669.230698274499</v>
      </c>
      <c r="D238" s="71">
        <f t="shared" si="53"/>
        <v>21304.423089775955</v>
      </c>
      <c r="E238" s="80"/>
      <c r="F238" s="5"/>
      <c r="G238" s="6"/>
      <c r="H238" s="60">
        <v>98</v>
      </c>
      <c r="I238" s="70">
        <f t="shared" si="50"/>
        <v>16179.184809745027</v>
      </c>
      <c r="J238" s="70">
        <f t="shared" si="50"/>
        <v>22441.913067335634</v>
      </c>
      <c r="K238" s="71">
        <f t="shared" si="50"/>
        <v>24711.017508491652</v>
      </c>
      <c r="L238" s="80"/>
      <c r="O238" s="60">
        <v>98</v>
      </c>
      <c r="P238" s="70">
        <f t="shared" si="51"/>
        <v>14411.745476363987</v>
      </c>
      <c r="Q238" s="70">
        <f t="shared" si="51"/>
        <v>20591.745668885498</v>
      </c>
      <c r="R238" s="71">
        <f t="shared" si="51"/>
        <v>22830.876173422279</v>
      </c>
      <c r="T238" s="60">
        <v>98</v>
      </c>
      <c r="U238" s="70">
        <f>B238+I238-P238</f>
        <v>13738.975484389874</v>
      </c>
      <c r="V238" s="70">
        <f>C238+J238-Q238</f>
        <v>19519.398096724635</v>
      </c>
      <c r="W238" s="71">
        <f t="shared" si="52"/>
        <v>23184.564424845332</v>
      </c>
    </row>
    <row r="239" spans="1:23" x14ac:dyDescent="0.2">
      <c r="A239" s="60">
        <v>99</v>
      </c>
      <c r="B239" s="70">
        <f t="shared" si="53"/>
        <v>12032.460392568806</v>
      </c>
      <c r="C239" s="70">
        <f t="shared" si="53"/>
        <v>17759.151028101998</v>
      </c>
      <c r="D239" s="71">
        <f t="shared" si="53"/>
        <v>21412.843245906708</v>
      </c>
      <c r="E239" s="80"/>
      <c r="F239" s="5"/>
      <c r="G239" s="6"/>
      <c r="H239" s="60">
        <v>99</v>
      </c>
      <c r="I239" s="70">
        <f t="shared" si="50"/>
        <v>16261.52215986941</v>
      </c>
      <c r="J239" s="70">
        <f t="shared" si="50"/>
        <v>22556.122013918233</v>
      </c>
      <c r="K239" s="71">
        <f t="shared" si="50"/>
        <v>24836.774134950418</v>
      </c>
      <c r="L239" s="80"/>
      <c r="O239" s="60">
        <v>99</v>
      </c>
      <c r="P239" s="70">
        <f t="shared" si="51"/>
        <v>14485.088166193214</v>
      </c>
      <c r="Q239" s="70">
        <f t="shared" si="51"/>
        <v>20696.538944489228</v>
      </c>
      <c r="R239" s="71">
        <f t="shared" si="51"/>
        <v>22947.064588799378</v>
      </c>
      <c r="T239" s="60">
        <v>99</v>
      </c>
      <c r="U239" s="70">
        <f>B239+I239-P239</f>
        <v>13808.894386245003</v>
      </c>
      <c r="V239" s="70">
        <f>C239+J239-Q239</f>
        <v>19618.734097531</v>
      </c>
      <c r="W239" s="71">
        <f t="shared" si="52"/>
        <v>23302.552792057748</v>
      </c>
    </row>
    <row r="240" spans="1:23" x14ac:dyDescent="0.2">
      <c r="A240" s="61">
        <v>100</v>
      </c>
      <c r="B240" s="72">
        <f t="shared" si="53"/>
        <v>12093.077705140353</v>
      </c>
      <c r="C240" s="72">
        <f t="shared" si="53"/>
        <v>17848.61835014202</v>
      </c>
      <c r="D240" s="73">
        <f t="shared" si="53"/>
        <v>21520.717194354052</v>
      </c>
      <c r="E240" s="80"/>
      <c r="F240" s="74"/>
      <c r="G240" s="75"/>
      <c r="H240" s="61">
        <v>100</v>
      </c>
      <c r="I240" s="72">
        <f t="shared" si="50"/>
        <v>16343.444704344416</v>
      </c>
      <c r="J240" s="72">
        <f t="shared" si="50"/>
        <v>22669.7555895886</v>
      </c>
      <c r="K240" s="73">
        <f t="shared" si="50"/>
        <v>24961.897214677076</v>
      </c>
      <c r="L240" s="80"/>
      <c r="O240" s="61">
        <v>100</v>
      </c>
      <c r="P240" s="72">
        <f t="shared" si="51"/>
        <v>14558.061364387895</v>
      </c>
      <c r="Q240" s="72">
        <f t="shared" si="51"/>
        <v>20800.804284196653</v>
      </c>
      <c r="R240" s="73">
        <f t="shared" si="51"/>
        <v>23062.667660938954</v>
      </c>
      <c r="T240" s="61">
        <v>100</v>
      </c>
      <c r="U240" s="72">
        <f>B240+I240-P240</f>
        <v>13878.461045096874</v>
      </c>
      <c r="V240" s="72">
        <f>C240+J240-Q240</f>
        <v>19717.569655533967</v>
      </c>
      <c r="W240" s="73">
        <f t="shared" si="52"/>
        <v>23419.946748092174</v>
      </c>
    </row>
  </sheetData>
  <sortState xmlns:xlrd2="http://schemas.microsoft.com/office/spreadsheetml/2017/richdata2" ref="A3:Q127">
    <sortCondition ref="A3:A127"/>
  </sortState>
  <mergeCells count="4">
    <mergeCell ref="B139:D139"/>
    <mergeCell ref="I139:K139"/>
    <mergeCell ref="P139:R139"/>
    <mergeCell ref="U139:W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sigma flat</vt:lpstr>
      <vt:lpstr>EWMA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Angela Bortolato</cp:lastModifiedBy>
  <dcterms:created xsi:type="dcterms:W3CDTF">2016-05-13T15:46:46Z</dcterms:created>
  <dcterms:modified xsi:type="dcterms:W3CDTF">2026-04-07T08:45:04Z</dcterms:modified>
</cp:coreProperties>
</file>