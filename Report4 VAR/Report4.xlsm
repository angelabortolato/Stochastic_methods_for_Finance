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28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angelabortolato/Desktop/Stochastic methods for finance/"/>
    </mc:Choice>
  </mc:AlternateContent>
  <xr:revisionPtr revIDLastSave="0" documentId="13_ncr:1_{60E3CE7F-EB6C-7D4B-921E-20CBF3AABEA6}" xr6:coauthVersionLast="47" xr6:coauthVersionMax="47" xr10:uidLastSave="{00000000-0000-0000-0000-000000000000}"/>
  <bookViews>
    <workbookView xWindow="0" yWindow="660" windowWidth="15440" windowHeight="16900" xr2:uid="{00000000-000D-0000-FFFF-FFFF00000000}"/>
  </bookViews>
  <sheets>
    <sheet name="sigma flat" sheetId="3" r:id="rId1"/>
    <sheet name="EWMA " sheetId="2" r:id="rId2"/>
    <sheet name="monte carlo" sheetId="4" r:id="rId3"/>
    <sheet name="historical" sheetId="5" r:id="rId4"/>
    <sheet name="historical bootstrap" sheetId="7" r:id="rId5"/>
    <sheet name="recap" sheetId="6" r:id="rId6"/>
  </sheets>
  <functionGroups builtInGroupCount="19"/>
  <definedNames>
    <definedName name="_xlchart.v1.0" hidden="1">historical!$C$4:$C$127</definedName>
    <definedName name="_xlchart.v1.1" hidden="1">historical!$H$4:$H$127</definedName>
    <definedName name="_xlchart.v1.2" hidden="1">historical!$N$4:$N$127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0" i="3" l="1"/>
  <c r="S150" i="3"/>
  <c r="K3" i="7"/>
  <c r="I3" i="7" s="1"/>
  <c r="F3" i="7"/>
  <c r="D3" i="7" s="1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P201" i="2"/>
  <c r="Q201" i="2"/>
  <c r="R201" i="2"/>
  <c r="P202" i="2"/>
  <c r="Q202" i="2"/>
  <c r="R202" i="2"/>
  <c r="P203" i="2"/>
  <c r="Q203" i="2"/>
  <c r="R203" i="2"/>
  <c r="P204" i="2"/>
  <c r="Q204" i="2"/>
  <c r="R204" i="2"/>
  <c r="P205" i="2"/>
  <c r="Q205" i="2"/>
  <c r="R205" i="2"/>
  <c r="P206" i="2"/>
  <c r="Q206" i="2"/>
  <c r="R206" i="2"/>
  <c r="P207" i="2"/>
  <c r="Q207" i="2"/>
  <c r="R207" i="2"/>
  <c r="P208" i="2"/>
  <c r="Q208" i="2"/>
  <c r="R208" i="2"/>
  <c r="P209" i="2"/>
  <c r="Q209" i="2"/>
  <c r="R209" i="2"/>
  <c r="P210" i="2"/>
  <c r="Q210" i="2"/>
  <c r="R210" i="2"/>
  <c r="P211" i="2"/>
  <c r="Q211" i="2"/>
  <c r="R211" i="2"/>
  <c r="P212" i="2"/>
  <c r="Q212" i="2"/>
  <c r="R212" i="2"/>
  <c r="P213" i="2"/>
  <c r="Q213" i="2"/>
  <c r="R213" i="2"/>
  <c r="P214" i="2"/>
  <c r="Q214" i="2"/>
  <c r="R214" i="2"/>
  <c r="P215" i="2"/>
  <c r="Q215" i="2"/>
  <c r="R215" i="2"/>
  <c r="P216" i="2"/>
  <c r="Q216" i="2"/>
  <c r="R216" i="2"/>
  <c r="P217" i="2"/>
  <c r="Q217" i="2"/>
  <c r="R217" i="2"/>
  <c r="P218" i="2"/>
  <c r="Q218" i="2"/>
  <c r="R218" i="2"/>
  <c r="P219" i="2"/>
  <c r="Q219" i="2"/>
  <c r="R219" i="2"/>
  <c r="P220" i="2"/>
  <c r="Q220" i="2"/>
  <c r="R220" i="2"/>
  <c r="P221" i="2"/>
  <c r="Q221" i="2"/>
  <c r="R221" i="2"/>
  <c r="P222" i="2"/>
  <c r="Q222" i="2"/>
  <c r="R222" i="2"/>
  <c r="P223" i="2"/>
  <c r="Q223" i="2"/>
  <c r="R223" i="2"/>
  <c r="P224" i="2"/>
  <c r="Q224" i="2"/>
  <c r="R224" i="2"/>
  <c r="P225" i="2"/>
  <c r="Q225" i="2"/>
  <c r="R225" i="2"/>
  <c r="P226" i="2"/>
  <c r="Q226" i="2"/>
  <c r="R226" i="2"/>
  <c r="P227" i="2"/>
  <c r="Q227" i="2"/>
  <c r="R227" i="2"/>
  <c r="P228" i="2"/>
  <c r="Q228" i="2"/>
  <c r="R228" i="2"/>
  <c r="P229" i="2"/>
  <c r="Q229" i="2"/>
  <c r="R229" i="2"/>
  <c r="P230" i="2"/>
  <c r="Q230" i="2"/>
  <c r="R230" i="2"/>
  <c r="P231" i="2"/>
  <c r="Q231" i="2"/>
  <c r="R231" i="2"/>
  <c r="P232" i="2"/>
  <c r="Q232" i="2"/>
  <c r="R232" i="2"/>
  <c r="P233" i="2"/>
  <c r="Q233" i="2"/>
  <c r="R233" i="2"/>
  <c r="P234" i="2"/>
  <c r="Q234" i="2"/>
  <c r="R234" i="2"/>
  <c r="P235" i="2"/>
  <c r="Q235" i="2"/>
  <c r="R235" i="2"/>
  <c r="P236" i="2"/>
  <c r="Q236" i="2"/>
  <c r="R236" i="2"/>
  <c r="P237" i="2"/>
  <c r="Q237" i="2"/>
  <c r="R237" i="2"/>
  <c r="P238" i="2"/>
  <c r="Q238" i="2"/>
  <c r="R238" i="2"/>
  <c r="P239" i="2"/>
  <c r="Q239" i="2"/>
  <c r="R239" i="2"/>
  <c r="P240" i="2"/>
  <c r="Q240" i="2"/>
  <c r="R240" i="2"/>
  <c r="Q141" i="2"/>
  <c r="R141" i="2"/>
  <c r="P141" i="2"/>
  <c r="U141" i="2" s="1"/>
  <c r="I142" i="2"/>
  <c r="J142" i="2"/>
  <c r="K142" i="2"/>
  <c r="I143" i="2"/>
  <c r="J143" i="2"/>
  <c r="K143" i="2"/>
  <c r="I144" i="2"/>
  <c r="J144" i="2"/>
  <c r="K144" i="2"/>
  <c r="I145" i="2"/>
  <c r="J145" i="2"/>
  <c r="K145" i="2"/>
  <c r="I146" i="2"/>
  <c r="J146" i="2"/>
  <c r="K146" i="2"/>
  <c r="I147" i="2"/>
  <c r="J147" i="2"/>
  <c r="K147" i="2"/>
  <c r="I148" i="2"/>
  <c r="J148" i="2"/>
  <c r="K148" i="2"/>
  <c r="I149" i="2"/>
  <c r="J149" i="2"/>
  <c r="K149" i="2"/>
  <c r="I150" i="2"/>
  <c r="J150" i="2"/>
  <c r="K150" i="2"/>
  <c r="I151" i="2"/>
  <c r="J151" i="2"/>
  <c r="K151" i="2"/>
  <c r="I152" i="2"/>
  <c r="J152" i="2"/>
  <c r="K152" i="2"/>
  <c r="I153" i="2"/>
  <c r="J153" i="2"/>
  <c r="K153" i="2"/>
  <c r="I154" i="2"/>
  <c r="J154" i="2"/>
  <c r="K154" i="2"/>
  <c r="I155" i="2"/>
  <c r="J155" i="2"/>
  <c r="K155" i="2"/>
  <c r="I156" i="2"/>
  <c r="J156" i="2"/>
  <c r="K156" i="2"/>
  <c r="I157" i="2"/>
  <c r="J157" i="2"/>
  <c r="K157" i="2"/>
  <c r="I158" i="2"/>
  <c r="J158" i="2"/>
  <c r="K158" i="2"/>
  <c r="I159" i="2"/>
  <c r="J159" i="2"/>
  <c r="K159" i="2"/>
  <c r="I160" i="2"/>
  <c r="J160" i="2"/>
  <c r="K160" i="2"/>
  <c r="I161" i="2"/>
  <c r="J161" i="2"/>
  <c r="K161" i="2"/>
  <c r="I162" i="2"/>
  <c r="J162" i="2"/>
  <c r="K162" i="2"/>
  <c r="I163" i="2"/>
  <c r="J163" i="2"/>
  <c r="K163" i="2"/>
  <c r="I164" i="2"/>
  <c r="J164" i="2"/>
  <c r="K164" i="2"/>
  <c r="I165" i="2"/>
  <c r="J165" i="2"/>
  <c r="K165" i="2"/>
  <c r="I166" i="2"/>
  <c r="J166" i="2"/>
  <c r="K166" i="2"/>
  <c r="I167" i="2"/>
  <c r="J167" i="2"/>
  <c r="K167" i="2"/>
  <c r="I168" i="2"/>
  <c r="J168" i="2"/>
  <c r="K168" i="2"/>
  <c r="I169" i="2"/>
  <c r="J169" i="2"/>
  <c r="K169" i="2"/>
  <c r="I170" i="2"/>
  <c r="J170" i="2"/>
  <c r="K170" i="2"/>
  <c r="I171" i="2"/>
  <c r="J171" i="2"/>
  <c r="K171" i="2"/>
  <c r="I172" i="2"/>
  <c r="J172" i="2"/>
  <c r="K172" i="2"/>
  <c r="I173" i="2"/>
  <c r="J173" i="2"/>
  <c r="K173" i="2"/>
  <c r="I174" i="2"/>
  <c r="J174" i="2"/>
  <c r="K174" i="2"/>
  <c r="I175" i="2"/>
  <c r="J175" i="2"/>
  <c r="K175" i="2"/>
  <c r="I176" i="2"/>
  <c r="J176" i="2"/>
  <c r="K176" i="2"/>
  <c r="I177" i="2"/>
  <c r="J177" i="2"/>
  <c r="K177" i="2"/>
  <c r="I178" i="2"/>
  <c r="J178" i="2"/>
  <c r="K178" i="2"/>
  <c r="I179" i="2"/>
  <c r="J179" i="2"/>
  <c r="K179" i="2"/>
  <c r="I180" i="2"/>
  <c r="J180" i="2"/>
  <c r="K180" i="2"/>
  <c r="I181" i="2"/>
  <c r="J181" i="2"/>
  <c r="K181" i="2"/>
  <c r="I182" i="2"/>
  <c r="J182" i="2"/>
  <c r="K182" i="2"/>
  <c r="I183" i="2"/>
  <c r="J183" i="2"/>
  <c r="K183" i="2"/>
  <c r="I184" i="2"/>
  <c r="J184" i="2"/>
  <c r="K184" i="2"/>
  <c r="I185" i="2"/>
  <c r="J185" i="2"/>
  <c r="K185" i="2"/>
  <c r="I186" i="2"/>
  <c r="J186" i="2"/>
  <c r="K186" i="2"/>
  <c r="I187" i="2"/>
  <c r="J187" i="2"/>
  <c r="K187" i="2"/>
  <c r="I188" i="2"/>
  <c r="J188" i="2"/>
  <c r="K188" i="2"/>
  <c r="I189" i="2"/>
  <c r="J189" i="2"/>
  <c r="K189" i="2"/>
  <c r="I190" i="2"/>
  <c r="J190" i="2"/>
  <c r="K190" i="2"/>
  <c r="I191" i="2"/>
  <c r="J191" i="2"/>
  <c r="K191" i="2"/>
  <c r="I192" i="2"/>
  <c r="J192" i="2"/>
  <c r="K192" i="2"/>
  <c r="I193" i="2"/>
  <c r="J193" i="2"/>
  <c r="K193" i="2"/>
  <c r="I194" i="2"/>
  <c r="J194" i="2"/>
  <c r="K194" i="2"/>
  <c r="I195" i="2"/>
  <c r="J195" i="2"/>
  <c r="K195" i="2"/>
  <c r="I196" i="2"/>
  <c r="J196" i="2"/>
  <c r="K196" i="2"/>
  <c r="I197" i="2"/>
  <c r="J197" i="2"/>
  <c r="K197" i="2"/>
  <c r="I198" i="2"/>
  <c r="J198" i="2"/>
  <c r="K198" i="2"/>
  <c r="I199" i="2"/>
  <c r="J199" i="2"/>
  <c r="K199" i="2"/>
  <c r="I200" i="2"/>
  <c r="J200" i="2"/>
  <c r="K200" i="2"/>
  <c r="I201" i="2"/>
  <c r="J201" i="2"/>
  <c r="K201" i="2"/>
  <c r="I202" i="2"/>
  <c r="J202" i="2"/>
  <c r="K202" i="2"/>
  <c r="I203" i="2"/>
  <c r="J203" i="2"/>
  <c r="K203" i="2"/>
  <c r="I204" i="2"/>
  <c r="J204" i="2"/>
  <c r="K204" i="2"/>
  <c r="I205" i="2"/>
  <c r="J205" i="2"/>
  <c r="K205" i="2"/>
  <c r="I206" i="2"/>
  <c r="J206" i="2"/>
  <c r="K206" i="2"/>
  <c r="I207" i="2"/>
  <c r="J207" i="2"/>
  <c r="K207" i="2"/>
  <c r="I208" i="2"/>
  <c r="J208" i="2"/>
  <c r="K208" i="2"/>
  <c r="I209" i="2"/>
  <c r="J209" i="2"/>
  <c r="K209" i="2"/>
  <c r="I210" i="2"/>
  <c r="J210" i="2"/>
  <c r="K210" i="2"/>
  <c r="I211" i="2"/>
  <c r="J211" i="2"/>
  <c r="K211" i="2"/>
  <c r="I212" i="2"/>
  <c r="J212" i="2"/>
  <c r="K212" i="2"/>
  <c r="I213" i="2"/>
  <c r="J213" i="2"/>
  <c r="K213" i="2"/>
  <c r="I214" i="2"/>
  <c r="J214" i="2"/>
  <c r="K214" i="2"/>
  <c r="I215" i="2"/>
  <c r="J215" i="2"/>
  <c r="K215" i="2"/>
  <c r="I216" i="2"/>
  <c r="J216" i="2"/>
  <c r="K216" i="2"/>
  <c r="I217" i="2"/>
  <c r="J217" i="2"/>
  <c r="K217" i="2"/>
  <c r="I218" i="2"/>
  <c r="J218" i="2"/>
  <c r="K218" i="2"/>
  <c r="I219" i="2"/>
  <c r="J219" i="2"/>
  <c r="K219" i="2"/>
  <c r="I220" i="2"/>
  <c r="J220" i="2"/>
  <c r="K220" i="2"/>
  <c r="I221" i="2"/>
  <c r="J221" i="2"/>
  <c r="K221" i="2"/>
  <c r="I222" i="2"/>
  <c r="J222" i="2"/>
  <c r="K222" i="2"/>
  <c r="I223" i="2"/>
  <c r="J223" i="2"/>
  <c r="K223" i="2"/>
  <c r="I224" i="2"/>
  <c r="J224" i="2"/>
  <c r="K224" i="2"/>
  <c r="I225" i="2"/>
  <c r="J225" i="2"/>
  <c r="K225" i="2"/>
  <c r="I226" i="2"/>
  <c r="J226" i="2"/>
  <c r="K226" i="2"/>
  <c r="I227" i="2"/>
  <c r="J227" i="2"/>
  <c r="K227" i="2"/>
  <c r="I228" i="2"/>
  <c r="J228" i="2"/>
  <c r="K228" i="2"/>
  <c r="I229" i="2"/>
  <c r="J229" i="2"/>
  <c r="K229" i="2"/>
  <c r="I230" i="2"/>
  <c r="J230" i="2"/>
  <c r="K230" i="2"/>
  <c r="I231" i="2"/>
  <c r="J231" i="2"/>
  <c r="K231" i="2"/>
  <c r="I232" i="2"/>
  <c r="J232" i="2"/>
  <c r="K232" i="2"/>
  <c r="I233" i="2"/>
  <c r="J233" i="2"/>
  <c r="K233" i="2"/>
  <c r="I234" i="2"/>
  <c r="J234" i="2"/>
  <c r="K234" i="2"/>
  <c r="I235" i="2"/>
  <c r="J235" i="2"/>
  <c r="K235" i="2"/>
  <c r="I236" i="2"/>
  <c r="J236" i="2"/>
  <c r="K236" i="2"/>
  <c r="I237" i="2"/>
  <c r="J237" i="2"/>
  <c r="K237" i="2"/>
  <c r="I238" i="2"/>
  <c r="J238" i="2"/>
  <c r="K238" i="2"/>
  <c r="I239" i="2"/>
  <c r="J239" i="2"/>
  <c r="K239" i="2"/>
  <c r="I240" i="2"/>
  <c r="J240" i="2"/>
  <c r="K240" i="2"/>
  <c r="J141" i="2"/>
  <c r="K141" i="2"/>
  <c r="I141" i="2"/>
  <c r="B240" i="2"/>
  <c r="C240" i="2"/>
  <c r="D240" i="2"/>
  <c r="B142" i="2"/>
  <c r="C142" i="2"/>
  <c r="D142" i="2"/>
  <c r="B143" i="2"/>
  <c r="C143" i="2"/>
  <c r="D143" i="2"/>
  <c r="B144" i="2"/>
  <c r="C144" i="2"/>
  <c r="D144" i="2"/>
  <c r="B145" i="2"/>
  <c r="C145" i="2"/>
  <c r="D145" i="2"/>
  <c r="B146" i="2"/>
  <c r="C146" i="2"/>
  <c r="D146" i="2"/>
  <c r="B147" i="2"/>
  <c r="C147" i="2"/>
  <c r="D147" i="2"/>
  <c r="B148" i="2"/>
  <c r="C148" i="2"/>
  <c r="D148" i="2"/>
  <c r="B149" i="2"/>
  <c r="C149" i="2"/>
  <c r="D149" i="2"/>
  <c r="B150" i="2"/>
  <c r="C150" i="2"/>
  <c r="D150" i="2"/>
  <c r="B151" i="2"/>
  <c r="C151" i="2"/>
  <c r="D151" i="2"/>
  <c r="B152" i="2"/>
  <c r="C152" i="2"/>
  <c r="D152" i="2"/>
  <c r="B153" i="2"/>
  <c r="C153" i="2"/>
  <c r="D153" i="2"/>
  <c r="B154" i="2"/>
  <c r="C154" i="2"/>
  <c r="D154" i="2"/>
  <c r="B155" i="2"/>
  <c r="C155" i="2"/>
  <c r="D155" i="2"/>
  <c r="B156" i="2"/>
  <c r="C156" i="2"/>
  <c r="D156" i="2"/>
  <c r="B157" i="2"/>
  <c r="C157" i="2"/>
  <c r="D157" i="2"/>
  <c r="B158" i="2"/>
  <c r="C158" i="2"/>
  <c r="D158" i="2"/>
  <c r="B159" i="2"/>
  <c r="C159" i="2"/>
  <c r="D159" i="2"/>
  <c r="B160" i="2"/>
  <c r="C160" i="2"/>
  <c r="D160" i="2"/>
  <c r="B161" i="2"/>
  <c r="C161" i="2"/>
  <c r="D161" i="2"/>
  <c r="B162" i="2"/>
  <c r="C162" i="2"/>
  <c r="D162" i="2"/>
  <c r="B163" i="2"/>
  <c r="C163" i="2"/>
  <c r="D163" i="2"/>
  <c r="B164" i="2"/>
  <c r="C164" i="2"/>
  <c r="D164" i="2"/>
  <c r="B165" i="2"/>
  <c r="C165" i="2"/>
  <c r="D165" i="2"/>
  <c r="B166" i="2"/>
  <c r="C166" i="2"/>
  <c r="D166" i="2"/>
  <c r="B167" i="2"/>
  <c r="C167" i="2"/>
  <c r="D167" i="2"/>
  <c r="B168" i="2"/>
  <c r="C168" i="2"/>
  <c r="D168" i="2"/>
  <c r="B169" i="2"/>
  <c r="C169" i="2"/>
  <c r="D169" i="2"/>
  <c r="B170" i="2"/>
  <c r="C170" i="2"/>
  <c r="D170" i="2"/>
  <c r="B171" i="2"/>
  <c r="C171" i="2"/>
  <c r="D171" i="2"/>
  <c r="B172" i="2"/>
  <c r="C172" i="2"/>
  <c r="D172" i="2"/>
  <c r="B173" i="2"/>
  <c r="C173" i="2"/>
  <c r="D173" i="2"/>
  <c r="B174" i="2"/>
  <c r="C174" i="2"/>
  <c r="D174" i="2"/>
  <c r="B175" i="2"/>
  <c r="C175" i="2"/>
  <c r="D175" i="2"/>
  <c r="B176" i="2"/>
  <c r="C176" i="2"/>
  <c r="D176" i="2"/>
  <c r="B177" i="2"/>
  <c r="C177" i="2"/>
  <c r="D177" i="2"/>
  <c r="B178" i="2"/>
  <c r="C178" i="2"/>
  <c r="D178" i="2"/>
  <c r="B179" i="2"/>
  <c r="C179" i="2"/>
  <c r="D179" i="2"/>
  <c r="B180" i="2"/>
  <c r="C180" i="2"/>
  <c r="D180" i="2"/>
  <c r="B181" i="2"/>
  <c r="C181" i="2"/>
  <c r="D181" i="2"/>
  <c r="B182" i="2"/>
  <c r="C182" i="2"/>
  <c r="D182" i="2"/>
  <c r="B183" i="2"/>
  <c r="C183" i="2"/>
  <c r="D183" i="2"/>
  <c r="B184" i="2"/>
  <c r="C184" i="2"/>
  <c r="D184" i="2"/>
  <c r="B185" i="2"/>
  <c r="C185" i="2"/>
  <c r="D185" i="2"/>
  <c r="B186" i="2"/>
  <c r="C186" i="2"/>
  <c r="D186" i="2"/>
  <c r="B187" i="2"/>
  <c r="C187" i="2"/>
  <c r="D187" i="2"/>
  <c r="B188" i="2"/>
  <c r="C188" i="2"/>
  <c r="D188" i="2"/>
  <c r="B189" i="2"/>
  <c r="C189" i="2"/>
  <c r="D189" i="2"/>
  <c r="B190" i="2"/>
  <c r="C190" i="2"/>
  <c r="D190" i="2"/>
  <c r="B191" i="2"/>
  <c r="C191" i="2"/>
  <c r="D191" i="2"/>
  <c r="B192" i="2"/>
  <c r="C192" i="2"/>
  <c r="D192" i="2"/>
  <c r="B193" i="2"/>
  <c r="C193" i="2"/>
  <c r="D193" i="2"/>
  <c r="B194" i="2"/>
  <c r="C194" i="2"/>
  <c r="D194" i="2"/>
  <c r="B195" i="2"/>
  <c r="C195" i="2"/>
  <c r="D195" i="2"/>
  <c r="B196" i="2"/>
  <c r="C196" i="2"/>
  <c r="D196" i="2"/>
  <c r="B197" i="2"/>
  <c r="C197" i="2"/>
  <c r="D197" i="2"/>
  <c r="B198" i="2"/>
  <c r="C198" i="2"/>
  <c r="D198" i="2"/>
  <c r="B199" i="2"/>
  <c r="C199" i="2"/>
  <c r="D199" i="2"/>
  <c r="B200" i="2"/>
  <c r="C200" i="2"/>
  <c r="D200" i="2"/>
  <c r="B201" i="2"/>
  <c r="C201" i="2"/>
  <c r="D201" i="2"/>
  <c r="B202" i="2"/>
  <c r="C202" i="2"/>
  <c r="D202" i="2"/>
  <c r="B203" i="2"/>
  <c r="C203" i="2"/>
  <c r="D203" i="2"/>
  <c r="B204" i="2"/>
  <c r="C204" i="2"/>
  <c r="D204" i="2"/>
  <c r="B205" i="2"/>
  <c r="C205" i="2"/>
  <c r="D205" i="2"/>
  <c r="B206" i="2"/>
  <c r="C206" i="2"/>
  <c r="D206" i="2"/>
  <c r="B207" i="2"/>
  <c r="C207" i="2"/>
  <c r="D207" i="2"/>
  <c r="B208" i="2"/>
  <c r="C208" i="2"/>
  <c r="D208" i="2"/>
  <c r="B209" i="2"/>
  <c r="C209" i="2"/>
  <c r="D209" i="2"/>
  <c r="B210" i="2"/>
  <c r="C210" i="2"/>
  <c r="D210" i="2"/>
  <c r="B211" i="2"/>
  <c r="C211" i="2"/>
  <c r="D211" i="2"/>
  <c r="B212" i="2"/>
  <c r="C212" i="2"/>
  <c r="D212" i="2"/>
  <c r="B213" i="2"/>
  <c r="C213" i="2"/>
  <c r="D213" i="2"/>
  <c r="B214" i="2"/>
  <c r="C214" i="2"/>
  <c r="D214" i="2"/>
  <c r="B215" i="2"/>
  <c r="C215" i="2"/>
  <c r="D215" i="2"/>
  <c r="B216" i="2"/>
  <c r="C216" i="2"/>
  <c r="D216" i="2"/>
  <c r="B217" i="2"/>
  <c r="C217" i="2"/>
  <c r="D217" i="2"/>
  <c r="B218" i="2"/>
  <c r="C218" i="2"/>
  <c r="D218" i="2"/>
  <c r="B219" i="2"/>
  <c r="C219" i="2"/>
  <c r="D219" i="2"/>
  <c r="B220" i="2"/>
  <c r="C220" i="2"/>
  <c r="D220" i="2"/>
  <c r="B221" i="2"/>
  <c r="C221" i="2"/>
  <c r="D221" i="2"/>
  <c r="B222" i="2"/>
  <c r="C222" i="2"/>
  <c r="D222" i="2"/>
  <c r="B223" i="2"/>
  <c r="C223" i="2"/>
  <c r="D223" i="2"/>
  <c r="B224" i="2"/>
  <c r="C224" i="2"/>
  <c r="D224" i="2"/>
  <c r="B225" i="2"/>
  <c r="C225" i="2"/>
  <c r="D225" i="2"/>
  <c r="B226" i="2"/>
  <c r="C226" i="2"/>
  <c r="D226" i="2"/>
  <c r="B227" i="2"/>
  <c r="C227" i="2"/>
  <c r="D227" i="2"/>
  <c r="B228" i="2"/>
  <c r="C228" i="2"/>
  <c r="D228" i="2"/>
  <c r="B229" i="2"/>
  <c r="C229" i="2"/>
  <c r="D229" i="2"/>
  <c r="B230" i="2"/>
  <c r="C230" i="2"/>
  <c r="D230" i="2"/>
  <c r="B231" i="2"/>
  <c r="C231" i="2"/>
  <c r="D231" i="2"/>
  <c r="B232" i="2"/>
  <c r="C232" i="2"/>
  <c r="D232" i="2"/>
  <c r="B233" i="2"/>
  <c r="C233" i="2"/>
  <c r="D233" i="2"/>
  <c r="B234" i="2"/>
  <c r="C234" i="2"/>
  <c r="D234" i="2"/>
  <c r="B235" i="2"/>
  <c r="C235" i="2"/>
  <c r="D235" i="2"/>
  <c r="B236" i="2"/>
  <c r="C236" i="2"/>
  <c r="D236" i="2"/>
  <c r="B237" i="2"/>
  <c r="C237" i="2"/>
  <c r="D237" i="2"/>
  <c r="B238" i="2"/>
  <c r="C238" i="2"/>
  <c r="D238" i="2"/>
  <c r="B239" i="2"/>
  <c r="C239" i="2"/>
  <c r="D239" i="2"/>
  <c r="C141" i="2"/>
  <c r="D141" i="2"/>
  <c r="B141" i="2"/>
  <c r="D129" i="2"/>
  <c r="K129" i="2"/>
  <c r="S240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O141" i="3"/>
  <c r="P141" i="3"/>
  <c r="N141" i="3"/>
  <c r="J149" i="3"/>
  <c r="H149" i="3"/>
  <c r="H150" i="3"/>
  <c r="H142" i="3"/>
  <c r="I142" i="3"/>
  <c r="J142" i="3"/>
  <c r="H143" i="3"/>
  <c r="I143" i="3"/>
  <c r="J143" i="3"/>
  <c r="H144" i="3"/>
  <c r="I144" i="3"/>
  <c r="J144" i="3"/>
  <c r="H145" i="3"/>
  <c r="I145" i="3"/>
  <c r="J145" i="3"/>
  <c r="H146" i="3"/>
  <c r="I146" i="3"/>
  <c r="J146" i="3"/>
  <c r="H147" i="3"/>
  <c r="I147" i="3"/>
  <c r="J147" i="3"/>
  <c r="H148" i="3"/>
  <c r="I148" i="3"/>
  <c r="J148" i="3"/>
  <c r="I149" i="3"/>
  <c r="I150" i="3"/>
  <c r="J150" i="3"/>
  <c r="H151" i="3"/>
  <c r="I151" i="3"/>
  <c r="J151" i="3"/>
  <c r="H152" i="3"/>
  <c r="I152" i="3"/>
  <c r="J152" i="3"/>
  <c r="H153" i="3"/>
  <c r="I153" i="3"/>
  <c r="J153" i="3"/>
  <c r="H154" i="3"/>
  <c r="I154" i="3"/>
  <c r="J154" i="3"/>
  <c r="H155" i="3"/>
  <c r="I155" i="3"/>
  <c r="J155" i="3"/>
  <c r="H156" i="3"/>
  <c r="I156" i="3"/>
  <c r="J156" i="3"/>
  <c r="H157" i="3"/>
  <c r="I157" i="3"/>
  <c r="J157" i="3"/>
  <c r="H158" i="3"/>
  <c r="I158" i="3"/>
  <c r="J158" i="3"/>
  <c r="H159" i="3"/>
  <c r="I159" i="3"/>
  <c r="J159" i="3"/>
  <c r="H160" i="3"/>
  <c r="I160" i="3"/>
  <c r="J160" i="3"/>
  <c r="H161" i="3"/>
  <c r="I161" i="3"/>
  <c r="J161" i="3"/>
  <c r="H162" i="3"/>
  <c r="I162" i="3"/>
  <c r="J162" i="3"/>
  <c r="H163" i="3"/>
  <c r="I163" i="3"/>
  <c r="J163" i="3"/>
  <c r="H164" i="3"/>
  <c r="I164" i="3"/>
  <c r="J164" i="3"/>
  <c r="H165" i="3"/>
  <c r="I165" i="3"/>
  <c r="J165" i="3"/>
  <c r="H166" i="3"/>
  <c r="I166" i="3"/>
  <c r="J166" i="3"/>
  <c r="H167" i="3"/>
  <c r="I167" i="3"/>
  <c r="J167" i="3"/>
  <c r="H168" i="3"/>
  <c r="I168" i="3"/>
  <c r="J168" i="3"/>
  <c r="H169" i="3"/>
  <c r="I169" i="3"/>
  <c r="J169" i="3"/>
  <c r="H170" i="3"/>
  <c r="I170" i="3"/>
  <c r="J170" i="3"/>
  <c r="H171" i="3"/>
  <c r="I171" i="3"/>
  <c r="J171" i="3"/>
  <c r="H172" i="3"/>
  <c r="I172" i="3"/>
  <c r="J172" i="3"/>
  <c r="H173" i="3"/>
  <c r="I173" i="3"/>
  <c r="J173" i="3"/>
  <c r="H174" i="3"/>
  <c r="I174" i="3"/>
  <c r="J174" i="3"/>
  <c r="H175" i="3"/>
  <c r="I175" i="3"/>
  <c r="J175" i="3"/>
  <c r="H176" i="3"/>
  <c r="I176" i="3"/>
  <c r="J176" i="3"/>
  <c r="H177" i="3"/>
  <c r="I177" i="3"/>
  <c r="J177" i="3"/>
  <c r="H178" i="3"/>
  <c r="I178" i="3"/>
  <c r="J178" i="3"/>
  <c r="H179" i="3"/>
  <c r="I179" i="3"/>
  <c r="J179" i="3"/>
  <c r="H180" i="3"/>
  <c r="I180" i="3"/>
  <c r="J180" i="3"/>
  <c r="H181" i="3"/>
  <c r="I181" i="3"/>
  <c r="J181" i="3"/>
  <c r="H182" i="3"/>
  <c r="I182" i="3"/>
  <c r="J182" i="3"/>
  <c r="H183" i="3"/>
  <c r="I183" i="3"/>
  <c r="J183" i="3"/>
  <c r="H184" i="3"/>
  <c r="I184" i="3"/>
  <c r="J184" i="3"/>
  <c r="H185" i="3"/>
  <c r="I185" i="3"/>
  <c r="J185" i="3"/>
  <c r="H186" i="3"/>
  <c r="I186" i="3"/>
  <c r="J186" i="3"/>
  <c r="H187" i="3"/>
  <c r="I187" i="3"/>
  <c r="J187" i="3"/>
  <c r="H188" i="3"/>
  <c r="I188" i="3"/>
  <c r="J188" i="3"/>
  <c r="H189" i="3"/>
  <c r="I189" i="3"/>
  <c r="J189" i="3"/>
  <c r="I190" i="3"/>
  <c r="J190" i="3"/>
  <c r="H191" i="3"/>
  <c r="I191" i="3"/>
  <c r="J191" i="3"/>
  <c r="H192" i="3"/>
  <c r="I192" i="3"/>
  <c r="J192" i="3"/>
  <c r="H193" i="3"/>
  <c r="I193" i="3"/>
  <c r="J193" i="3"/>
  <c r="H194" i="3"/>
  <c r="I194" i="3"/>
  <c r="J194" i="3"/>
  <c r="H195" i="3"/>
  <c r="I195" i="3"/>
  <c r="J195" i="3"/>
  <c r="H196" i="3"/>
  <c r="I196" i="3"/>
  <c r="J196" i="3"/>
  <c r="H197" i="3"/>
  <c r="I197" i="3"/>
  <c r="J197" i="3"/>
  <c r="H198" i="3"/>
  <c r="I198" i="3"/>
  <c r="J198" i="3"/>
  <c r="H199" i="3"/>
  <c r="I199" i="3"/>
  <c r="J199" i="3"/>
  <c r="H200" i="3"/>
  <c r="I200" i="3"/>
  <c r="J200" i="3"/>
  <c r="H201" i="3"/>
  <c r="I201" i="3"/>
  <c r="J201" i="3"/>
  <c r="H202" i="3"/>
  <c r="I202" i="3"/>
  <c r="J202" i="3"/>
  <c r="H203" i="3"/>
  <c r="I203" i="3"/>
  <c r="J203" i="3"/>
  <c r="H204" i="3"/>
  <c r="I204" i="3"/>
  <c r="J204" i="3"/>
  <c r="H205" i="3"/>
  <c r="I205" i="3"/>
  <c r="J205" i="3"/>
  <c r="H206" i="3"/>
  <c r="I206" i="3"/>
  <c r="J206" i="3"/>
  <c r="H207" i="3"/>
  <c r="I207" i="3"/>
  <c r="J207" i="3"/>
  <c r="H208" i="3"/>
  <c r="I208" i="3"/>
  <c r="J208" i="3"/>
  <c r="H209" i="3"/>
  <c r="I209" i="3"/>
  <c r="J209" i="3"/>
  <c r="H210" i="3"/>
  <c r="I210" i="3"/>
  <c r="J210" i="3"/>
  <c r="H211" i="3"/>
  <c r="I211" i="3"/>
  <c r="J211" i="3"/>
  <c r="H212" i="3"/>
  <c r="I212" i="3"/>
  <c r="J212" i="3"/>
  <c r="H213" i="3"/>
  <c r="I213" i="3"/>
  <c r="J213" i="3"/>
  <c r="H214" i="3"/>
  <c r="I214" i="3"/>
  <c r="J214" i="3"/>
  <c r="H215" i="3"/>
  <c r="I215" i="3"/>
  <c r="J215" i="3"/>
  <c r="H216" i="3"/>
  <c r="I216" i="3"/>
  <c r="J216" i="3"/>
  <c r="H217" i="3"/>
  <c r="I217" i="3"/>
  <c r="J217" i="3"/>
  <c r="H218" i="3"/>
  <c r="I218" i="3"/>
  <c r="J218" i="3"/>
  <c r="H219" i="3"/>
  <c r="I219" i="3"/>
  <c r="J219" i="3"/>
  <c r="H220" i="3"/>
  <c r="I220" i="3"/>
  <c r="J220" i="3"/>
  <c r="H221" i="3"/>
  <c r="I221" i="3"/>
  <c r="J221" i="3"/>
  <c r="H222" i="3"/>
  <c r="I222" i="3"/>
  <c r="J222" i="3"/>
  <c r="H223" i="3"/>
  <c r="I223" i="3"/>
  <c r="J223" i="3"/>
  <c r="H224" i="3"/>
  <c r="I224" i="3"/>
  <c r="J224" i="3"/>
  <c r="H225" i="3"/>
  <c r="I225" i="3"/>
  <c r="J225" i="3"/>
  <c r="H226" i="3"/>
  <c r="I226" i="3"/>
  <c r="J226" i="3"/>
  <c r="H227" i="3"/>
  <c r="I227" i="3"/>
  <c r="J227" i="3"/>
  <c r="H228" i="3"/>
  <c r="I228" i="3"/>
  <c r="J228" i="3"/>
  <c r="H229" i="3"/>
  <c r="I229" i="3"/>
  <c r="J229" i="3"/>
  <c r="H230" i="3"/>
  <c r="I230" i="3"/>
  <c r="J230" i="3"/>
  <c r="H231" i="3"/>
  <c r="I231" i="3"/>
  <c r="J231" i="3"/>
  <c r="H232" i="3"/>
  <c r="I232" i="3"/>
  <c r="J232" i="3"/>
  <c r="H233" i="3"/>
  <c r="I233" i="3"/>
  <c r="J233" i="3"/>
  <c r="H234" i="3"/>
  <c r="I234" i="3"/>
  <c r="J234" i="3"/>
  <c r="H235" i="3"/>
  <c r="I235" i="3"/>
  <c r="J235" i="3"/>
  <c r="H236" i="3"/>
  <c r="I236" i="3"/>
  <c r="J236" i="3"/>
  <c r="H237" i="3"/>
  <c r="I237" i="3"/>
  <c r="J237" i="3"/>
  <c r="H238" i="3"/>
  <c r="I238" i="3"/>
  <c r="J238" i="3"/>
  <c r="H239" i="3"/>
  <c r="I239" i="3"/>
  <c r="J239" i="3"/>
  <c r="H240" i="3"/>
  <c r="I240" i="3"/>
  <c r="J240" i="3"/>
  <c r="I141" i="3"/>
  <c r="J141" i="3"/>
  <c r="H141" i="3"/>
  <c r="B141" i="3"/>
  <c r="D240" i="3"/>
  <c r="B142" i="3"/>
  <c r="C142" i="3"/>
  <c r="D142" i="3"/>
  <c r="B143" i="3"/>
  <c r="C143" i="3"/>
  <c r="D143" i="3"/>
  <c r="B144" i="3"/>
  <c r="C144" i="3"/>
  <c r="D144" i="3"/>
  <c r="B145" i="3"/>
  <c r="C145" i="3"/>
  <c r="D145" i="3"/>
  <c r="B146" i="3"/>
  <c r="C146" i="3"/>
  <c r="D146" i="3"/>
  <c r="B147" i="3"/>
  <c r="C147" i="3"/>
  <c r="D147" i="3"/>
  <c r="B148" i="3"/>
  <c r="C148" i="3"/>
  <c r="D148" i="3"/>
  <c r="B149" i="3"/>
  <c r="C149" i="3"/>
  <c r="D149" i="3"/>
  <c r="B150" i="3"/>
  <c r="C150" i="3"/>
  <c r="D150" i="3"/>
  <c r="B151" i="3"/>
  <c r="C151" i="3"/>
  <c r="D151" i="3"/>
  <c r="B152" i="3"/>
  <c r="C152" i="3"/>
  <c r="D152" i="3"/>
  <c r="B153" i="3"/>
  <c r="C153" i="3"/>
  <c r="D153" i="3"/>
  <c r="B154" i="3"/>
  <c r="C154" i="3"/>
  <c r="D154" i="3"/>
  <c r="B155" i="3"/>
  <c r="C155" i="3"/>
  <c r="D155" i="3"/>
  <c r="B156" i="3"/>
  <c r="C156" i="3"/>
  <c r="D156" i="3"/>
  <c r="B157" i="3"/>
  <c r="C157" i="3"/>
  <c r="D157" i="3"/>
  <c r="B158" i="3"/>
  <c r="C158" i="3"/>
  <c r="D158" i="3"/>
  <c r="B159" i="3"/>
  <c r="C159" i="3"/>
  <c r="D159" i="3"/>
  <c r="B160" i="3"/>
  <c r="C160" i="3"/>
  <c r="D160" i="3"/>
  <c r="B161" i="3"/>
  <c r="C161" i="3"/>
  <c r="D161" i="3"/>
  <c r="B162" i="3"/>
  <c r="C162" i="3"/>
  <c r="D162" i="3"/>
  <c r="B163" i="3"/>
  <c r="C163" i="3"/>
  <c r="D163" i="3"/>
  <c r="B164" i="3"/>
  <c r="C164" i="3"/>
  <c r="D164" i="3"/>
  <c r="B165" i="3"/>
  <c r="C165" i="3"/>
  <c r="D165" i="3"/>
  <c r="B166" i="3"/>
  <c r="C166" i="3"/>
  <c r="D166" i="3"/>
  <c r="B167" i="3"/>
  <c r="C167" i="3"/>
  <c r="D167" i="3"/>
  <c r="B168" i="3"/>
  <c r="C168" i="3"/>
  <c r="D168" i="3"/>
  <c r="B169" i="3"/>
  <c r="C169" i="3"/>
  <c r="D169" i="3"/>
  <c r="B170" i="3"/>
  <c r="C170" i="3"/>
  <c r="D170" i="3"/>
  <c r="B171" i="3"/>
  <c r="C171" i="3"/>
  <c r="D171" i="3"/>
  <c r="B172" i="3"/>
  <c r="C172" i="3"/>
  <c r="D172" i="3"/>
  <c r="B173" i="3"/>
  <c r="C173" i="3"/>
  <c r="D173" i="3"/>
  <c r="B174" i="3"/>
  <c r="C174" i="3"/>
  <c r="D174" i="3"/>
  <c r="B175" i="3"/>
  <c r="C175" i="3"/>
  <c r="D175" i="3"/>
  <c r="B176" i="3"/>
  <c r="C176" i="3"/>
  <c r="D176" i="3"/>
  <c r="B177" i="3"/>
  <c r="C177" i="3"/>
  <c r="D177" i="3"/>
  <c r="B178" i="3"/>
  <c r="C178" i="3"/>
  <c r="D178" i="3"/>
  <c r="B179" i="3"/>
  <c r="C179" i="3"/>
  <c r="D179" i="3"/>
  <c r="B180" i="3"/>
  <c r="C180" i="3"/>
  <c r="D180" i="3"/>
  <c r="B181" i="3"/>
  <c r="C181" i="3"/>
  <c r="D181" i="3"/>
  <c r="B182" i="3"/>
  <c r="C182" i="3"/>
  <c r="D182" i="3"/>
  <c r="B183" i="3"/>
  <c r="C183" i="3"/>
  <c r="D183" i="3"/>
  <c r="B184" i="3"/>
  <c r="C184" i="3"/>
  <c r="D184" i="3"/>
  <c r="B185" i="3"/>
  <c r="C185" i="3"/>
  <c r="D185" i="3"/>
  <c r="B186" i="3"/>
  <c r="C186" i="3"/>
  <c r="D186" i="3"/>
  <c r="B187" i="3"/>
  <c r="C187" i="3"/>
  <c r="D187" i="3"/>
  <c r="B188" i="3"/>
  <c r="C188" i="3"/>
  <c r="D188" i="3"/>
  <c r="B189" i="3"/>
  <c r="C189" i="3"/>
  <c r="D189" i="3"/>
  <c r="B190" i="3"/>
  <c r="C190" i="3"/>
  <c r="D190" i="3"/>
  <c r="B191" i="3"/>
  <c r="C191" i="3"/>
  <c r="D191" i="3"/>
  <c r="B192" i="3"/>
  <c r="C192" i="3"/>
  <c r="D192" i="3"/>
  <c r="B193" i="3"/>
  <c r="C193" i="3"/>
  <c r="D193" i="3"/>
  <c r="B194" i="3"/>
  <c r="C194" i="3"/>
  <c r="D194" i="3"/>
  <c r="B195" i="3"/>
  <c r="C195" i="3"/>
  <c r="D195" i="3"/>
  <c r="B196" i="3"/>
  <c r="C196" i="3"/>
  <c r="D196" i="3"/>
  <c r="B197" i="3"/>
  <c r="C197" i="3"/>
  <c r="D197" i="3"/>
  <c r="B198" i="3"/>
  <c r="C198" i="3"/>
  <c r="D198" i="3"/>
  <c r="B199" i="3"/>
  <c r="C199" i="3"/>
  <c r="D199" i="3"/>
  <c r="B200" i="3"/>
  <c r="C200" i="3"/>
  <c r="D200" i="3"/>
  <c r="B201" i="3"/>
  <c r="C201" i="3"/>
  <c r="D201" i="3"/>
  <c r="B202" i="3"/>
  <c r="C202" i="3"/>
  <c r="D202" i="3"/>
  <c r="B203" i="3"/>
  <c r="C203" i="3"/>
  <c r="D203" i="3"/>
  <c r="B204" i="3"/>
  <c r="C204" i="3"/>
  <c r="D204" i="3"/>
  <c r="B205" i="3"/>
  <c r="C205" i="3"/>
  <c r="D205" i="3"/>
  <c r="B206" i="3"/>
  <c r="C206" i="3"/>
  <c r="D206" i="3"/>
  <c r="B207" i="3"/>
  <c r="C207" i="3"/>
  <c r="D207" i="3"/>
  <c r="B208" i="3"/>
  <c r="C208" i="3"/>
  <c r="D208" i="3"/>
  <c r="B209" i="3"/>
  <c r="C209" i="3"/>
  <c r="D209" i="3"/>
  <c r="B210" i="3"/>
  <c r="C210" i="3"/>
  <c r="D210" i="3"/>
  <c r="B211" i="3"/>
  <c r="C211" i="3"/>
  <c r="D211" i="3"/>
  <c r="B212" i="3"/>
  <c r="C212" i="3"/>
  <c r="D212" i="3"/>
  <c r="B213" i="3"/>
  <c r="C213" i="3"/>
  <c r="D213" i="3"/>
  <c r="B214" i="3"/>
  <c r="C214" i="3"/>
  <c r="D214" i="3"/>
  <c r="B215" i="3"/>
  <c r="C215" i="3"/>
  <c r="D215" i="3"/>
  <c r="B216" i="3"/>
  <c r="C216" i="3"/>
  <c r="D216" i="3"/>
  <c r="B217" i="3"/>
  <c r="C217" i="3"/>
  <c r="D217" i="3"/>
  <c r="B218" i="3"/>
  <c r="C218" i="3"/>
  <c r="D218" i="3"/>
  <c r="B219" i="3"/>
  <c r="C219" i="3"/>
  <c r="D219" i="3"/>
  <c r="B220" i="3"/>
  <c r="C220" i="3"/>
  <c r="D220" i="3"/>
  <c r="B221" i="3"/>
  <c r="C221" i="3"/>
  <c r="D221" i="3"/>
  <c r="B222" i="3"/>
  <c r="C222" i="3"/>
  <c r="D222" i="3"/>
  <c r="B223" i="3"/>
  <c r="C223" i="3"/>
  <c r="D223" i="3"/>
  <c r="B224" i="3"/>
  <c r="C224" i="3"/>
  <c r="D224" i="3"/>
  <c r="B225" i="3"/>
  <c r="C225" i="3"/>
  <c r="D225" i="3"/>
  <c r="B226" i="3"/>
  <c r="C226" i="3"/>
  <c r="D226" i="3"/>
  <c r="B227" i="3"/>
  <c r="C227" i="3"/>
  <c r="D227" i="3"/>
  <c r="B228" i="3"/>
  <c r="C228" i="3"/>
  <c r="D228" i="3"/>
  <c r="B229" i="3"/>
  <c r="C229" i="3"/>
  <c r="D229" i="3"/>
  <c r="B230" i="3"/>
  <c r="C230" i="3"/>
  <c r="D230" i="3"/>
  <c r="B231" i="3"/>
  <c r="C231" i="3"/>
  <c r="D231" i="3"/>
  <c r="B232" i="3"/>
  <c r="C232" i="3"/>
  <c r="D232" i="3"/>
  <c r="B233" i="3"/>
  <c r="C233" i="3"/>
  <c r="D233" i="3"/>
  <c r="B234" i="3"/>
  <c r="C234" i="3"/>
  <c r="D234" i="3"/>
  <c r="B235" i="3"/>
  <c r="C235" i="3"/>
  <c r="D235" i="3"/>
  <c r="B236" i="3"/>
  <c r="C236" i="3"/>
  <c r="D236" i="3"/>
  <c r="B237" i="3"/>
  <c r="C237" i="3"/>
  <c r="D237" i="3"/>
  <c r="B238" i="3"/>
  <c r="C238" i="3"/>
  <c r="D238" i="3"/>
  <c r="B239" i="3"/>
  <c r="C239" i="3"/>
  <c r="D239" i="3"/>
  <c r="B240" i="3"/>
  <c r="C240" i="3"/>
  <c r="C141" i="3"/>
  <c r="D141" i="3"/>
  <c r="P137" i="5"/>
  <c r="Q137" i="5"/>
  <c r="R137" i="5"/>
  <c r="S137" i="5"/>
  <c r="T137" i="5"/>
  <c r="U137" i="5"/>
  <c r="V137" i="5"/>
  <c r="Y137" i="5" s="1"/>
  <c r="W137" i="5"/>
  <c r="Z137" i="5" s="1"/>
  <c r="X137" i="5"/>
  <c r="AA137" i="5" s="1"/>
  <c r="P138" i="5"/>
  <c r="Y138" i="5" s="1"/>
  <c r="Q138" i="5"/>
  <c r="R138" i="5"/>
  <c r="S138" i="5"/>
  <c r="T138" i="5"/>
  <c r="U138" i="5"/>
  <c r="V138" i="5"/>
  <c r="W138" i="5"/>
  <c r="Z138" i="5" s="1"/>
  <c r="X138" i="5"/>
  <c r="AA138" i="5" s="1"/>
  <c r="P139" i="5"/>
  <c r="Y139" i="5" s="1"/>
  <c r="Q139" i="5"/>
  <c r="Z139" i="5" s="1"/>
  <c r="R139" i="5"/>
  <c r="S139" i="5"/>
  <c r="T139" i="5"/>
  <c r="U139" i="5"/>
  <c r="V139" i="5"/>
  <c r="W139" i="5"/>
  <c r="X139" i="5"/>
  <c r="P140" i="5"/>
  <c r="Y140" i="5" s="1"/>
  <c r="Q140" i="5"/>
  <c r="Z140" i="5" s="1"/>
  <c r="R140" i="5"/>
  <c r="AA140" i="5" s="1"/>
  <c r="S140" i="5"/>
  <c r="T140" i="5"/>
  <c r="U140" i="5"/>
  <c r="V140" i="5"/>
  <c r="W140" i="5"/>
  <c r="X140" i="5"/>
  <c r="P141" i="5"/>
  <c r="Y141" i="5" s="1"/>
  <c r="Q141" i="5"/>
  <c r="Z141" i="5" s="1"/>
  <c r="R141" i="5"/>
  <c r="AA141" i="5" s="1"/>
  <c r="S141" i="5"/>
  <c r="T141" i="5"/>
  <c r="U141" i="5"/>
  <c r="V141" i="5"/>
  <c r="W141" i="5"/>
  <c r="X141" i="5"/>
  <c r="P142" i="5"/>
  <c r="Q142" i="5"/>
  <c r="R142" i="5"/>
  <c r="S142" i="5"/>
  <c r="Y142" i="5" s="1"/>
  <c r="T142" i="5"/>
  <c r="Z142" i="5" s="1"/>
  <c r="U142" i="5"/>
  <c r="V142" i="5"/>
  <c r="W142" i="5"/>
  <c r="X142" i="5"/>
  <c r="P143" i="5"/>
  <c r="Q143" i="5"/>
  <c r="R143" i="5"/>
  <c r="AA143" i="5" s="1"/>
  <c r="S143" i="5"/>
  <c r="T143" i="5"/>
  <c r="Z143" i="5" s="1"/>
  <c r="U143" i="5"/>
  <c r="V143" i="5"/>
  <c r="W143" i="5"/>
  <c r="X143" i="5"/>
  <c r="P144" i="5"/>
  <c r="Q144" i="5"/>
  <c r="R144" i="5"/>
  <c r="S144" i="5"/>
  <c r="Y144" i="5" s="1"/>
  <c r="T144" i="5"/>
  <c r="Z144" i="5" s="1"/>
  <c r="U144" i="5"/>
  <c r="AA144" i="5" s="1"/>
  <c r="V144" i="5"/>
  <c r="W144" i="5"/>
  <c r="X144" i="5"/>
  <c r="P145" i="5"/>
  <c r="Q145" i="5"/>
  <c r="R145" i="5"/>
  <c r="S145" i="5"/>
  <c r="T145" i="5"/>
  <c r="U145" i="5"/>
  <c r="V145" i="5"/>
  <c r="Y145" i="5" s="1"/>
  <c r="W145" i="5"/>
  <c r="Z145" i="5" s="1"/>
  <c r="X145" i="5"/>
  <c r="P146" i="5"/>
  <c r="Q146" i="5"/>
  <c r="R146" i="5"/>
  <c r="S146" i="5"/>
  <c r="T146" i="5"/>
  <c r="U146" i="5"/>
  <c r="AA146" i="5" s="1"/>
  <c r="V146" i="5"/>
  <c r="W146" i="5"/>
  <c r="X146" i="5"/>
  <c r="P147" i="5"/>
  <c r="Q147" i="5"/>
  <c r="R147" i="5"/>
  <c r="S147" i="5"/>
  <c r="T147" i="5"/>
  <c r="U147" i="5"/>
  <c r="V147" i="5"/>
  <c r="Y147" i="5" s="1"/>
  <c r="W147" i="5"/>
  <c r="Z147" i="5" s="1"/>
  <c r="X147" i="5"/>
  <c r="AA147" i="5" s="1"/>
  <c r="P148" i="5"/>
  <c r="Y148" i="5" s="1"/>
  <c r="Q148" i="5"/>
  <c r="R148" i="5"/>
  <c r="S148" i="5"/>
  <c r="T148" i="5"/>
  <c r="U148" i="5"/>
  <c r="V148" i="5"/>
  <c r="W148" i="5"/>
  <c r="Z148" i="5" s="1"/>
  <c r="X148" i="5"/>
  <c r="AA148" i="5" s="1"/>
  <c r="P149" i="5"/>
  <c r="Y149" i="5" s="1"/>
  <c r="Q149" i="5"/>
  <c r="Z149" i="5" s="1"/>
  <c r="R149" i="5"/>
  <c r="S149" i="5"/>
  <c r="T149" i="5"/>
  <c r="U149" i="5"/>
  <c r="V149" i="5"/>
  <c r="W149" i="5"/>
  <c r="X149" i="5"/>
  <c r="P150" i="5"/>
  <c r="Y150" i="5" s="1"/>
  <c r="Q150" i="5"/>
  <c r="Z150" i="5" s="1"/>
  <c r="R150" i="5"/>
  <c r="AA150" i="5" s="1"/>
  <c r="S150" i="5"/>
  <c r="T150" i="5"/>
  <c r="U150" i="5"/>
  <c r="V150" i="5"/>
  <c r="W150" i="5"/>
  <c r="X150" i="5"/>
  <c r="P151" i="5"/>
  <c r="Y151" i="5" s="1"/>
  <c r="Q151" i="5"/>
  <c r="Z151" i="5" s="1"/>
  <c r="R151" i="5"/>
  <c r="AA151" i="5" s="1"/>
  <c r="S151" i="5"/>
  <c r="T151" i="5"/>
  <c r="U151" i="5"/>
  <c r="V151" i="5"/>
  <c r="W151" i="5"/>
  <c r="X151" i="5"/>
  <c r="P152" i="5"/>
  <c r="Q152" i="5"/>
  <c r="R152" i="5"/>
  <c r="S152" i="5"/>
  <c r="Y152" i="5" s="1"/>
  <c r="T152" i="5"/>
  <c r="Z152" i="5" s="1"/>
  <c r="U152" i="5"/>
  <c r="V152" i="5"/>
  <c r="W152" i="5"/>
  <c r="X152" i="5"/>
  <c r="P153" i="5"/>
  <c r="Q153" i="5"/>
  <c r="R153" i="5"/>
  <c r="AA153" i="5" s="1"/>
  <c r="S153" i="5"/>
  <c r="T153" i="5"/>
  <c r="Z153" i="5" s="1"/>
  <c r="U153" i="5"/>
  <c r="V153" i="5"/>
  <c r="W153" i="5"/>
  <c r="X153" i="5"/>
  <c r="P154" i="5"/>
  <c r="Q154" i="5"/>
  <c r="R154" i="5"/>
  <c r="S154" i="5"/>
  <c r="Y154" i="5" s="1"/>
  <c r="T154" i="5"/>
  <c r="Z154" i="5" s="1"/>
  <c r="U154" i="5"/>
  <c r="AA154" i="5" s="1"/>
  <c r="V154" i="5"/>
  <c r="W154" i="5"/>
  <c r="X154" i="5"/>
  <c r="P155" i="5"/>
  <c r="Q155" i="5"/>
  <c r="R155" i="5"/>
  <c r="S155" i="5"/>
  <c r="T155" i="5"/>
  <c r="U155" i="5"/>
  <c r="V155" i="5"/>
  <c r="Y155" i="5" s="1"/>
  <c r="W155" i="5"/>
  <c r="Z155" i="5" s="1"/>
  <c r="X155" i="5"/>
  <c r="P156" i="5"/>
  <c r="Q156" i="5"/>
  <c r="R156" i="5"/>
  <c r="S156" i="5"/>
  <c r="T156" i="5"/>
  <c r="U156" i="5"/>
  <c r="AA156" i="5" s="1"/>
  <c r="V156" i="5"/>
  <c r="W156" i="5"/>
  <c r="X156" i="5"/>
  <c r="P157" i="5"/>
  <c r="Q157" i="5"/>
  <c r="R157" i="5"/>
  <c r="S157" i="5"/>
  <c r="T157" i="5"/>
  <c r="U157" i="5"/>
  <c r="V157" i="5"/>
  <c r="Y157" i="5" s="1"/>
  <c r="W157" i="5"/>
  <c r="Z157" i="5" s="1"/>
  <c r="X157" i="5"/>
  <c r="AA157" i="5" s="1"/>
  <c r="P158" i="5"/>
  <c r="Y158" i="5" s="1"/>
  <c r="Q158" i="5"/>
  <c r="R158" i="5"/>
  <c r="S158" i="5"/>
  <c r="T158" i="5"/>
  <c r="U158" i="5"/>
  <c r="V158" i="5"/>
  <c r="W158" i="5"/>
  <c r="Z158" i="5" s="1"/>
  <c r="X158" i="5"/>
  <c r="AA158" i="5" s="1"/>
  <c r="P159" i="5"/>
  <c r="Y159" i="5" s="1"/>
  <c r="Q159" i="5"/>
  <c r="Z159" i="5" s="1"/>
  <c r="R159" i="5"/>
  <c r="S159" i="5"/>
  <c r="T159" i="5"/>
  <c r="U159" i="5"/>
  <c r="V159" i="5"/>
  <c r="W159" i="5"/>
  <c r="X159" i="5"/>
  <c r="P160" i="5"/>
  <c r="Y160" i="5" s="1"/>
  <c r="Q160" i="5"/>
  <c r="Z160" i="5" s="1"/>
  <c r="R160" i="5"/>
  <c r="AA160" i="5" s="1"/>
  <c r="S160" i="5"/>
  <c r="T160" i="5"/>
  <c r="U160" i="5"/>
  <c r="V160" i="5"/>
  <c r="W160" i="5"/>
  <c r="X160" i="5"/>
  <c r="P161" i="5"/>
  <c r="Y161" i="5" s="1"/>
  <c r="Q161" i="5"/>
  <c r="Z161" i="5" s="1"/>
  <c r="R161" i="5"/>
  <c r="AA161" i="5" s="1"/>
  <c r="S161" i="5"/>
  <c r="T161" i="5"/>
  <c r="U161" i="5"/>
  <c r="V161" i="5"/>
  <c r="W161" i="5"/>
  <c r="X161" i="5"/>
  <c r="P162" i="5"/>
  <c r="Q162" i="5"/>
  <c r="R162" i="5"/>
  <c r="S162" i="5"/>
  <c r="Y162" i="5" s="1"/>
  <c r="T162" i="5"/>
  <c r="Z162" i="5" s="1"/>
  <c r="U162" i="5"/>
  <c r="V162" i="5"/>
  <c r="W162" i="5"/>
  <c r="X162" i="5"/>
  <c r="P163" i="5"/>
  <c r="Q163" i="5"/>
  <c r="R163" i="5"/>
  <c r="AA163" i="5" s="1"/>
  <c r="S163" i="5"/>
  <c r="T163" i="5"/>
  <c r="Z163" i="5" s="1"/>
  <c r="U163" i="5"/>
  <c r="V163" i="5"/>
  <c r="W163" i="5"/>
  <c r="X163" i="5"/>
  <c r="P164" i="5"/>
  <c r="Q164" i="5"/>
  <c r="R164" i="5"/>
  <c r="S164" i="5"/>
  <c r="Y164" i="5" s="1"/>
  <c r="T164" i="5"/>
  <c r="Z164" i="5" s="1"/>
  <c r="U164" i="5"/>
  <c r="AA164" i="5" s="1"/>
  <c r="V164" i="5"/>
  <c r="W164" i="5"/>
  <c r="X164" i="5"/>
  <c r="P165" i="5"/>
  <c r="Q165" i="5"/>
  <c r="R165" i="5"/>
  <c r="S165" i="5"/>
  <c r="T165" i="5"/>
  <c r="U165" i="5"/>
  <c r="V165" i="5"/>
  <c r="Y165" i="5" s="1"/>
  <c r="W165" i="5"/>
  <c r="Z165" i="5" s="1"/>
  <c r="X165" i="5"/>
  <c r="P166" i="5"/>
  <c r="Q166" i="5"/>
  <c r="R166" i="5"/>
  <c r="S166" i="5"/>
  <c r="T166" i="5"/>
  <c r="U166" i="5"/>
  <c r="AA166" i="5" s="1"/>
  <c r="V166" i="5"/>
  <c r="W166" i="5"/>
  <c r="X166" i="5"/>
  <c r="P167" i="5"/>
  <c r="Q167" i="5"/>
  <c r="R167" i="5"/>
  <c r="S167" i="5"/>
  <c r="T167" i="5"/>
  <c r="U167" i="5"/>
  <c r="V167" i="5"/>
  <c r="Y167" i="5" s="1"/>
  <c r="W167" i="5"/>
  <c r="Z167" i="5" s="1"/>
  <c r="X167" i="5"/>
  <c r="AA167" i="5" s="1"/>
  <c r="P168" i="5"/>
  <c r="Y168" i="5" s="1"/>
  <c r="Q168" i="5"/>
  <c r="R168" i="5"/>
  <c r="S168" i="5"/>
  <c r="T168" i="5"/>
  <c r="U168" i="5"/>
  <c r="V168" i="5"/>
  <c r="W168" i="5"/>
  <c r="Z168" i="5" s="1"/>
  <c r="X168" i="5"/>
  <c r="AA168" i="5" s="1"/>
  <c r="P169" i="5"/>
  <c r="Y169" i="5" s="1"/>
  <c r="Q169" i="5"/>
  <c r="Z169" i="5" s="1"/>
  <c r="R169" i="5"/>
  <c r="S169" i="5"/>
  <c r="T169" i="5"/>
  <c r="U169" i="5"/>
  <c r="V169" i="5"/>
  <c r="W169" i="5"/>
  <c r="X169" i="5"/>
  <c r="P170" i="5"/>
  <c r="Y170" i="5" s="1"/>
  <c r="Q170" i="5"/>
  <c r="Z170" i="5" s="1"/>
  <c r="R170" i="5"/>
  <c r="AA170" i="5" s="1"/>
  <c r="S170" i="5"/>
  <c r="T170" i="5"/>
  <c r="U170" i="5"/>
  <c r="V170" i="5"/>
  <c r="W170" i="5"/>
  <c r="X170" i="5"/>
  <c r="P171" i="5"/>
  <c r="Y171" i="5" s="1"/>
  <c r="Q171" i="5"/>
  <c r="Z171" i="5" s="1"/>
  <c r="R171" i="5"/>
  <c r="AA171" i="5" s="1"/>
  <c r="S171" i="5"/>
  <c r="T171" i="5"/>
  <c r="U171" i="5"/>
  <c r="V171" i="5"/>
  <c r="W171" i="5"/>
  <c r="X171" i="5"/>
  <c r="P172" i="5"/>
  <c r="Q172" i="5"/>
  <c r="R172" i="5"/>
  <c r="S172" i="5"/>
  <c r="Y172" i="5" s="1"/>
  <c r="T172" i="5"/>
  <c r="Z172" i="5" s="1"/>
  <c r="U172" i="5"/>
  <c r="V172" i="5"/>
  <c r="W172" i="5"/>
  <c r="X172" i="5"/>
  <c r="P173" i="5"/>
  <c r="Q173" i="5"/>
  <c r="R173" i="5"/>
  <c r="AA173" i="5" s="1"/>
  <c r="S173" i="5"/>
  <c r="T173" i="5"/>
  <c r="Z173" i="5" s="1"/>
  <c r="U173" i="5"/>
  <c r="V173" i="5"/>
  <c r="W173" i="5"/>
  <c r="X173" i="5"/>
  <c r="P174" i="5"/>
  <c r="Q174" i="5"/>
  <c r="R174" i="5"/>
  <c r="S174" i="5"/>
  <c r="Y174" i="5" s="1"/>
  <c r="T174" i="5"/>
  <c r="Z174" i="5" s="1"/>
  <c r="U174" i="5"/>
  <c r="AA174" i="5" s="1"/>
  <c r="V174" i="5"/>
  <c r="W174" i="5"/>
  <c r="X174" i="5"/>
  <c r="P175" i="5"/>
  <c r="Q175" i="5"/>
  <c r="R175" i="5"/>
  <c r="S175" i="5"/>
  <c r="T175" i="5"/>
  <c r="U175" i="5"/>
  <c r="V175" i="5"/>
  <c r="Y175" i="5" s="1"/>
  <c r="W175" i="5"/>
  <c r="Z175" i="5" s="1"/>
  <c r="X175" i="5"/>
  <c r="P176" i="5"/>
  <c r="Q176" i="5"/>
  <c r="R176" i="5"/>
  <c r="S176" i="5"/>
  <c r="T176" i="5"/>
  <c r="U176" i="5"/>
  <c r="AA176" i="5" s="1"/>
  <c r="V176" i="5"/>
  <c r="W176" i="5"/>
  <c r="X176" i="5"/>
  <c r="P177" i="5"/>
  <c r="Q177" i="5"/>
  <c r="R177" i="5"/>
  <c r="S177" i="5"/>
  <c r="T177" i="5"/>
  <c r="U177" i="5"/>
  <c r="V177" i="5"/>
  <c r="Y177" i="5" s="1"/>
  <c r="W177" i="5"/>
  <c r="Z177" i="5" s="1"/>
  <c r="X177" i="5"/>
  <c r="AA177" i="5" s="1"/>
  <c r="P178" i="5"/>
  <c r="Y178" i="5" s="1"/>
  <c r="Q178" i="5"/>
  <c r="R178" i="5"/>
  <c r="S178" i="5"/>
  <c r="T178" i="5"/>
  <c r="U178" i="5"/>
  <c r="V178" i="5"/>
  <c r="W178" i="5"/>
  <c r="Z178" i="5" s="1"/>
  <c r="X178" i="5"/>
  <c r="AA178" i="5" s="1"/>
  <c r="P179" i="5"/>
  <c r="Y179" i="5" s="1"/>
  <c r="Q179" i="5"/>
  <c r="Z179" i="5" s="1"/>
  <c r="R179" i="5"/>
  <c r="S179" i="5"/>
  <c r="T179" i="5"/>
  <c r="U179" i="5"/>
  <c r="V179" i="5"/>
  <c r="W179" i="5"/>
  <c r="X179" i="5"/>
  <c r="P180" i="5"/>
  <c r="Y180" i="5" s="1"/>
  <c r="Q180" i="5"/>
  <c r="Z180" i="5" s="1"/>
  <c r="R180" i="5"/>
  <c r="AA180" i="5" s="1"/>
  <c r="S180" i="5"/>
  <c r="T180" i="5"/>
  <c r="U180" i="5"/>
  <c r="V180" i="5"/>
  <c r="W180" i="5"/>
  <c r="X180" i="5"/>
  <c r="P181" i="5"/>
  <c r="Y181" i="5" s="1"/>
  <c r="Q181" i="5"/>
  <c r="Z181" i="5" s="1"/>
  <c r="R181" i="5"/>
  <c r="AA181" i="5" s="1"/>
  <c r="S181" i="5"/>
  <c r="T181" i="5"/>
  <c r="U181" i="5"/>
  <c r="V181" i="5"/>
  <c r="W181" i="5"/>
  <c r="X181" i="5"/>
  <c r="P182" i="5"/>
  <c r="Q182" i="5"/>
  <c r="R182" i="5"/>
  <c r="S182" i="5"/>
  <c r="Y182" i="5" s="1"/>
  <c r="T182" i="5"/>
  <c r="Z182" i="5" s="1"/>
  <c r="U182" i="5"/>
  <c r="V182" i="5"/>
  <c r="W182" i="5"/>
  <c r="X182" i="5"/>
  <c r="P183" i="5"/>
  <c r="Q183" i="5"/>
  <c r="R183" i="5"/>
  <c r="AA183" i="5" s="1"/>
  <c r="S183" i="5"/>
  <c r="T183" i="5"/>
  <c r="Z183" i="5" s="1"/>
  <c r="U183" i="5"/>
  <c r="V183" i="5"/>
  <c r="W183" i="5"/>
  <c r="X183" i="5"/>
  <c r="P184" i="5"/>
  <c r="Q184" i="5"/>
  <c r="R184" i="5"/>
  <c r="S184" i="5"/>
  <c r="Y184" i="5" s="1"/>
  <c r="T184" i="5"/>
  <c r="Z184" i="5" s="1"/>
  <c r="U184" i="5"/>
  <c r="AA184" i="5" s="1"/>
  <c r="V184" i="5"/>
  <c r="W184" i="5"/>
  <c r="X184" i="5"/>
  <c r="P185" i="5"/>
  <c r="Q185" i="5"/>
  <c r="R185" i="5"/>
  <c r="S185" i="5"/>
  <c r="T185" i="5"/>
  <c r="U185" i="5"/>
  <c r="V185" i="5"/>
  <c r="Y185" i="5" s="1"/>
  <c r="W185" i="5"/>
  <c r="Z185" i="5" s="1"/>
  <c r="X185" i="5"/>
  <c r="P186" i="5"/>
  <c r="Q186" i="5"/>
  <c r="R186" i="5"/>
  <c r="S186" i="5"/>
  <c r="T186" i="5"/>
  <c r="U186" i="5"/>
  <c r="AA186" i="5" s="1"/>
  <c r="V186" i="5"/>
  <c r="W186" i="5"/>
  <c r="X186" i="5"/>
  <c r="P187" i="5"/>
  <c r="Q187" i="5"/>
  <c r="R187" i="5"/>
  <c r="S187" i="5"/>
  <c r="T187" i="5"/>
  <c r="U187" i="5"/>
  <c r="V187" i="5"/>
  <c r="Y187" i="5" s="1"/>
  <c r="W187" i="5"/>
  <c r="Z187" i="5" s="1"/>
  <c r="X187" i="5"/>
  <c r="AA187" i="5" s="1"/>
  <c r="P188" i="5"/>
  <c r="Y188" i="5" s="1"/>
  <c r="Q188" i="5"/>
  <c r="R188" i="5"/>
  <c r="S188" i="5"/>
  <c r="T188" i="5"/>
  <c r="U188" i="5"/>
  <c r="V188" i="5"/>
  <c r="W188" i="5"/>
  <c r="Z188" i="5" s="1"/>
  <c r="X188" i="5"/>
  <c r="AA188" i="5" s="1"/>
  <c r="P189" i="5"/>
  <c r="Y189" i="5" s="1"/>
  <c r="Q189" i="5"/>
  <c r="Z189" i="5" s="1"/>
  <c r="R189" i="5"/>
  <c r="S189" i="5"/>
  <c r="T189" i="5"/>
  <c r="U189" i="5"/>
  <c r="V189" i="5"/>
  <c r="W189" i="5"/>
  <c r="X189" i="5"/>
  <c r="P190" i="5"/>
  <c r="Y190" i="5" s="1"/>
  <c r="Q190" i="5"/>
  <c r="Z190" i="5" s="1"/>
  <c r="R190" i="5"/>
  <c r="AA190" i="5" s="1"/>
  <c r="S190" i="5"/>
  <c r="T190" i="5"/>
  <c r="U190" i="5"/>
  <c r="V190" i="5"/>
  <c r="W190" i="5"/>
  <c r="X190" i="5"/>
  <c r="P191" i="5"/>
  <c r="Y191" i="5" s="1"/>
  <c r="Q191" i="5"/>
  <c r="Z191" i="5" s="1"/>
  <c r="R191" i="5"/>
  <c r="AA191" i="5" s="1"/>
  <c r="S191" i="5"/>
  <c r="T191" i="5"/>
  <c r="U191" i="5"/>
  <c r="V191" i="5"/>
  <c r="W191" i="5"/>
  <c r="X191" i="5"/>
  <c r="P192" i="5"/>
  <c r="Q192" i="5"/>
  <c r="R192" i="5"/>
  <c r="S192" i="5"/>
  <c r="Y192" i="5" s="1"/>
  <c r="T192" i="5"/>
  <c r="Z192" i="5" s="1"/>
  <c r="U192" i="5"/>
  <c r="V192" i="5"/>
  <c r="W192" i="5"/>
  <c r="X192" i="5"/>
  <c r="P193" i="5"/>
  <c r="Q193" i="5"/>
  <c r="R193" i="5"/>
  <c r="AA193" i="5" s="1"/>
  <c r="S193" i="5"/>
  <c r="T193" i="5"/>
  <c r="Z193" i="5" s="1"/>
  <c r="U193" i="5"/>
  <c r="V193" i="5"/>
  <c r="W193" i="5"/>
  <c r="X193" i="5"/>
  <c r="P194" i="5"/>
  <c r="Q194" i="5"/>
  <c r="R194" i="5"/>
  <c r="S194" i="5"/>
  <c r="Y194" i="5" s="1"/>
  <c r="T194" i="5"/>
  <c r="Z194" i="5" s="1"/>
  <c r="U194" i="5"/>
  <c r="AA194" i="5" s="1"/>
  <c r="V194" i="5"/>
  <c r="W194" i="5"/>
  <c r="X194" i="5"/>
  <c r="P195" i="5"/>
  <c r="Q195" i="5"/>
  <c r="R195" i="5"/>
  <c r="S195" i="5"/>
  <c r="T195" i="5"/>
  <c r="U195" i="5"/>
  <c r="V195" i="5"/>
  <c r="Y195" i="5" s="1"/>
  <c r="W195" i="5"/>
  <c r="Z195" i="5" s="1"/>
  <c r="X195" i="5"/>
  <c r="P196" i="5"/>
  <c r="Q196" i="5"/>
  <c r="R196" i="5"/>
  <c r="S196" i="5"/>
  <c r="T196" i="5"/>
  <c r="U196" i="5"/>
  <c r="AA196" i="5" s="1"/>
  <c r="V196" i="5"/>
  <c r="W196" i="5"/>
  <c r="X196" i="5"/>
  <c r="P197" i="5"/>
  <c r="Q197" i="5"/>
  <c r="R197" i="5"/>
  <c r="S197" i="5"/>
  <c r="T197" i="5"/>
  <c r="U197" i="5"/>
  <c r="V197" i="5"/>
  <c r="Y197" i="5" s="1"/>
  <c r="W197" i="5"/>
  <c r="Z197" i="5" s="1"/>
  <c r="X197" i="5"/>
  <c r="AA197" i="5" s="1"/>
  <c r="P198" i="5"/>
  <c r="Y198" i="5" s="1"/>
  <c r="Q198" i="5"/>
  <c r="R198" i="5"/>
  <c r="S198" i="5"/>
  <c r="T198" i="5"/>
  <c r="U198" i="5"/>
  <c r="V198" i="5"/>
  <c r="W198" i="5"/>
  <c r="Z198" i="5" s="1"/>
  <c r="X198" i="5"/>
  <c r="AA198" i="5" s="1"/>
  <c r="P199" i="5"/>
  <c r="Y199" i="5" s="1"/>
  <c r="Q199" i="5"/>
  <c r="Z199" i="5" s="1"/>
  <c r="R199" i="5"/>
  <c r="S199" i="5"/>
  <c r="T199" i="5"/>
  <c r="U199" i="5"/>
  <c r="V199" i="5"/>
  <c r="W199" i="5"/>
  <c r="X199" i="5"/>
  <c r="P200" i="5"/>
  <c r="Y200" i="5" s="1"/>
  <c r="Q200" i="5"/>
  <c r="Z200" i="5" s="1"/>
  <c r="R200" i="5"/>
  <c r="AA200" i="5" s="1"/>
  <c r="S200" i="5"/>
  <c r="T200" i="5"/>
  <c r="U200" i="5"/>
  <c r="V200" i="5"/>
  <c r="W200" i="5"/>
  <c r="X200" i="5"/>
  <c r="P201" i="5"/>
  <c r="Y201" i="5" s="1"/>
  <c r="Q201" i="5"/>
  <c r="Z201" i="5" s="1"/>
  <c r="R201" i="5"/>
  <c r="AA201" i="5" s="1"/>
  <c r="S201" i="5"/>
  <c r="T201" i="5"/>
  <c r="U201" i="5"/>
  <c r="V201" i="5"/>
  <c r="W201" i="5"/>
  <c r="X201" i="5"/>
  <c r="P202" i="5"/>
  <c r="Q202" i="5"/>
  <c r="R202" i="5"/>
  <c r="S202" i="5"/>
  <c r="Y202" i="5" s="1"/>
  <c r="T202" i="5"/>
  <c r="Z202" i="5" s="1"/>
  <c r="U202" i="5"/>
  <c r="V202" i="5"/>
  <c r="W202" i="5"/>
  <c r="X202" i="5"/>
  <c r="P203" i="5"/>
  <c r="Q203" i="5"/>
  <c r="R203" i="5"/>
  <c r="AA203" i="5" s="1"/>
  <c r="S203" i="5"/>
  <c r="T203" i="5"/>
  <c r="Z203" i="5" s="1"/>
  <c r="U203" i="5"/>
  <c r="V203" i="5"/>
  <c r="W203" i="5"/>
  <c r="X203" i="5"/>
  <c r="P204" i="5"/>
  <c r="Q204" i="5"/>
  <c r="R204" i="5"/>
  <c r="S204" i="5"/>
  <c r="Y204" i="5" s="1"/>
  <c r="T204" i="5"/>
  <c r="Z204" i="5" s="1"/>
  <c r="U204" i="5"/>
  <c r="AA204" i="5" s="1"/>
  <c r="V204" i="5"/>
  <c r="W204" i="5"/>
  <c r="X204" i="5"/>
  <c r="P205" i="5"/>
  <c r="Q205" i="5"/>
  <c r="R205" i="5"/>
  <c r="S205" i="5"/>
  <c r="T205" i="5"/>
  <c r="U205" i="5"/>
  <c r="V205" i="5"/>
  <c r="Y205" i="5" s="1"/>
  <c r="W205" i="5"/>
  <c r="Z205" i="5" s="1"/>
  <c r="X205" i="5"/>
  <c r="P206" i="5"/>
  <c r="Q206" i="5"/>
  <c r="R206" i="5"/>
  <c r="S206" i="5"/>
  <c r="T206" i="5"/>
  <c r="U206" i="5"/>
  <c r="AA206" i="5" s="1"/>
  <c r="V206" i="5"/>
  <c r="W206" i="5"/>
  <c r="X206" i="5"/>
  <c r="P207" i="5"/>
  <c r="Q207" i="5"/>
  <c r="R207" i="5"/>
  <c r="S207" i="5"/>
  <c r="T207" i="5"/>
  <c r="U207" i="5"/>
  <c r="V207" i="5"/>
  <c r="Y207" i="5" s="1"/>
  <c r="W207" i="5"/>
  <c r="Z207" i="5" s="1"/>
  <c r="X207" i="5"/>
  <c r="AA207" i="5" s="1"/>
  <c r="P208" i="5"/>
  <c r="Y208" i="5" s="1"/>
  <c r="Q208" i="5"/>
  <c r="R208" i="5"/>
  <c r="S208" i="5"/>
  <c r="T208" i="5"/>
  <c r="U208" i="5"/>
  <c r="V208" i="5"/>
  <c r="W208" i="5"/>
  <c r="Z208" i="5" s="1"/>
  <c r="X208" i="5"/>
  <c r="AA208" i="5" s="1"/>
  <c r="P209" i="5"/>
  <c r="Y209" i="5" s="1"/>
  <c r="Q209" i="5"/>
  <c r="Z209" i="5" s="1"/>
  <c r="R209" i="5"/>
  <c r="S209" i="5"/>
  <c r="T209" i="5"/>
  <c r="U209" i="5"/>
  <c r="V209" i="5"/>
  <c r="W209" i="5"/>
  <c r="X209" i="5"/>
  <c r="P210" i="5"/>
  <c r="Y210" i="5" s="1"/>
  <c r="Q210" i="5"/>
  <c r="Z210" i="5" s="1"/>
  <c r="R210" i="5"/>
  <c r="AA210" i="5" s="1"/>
  <c r="S210" i="5"/>
  <c r="T210" i="5"/>
  <c r="U210" i="5"/>
  <c r="V210" i="5"/>
  <c r="W210" i="5"/>
  <c r="X210" i="5"/>
  <c r="P211" i="5"/>
  <c r="Y211" i="5" s="1"/>
  <c r="Q211" i="5"/>
  <c r="Z211" i="5" s="1"/>
  <c r="R211" i="5"/>
  <c r="AA211" i="5" s="1"/>
  <c r="S211" i="5"/>
  <c r="T211" i="5"/>
  <c r="U211" i="5"/>
  <c r="V211" i="5"/>
  <c r="W211" i="5"/>
  <c r="X211" i="5"/>
  <c r="P212" i="5"/>
  <c r="Q212" i="5"/>
  <c r="R212" i="5"/>
  <c r="S212" i="5"/>
  <c r="Y212" i="5" s="1"/>
  <c r="T212" i="5"/>
  <c r="Z212" i="5" s="1"/>
  <c r="U212" i="5"/>
  <c r="V212" i="5"/>
  <c r="W212" i="5"/>
  <c r="X212" i="5"/>
  <c r="P213" i="5"/>
  <c r="Q213" i="5"/>
  <c r="R213" i="5"/>
  <c r="AA213" i="5" s="1"/>
  <c r="S213" i="5"/>
  <c r="T213" i="5"/>
  <c r="Z213" i="5" s="1"/>
  <c r="U213" i="5"/>
  <c r="V213" i="5"/>
  <c r="W213" i="5"/>
  <c r="X213" i="5"/>
  <c r="P214" i="5"/>
  <c r="Q214" i="5"/>
  <c r="R214" i="5"/>
  <c r="S214" i="5"/>
  <c r="Y214" i="5" s="1"/>
  <c r="T214" i="5"/>
  <c r="Z214" i="5" s="1"/>
  <c r="U214" i="5"/>
  <c r="AA214" i="5" s="1"/>
  <c r="V214" i="5"/>
  <c r="W214" i="5"/>
  <c r="X214" i="5"/>
  <c r="P215" i="5"/>
  <c r="Q215" i="5"/>
  <c r="R215" i="5"/>
  <c r="S215" i="5"/>
  <c r="T215" i="5"/>
  <c r="U215" i="5"/>
  <c r="V215" i="5"/>
  <c r="Y215" i="5" s="1"/>
  <c r="W215" i="5"/>
  <c r="Z215" i="5" s="1"/>
  <c r="X215" i="5"/>
  <c r="P216" i="5"/>
  <c r="Q216" i="5"/>
  <c r="R216" i="5"/>
  <c r="S216" i="5"/>
  <c r="T216" i="5"/>
  <c r="U216" i="5"/>
  <c r="AA216" i="5" s="1"/>
  <c r="V216" i="5"/>
  <c r="W216" i="5"/>
  <c r="X216" i="5"/>
  <c r="P217" i="5"/>
  <c r="Q217" i="5"/>
  <c r="R217" i="5"/>
  <c r="S217" i="5"/>
  <c r="T217" i="5"/>
  <c r="U217" i="5"/>
  <c r="V217" i="5"/>
  <c r="Y217" i="5" s="1"/>
  <c r="W217" i="5"/>
  <c r="Z217" i="5" s="1"/>
  <c r="X217" i="5"/>
  <c r="AA217" i="5" s="1"/>
  <c r="P218" i="5"/>
  <c r="Y218" i="5" s="1"/>
  <c r="Q218" i="5"/>
  <c r="R218" i="5"/>
  <c r="S218" i="5"/>
  <c r="T218" i="5"/>
  <c r="U218" i="5"/>
  <c r="V218" i="5"/>
  <c r="W218" i="5"/>
  <c r="Z218" i="5" s="1"/>
  <c r="X218" i="5"/>
  <c r="AA218" i="5" s="1"/>
  <c r="P219" i="5"/>
  <c r="Y219" i="5" s="1"/>
  <c r="Q219" i="5"/>
  <c r="Z219" i="5" s="1"/>
  <c r="R219" i="5"/>
  <c r="S219" i="5"/>
  <c r="T219" i="5"/>
  <c r="U219" i="5"/>
  <c r="V219" i="5"/>
  <c r="W219" i="5"/>
  <c r="X219" i="5"/>
  <c r="P220" i="5"/>
  <c r="Y220" i="5" s="1"/>
  <c r="Q220" i="5"/>
  <c r="Z220" i="5" s="1"/>
  <c r="R220" i="5"/>
  <c r="AA220" i="5" s="1"/>
  <c r="S220" i="5"/>
  <c r="T220" i="5"/>
  <c r="U220" i="5"/>
  <c r="V220" i="5"/>
  <c r="W220" i="5"/>
  <c r="X220" i="5"/>
  <c r="P221" i="5"/>
  <c r="Y221" i="5" s="1"/>
  <c r="Q221" i="5"/>
  <c r="Z221" i="5" s="1"/>
  <c r="R221" i="5"/>
  <c r="AA221" i="5" s="1"/>
  <c r="S221" i="5"/>
  <c r="T221" i="5"/>
  <c r="U221" i="5"/>
  <c r="V221" i="5"/>
  <c r="W221" i="5"/>
  <c r="X221" i="5"/>
  <c r="P222" i="5"/>
  <c r="Q222" i="5"/>
  <c r="R222" i="5"/>
  <c r="S222" i="5"/>
  <c r="Y222" i="5" s="1"/>
  <c r="T222" i="5"/>
  <c r="Z222" i="5" s="1"/>
  <c r="U222" i="5"/>
  <c r="V222" i="5"/>
  <c r="W222" i="5"/>
  <c r="X222" i="5"/>
  <c r="P223" i="5"/>
  <c r="Q223" i="5"/>
  <c r="R223" i="5"/>
  <c r="AA223" i="5" s="1"/>
  <c r="S223" i="5"/>
  <c r="T223" i="5"/>
  <c r="Z223" i="5" s="1"/>
  <c r="U223" i="5"/>
  <c r="V223" i="5"/>
  <c r="W223" i="5"/>
  <c r="X223" i="5"/>
  <c r="P224" i="5"/>
  <c r="Q224" i="5"/>
  <c r="R224" i="5"/>
  <c r="S224" i="5"/>
  <c r="Y224" i="5" s="1"/>
  <c r="T224" i="5"/>
  <c r="Z224" i="5" s="1"/>
  <c r="U224" i="5"/>
  <c r="AA224" i="5" s="1"/>
  <c r="V224" i="5"/>
  <c r="W224" i="5"/>
  <c r="X224" i="5"/>
  <c r="P225" i="5"/>
  <c r="Q225" i="5"/>
  <c r="R225" i="5"/>
  <c r="S225" i="5"/>
  <c r="T225" i="5"/>
  <c r="U225" i="5"/>
  <c r="V225" i="5"/>
  <c r="Y225" i="5" s="1"/>
  <c r="W225" i="5"/>
  <c r="Z225" i="5" s="1"/>
  <c r="X225" i="5"/>
  <c r="P226" i="5"/>
  <c r="Q226" i="5"/>
  <c r="R226" i="5"/>
  <c r="S226" i="5"/>
  <c r="T226" i="5"/>
  <c r="U226" i="5"/>
  <c r="AA226" i="5" s="1"/>
  <c r="V226" i="5"/>
  <c r="W226" i="5"/>
  <c r="X226" i="5"/>
  <c r="P227" i="5"/>
  <c r="Q227" i="5"/>
  <c r="R227" i="5"/>
  <c r="S227" i="5"/>
  <c r="T227" i="5"/>
  <c r="U227" i="5"/>
  <c r="V227" i="5"/>
  <c r="Y227" i="5" s="1"/>
  <c r="W227" i="5"/>
  <c r="Z227" i="5" s="1"/>
  <c r="X227" i="5"/>
  <c r="AA227" i="5" s="1"/>
  <c r="P228" i="5"/>
  <c r="Y228" i="5" s="1"/>
  <c r="Q228" i="5"/>
  <c r="R228" i="5"/>
  <c r="S228" i="5"/>
  <c r="T228" i="5"/>
  <c r="U228" i="5"/>
  <c r="V228" i="5"/>
  <c r="W228" i="5"/>
  <c r="Z228" i="5" s="1"/>
  <c r="X228" i="5"/>
  <c r="AA228" i="5" s="1"/>
  <c r="P229" i="5"/>
  <c r="Y229" i="5" s="1"/>
  <c r="Q229" i="5"/>
  <c r="Z229" i="5" s="1"/>
  <c r="R229" i="5"/>
  <c r="S229" i="5"/>
  <c r="T229" i="5"/>
  <c r="U229" i="5"/>
  <c r="V229" i="5"/>
  <c r="W229" i="5"/>
  <c r="X229" i="5"/>
  <c r="P230" i="5"/>
  <c r="Y230" i="5" s="1"/>
  <c r="Q230" i="5"/>
  <c r="Z230" i="5" s="1"/>
  <c r="R230" i="5"/>
  <c r="AA230" i="5" s="1"/>
  <c r="S230" i="5"/>
  <c r="T230" i="5"/>
  <c r="U230" i="5"/>
  <c r="V230" i="5"/>
  <c r="W230" i="5"/>
  <c r="X230" i="5"/>
  <c r="P231" i="5"/>
  <c r="Y231" i="5" s="1"/>
  <c r="Q231" i="5"/>
  <c r="Z231" i="5" s="1"/>
  <c r="R231" i="5"/>
  <c r="AA231" i="5" s="1"/>
  <c r="S231" i="5"/>
  <c r="T231" i="5"/>
  <c r="U231" i="5"/>
  <c r="V231" i="5"/>
  <c r="W231" i="5"/>
  <c r="X231" i="5"/>
  <c r="P232" i="5"/>
  <c r="Q232" i="5"/>
  <c r="R232" i="5"/>
  <c r="S232" i="5"/>
  <c r="Y232" i="5" s="1"/>
  <c r="T232" i="5"/>
  <c r="Z232" i="5" s="1"/>
  <c r="U232" i="5"/>
  <c r="V232" i="5"/>
  <c r="W232" i="5"/>
  <c r="X232" i="5"/>
  <c r="P233" i="5"/>
  <c r="Q233" i="5"/>
  <c r="R233" i="5"/>
  <c r="AA233" i="5" s="1"/>
  <c r="S233" i="5"/>
  <c r="T233" i="5"/>
  <c r="Z233" i="5" s="1"/>
  <c r="U233" i="5"/>
  <c r="V233" i="5"/>
  <c r="W233" i="5"/>
  <c r="X233" i="5"/>
  <c r="P234" i="5"/>
  <c r="Q234" i="5"/>
  <c r="R234" i="5"/>
  <c r="S234" i="5"/>
  <c r="Y234" i="5" s="1"/>
  <c r="T234" i="5"/>
  <c r="Z234" i="5" s="1"/>
  <c r="U234" i="5"/>
  <c r="AA234" i="5" s="1"/>
  <c r="V234" i="5"/>
  <c r="W234" i="5"/>
  <c r="X234" i="5"/>
  <c r="V136" i="5"/>
  <c r="Q136" i="5"/>
  <c r="R136" i="5"/>
  <c r="S136" i="5"/>
  <c r="T136" i="5"/>
  <c r="U136" i="5"/>
  <c r="W136" i="5"/>
  <c r="X136" i="5"/>
  <c r="P136" i="5"/>
  <c r="AA139" i="5"/>
  <c r="AA142" i="5"/>
  <c r="Y143" i="5"/>
  <c r="AA145" i="5"/>
  <c r="Y146" i="5"/>
  <c r="Z146" i="5"/>
  <c r="AA149" i="5"/>
  <c r="AA152" i="5"/>
  <c r="Y153" i="5"/>
  <c r="AA155" i="5"/>
  <c r="Y156" i="5"/>
  <c r="Z156" i="5"/>
  <c r="AA159" i="5"/>
  <c r="AA162" i="5"/>
  <c r="Y163" i="5"/>
  <c r="AA165" i="5"/>
  <c r="Y166" i="5"/>
  <c r="Z166" i="5"/>
  <c r="AA169" i="5"/>
  <c r="AA172" i="5"/>
  <c r="Y173" i="5"/>
  <c r="AA175" i="5"/>
  <c r="Y176" i="5"/>
  <c r="Z176" i="5"/>
  <c r="AA179" i="5"/>
  <c r="AA182" i="5"/>
  <c r="Y183" i="5"/>
  <c r="AA185" i="5"/>
  <c r="Y186" i="5"/>
  <c r="Z186" i="5"/>
  <c r="AA189" i="5"/>
  <c r="AA192" i="5"/>
  <c r="Y193" i="5"/>
  <c r="AA195" i="5"/>
  <c r="Y196" i="5"/>
  <c r="Z196" i="5"/>
  <c r="AA199" i="5"/>
  <c r="AA202" i="5"/>
  <c r="Y203" i="5"/>
  <c r="AA205" i="5"/>
  <c r="Y206" i="5"/>
  <c r="Z206" i="5"/>
  <c r="AA209" i="5"/>
  <c r="AA212" i="5"/>
  <c r="Y213" i="5"/>
  <c r="AA215" i="5"/>
  <c r="Y216" i="5"/>
  <c r="Z216" i="5"/>
  <c r="AA219" i="5"/>
  <c r="AA222" i="5"/>
  <c r="Y223" i="5"/>
  <c r="AA225" i="5"/>
  <c r="Y226" i="5"/>
  <c r="Z226" i="5"/>
  <c r="AA229" i="5"/>
  <c r="AA232" i="5"/>
  <c r="Y233" i="5"/>
  <c r="Z135" i="5"/>
  <c r="AA135" i="5"/>
  <c r="Y135" i="5"/>
  <c r="K3" i="5"/>
  <c r="I3" i="5" s="1"/>
  <c r="F3" i="5"/>
  <c r="D3" i="5" s="1"/>
  <c r="D8" i="4"/>
  <c r="R129" i="2"/>
  <c r="R130" i="2"/>
  <c r="K130" i="2"/>
  <c r="D130" i="2"/>
  <c r="S55" i="2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36" i="2"/>
  <c r="S6" i="2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5" i="2"/>
  <c r="L7" i="2"/>
  <c r="L4" i="2"/>
  <c r="L119" i="2"/>
  <c r="L120" i="2" s="1"/>
  <c r="L121" i="2" s="1"/>
  <c r="L122" i="2" s="1"/>
  <c r="L123" i="2" s="1"/>
  <c r="L124" i="2" s="1"/>
  <c r="L125" i="2" s="1"/>
  <c r="L126" i="2" s="1"/>
  <c r="L127" i="2" s="1"/>
  <c r="L103" i="2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84" i="2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57" i="2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30" i="2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6" i="2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5" i="2"/>
  <c r="E97" i="2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78" i="2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58" i="2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36" i="2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5" i="2"/>
  <c r="S4" i="2"/>
  <c r="E4" i="2"/>
  <c r="J131" i="3"/>
  <c r="D131" i="3"/>
  <c r="J130" i="3"/>
  <c r="D130" i="3"/>
  <c r="M129" i="3"/>
  <c r="J129" i="3"/>
  <c r="D129" i="3"/>
  <c r="M3" i="3"/>
  <c r="K3" i="3" s="1"/>
  <c r="G3" i="3"/>
  <c r="E3" i="3" s="1"/>
  <c r="O4" i="3" s="1"/>
  <c r="K131" i="2"/>
  <c r="O129" i="2"/>
  <c r="D131" i="2"/>
  <c r="C135" i="7" a="1"/>
  <c r="J181" i="7" a="1"/>
  <c r="J231" i="7" a="1"/>
  <c r="J195" i="7" a="1"/>
  <c r="J137" i="7" a="1"/>
  <c r="J187" i="7" a="1"/>
  <c r="J154" i="7" a="1"/>
  <c r="J163" i="7" a="1"/>
  <c r="J213" i="7" a="1"/>
  <c r="J174" i="7" a="1"/>
  <c r="I136" i="7" a="1"/>
  <c r="I186" i="7" a="1"/>
  <c r="I164" i="7" a="1"/>
  <c r="I200" i="7" a="1"/>
  <c r="I142" i="7" a="1"/>
  <c r="I192" i="7" a="1"/>
  <c r="I150" i="7" a="1"/>
  <c r="I173" i="7" a="1"/>
  <c r="I223" i="7" a="1"/>
  <c r="I184" i="7" a="1"/>
  <c r="H141" i="7" a="1"/>
  <c r="H191" i="7" a="1"/>
  <c r="H219" i="7" a="1"/>
  <c r="H167" i="7" a="1"/>
  <c r="H217" i="7" a="1"/>
  <c r="H138" i="7" a="1"/>
  <c r="H188" i="7" a="1"/>
  <c r="H149" i="7" a="1"/>
  <c r="H199" i="7" a="1"/>
  <c r="H195" i="7" a="1"/>
  <c r="H135" i="7" a="1"/>
  <c r="G181" i="7" a="1"/>
  <c r="G231" i="7" a="1"/>
  <c r="G162" i="7" a="1"/>
  <c r="G212" i="7" a="1"/>
  <c r="G143" i="7" a="1"/>
  <c r="G193" i="7" a="1"/>
  <c r="G169" i="7" a="1"/>
  <c r="G219" i="7" a="1"/>
  <c r="G195" i="7" a="1"/>
  <c r="G135" i="7" a="1"/>
  <c r="F176" i="7" a="1"/>
  <c r="F226" i="7" a="1"/>
  <c r="F157" i="7" a="1"/>
  <c r="F207" i="7" a="1"/>
  <c r="F138" i="7" a="1"/>
  <c r="F188" i="7" a="1"/>
  <c r="F139" i="7" a="1"/>
  <c r="F214" i="7" a="1"/>
  <c r="F190" i="7" a="1"/>
  <c r="F145" i="7" a="1"/>
  <c r="E166" i="7" a="1"/>
  <c r="E216" i="7" a="1"/>
  <c r="E174" i="7" a="1"/>
  <c r="E152" i="7" a="1"/>
  <c r="E202" i="7" a="1"/>
  <c r="E150" i="7" a="1"/>
  <c r="E173" i="7" a="1"/>
  <c r="E223" i="7" a="1"/>
  <c r="E185" i="7" a="1"/>
  <c r="E164" i="7" a="1"/>
  <c r="D171" i="7" a="1"/>
  <c r="D221" i="7" a="1"/>
  <c r="D199" i="7" a="1"/>
  <c r="D180" i="7" a="1"/>
  <c r="D230" i="7" a="1"/>
  <c r="D172" i="7" a="1"/>
  <c r="D222" i="7" a="1"/>
  <c r="D153" i="7" a="1"/>
  <c r="D203" i="7" a="1"/>
  <c r="D160" i="7" a="1"/>
  <c r="C176" i="7" a="1"/>
  <c r="C226" i="7" a="1"/>
  <c r="C189" i="7" a="1"/>
  <c r="C137" i="7" a="1"/>
  <c r="C187" i="7" a="1"/>
  <c r="C140" i="7" a="1"/>
  <c r="C215" i="7" a="1"/>
  <c r="C158" i="7" a="1"/>
  <c r="C208" i="7" a="1"/>
  <c r="B136" i="7" a="1"/>
  <c r="B186" i="7" a="1"/>
  <c r="B149" i="7" a="1"/>
  <c r="B167" i="7" a="1"/>
  <c r="B217" i="7" a="1"/>
  <c r="B148" i="7" a="1"/>
  <c r="B198" i="7" a="1"/>
  <c r="B174" i="7" a="1"/>
  <c r="B224" i="7" a="1"/>
  <c r="B200" i="7" a="1"/>
  <c r="O15" i="4" a="1"/>
  <c r="P122" i="4" a="1"/>
  <c r="P26" i="4" a="1"/>
  <c r="O102" i="4" a="1"/>
  <c r="I90" i="4" a="1"/>
  <c r="K122" i="4" a="1"/>
  <c r="I31" i="4" a="1"/>
  <c r="C105" i="4" a="1"/>
  <c r="D75" i="4" a="1"/>
  <c r="C44" i="4" a="1"/>
  <c r="J94" i="4" a="1"/>
  <c r="D35" i="4" a="1"/>
  <c r="J85" i="4" a="1"/>
  <c r="I16" i="4" a="1"/>
  <c r="P108" i="4" a="1"/>
  <c r="Q44" i="4" a="1"/>
  <c r="P65" i="4" a="1"/>
  <c r="I74" i="4" a="1"/>
  <c r="K81" i="4" a="1"/>
  <c r="J30" i="4" a="1"/>
  <c r="E98" i="4" a="1"/>
  <c r="C66" i="4" a="1"/>
  <c r="C40" i="4" a="1"/>
  <c r="I83" i="4" a="1"/>
  <c r="E26" i="4" a="1"/>
  <c r="K118" i="4" a="1"/>
  <c r="K16" i="4" a="1"/>
  <c r="O45" i="4" a="1"/>
  <c r="Q29" i="4" a="1"/>
  <c r="O77" i="4" a="1"/>
  <c r="K106" i="4" a="1"/>
  <c r="J76" i="4" a="1"/>
  <c r="J34" i="4" a="1"/>
  <c r="D108" i="4" a="1"/>
  <c r="C51" i="4" a="1"/>
  <c r="C29" i="4" a="1"/>
  <c r="K77" i="4" a="1"/>
  <c r="J136" i="7" a="1"/>
  <c r="J186" i="7" a="1"/>
  <c r="J164" i="7" a="1"/>
  <c r="J200" i="7" a="1"/>
  <c r="J142" i="7" a="1"/>
  <c r="J192" i="7" a="1"/>
  <c r="J224" i="7" a="1"/>
  <c r="J168" i="7" a="1"/>
  <c r="J218" i="7" a="1"/>
  <c r="J179" i="7" a="1"/>
  <c r="I141" i="7" a="1"/>
  <c r="I191" i="7" a="1"/>
  <c r="I229" i="7" a="1"/>
  <c r="I205" i="7" a="1"/>
  <c r="I147" i="7" a="1"/>
  <c r="I197" i="7" a="1"/>
  <c r="I144" i="7" a="1"/>
  <c r="I178" i="7" a="1"/>
  <c r="I228" i="7" a="1"/>
  <c r="I189" i="7" a="1"/>
  <c r="H146" i="7" a="1"/>
  <c r="H196" i="7" a="1"/>
  <c r="H165" i="7" a="1"/>
  <c r="H172" i="7" a="1"/>
  <c r="H222" i="7" a="1"/>
  <c r="H143" i="7" a="1"/>
  <c r="H193" i="7" a="1"/>
  <c r="H224" i="7" a="1"/>
  <c r="H204" i="7" a="1"/>
  <c r="H200" i="7" a="1"/>
  <c r="G136" i="7" a="1"/>
  <c r="G186" i="7" a="1"/>
  <c r="G149" i="7" a="1"/>
  <c r="G167" i="7" a="1"/>
  <c r="G217" i="7" a="1"/>
  <c r="G148" i="7" a="1"/>
  <c r="G198" i="7" a="1"/>
  <c r="G174" i="7" a="1"/>
  <c r="G224" i="7" a="1"/>
  <c r="G200" i="7" a="1"/>
  <c r="D234" i="7" a="1"/>
  <c r="F181" i="7" a="1"/>
  <c r="F231" i="7" a="1"/>
  <c r="F162" i="7" a="1"/>
  <c r="F212" i="7" a="1"/>
  <c r="F143" i="7" a="1"/>
  <c r="F193" i="7" a="1"/>
  <c r="F169" i="7" a="1"/>
  <c r="F219" i="7" a="1"/>
  <c r="F195" i="7" a="1"/>
  <c r="F135" i="7" a="1"/>
  <c r="E171" i="7" a="1"/>
  <c r="E221" i="7" a="1"/>
  <c r="E179" i="7" a="1"/>
  <c r="E157" i="7" a="1"/>
  <c r="E207" i="7" a="1"/>
  <c r="E149" i="7" a="1"/>
  <c r="E178" i="7" a="1"/>
  <c r="E228" i="7" a="1"/>
  <c r="E190" i="7" a="1"/>
  <c r="E160" i="7" a="1"/>
  <c r="D176" i="7" a="1"/>
  <c r="D226" i="7" a="1"/>
  <c r="D204" i="7" a="1"/>
  <c r="D185" i="7" a="1"/>
  <c r="D149" i="7" a="1"/>
  <c r="D177" i="7" a="1"/>
  <c r="D227" i="7" a="1"/>
  <c r="D158" i="7" a="1"/>
  <c r="D208" i="7" a="1"/>
  <c r="D135" i="7" a="1"/>
  <c r="C181" i="7" a="1"/>
  <c r="C231" i="7" a="1"/>
  <c r="C194" i="7" a="1"/>
  <c r="C142" i="7" a="1"/>
  <c r="C192" i="7" a="1"/>
  <c r="C170" i="7" a="1"/>
  <c r="C220" i="7" a="1"/>
  <c r="C163" i="7" a="1"/>
  <c r="C213" i="7" a="1"/>
  <c r="B141" i="7" a="1"/>
  <c r="B191" i="7" a="1"/>
  <c r="B165" i="7" a="1"/>
  <c r="B172" i="7" a="1"/>
  <c r="B222" i="7" a="1"/>
  <c r="B153" i="7" a="1"/>
  <c r="B203" i="7" a="1"/>
  <c r="B179" i="7" a="1"/>
  <c r="B229" i="7" a="1"/>
  <c r="B205" i="7" a="1"/>
  <c r="J17" i="4" a="1"/>
  <c r="O95" i="4" a="1"/>
  <c r="O43" i="4" a="1"/>
  <c r="O57" i="4" a="1"/>
  <c r="J72" i="4" a="1"/>
  <c r="I70" i="4" a="1"/>
  <c r="K41" i="4" a="1"/>
  <c r="E121" i="4" a="1"/>
  <c r="D64" i="4" a="1"/>
  <c r="D24" i="4" a="1"/>
  <c r="I44" i="4" a="1"/>
  <c r="D43" i="4" a="1"/>
  <c r="J62" i="4" a="1"/>
  <c r="E17" i="4" a="1"/>
  <c r="P24" i="4" a="1"/>
  <c r="J141" i="7" a="1"/>
  <c r="J191" i="7" a="1"/>
  <c r="J214" i="7" a="1"/>
  <c r="J205" i="7" a="1"/>
  <c r="J147" i="7" a="1"/>
  <c r="J197" i="7" a="1"/>
  <c r="J150" i="7" a="1"/>
  <c r="J173" i="7" a="1"/>
  <c r="J223" i="7" a="1"/>
  <c r="J184" i="7" a="1"/>
  <c r="I146" i="7" a="1"/>
  <c r="I196" i="7" a="1"/>
  <c r="I140" i="7" a="1"/>
  <c r="I210" i="7" a="1"/>
  <c r="I152" i="7" a="1"/>
  <c r="I202" i="7" a="1"/>
  <c r="I145" i="7" a="1"/>
  <c r="I183" i="7" a="1"/>
  <c r="I233" i="7" a="1"/>
  <c r="I194" i="7" a="1"/>
  <c r="H151" i="7" a="1"/>
  <c r="H201" i="7" a="1"/>
  <c r="H159" i="7" a="1"/>
  <c r="H177" i="7" a="1"/>
  <c r="H227" i="7" a="1"/>
  <c r="H148" i="7" a="1"/>
  <c r="H198" i="7" a="1"/>
  <c r="H160" i="7" a="1"/>
  <c r="H209" i="7" a="1"/>
  <c r="H205" i="7" a="1"/>
  <c r="G141" i="7" a="1"/>
  <c r="G191" i="7" a="1"/>
  <c r="G150" i="7" a="1"/>
  <c r="G172" i="7" a="1"/>
  <c r="G222" i="7" a="1"/>
  <c r="G153" i="7" a="1"/>
  <c r="G203" i="7" a="1"/>
  <c r="G179" i="7" a="1"/>
  <c r="G229" i="7" a="1"/>
  <c r="G205" i="7" a="1"/>
  <c r="F136" i="7" a="1"/>
  <c r="F186" i="7" a="1"/>
  <c r="F149" i="7" a="1"/>
  <c r="F167" i="7" a="1"/>
  <c r="F217" i="7" a="1"/>
  <c r="F148" i="7" a="1"/>
  <c r="F198" i="7" a="1"/>
  <c r="F174" i="7" a="1"/>
  <c r="F224" i="7" a="1"/>
  <c r="F200" i="7" a="1"/>
  <c r="C207" i="7" a="1"/>
  <c r="E176" i="7" a="1"/>
  <c r="E226" i="7" a="1"/>
  <c r="E189" i="7" a="1"/>
  <c r="E162" i="7" a="1"/>
  <c r="E212" i="7" a="1"/>
  <c r="E165" i="7" a="1"/>
  <c r="E183" i="7" a="1"/>
  <c r="E233" i="7" a="1"/>
  <c r="E195" i="7" a="1"/>
  <c r="E135" i="7" a="1"/>
  <c r="D181" i="7" a="1"/>
  <c r="D231" i="7" a="1"/>
  <c r="D209" i="7" a="1"/>
  <c r="D190" i="7" a="1"/>
  <c r="D150" i="7" a="1"/>
  <c r="D182" i="7" a="1"/>
  <c r="D232" i="7" a="1"/>
  <c r="D163" i="7" a="1"/>
  <c r="D213" i="7" a="1"/>
  <c r="C136" i="7" a="1"/>
  <c r="C186" i="7" a="1"/>
  <c r="C159" i="7" a="1"/>
  <c r="C199" i="7" a="1"/>
  <c r="C147" i="7" a="1"/>
  <c r="C197" i="7" a="1"/>
  <c r="C175" i="7" a="1"/>
  <c r="C225" i="7" a="1"/>
  <c r="C168" i="7" a="1"/>
  <c r="C218" i="7" a="1"/>
  <c r="B146" i="7" a="1"/>
  <c r="B196" i="7" a="1"/>
  <c r="B154" i="7" a="1"/>
  <c r="B177" i="7" a="1"/>
  <c r="B227" i="7" a="1"/>
  <c r="B158" i="7" a="1"/>
  <c r="B208" i="7" a="1"/>
  <c r="B184" i="7" a="1"/>
  <c r="B234" i="7" a="1"/>
  <c r="B210" i="7" a="1"/>
  <c r="E18" i="4" a="1"/>
  <c r="P118" i="4" a="1"/>
  <c r="Q59" i="4" a="1"/>
  <c r="P35" i="4" a="1"/>
  <c r="I89" i="4" a="1"/>
  <c r="J88" i="4" a="1"/>
  <c r="I33" i="4" a="1"/>
  <c r="C78" i="4" a="1"/>
  <c r="E61" i="4" a="1"/>
  <c r="P94" i="4" a="1"/>
  <c r="K56" i="4" a="1"/>
  <c r="I18" i="4" a="1"/>
  <c r="J108" i="4" a="1"/>
  <c r="Q18" i="4" a="1"/>
  <c r="O41" i="4" a="1"/>
  <c r="J146" i="7" a="1"/>
  <c r="J196" i="7" a="1"/>
  <c r="J234" i="7" a="1"/>
  <c r="J210" i="7" a="1"/>
  <c r="J152" i="7" a="1"/>
  <c r="J202" i="7" a="1"/>
  <c r="J149" i="7" a="1"/>
  <c r="J178" i="7" a="1"/>
  <c r="J228" i="7" a="1"/>
  <c r="J189" i="7" a="1"/>
  <c r="I151" i="7" a="1"/>
  <c r="I201" i="7" a="1"/>
  <c r="I165" i="7" a="1"/>
  <c r="I215" i="7" a="1"/>
  <c r="I157" i="7" a="1"/>
  <c r="I207" i="7" a="1"/>
  <c r="I138" i="7" a="1"/>
  <c r="I188" i="7" a="1"/>
  <c r="I149" i="7" a="1"/>
  <c r="I199" i="7" a="1"/>
  <c r="H156" i="7" a="1"/>
  <c r="H206" i="7" a="1"/>
  <c r="H155" i="7" a="1"/>
  <c r="H182" i="7" a="1"/>
  <c r="H232" i="7" a="1"/>
  <c r="H153" i="7" a="1"/>
  <c r="H203" i="7" a="1"/>
  <c r="H139" i="7" a="1"/>
  <c r="H229" i="7" a="1"/>
  <c r="H210" i="7" a="1"/>
  <c r="G146" i="7" a="1"/>
  <c r="G196" i="7" a="1"/>
  <c r="G164" i="7" a="1"/>
  <c r="G177" i="7" a="1"/>
  <c r="G227" i="7" a="1"/>
  <c r="G158" i="7" a="1"/>
  <c r="G208" i="7" a="1"/>
  <c r="G184" i="7" a="1"/>
  <c r="G234" i="7" a="1"/>
  <c r="G210" i="7" a="1"/>
  <c r="F141" i="7" a="1"/>
  <c r="F191" i="7" a="1"/>
  <c r="F155" i="7" a="1"/>
  <c r="F172" i="7" a="1"/>
  <c r="F222" i="7" a="1"/>
  <c r="F153" i="7" a="1"/>
  <c r="F203" i="7" a="1"/>
  <c r="F179" i="7" a="1"/>
  <c r="F229" i="7" a="1"/>
  <c r="F205" i="7" a="1"/>
  <c r="E231" i="7" a="1"/>
  <c r="E181" i="7" a="1"/>
  <c r="E154" i="7" a="1"/>
  <c r="E204" i="7" a="1"/>
  <c r="E167" i="7" a="1"/>
  <c r="E217" i="7" a="1"/>
  <c r="E138" i="7" a="1"/>
  <c r="J151" i="7" a="1"/>
  <c r="J201" i="7" a="1"/>
  <c r="J140" i="7" a="1"/>
  <c r="J215" i="7" a="1"/>
  <c r="J157" i="7" a="1"/>
  <c r="J207" i="7" a="1"/>
  <c r="J165" i="7" a="1"/>
  <c r="J156" i="7" a="1"/>
  <c r="J206" i="7" a="1"/>
  <c r="J170" i="7" a="1"/>
  <c r="J220" i="7" a="1"/>
  <c r="J162" i="7" a="1"/>
  <c r="J212" i="7" a="1"/>
  <c r="J138" i="7" a="1"/>
  <c r="J188" i="7" a="1"/>
  <c r="J144" i="7" a="1"/>
  <c r="J199" i="7" a="1"/>
  <c r="I161" i="7" a="1"/>
  <c r="I211" i="7" a="1"/>
  <c r="I175" i="7" a="1"/>
  <c r="J161" i="7" a="1"/>
  <c r="J211" i="7" a="1"/>
  <c r="J175" i="7" a="1"/>
  <c r="J225" i="7" a="1"/>
  <c r="J167" i="7" a="1"/>
  <c r="J217" i="7" a="1"/>
  <c r="J143" i="7" a="1"/>
  <c r="J193" i="7" a="1"/>
  <c r="J229" i="7" a="1"/>
  <c r="J166" i="7" a="1"/>
  <c r="J216" i="7" a="1"/>
  <c r="J180" i="7" a="1"/>
  <c r="J230" i="7" a="1"/>
  <c r="J172" i="7" a="1"/>
  <c r="J222" i="7" a="1"/>
  <c r="J148" i="7" a="1"/>
  <c r="J198" i="7" a="1"/>
  <c r="J155" i="7" a="1"/>
  <c r="J209" i="7" a="1"/>
  <c r="I171" i="7" a="1"/>
  <c r="I221" i="7" a="1"/>
  <c r="I185" i="7" a="1"/>
  <c r="J171" i="7" a="1"/>
  <c r="J221" i="7" a="1"/>
  <c r="J185" i="7" a="1"/>
  <c r="J159" i="7" a="1"/>
  <c r="J177" i="7" a="1"/>
  <c r="J227" i="7" a="1"/>
  <c r="J153" i="7" a="1"/>
  <c r="J203" i="7" a="1"/>
  <c r="J139" i="7" a="1"/>
  <c r="J219" i="7" a="1"/>
  <c r="I176" i="7" a="1"/>
  <c r="I226" i="7" a="1"/>
  <c r="J176" i="7" a="1"/>
  <c r="J226" i="7" a="1"/>
  <c r="J190" i="7" a="1"/>
  <c r="J160" i="7" a="1"/>
  <c r="J182" i="7" a="1"/>
  <c r="J232" i="7" a="1"/>
  <c r="J158" i="7" a="1"/>
  <c r="J208" i="7" a="1"/>
  <c r="J169" i="7" a="1"/>
  <c r="J145" i="7" a="1"/>
  <c r="I181" i="7" a="1"/>
  <c r="I231" i="7" a="1"/>
  <c r="I195" i="7" a="1"/>
  <c r="I137" i="7" a="1"/>
  <c r="I187" i="7" a="1"/>
  <c r="I154" i="7" a="1"/>
  <c r="I168" i="7" a="1"/>
  <c r="I218" i="7" a="1"/>
  <c r="I179" i="7" a="1"/>
  <c r="H136" i="7" a="1"/>
  <c r="H186" i="7" a="1"/>
  <c r="H164" i="7" a="1"/>
  <c r="H162" i="7" a="1"/>
  <c r="H212" i="7" a="1"/>
  <c r="H145" i="7" a="1"/>
  <c r="H183" i="7" a="1"/>
  <c r="H233" i="7" a="1"/>
  <c r="H194" i="7" a="1"/>
  <c r="H190" i="7" a="1"/>
  <c r="I135" i="7" a="1"/>
  <c r="G176" i="7" a="1"/>
  <c r="G226" i="7" a="1"/>
  <c r="G157" i="7" a="1"/>
  <c r="G207" i="7" a="1"/>
  <c r="G138" i="7" a="1"/>
  <c r="G188" i="7" a="1"/>
  <c r="G139" i="7" a="1"/>
  <c r="G214" i="7" a="1"/>
  <c r="G190" i="7" a="1"/>
  <c r="G160" i="7" a="1"/>
  <c r="F171" i="7" a="1"/>
  <c r="F221" i="7" a="1"/>
  <c r="F152" i="7" a="1"/>
  <c r="F202" i="7" a="1"/>
  <c r="F165" i="7" a="1"/>
  <c r="F183" i="7" a="1"/>
  <c r="F233" i="7" a="1"/>
  <c r="F209" i="7" a="1"/>
  <c r="F185" i="7" a="1"/>
  <c r="F144" i="7" a="1"/>
  <c r="E161" i="7" a="1"/>
  <c r="E211" i="7" a="1"/>
  <c r="E169" i="7" a="1"/>
  <c r="E147" i="7" a="1"/>
  <c r="E197" i="7" a="1"/>
  <c r="E224" i="7" a="1"/>
  <c r="E168" i="7" a="1"/>
  <c r="E218" i="7" a="1"/>
  <c r="E180" i="7" a="1"/>
  <c r="E230" i="7" a="1"/>
  <c r="D166" i="7" a="1"/>
  <c r="D216" i="7" a="1"/>
  <c r="D194" i="7" a="1"/>
  <c r="D175" i="7" a="1"/>
  <c r="D225" i="7" a="1"/>
  <c r="D167" i="7" a="1"/>
  <c r="D217" i="7" a="1"/>
  <c r="D148" i="7" a="1"/>
  <c r="D198" i="7" a="1"/>
  <c r="D164" i="7" a="1"/>
  <c r="C171" i="7" a="1"/>
  <c r="C221" i="7" a="1"/>
  <c r="C184" i="7" a="1"/>
  <c r="C145" i="7" a="1"/>
  <c r="C182" i="7" a="1"/>
  <c r="C154" i="7" a="1"/>
  <c r="C210" i="7" a="1"/>
  <c r="C153" i="7" a="1"/>
  <c r="C203" i="7" a="1"/>
  <c r="C155" i="7" a="1"/>
  <c r="B181" i="7" a="1"/>
  <c r="B231" i="7" a="1"/>
  <c r="B162" i="7" a="1"/>
  <c r="B212" i="7" a="1"/>
  <c r="B143" i="7" a="1"/>
  <c r="B193" i="7" a="1"/>
  <c r="B169" i="7" a="1"/>
  <c r="B219" i="7" a="1"/>
  <c r="B195" i="7" a="1"/>
  <c r="B135" i="7" a="1"/>
  <c r="Q105" i="4" a="1"/>
  <c r="P93" i="4" a="1"/>
  <c r="Q88" i="4" a="1"/>
  <c r="I105" i="4" a="1"/>
  <c r="I106" i="4" a="1"/>
  <c r="I35" i="4" a="1"/>
  <c r="E110" i="4" a="1"/>
  <c r="D77" i="4" a="1"/>
  <c r="D41" i="4" a="1"/>
  <c r="I100" i="4" a="1"/>
  <c r="D51" i="4" a="1"/>
  <c r="P90" i="4" a="1"/>
  <c r="I15" i="4" a="1"/>
  <c r="P33" i="4" a="1"/>
  <c r="J194" i="7" a="1"/>
  <c r="I225" i="7" a="1"/>
  <c r="I217" i="7" a="1"/>
  <c r="I198" i="7" a="1"/>
  <c r="I209" i="7" a="1"/>
  <c r="H216" i="7" a="1"/>
  <c r="H192" i="7" a="1"/>
  <c r="H163" i="7" a="1"/>
  <c r="H174" i="7" a="1"/>
  <c r="H220" i="7" a="1"/>
  <c r="G206" i="7" a="1"/>
  <c r="G187" i="7" a="1"/>
  <c r="G168" i="7" a="1"/>
  <c r="G194" i="7" a="1"/>
  <c r="G220" i="7" a="1"/>
  <c r="F201" i="7" a="1"/>
  <c r="F182" i="7" a="1"/>
  <c r="F163" i="7" a="1"/>
  <c r="F189" i="7" a="1"/>
  <c r="F215" i="7" a="1"/>
  <c r="E191" i="7" a="1"/>
  <c r="E234" i="7" a="1"/>
  <c r="E227" i="7" a="1"/>
  <c r="E193" i="7" a="1"/>
  <c r="E175" i="7" a="1"/>
  <c r="D151" i="7" a="1"/>
  <c r="D169" i="7" a="1"/>
  <c r="D170" i="7" a="1"/>
  <c r="D152" i="7" a="1"/>
  <c r="D145" i="7" a="1"/>
  <c r="D193" i="7" a="1"/>
  <c r="C156" i="7" a="1"/>
  <c r="C150" i="7" a="1"/>
  <c r="C229" i="7" a="1"/>
  <c r="C222" i="7" a="1"/>
  <c r="C149" i="7" a="1"/>
  <c r="C198" i="7" a="1"/>
  <c r="B166" i="7" a="1"/>
  <c r="B137" i="7" a="1"/>
  <c r="B207" i="7" a="1"/>
  <c r="B178" i="7" a="1"/>
  <c r="B194" i="7" a="1"/>
  <c r="B190" i="7" a="1"/>
  <c r="Q55" i="4" a="1"/>
  <c r="O93" i="4" a="1"/>
  <c r="K79" i="4" a="1"/>
  <c r="K51" i="4" a="1"/>
  <c r="D94" i="4" a="1"/>
  <c r="D32" i="4" a="1"/>
  <c r="E108" i="4" a="1"/>
  <c r="J44" i="4" a="1"/>
  <c r="P107" i="4" a="1"/>
  <c r="Q94" i="4" a="1"/>
  <c r="J80" i="4" a="1"/>
  <c r="J98" i="4" a="1"/>
  <c r="I52" i="4" a="1"/>
  <c r="C102" i="4" a="1"/>
  <c r="E56" i="4" a="1"/>
  <c r="C32" i="4" a="1"/>
  <c r="J59" i="4" a="1"/>
  <c r="O79" i="4" a="1"/>
  <c r="I96" i="4" a="1"/>
  <c r="Q25" i="4" a="1"/>
  <c r="O76" i="4" a="1"/>
  <c r="Q41" i="4" a="1"/>
  <c r="J115" i="4" a="1"/>
  <c r="K92" i="4" a="1"/>
  <c r="K33" i="4" a="1"/>
  <c r="C107" i="4" a="1"/>
  <c r="D73" i="4" a="1"/>
  <c r="O61" i="4" a="1"/>
  <c r="J25" i="4" a="1"/>
  <c r="Q95" i="4" a="1"/>
  <c r="I88" i="4" a="1"/>
  <c r="P27" i="4" a="1"/>
  <c r="P43" i="4" a="1"/>
  <c r="P47" i="4" a="1"/>
  <c r="P32" i="4" a="1"/>
  <c r="P14" i="4" a="1"/>
  <c r="O54" i="4" a="1"/>
  <c r="Q87" i="4" a="1"/>
  <c r="O35" i="4" a="1"/>
  <c r="K93" i="4" a="1"/>
  <c r="K66" i="4" a="1"/>
  <c r="I50" i="4" a="1"/>
  <c r="C122" i="4" a="1"/>
  <c r="C82" i="4" a="1"/>
  <c r="E68" i="4" a="1"/>
  <c r="C34" i="4" a="1"/>
  <c r="J81" i="4" a="1"/>
  <c r="D55" i="4" a="1"/>
  <c r="J63" i="4" a="1"/>
  <c r="Q81" i="4" a="1"/>
  <c r="J105" i="4" a="1"/>
  <c r="J26" i="4" a="1"/>
  <c r="C58" i="4" a="1"/>
  <c r="Q54" i="4" a="1"/>
  <c r="I93" i="4" a="1"/>
  <c r="E59" i="4" a="1"/>
  <c r="K27" i="4" a="1"/>
  <c r="J118" i="4" a="1"/>
  <c r="O92" i="4" a="1"/>
  <c r="D30" i="4" a="1"/>
  <c r="C100" i="4" a="1"/>
  <c r="D95" i="4" a="1"/>
  <c r="C24" i="4" a="1"/>
  <c r="O66" i="4" a="1"/>
  <c r="I75" i="4" a="1"/>
  <c r="E107" i="4" a="1"/>
  <c r="D34" i="4" a="1"/>
  <c r="P88" i="4" a="1"/>
  <c r="J47" i="4" a="1"/>
  <c r="I49" i="4" a="1"/>
  <c r="K94" i="4" a="1"/>
  <c r="I73" i="4" a="1"/>
  <c r="C117" i="4" a="1"/>
  <c r="E72" i="4" a="1"/>
  <c r="I122" i="4" a="1"/>
  <c r="C88" i="4" a="1"/>
  <c r="I46" i="4" a="1"/>
  <c r="C35" i="4" a="1"/>
  <c r="I45" i="4" a="1"/>
  <c r="Q47" i="4" a="1"/>
  <c r="P78" i="4" a="1"/>
  <c r="O69" i="4" a="1"/>
  <c r="P45" i="4" a="1"/>
  <c r="K40" i="4" a="1"/>
  <c r="D74" i="4" a="1"/>
  <c r="C38" i="4" a="1"/>
  <c r="Q109" i="4" a="1"/>
  <c r="K105" i="4" a="1"/>
  <c r="J50" i="4" a="1"/>
  <c r="D93" i="4" a="1"/>
  <c r="P31" i="4" a="1"/>
  <c r="E90" i="4" a="1"/>
  <c r="I57" i="4" a="1"/>
  <c r="Q57" i="4" a="1"/>
  <c r="P111" i="4" a="1"/>
  <c r="I97" i="4" a="1"/>
  <c r="J74" i="4" a="1"/>
  <c r="K30" i="4" a="1"/>
  <c r="D112" i="4" a="1"/>
  <c r="D49" i="4" a="1"/>
  <c r="E24" i="4" a="1"/>
  <c r="I34" i="4" a="1"/>
  <c r="O55" i="4" a="1"/>
  <c r="K45" i="4" a="1"/>
  <c r="P42" i="4" a="1"/>
  <c r="Q92" i="4" a="1"/>
  <c r="O115" i="4" a="1"/>
  <c r="K89" i="4" a="1"/>
  <c r="J109" i="4" a="1"/>
  <c r="J40" i="4" a="1"/>
  <c r="D81" i="4" a="1"/>
  <c r="E49" i="4" a="1"/>
  <c r="Q64" i="4" a="1"/>
  <c r="D117" i="4" a="1"/>
  <c r="P29" i="4" a="1"/>
  <c r="I61" i="4" a="1"/>
  <c r="O44" i="4" a="1"/>
  <c r="O82" i="4" a="1"/>
  <c r="O64" i="4" a="1"/>
  <c r="O49" i="4" a="1"/>
  <c r="O34" i="4" a="1"/>
  <c r="P104" i="4" a="1"/>
  <c r="O90" i="4" a="1"/>
  <c r="J110" i="4" a="1"/>
  <c r="I71" i="4" a="1"/>
  <c r="K48" i="4" a="1"/>
  <c r="C103" i="4" a="1"/>
  <c r="D92" i="4" a="1"/>
  <c r="E42" i="4" a="1"/>
  <c r="E45" i="4" a="1"/>
  <c r="I111" i="4" a="1"/>
  <c r="D46" i="4" a="1"/>
  <c r="J112" i="4" a="1"/>
  <c r="Q52" i="4" a="1"/>
  <c r="I85" i="4" a="1"/>
  <c r="K23" i="4" a="1"/>
  <c r="E66" i="4" a="1"/>
  <c r="P101" i="4" a="1"/>
  <c r="J45" i="4" a="1"/>
  <c r="D47" i="4" a="1"/>
  <c r="E93" i="4" a="1"/>
  <c r="K50" i="4" a="1"/>
  <c r="J102" i="4" a="1"/>
  <c r="Q85" i="4" a="1"/>
  <c r="C92" i="4" a="1"/>
  <c r="E74" i="4" a="1"/>
  <c r="O27" i="4" a="1"/>
  <c r="Q102" i="4" a="1"/>
  <c r="D101" i="4" a="1"/>
  <c r="D31" i="4" a="1"/>
  <c r="P100" i="4" a="1"/>
  <c r="I48" i="4" a="1"/>
  <c r="C111" i="4" a="1"/>
  <c r="J61" i="4" a="1"/>
  <c r="K99" i="4" a="1"/>
  <c r="C42" i="4" a="1"/>
  <c r="D15" i="4" a="1"/>
  <c r="J78" i="4" a="1"/>
  <c r="E70" i="4" a="1"/>
  <c r="E71" i="4" a="1"/>
  <c r="K109" i="4" a="1"/>
  <c r="D60" i="4" a="1"/>
  <c r="P84" i="4" a="1"/>
  <c r="P49" i="4" a="1"/>
  <c r="P73" i="4" a="1"/>
  <c r="K24" i="4" a="1"/>
  <c r="D56" i="4" a="1"/>
  <c r="J90" i="4" a="1"/>
  <c r="Q65" i="4" a="1"/>
  <c r="C59" i="4" a="1"/>
  <c r="C25" i="4" a="1"/>
  <c r="D27" i="4" a="1"/>
  <c r="J82" i="4" a="1"/>
  <c r="O75" i="4" a="1"/>
  <c r="D53" i="4" a="1"/>
  <c r="Q78" i="4" a="1"/>
  <c r="I108" i="4" a="1"/>
  <c r="J204" i="7" a="1"/>
  <c r="I230" i="7" a="1"/>
  <c r="I222" i="7" a="1"/>
  <c r="I203" i="7" a="1"/>
  <c r="I214" i="7" a="1"/>
  <c r="H221" i="7" a="1"/>
  <c r="H197" i="7" a="1"/>
  <c r="H168" i="7" a="1"/>
  <c r="H179" i="7" a="1"/>
  <c r="H225" i="7" a="1"/>
  <c r="G211" i="7" a="1"/>
  <c r="G192" i="7" a="1"/>
  <c r="G173" i="7" a="1"/>
  <c r="G199" i="7" a="1"/>
  <c r="G225" i="7" a="1"/>
  <c r="F206" i="7" a="1"/>
  <c r="F187" i="7" a="1"/>
  <c r="F168" i="7" a="1"/>
  <c r="F194" i="7" a="1"/>
  <c r="F220" i="7" a="1"/>
  <c r="E196" i="7" a="1"/>
  <c r="E155" i="7" a="1"/>
  <c r="E232" i="7" a="1"/>
  <c r="E198" i="7" a="1"/>
  <c r="E200" i="7" a="1"/>
  <c r="D156" i="7" a="1"/>
  <c r="D174" i="7" a="1"/>
  <c r="D195" i="7" a="1"/>
  <c r="D157" i="7" a="1"/>
  <c r="D144" i="7" a="1"/>
  <c r="D218" i="7" a="1"/>
  <c r="C161" i="7" a="1"/>
  <c r="C139" i="7" a="1"/>
  <c r="C152" i="7" a="1"/>
  <c r="C227" i="7" a="1"/>
  <c r="C160" i="7" a="1"/>
  <c r="C223" i="7" a="1"/>
  <c r="B171" i="7" a="1"/>
  <c r="B142" i="7" a="1"/>
  <c r="B232" i="7" a="1"/>
  <c r="B183" i="7" a="1"/>
  <c r="B199" i="7" a="1"/>
  <c r="B215" i="7" a="1"/>
  <c r="P72" i="4" a="1"/>
  <c r="Q70" i="4" a="1"/>
  <c r="K85" i="4" a="1"/>
  <c r="K103" i="4" a="1"/>
  <c r="P25" i="4" a="1"/>
  <c r="P99" i="4" a="1"/>
  <c r="E30" i="4" a="1"/>
  <c r="E48" i="4" a="1"/>
  <c r="I41" i="4" a="1"/>
  <c r="D33" i="4" a="1"/>
  <c r="I98" i="4" a="1"/>
  <c r="I156" i="7" a="1"/>
  <c r="I159" i="7" a="1"/>
  <c r="I227" i="7" a="1"/>
  <c r="I208" i="7" a="1"/>
  <c r="I219" i="7" a="1"/>
  <c r="H226" i="7" a="1"/>
  <c r="H202" i="7" a="1"/>
  <c r="H173" i="7" a="1"/>
  <c r="H184" i="7" a="1"/>
  <c r="H230" i="7" a="1"/>
  <c r="G216" i="7" a="1"/>
  <c r="G197" i="7" a="1"/>
  <c r="G178" i="7" a="1"/>
  <c r="G204" i="7" a="1"/>
  <c r="G230" i="7" a="1"/>
  <c r="F211" i="7" a="1"/>
  <c r="F192" i="7" a="1"/>
  <c r="F173" i="7" a="1"/>
  <c r="F199" i="7" a="1"/>
  <c r="F225" i="7" a="1"/>
  <c r="E201" i="7" a="1"/>
  <c r="E137" i="7" a="1"/>
  <c r="E144" i="7" a="1"/>
  <c r="E203" i="7" a="1"/>
  <c r="E205" i="7" a="1"/>
  <c r="D161" i="7" a="1"/>
  <c r="D179" i="7" a="1"/>
  <c r="D200" i="7" a="1"/>
  <c r="D162" i="7" a="1"/>
  <c r="D165" i="7" a="1"/>
  <c r="D223" i="7" a="1"/>
  <c r="C166" i="7" a="1"/>
  <c r="C169" i="7" a="1"/>
  <c r="C157" i="7" a="1"/>
  <c r="C232" i="7" a="1"/>
  <c r="C138" i="7" a="1"/>
  <c r="C228" i="7" a="1"/>
  <c r="B176" i="7" a="1"/>
  <c r="B147" i="7" a="1"/>
  <c r="B159" i="7" a="1"/>
  <c r="B188" i="7" a="1"/>
  <c r="B204" i="7" a="1"/>
  <c r="B220" i="7" a="1"/>
  <c r="O89" i="4" a="1"/>
  <c r="Q36" i="4" a="1"/>
  <c r="J122" i="4" a="1"/>
  <c r="I29" i="4" a="1"/>
  <c r="E83" i="4" a="1"/>
  <c r="O98" i="4" a="1"/>
  <c r="C65" i="4" a="1"/>
  <c r="I32" i="4" a="1"/>
  <c r="P74" i="4" a="1"/>
  <c r="P38" i="4" a="1"/>
  <c r="K113" i="4" a="1"/>
  <c r="I91" i="4" a="1"/>
  <c r="I40" i="4" a="1"/>
  <c r="E106" i="4" a="1"/>
  <c r="D68" i="4" a="1"/>
  <c r="Q77" i="4" a="1"/>
  <c r="I38" i="4" a="1"/>
  <c r="Q62" i="4" a="1"/>
  <c r="K59" i="4" a="1"/>
  <c r="O59" i="4" a="1"/>
  <c r="P109" i="4" a="1"/>
  <c r="O52" i="4" a="1"/>
  <c r="J71" i="4" a="1"/>
  <c r="J93" i="4" a="1"/>
  <c r="J36" i="4" a="1"/>
  <c r="C89" i="4" a="1"/>
  <c r="D66" i="4" a="1"/>
  <c r="Q46" i="4" a="1"/>
  <c r="C94" i="4" a="1"/>
  <c r="O96" i="4" a="1"/>
  <c r="K35" i="4" a="1"/>
  <c r="Q60" i="4" a="1"/>
  <c r="E16" i="4" a="1"/>
  <c r="Q80" i="4" a="1"/>
  <c r="Q50" i="4" a="1"/>
  <c r="P87" i="4" a="1"/>
  <c r="O121" i="4" a="1"/>
  <c r="I78" i="4" a="1"/>
  <c r="K87" i="4" a="1"/>
  <c r="J27" i="4" a="1"/>
  <c r="E119" i="4" a="1"/>
  <c r="E33" i="4" a="1"/>
  <c r="K60" i="4" a="1"/>
  <c r="J79" i="4" a="1"/>
  <c r="C98" i="4" a="1"/>
  <c r="I27" i="4" a="1"/>
  <c r="I24" i="4" a="1"/>
  <c r="D71" i="4" a="1"/>
  <c r="I166" i="7" a="1"/>
  <c r="I160" i="7" a="1"/>
  <c r="I232" i="7" a="1"/>
  <c r="I213" i="7" a="1"/>
  <c r="I224" i="7" a="1"/>
  <c r="H231" i="7" a="1"/>
  <c r="H207" i="7" a="1"/>
  <c r="H178" i="7" a="1"/>
  <c r="H189" i="7" a="1"/>
  <c r="J135" i="7" a="1"/>
  <c r="G221" i="7" a="1"/>
  <c r="G202" i="7" a="1"/>
  <c r="G183" i="7" a="1"/>
  <c r="G209" i="7" a="1"/>
  <c r="G144" i="7" a="1"/>
  <c r="F216" i="7" a="1"/>
  <c r="F197" i="7" a="1"/>
  <c r="F178" i="7" a="1"/>
  <c r="F204" i="7" a="1"/>
  <c r="F230" i="7" a="1"/>
  <c r="E206" i="7" a="1"/>
  <c r="E142" i="7" a="1"/>
  <c r="E194" i="7" a="1"/>
  <c r="E208" i="7" a="1"/>
  <c r="E210" i="7" a="1"/>
  <c r="D186" i="7" a="1"/>
  <c r="D184" i="7" a="1"/>
  <c r="D205" i="7" a="1"/>
  <c r="D187" i="7" a="1"/>
  <c r="D138" i="7" a="1"/>
  <c r="D228" i="7" a="1"/>
  <c r="C191" i="7" a="1"/>
  <c r="C174" i="7" a="1"/>
  <c r="C162" i="7" a="1"/>
  <c r="C180" i="7" a="1"/>
  <c r="C143" i="7" a="1"/>
  <c r="C233" i="7" a="1"/>
  <c r="B201" i="7" a="1"/>
  <c r="B152" i="7" a="1"/>
  <c r="B150" i="7" a="1"/>
  <c r="B213" i="7" a="1"/>
  <c r="B209" i="7" a="1"/>
  <c r="B225" i="7" a="1"/>
  <c r="P39" i="4" a="1"/>
  <c r="P98" i="4" a="1"/>
  <c r="K71" i="4" a="1"/>
  <c r="K28" i="4" a="1"/>
  <c r="E82" i="4" a="1"/>
  <c r="Q53" i="4" a="1"/>
  <c r="Q45" i="4" a="1"/>
  <c r="C121" i="4" a="1"/>
  <c r="O91" i="4" a="1"/>
  <c r="Q106" i="4" a="1"/>
  <c r="K84" i="4" a="1"/>
  <c r="K107" i="4" a="1"/>
  <c r="K32" i="4" a="1"/>
  <c r="E79" i="4" a="1"/>
  <c r="D70" i="4" a="1"/>
  <c r="O48" i="4" a="1"/>
  <c r="E100" i="4" a="1"/>
  <c r="P48" i="4" a="1"/>
  <c r="J33" i="4" a="1"/>
  <c r="Q75" i="4" a="1"/>
  <c r="O40" i="4" a="1"/>
  <c r="Q43" i="4" a="1"/>
  <c r="K75" i="4" a="1"/>
  <c r="I115" i="4" a="1"/>
  <c r="I25" i="4" a="1"/>
  <c r="C80" i="4" a="1"/>
  <c r="C75" i="4" a="1"/>
  <c r="P85" i="4" a="1"/>
  <c r="C49" i="4" a="1"/>
  <c r="O33" i="4" a="1"/>
  <c r="K39" i="4" a="1"/>
  <c r="P77" i="4" a="1"/>
  <c r="O46" i="4" a="1"/>
  <c r="P97" i="4" a="1"/>
  <c r="P82" i="4" a="1"/>
  <c r="P67" i="4" a="1"/>
  <c r="O104" i="4" a="1"/>
  <c r="P83" i="4" a="1"/>
  <c r="P80" i="4" a="1"/>
  <c r="I95" i="4" a="1"/>
  <c r="J104" i="4" a="1"/>
  <c r="K31" i="4" a="1"/>
  <c r="C109" i="4" a="1"/>
  <c r="E75" i="4" a="1"/>
  <c r="E39" i="4" a="1"/>
  <c r="O111" i="4" a="1"/>
  <c r="J55" i="4" a="1"/>
  <c r="E15" i="4" a="1"/>
  <c r="K111" i="4" a="1"/>
  <c r="Q76" i="4" a="1"/>
  <c r="I119" i="4" a="1"/>
  <c r="D107" i="4" a="1"/>
  <c r="E43" i="4" a="1"/>
  <c r="P60" i="4" a="1"/>
  <c r="C106" i="4" a="1"/>
  <c r="C23" i="4" a="1"/>
  <c r="E31" i="4" a="1"/>
  <c r="J28" i="4" a="1"/>
  <c r="C74" i="4" a="1"/>
  <c r="J91" i="4" a="1"/>
  <c r="C30" i="4" a="1"/>
  <c r="I206" i="7" a="1"/>
  <c r="I162" i="7" a="1"/>
  <c r="I143" i="7" a="1"/>
  <c r="I234" i="7" a="1"/>
  <c r="H161" i="7" a="1"/>
  <c r="H137" i="7" a="1"/>
  <c r="H154" i="7" a="1"/>
  <c r="H208" i="7" a="1"/>
  <c r="H140" i="7" a="1"/>
  <c r="G151" i="7" a="1"/>
  <c r="G155" i="7" a="1"/>
  <c r="G232" i="7" a="1"/>
  <c r="G213" i="7" a="1"/>
  <c r="G140" i="7" a="1"/>
  <c r="F146" i="7" a="1"/>
  <c r="F164" i="7" a="1"/>
  <c r="F227" i="7" a="1"/>
  <c r="F208" i="7" a="1"/>
  <c r="F234" i="7" a="1"/>
  <c r="E136" i="7" a="1"/>
  <c r="E184" i="7" a="1"/>
  <c r="E172" i="7" a="1"/>
  <c r="E143" i="7" a="1"/>
  <c r="E213" i="7" a="1"/>
  <c r="E215" i="7" a="1"/>
  <c r="D191" i="7" a="1"/>
  <c r="D189" i="7" a="1"/>
  <c r="D210" i="7" a="1"/>
  <c r="D192" i="7" a="1"/>
  <c r="D143" i="7" a="1"/>
  <c r="D233" i="7" a="1"/>
  <c r="C196" i="7" a="1"/>
  <c r="C179" i="7" a="1"/>
  <c r="C167" i="7" a="1"/>
  <c r="C185" i="7" a="1"/>
  <c r="C148" i="7" a="1"/>
  <c r="C144" i="7" a="1"/>
  <c r="B206" i="7" a="1"/>
  <c r="B157" i="7" a="1"/>
  <c r="B144" i="7" a="1"/>
  <c r="B218" i="7" a="1"/>
  <c r="B214" i="7" a="1"/>
  <c r="B230" i="7" a="1"/>
  <c r="O56" i="4" a="1"/>
  <c r="P95" i="4" a="1"/>
  <c r="K86" i="4" a="1"/>
  <c r="E97" i="4" a="1"/>
  <c r="E60" i="4" a="1"/>
  <c r="I67" i="4" a="1"/>
  <c r="P112" i="4" a="1"/>
  <c r="D122" i="4" a="1"/>
  <c r="Q107" i="4" a="1"/>
  <c r="O112" i="4" a="1"/>
  <c r="J113" i="4" a="1"/>
  <c r="K64" i="4" a="1"/>
  <c r="K34" i="4" a="1"/>
  <c r="D87" i="4" a="1"/>
  <c r="E64" i="4" a="1"/>
  <c r="Q114" i="4" a="1"/>
  <c r="C110" i="4" a="1"/>
  <c r="Q49" i="4" a="1"/>
  <c r="J35" i="4" a="1"/>
  <c r="P92" i="4" a="1"/>
  <c r="Q116" i="4" a="1"/>
  <c r="Q73" i="4" a="1"/>
  <c r="J92" i="4" a="1"/>
  <c r="I59" i="4" a="1"/>
  <c r="C101" i="4" a="1"/>
  <c r="C84" i="4" a="1"/>
  <c r="D29" i="4" a="1"/>
  <c r="K83" i="4" a="1"/>
  <c r="D69" i="4" a="1"/>
  <c r="Q99" i="4" a="1"/>
  <c r="E120" i="4" a="1"/>
  <c r="O94" i="4" a="1"/>
  <c r="J101" i="4" a="1"/>
  <c r="O114" i="4" a="1"/>
  <c r="O99" i="4" a="1"/>
  <c r="P17" i="4" a="1"/>
  <c r="Q120" i="4" a="1"/>
  <c r="Q24" i="4" a="1"/>
  <c r="O32" i="4" a="1"/>
  <c r="J83" i="4" a="1"/>
  <c r="I121" i="4" a="1"/>
  <c r="J29" i="4" a="1"/>
  <c r="D103" i="4" a="1"/>
  <c r="E53" i="4" a="1"/>
  <c r="E35" i="4" a="1"/>
  <c r="P28" i="4" a="1"/>
  <c r="K26" i="4" a="1"/>
  <c r="P58" i="4" a="1"/>
  <c r="J58" i="4" a="1"/>
  <c r="O53" i="4" a="1"/>
  <c r="I66" i="4" a="1"/>
  <c r="D120" i="4" a="1"/>
  <c r="E28" i="4" a="1"/>
  <c r="J70" i="4" a="1"/>
  <c r="E99" i="4" a="1"/>
  <c r="J41" i="4" a="1"/>
  <c r="O81" i="4" a="1"/>
  <c r="D113" i="4" a="1"/>
  <c r="Q84" i="4" a="1"/>
  <c r="K44" i="4" a="1"/>
  <c r="O117" i="4" a="1"/>
  <c r="I216" i="7" a="1"/>
  <c r="I167" i="7" a="1"/>
  <c r="I148" i="7" a="1"/>
  <c r="I155" i="7" a="1"/>
  <c r="H166" i="7" a="1"/>
  <c r="H142" i="7" a="1"/>
  <c r="H214" i="7" a="1"/>
  <c r="H213" i="7" a="1"/>
  <c r="H170" i="7" a="1"/>
  <c r="G156" i="7" a="1"/>
  <c r="G137" i="7" a="1"/>
  <c r="G154" i="7" a="1"/>
  <c r="G218" i="7" a="1"/>
  <c r="G170" i="7" a="1"/>
  <c r="F151" i="7" a="1"/>
  <c r="F160" i="7" a="1"/>
  <c r="F232" i="7" a="1"/>
  <c r="F213" i="7" a="1"/>
  <c r="F140" i="7" a="1"/>
  <c r="E141" i="7" a="1"/>
  <c r="E209" i="7" a="1"/>
  <c r="E177" i="7" a="1"/>
  <c r="E148" i="7" a="1"/>
  <c r="E159" i="7" a="1"/>
  <c r="E220" i="7" a="1"/>
  <c r="D196" i="7" a="1"/>
  <c r="D214" i="7" a="1"/>
  <c r="D215" i="7" a="1"/>
  <c r="D197" i="7" a="1"/>
  <c r="D168" i="7" a="1"/>
  <c r="D154" i="7" a="1"/>
  <c r="C201" i="7" a="1"/>
  <c r="C204" i="7" a="1"/>
  <c r="C172" i="7" a="1"/>
  <c r="C190" i="7" a="1"/>
  <c r="C173" i="7" a="1"/>
  <c r="C165" i="7" a="1"/>
  <c r="B211" i="7" a="1"/>
  <c r="B182" i="7" a="1"/>
  <c r="B145" i="7" a="1"/>
  <c r="B223" i="7" a="1"/>
  <c r="B140" i="7" a="1"/>
  <c r="B164" i="7" a="1"/>
  <c r="Q72" i="4" a="1"/>
  <c r="P120" i="4" a="1"/>
  <c r="K72" i="4" a="1"/>
  <c r="D114" i="4" a="1"/>
  <c r="E63" i="4" a="1"/>
  <c r="J96" i="4" a="1"/>
  <c r="P79" i="4" a="1"/>
  <c r="O24" i="4" a="1"/>
  <c r="O30" i="4" a="1"/>
  <c r="O107" i="4" a="1"/>
  <c r="K96" i="4" a="1"/>
  <c r="J103" i="4" a="1"/>
  <c r="K43" i="4" a="1"/>
  <c r="D78" i="4" a="1"/>
  <c r="C70" i="4" a="1"/>
  <c r="P30" i="4" a="1"/>
  <c r="E81" i="4" a="1"/>
  <c r="P116" i="4" a="1"/>
  <c r="D111" i="4" a="1"/>
  <c r="O109" i="4" a="1"/>
  <c r="P46" i="4" a="1"/>
  <c r="O42" i="4" a="1"/>
  <c r="I109" i="4" a="1"/>
  <c r="K57" i="4" a="1"/>
  <c r="E117" i="4" a="1"/>
  <c r="C87" i="4" a="1"/>
  <c r="E47" i="4" a="1"/>
  <c r="J106" i="4" a="1"/>
  <c r="C68" i="4" a="1"/>
  <c r="Q38" i="4" a="1"/>
  <c r="E111" i="4" a="1"/>
  <c r="Q110" i="4" a="1"/>
  <c r="J15" i="4" a="1"/>
  <c r="O60" i="4" a="1"/>
  <c r="Q115" i="4" a="1"/>
  <c r="K15" i="4" a="1"/>
  <c r="Q86" i="4" a="1"/>
  <c r="P41" i="4" a="1"/>
  <c r="Q48" i="4" a="1"/>
  <c r="K70" i="4" a="1"/>
  <c r="K119" i="4" a="1"/>
  <c r="K36" i="4" a="1"/>
  <c r="C120" i="4" a="1"/>
  <c r="E62" i="4" a="1"/>
  <c r="E36" i="4" a="1"/>
  <c r="P81" i="4" a="1"/>
  <c r="D119" i="4" a="1"/>
  <c r="Q112" i="4" a="1"/>
  <c r="K37" i="4" a="1"/>
  <c r="Q89" i="4" a="1"/>
  <c r="K102" i="4" a="1"/>
  <c r="D89" i="4" a="1"/>
  <c r="I23" i="4" a="1"/>
  <c r="I107" i="4" a="1"/>
  <c r="E96" i="4" a="1"/>
  <c r="D86" i="4" a="1"/>
  <c r="Q117" i="4" a="1"/>
  <c r="D88" i="4" a="1"/>
  <c r="K42" i="4" a="1"/>
  <c r="I28" i="4" a="1"/>
  <c r="E101" i="4" a="1"/>
  <c r="I170" i="7" a="1"/>
  <c r="I172" i="7" a="1"/>
  <c r="I153" i="7" a="1"/>
  <c r="I139" i="7" a="1"/>
  <c r="H171" i="7" a="1"/>
  <c r="H147" i="7" a="1"/>
  <c r="H234" i="7" a="1"/>
  <c r="H218" i="7" a="1"/>
  <c r="H175" i="7" a="1"/>
  <c r="G161" i="7" a="1"/>
  <c r="G142" i="7" a="1"/>
  <c r="G165" i="7" a="1"/>
  <c r="G223" i="7" a="1"/>
  <c r="G175" i="7" a="1"/>
  <c r="F156" i="7" a="1"/>
  <c r="F137" i="7" a="1"/>
  <c r="F159" i="7" a="1"/>
  <c r="F218" i="7" a="1"/>
  <c r="F170" i="7" a="1"/>
  <c r="E146" i="7" a="1"/>
  <c r="E229" i="7" a="1"/>
  <c r="E182" i="7" a="1"/>
  <c r="E153" i="7" a="1"/>
  <c r="E199" i="7" a="1"/>
  <c r="E225" i="7" a="1"/>
  <c r="D201" i="7" a="1"/>
  <c r="D219" i="7" a="1"/>
  <c r="D220" i="7" a="1"/>
  <c r="D202" i="7" a="1"/>
  <c r="D173" i="7" a="1"/>
  <c r="D155" i="7" a="1"/>
  <c r="C206" i="7" a="1"/>
  <c r="C209" i="7" a="1"/>
  <c r="C177" i="7" a="1"/>
  <c r="C195" i="7" a="1"/>
  <c r="C178" i="7" a="1"/>
  <c r="C164" i="7" a="1"/>
  <c r="B216" i="7" a="1"/>
  <c r="B187" i="7" a="1"/>
  <c r="B138" i="7" a="1"/>
  <c r="B228" i="7" a="1"/>
  <c r="B170" i="7" a="1"/>
  <c r="B160" i="7" a="1"/>
  <c r="P89" i="4" a="1"/>
  <c r="I62" i="4" a="1"/>
  <c r="J89" i="4" a="1"/>
  <c r="E105" i="4" a="1"/>
  <c r="C63" i="4" a="1"/>
  <c r="I94" i="4" a="1"/>
  <c r="P68" i="4" a="1"/>
  <c r="Q40" i="4" a="1"/>
  <c r="P103" i="4" a="1"/>
  <c r="Q118" i="4" a="1"/>
  <c r="K90" i="4" a="1"/>
  <c r="J57" i="4" a="1"/>
  <c r="D99" i="4" a="1"/>
  <c r="C95" i="4" a="1"/>
  <c r="E27" i="4" a="1"/>
  <c r="P115" i="4" a="1"/>
  <c r="E65" i="4" a="1"/>
  <c r="P70" i="4" a="1"/>
  <c r="D110" i="4" a="1"/>
  <c r="O120" i="4" a="1"/>
  <c r="O63" i="4" a="1"/>
  <c r="Q98" i="4" a="1"/>
  <c r="K74" i="4" a="1"/>
  <c r="J56" i="4" a="1"/>
  <c r="D105" i="4" a="1"/>
  <c r="C86" i="4" a="1"/>
  <c r="C28" i="4" a="1"/>
  <c r="K110" i="4" a="1"/>
  <c r="E29" i="4" a="1"/>
  <c r="Q58" i="4" a="1"/>
  <c r="J18" i="4" a="1"/>
  <c r="O50" i="4" a="1"/>
  <c r="D18" i="4" a="1"/>
  <c r="K18" i="4" a="1"/>
  <c r="I17" i="4" a="1"/>
  <c r="C17" i="4" a="1"/>
  <c r="O110" i="4" a="1"/>
  <c r="O58" i="4" a="1"/>
  <c r="Q108" i="4" a="1"/>
  <c r="J87" i="4" a="1"/>
  <c r="I65" i="4" a="1"/>
  <c r="J31" i="4" a="1"/>
  <c r="D102" i="4" a="1"/>
  <c r="C55" i="4" a="1"/>
  <c r="C47" i="4" a="1"/>
  <c r="Q26" i="4" a="1"/>
  <c r="E118" i="4" a="1"/>
  <c r="P66" i="4" a="1"/>
  <c r="D104" i="4" a="1"/>
  <c r="P63" i="4" a="1"/>
  <c r="I63" i="4" a="1"/>
  <c r="C81" i="4" a="1"/>
  <c r="Q91" i="4" a="1"/>
  <c r="J73" i="4" a="1"/>
  <c r="C91" i="4" a="1"/>
  <c r="C69" i="4" a="1"/>
  <c r="P71" i="4" a="1"/>
  <c r="D59" i="4" a="1"/>
  <c r="C53" i="4" a="1"/>
  <c r="C99" i="4" a="1"/>
  <c r="E37" i="4" a="1"/>
  <c r="I180" i="7" a="1"/>
  <c r="I177" i="7" a="1"/>
  <c r="I158" i="7" a="1"/>
  <c r="I169" i="7" a="1"/>
  <c r="H176" i="7" a="1"/>
  <c r="H152" i="7" a="1"/>
  <c r="H150" i="7" a="1"/>
  <c r="H223" i="7" a="1"/>
  <c r="H180" i="7" a="1"/>
  <c r="G166" i="7" a="1"/>
  <c r="G147" i="7" a="1"/>
  <c r="G159" i="7" a="1"/>
  <c r="G228" i="7" a="1"/>
  <c r="G180" i="7" a="1"/>
  <c r="F161" i="7" a="1"/>
  <c r="F142" i="7" a="1"/>
  <c r="F150" i="7" a="1"/>
  <c r="F223" i="7" a="1"/>
  <c r="F175" i="7" a="1"/>
  <c r="E151" i="7" a="1"/>
  <c r="E145" i="7" a="1"/>
  <c r="E187" i="7" a="1"/>
  <c r="E158" i="7" a="1"/>
  <c r="E219" i="7" a="1"/>
  <c r="D136" i="7" a="1"/>
  <c r="D206" i="7" a="1"/>
  <c r="D224" i="7" a="1"/>
  <c r="D137" i="7" a="1"/>
  <c r="D207" i="7" a="1"/>
  <c r="D178" i="7" a="1"/>
  <c r="C141" i="7" a="1"/>
  <c r="C211" i="7" a="1"/>
  <c r="C214" i="7" a="1"/>
  <c r="C202" i="7" a="1"/>
  <c r="C200" i="7" a="1"/>
  <c r="C183" i="7" a="1"/>
  <c r="B151" i="7" a="1"/>
  <c r="B221" i="7" a="1"/>
  <c r="B192" i="7" a="1"/>
  <c r="B163" i="7" a="1"/>
  <c r="B233" i="7" a="1"/>
  <c r="B175" i="7" a="1"/>
  <c r="O18" i="4" a="1"/>
  <c r="O106" i="4" a="1"/>
  <c r="K78" i="4" a="1"/>
  <c r="K55" i="4" a="1"/>
  <c r="E104" i="4" a="1"/>
  <c r="D63" i="4" a="1"/>
  <c r="I36" i="4" a="1"/>
  <c r="O83" i="4" a="1"/>
  <c r="P57" i="4" a="1"/>
  <c r="O28" i="4" a="1"/>
  <c r="Q33" i="4" a="1"/>
  <c r="J107" i="4" a="1"/>
  <c r="I56" i="4" a="1"/>
  <c r="C116" i="4" a="1"/>
  <c r="D85" i="4" a="1"/>
  <c r="C46" i="4" a="1"/>
  <c r="I117" i="4" a="1"/>
  <c r="E58" i="4" a="1"/>
  <c r="Q68" i="4" a="1"/>
  <c r="J14" i="4" a="1"/>
  <c r="O26" i="4" a="1"/>
  <c r="Q79" i="4" a="1"/>
  <c r="J65" i="4" a="1"/>
  <c r="K91" i="4" a="1"/>
  <c r="I55" i="4" a="1"/>
  <c r="C108" i="4" a="1"/>
  <c r="C64" i="4" a="1"/>
  <c r="E44" i="4" a="1"/>
  <c r="K101" i="4" a="1"/>
  <c r="D25" i="4" a="1"/>
  <c r="I102" i="4" a="1"/>
  <c r="K14" i="4" a="1"/>
  <c r="Q31" i="4" a="1"/>
  <c r="D14" i="4" a="1"/>
  <c r="D16" i="4" a="1"/>
  <c r="K17" i="4" a="1"/>
  <c r="O16" i="4" a="1"/>
  <c r="Q37" i="4" a="1"/>
  <c r="Q74" i="4" a="1"/>
  <c r="Q103" i="4" a="1"/>
  <c r="I104" i="4" a="1"/>
  <c r="I54" i="4" a="1"/>
  <c r="J43" i="4" a="1"/>
  <c r="C93" i="4" a="1"/>
  <c r="C62" i="4" a="1"/>
  <c r="E25" i="4" a="1"/>
  <c r="P50" i="4" a="1"/>
  <c r="C83" i="4" a="1"/>
  <c r="Q51" i="4" a="1"/>
  <c r="C104" i="4" a="1"/>
  <c r="O72" i="4" a="1"/>
  <c r="I51" i="4" a="1"/>
  <c r="E55" i="4" a="1"/>
  <c r="P64" i="4" a="1"/>
  <c r="I84" i="4" a="1"/>
  <c r="D80" i="4" a="1"/>
  <c r="E73" i="4" a="1"/>
  <c r="Q111" i="4" a="1"/>
  <c r="D36" i="4" a="1"/>
  <c r="I92" i="4" a="1"/>
  <c r="D58" i="4" a="1"/>
  <c r="P18" i="4" a="1"/>
  <c r="J183" i="7" a="1"/>
  <c r="I190" i="7" a="1"/>
  <c r="I182" i="7" a="1"/>
  <c r="I163" i="7" a="1"/>
  <c r="I174" i="7" a="1"/>
  <c r="H181" i="7" a="1"/>
  <c r="H157" i="7" a="1"/>
  <c r="H144" i="7" a="1"/>
  <c r="H228" i="7" a="1"/>
  <c r="H185" i="7" a="1"/>
  <c r="G171" i="7" a="1"/>
  <c r="G152" i="7" a="1"/>
  <c r="G145" i="7" a="1"/>
  <c r="G233" i="7" a="1"/>
  <c r="G185" i="7" a="1"/>
  <c r="F166" i="7" a="1"/>
  <c r="F147" i="7" a="1"/>
  <c r="F154" i="7" a="1"/>
  <c r="F228" i="7" a="1"/>
  <c r="F180" i="7" a="1"/>
  <c r="E156" i="7" a="1"/>
  <c r="E139" i="7" a="1"/>
  <c r="E192" i="7" a="1"/>
  <c r="E163" i="7" a="1"/>
  <c r="E140" i="7" a="1"/>
  <c r="D141" i="7" a="1"/>
  <c r="D211" i="7" a="1"/>
  <c r="D229" i="7" a="1"/>
  <c r="D142" i="7" a="1"/>
  <c r="D212" i="7" a="1"/>
  <c r="D183" i="7" a="1"/>
  <c r="C146" i="7" a="1"/>
  <c r="C216" i="7" a="1"/>
  <c r="C219" i="7" a="1"/>
  <c r="C212" i="7" a="1"/>
  <c r="C205" i="7" a="1"/>
  <c r="C188" i="7" a="1"/>
  <c r="B156" i="7" a="1"/>
  <c r="B226" i="7" a="1"/>
  <c r="B197" i="7" a="1"/>
  <c r="B168" i="7" a="1"/>
  <c r="B139" i="7" a="1"/>
  <c r="B180" i="7" a="1"/>
  <c r="E78" i="4" a="1"/>
  <c r="Q122" i="4" a="1"/>
  <c r="J95" i="4" a="1"/>
  <c r="J54" i="4" a="1"/>
  <c r="D121" i="4" a="1"/>
  <c r="C26" i="4" a="1"/>
  <c r="E102" i="4" a="1"/>
  <c r="O65" i="4" a="1"/>
  <c r="O74" i="4" a="1"/>
  <c r="P61" i="4" a="1"/>
  <c r="Q28" i="4" a="1"/>
  <c r="J66" i="4" a="1"/>
  <c r="K54" i="4" a="1"/>
  <c r="E115" i="4" a="1"/>
  <c r="C79" i="4" a="1"/>
  <c r="D26" i="4" a="1"/>
  <c r="J77" i="4" a="1"/>
  <c r="C31" i="4" a="1"/>
  <c r="I79" i="4" a="1"/>
  <c r="D17" i="4" a="1"/>
  <c r="Q42" i="4" a="1"/>
  <c r="P96" i="4" a="1"/>
  <c r="I82" i="4" a="1"/>
  <c r="I110" i="4" a="1"/>
  <c r="K53" i="4" a="1"/>
  <c r="E113" i="4" a="1"/>
  <c r="C60" i="4" a="1"/>
  <c r="E41" i="4" a="1"/>
  <c r="I58" i="4" a="1"/>
  <c r="O17" i="4" a="1"/>
  <c r="K95" i="4" a="1"/>
  <c r="C18" i="4" a="1"/>
  <c r="Q27" i="4" a="1"/>
  <c r="Q17" i="4" a="1"/>
  <c r="E14" i="4" a="1"/>
  <c r="C16" i="4" a="1"/>
  <c r="E32" i="4" a="1"/>
  <c r="P54" i="4" a="1"/>
  <c r="P91" i="4" a="1"/>
  <c r="P23" i="4" a="1"/>
  <c r="K120" i="4" a="1"/>
  <c r="K52" i="4" a="1"/>
  <c r="C96" i="4" a="1"/>
  <c r="E92" i="4" a="1"/>
  <c r="D61" i="4" a="1"/>
  <c r="O14" i="4" a="1"/>
  <c r="J100" i="4" a="1"/>
  <c r="E88" i="4" a="1"/>
  <c r="Q93" i="4" a="1"/>
  <c r="E84" i="4" a="1"/>
  <c r="Q113" i="4" a="1"/>
  <c r="J233" i="7" a="1"/>
  <c r="I220" i="7" a="1"/>
  <c r="I212" i="7" a="1"/>
  <c r="I193" i="7" a="1"/>
  <c r="I204" i="7" a="1"/>
  <c r="H211" i="7" a="1"/>
  <c r="H187" i="7" a="1"/>
  <c r="H158" i="7" a="1"/>
  <c r="H169" i="7" a="1"/>
  <c r="H215" i="7" a="1"/>
  <c r="G201" i="7" a="1"/>
  <c r="G182" i="7" a="1"/>
  <c r="G163" i="7" a="1"/>
  <c r="G189" i="7" a="1"/>
  <c r="G215" i="7" a="1"/>
  <c r="F196" i="7" a="1"/>
  <c r="F177" i="7" a="1"/>
  <c r="F158" i="7" a="1"/>
  <c r="F184" i="7" a="1"/>
  <c r="F210" i="7" a="1"/>
  <c r="E186" i="7" a="1"/>
  <c r="E214" i="7" a="1"/>
  <c r="E222" i="7" a="1"/>
  <c r="E188" i="7" a="1"/>
  <c r="E170" i="7" a="1"/>
  <c r="D146" i="7" a="1"/>
  <c r="D139" i="7" a="1"/>
  <c r="D140" i="7" a="1"/>
  <c r="D147" i="7" a="1"/>
  <c r="D159" i="7" a="1"/>
  <c r="D188" i="7" a="1"/>
  <c r="C151" i="7" a="1"/>
  <c r="C234" i="7" a="1"/>
  <c r="C224" i="7" a="1"/>
  <c r="C217" i="7" a="1"/>
  <c r="C230" i="7" a="1"/>
  <c r="C193" i="7" a="1"/>
  <c r="B161" i="7" a="1"/>
  <c r="B155" i="7" a="1"/>
  <c r="B202" i="7" a="1"/>
  <c r="B173" i="7" a="1"/>
  <c r="B189" i="7" a="1"/>
  <c r="B185" i="7" a="1"/>
  <c r="O39" i="4" a="1"/>
  <c r="P76" i="4" a="1"/>
  <c r="I112" i="4" a="1"/>
  <c r="I53" i="4" a="1"/>
  <c r="E94" i="4" a="1"/>
  <c r="D44" i="4" a="1"/>
  <c r="E109" i="4" a="1"/>
  <c r="K112" i="4" a="1"/>
  <c r="Q90" i="4" a="1"/>
  <c r="O78" i="4" a="1"/>
  <c r="K63" i="4" a="1"/>
  <c r="I80" i="4" a="1"/>
  <c r="J53" i="4" a="1"/>
  <c r="D106" i="4" a="1"/>
  <c r="D62" i="4" a="1"/>
  <c r="C43" i="4" a="1"/>
  <c r="I120" i="4" a="1"/>
  <c r="O29" i="4" a="1"/>
  <c r="J86" i="4" a="1"/>
  <c r="P16" i="4" a="1"/>
  <c r="P59" i="4" a="1"/>
  <c r="O113" i="4" a="1"/>
  <c r="K98" i="4" a="1"/>
  <c r="I76" i="4" a="1"/>
  <c r="J32" i="4" a="1"/>
  <c r="C114" i="4" a="1"/>
  <c r="E67" i="4" a="1"/>
  <c r="C27" i="4" a="1"/>
  <c r="K38" i="4" a="1"/>
  <c r="P62" i="4" a="1"/>
  <c r="K62" i="4" a="1"/>
  <c r="P15" i="4" a="1"/>
  <c r="P44" i="4" a="1"/>
  <c r="Q30" i="4" a="1"/>
  <c r="Q15" i="4" a="1"/>
  <c r="Q16" i="4" a="1"/>
  <c r="P37" i="4" a="1"/>
  <c r="O71" i="4" a="1"/>
  <c r="O108" i="4" a="1"/>
  <c r="I77" i="4" a="1"/>
  <c r="I118" i="4" a="1"/>
  <c r="J51" i="4" a="1"/>
  <c r="E112" i="4" a="1"/>
  <c r="E91" i="4" a="1"/>
  <c r="E51" i="4" a="1"/>
  <c r="D38" i="4" a="1"/>
  <c r="K116" i="4" a="1"/>
  <c r="E52" i="4" a="1"/>
  <c r="K68" i="4" a="1"/>
  <c r="O84" i="4" a="1"/>
  <c r="Q23" i="4" a="1"/>
  <c r="J42" i="4" a="1"/>
  <c r="C76" i="4" a="1"/>
  <c r="O85" i="4" a="1"/>
  <c r="J114" i="4" a="1"/>
  <c r="E77" i="4" a="1"/>
  <c r="P106" i="4" a="1"/>
  <c r="I64" i="4" a="1"/>
  <c r="O73" i="4" a="1"/>
  <c r="D52" i="4" a="1"/>
  <c r="D40" i="4" a="1"/>
  <c r="E122" i="4" a="1"/>
  <c r="C61" i="4" a="1"/>
  <c r="Q101" i="4" a="1"/>
  <c r="K108" i="4" a="1"/>
  <c r="K29" i="4" a="1"/>
  <c r="E69" i="4" a="1"/>
  <c r="Q104" i="4" a="1"/>
  <c r="K117" i="4" a="1"/>
  <c r="O116" i="4" a="1"/>
  <c r="K100" i="4" a="1"/>
  <c r="Q121" i="4" a="1"/>
  <c r="J121" i="4" a="1"/>
  <c r="I30" i="4" a="1"/>
  <c r="J75" i="4" a="1"/>
  <c r="E114" i="4" a="1"/>
  <c r="O47" i="4" a="1"/>
  <c r="D82" i="4" a="1"/>
  <c r="Q119" i="4" a="1"/>
  <c r="Q71" i="4" a="1"/>
  <c r="P52" i="4" a="1"/>
  <c r="E54" i="4" a="1"/>
  <c r="O97" i="4" a="1"/>
  <c r="I60" i="4" a="1"/>
  <c r="K61" i="4" a="1"/>
  <c r="J84" i="4" a="1"/>
  <c r="I42" i="4" a="1"/>
  <c r="J69" i="4" a="1"/>
  <c r="D67" i="4" a="1"/>
  <c r="O67" i="4" a="1"/>
  <c r="C85" i="4" a="1"/>
  <c r="K69" i="4" a="1"/>
  <c r="C41" i="4" a="1"/>
  <c r="C71" i="4" a="1"/>
  <c r="J111" i="4" a="1"/>
  <c r="J38" i="4" a="1"/>
  <c r="K46" i="4" a="1"/>
  <c r="O122" i="4" a="1"/>
  <c r="D100" i="4" a="1"/>
  <c r="O70" i="4" a="1"/>
  <c r="K121" i="4" a="1"/>
  <c r="C50" i="4" a="1"/>
  <c r="C67" i="4" a="1"/>
  <c r="P40" i="4" a="1"/>
  <c r="E38" i="4" a="1"/>
  <c r="J46" i="4" a="1"/>
  <c r="K49" i="4" a="1"/>
  <c r="Q35" i="4" a="1"/>
  <c r="D96" i="4" a="1"/>
  <c r="E86" i="4" a="1"/>
  <c r="J60" i="4" a="1"/>
  <c r="P53" i="4" a="1"/>
  <c r="D97" i="4" a="1"/>
  <c r="P113" i="4" a="1"/>
  <c r="O38" i="4" a="1"/>
  <c r="J68" i="4" a="1"/>
  <c r="C14" i="4" a="1"/>
  <c r="C73" i="4" a="1"/>
  <c r="Q14" i="4" a="1"/>
  <c r="K80" i="4" a="1"/>
  <c r="K58" i="4" a="1"/>
  <c r="J67" i="4" a="1"/>
  <c r="J117" i="4" a="1"/>
  <c r="P75" i="4" a="1"/>
  <c r="I99" i="4" a="1"/>
  <c r="C52" i="4" a="1"/>
  <c r="C72" i="4" a="1"/>
  <c r="Q66" i="4" a="1"/>
  <c r="C77" i="4" a="1"/>
  <c r="I116" i="4" a="1"/>
  <c r="D54" i="4" a="1"/>
  <c r="K73" i="4" a="1"/>
  <c r="C56" i="4" a="1"/>
  <c r="J39" i="4" a="1"/>
  <c r="P121" i="4" a="1"/>
  <c r="J116" i="4" a="1"/>
  <c r="K82" i="4" a="1"/>
  <c r="D91" i="4" a="1"/>
  <c r="E95" i="4" a="1"/>
  <c r="D118" i="4" a="1"/>
  <c r="O86" i="4" a="1"/>
  <c r="P51" i="4" a="1"/>
  <c r="J49" i="4" a="1"/>
  <c r="D45" i="4" a="1"/>
  <c r="J48" i="4" a="1"/>
  <c r="D28" i="4" a="1"/>
  <c r="E116" i="4" a="1"/>
  <c r="J99" i="4" a="1"/>
  <c r="Q56" i="4" a="1"/>
  <c r="E76" i="4" a="1"/>
  <c r="C37" i="4" a="1"/>
  <c r="E85" i="4" a="1"/>
  <c r="Q63" i="4" a="1"/>
  <c r="C15" i="4" a="1"/>
  <c r="E87" i="4" a="1"/>
  <c r="O25" i="4" a="1"/>
  <c r="P119" i="4" a="1"/>
  <c r="Q69" i="4" a="1"/>
  <c r="P105" i="4" a="1"/>
  <c r="Q82" i="4" a="1"/>
  <c r="O100" i="4" a="1"/>
  <c r="I114" i="4" a="1"/>
  <c r="O118" i="4" a="1"/>
  <c r="J64" i="4" a="1"/>
  <c r="I86" i="4" a="1"/>
  <c r="O101" i="4" a="1"/>
  <c r="P36" i="4" a="1"/>
  <c r="Q100" i="4" a="1"/>
  <c r="I113" i="4" a="1"/>
  <c r="D65" i="4" a="1"/>
  <c r="J120" i="4" a="1"/>
  <c r="C36" i="4" a="1"/>
  <c r="D116" i="4" a="1"/>
  <c r="K97" i="4" a="1"/>
  <c r="P117" i="4" a="1"/>
  <c r="J119" i="4" a="1"/>
  <c r="D76" i="4" a="1"/>
  <c r="D23" i="4" a="1"/>
  <c r="E46" i="4" a="1"/>
  <c r="Q61" i="4" a="1"/>
  <c r="O88" i="4" a="1"/>
  <c r="J23" i="4" a="1"/>
  <c r="K76" i="4" a="1"/>
  <c r="C39" i="4" a="1"/>
  <c r="E89" i="4" a="1"/>
  <c r="C45" i="4" a="1"/>
  <c r="Q39" i="4" a="1"/>
  <c r="D48" i="4" a="1"/>
  <c r="D72" i="4" a="1"/>
  <c r="K114" i="4" a="1"/>
  <c r="P86" i="4" a="1"/>
  <c r="O23" i="4" a="1"/>
  <c r="E23" i="4" a="1"/>
  <c r="D115" i="4" a="1"/>
  <c r="O68" i="4" a="1"/>
  <c r="P55" i="4" a="1"/>
  <c r="I68" i="4" a="1"/>
  <c r="D109" i="4" a="1"/>
  <c r="D50" i="4" a="1"/>
  <c r="K47" i="4" a="1"/>
  <c r="C115" i="4" a="1"/>
  <c r="P34" i="4" a="1"/>
  <c r="C119" i="4" a="1"/>
  <c r="I101" i="4" a="1"/>
  <c r="K67" i="4" a="1"/>
  <c r="O62" i="4" a="1"/>
  <c r="Q96" i="4" a="1"/>
  <c r="Q32" i="4" a="1"/>
  <c r="J37" i="4" a="1"/>
  <c r="O105" i="4" a="1"/>
  <c r="D57" i="4" a="1"/>
  <c r="K65" i="4" a="1"/>
  <c r="P56" i="4" a="1"/>
  <c r="I47" i="4" a="1"/>
  <c r="D37" i="4" a="1"/>
  <c r="J97" i="4" a="1"/>
  <c r="P69" i="4" a="1"/>
  <c r="Q34" i="4" a="1"/>
  <c r="I103" i="4" a="1"/>
  <c r="K25" i="4" a="1"/>
  <c r="C33" i="4" a="1"/>
  <c r="J52" i="4" a="1"/>
  <c r="O103" i="4" a="1"/>
  <c r="J24" i="4" a="1"/>
  <c r="P102" i="4" a="1"/>
  <c r="K104" i="4" a="1"/>
  <c r="E57" i="4" a="1"/>
  <c r="D39" i="4" a="1"/>
  <c r="J16" i="4" a="1"/>
  <c r="I43" i="4" a="1"/>
  <c r="E103" i="4" a="1"/>
  <c r="C54" i="4" a="1"/>
  <c r="C113" i="4" a="1"/>
  <c r="Q97" i="4" a="1"/>
  <c r="Q83" i="4" a="1"/>
  <c r="C118" i="4" a="1"/>
  <c r="O80" i="4" a="1"/>
  <c r="D98" i="4" a="1"/>
  <c r="O31" i="4" a="1"/>
  <c r="I81" i="4" a="1"/>
  <c r="E34" i="4" a="1"/>
  <c r="D42" i="4" a="1"/>
  <c r="I87" i="4" a="1"/>
  <c r="D79" i="4" a="1"/>
  <c r="I26" i="4" a="1"/>
  <c r="C112" i="4" a="1"/>
  <c r="C90" i="4" a="1"/>
  <c r="I37" i="4" a="1"/>
  <c r="O36" i="4" a="1"/>
  <c r="D84" i="4" a="1"/>
  <c r="O87" i="4" a="1"/>
  <c r="C97" i="4" a="1"/>
  <c r="Q67" i="4" a="1"/>
  <c r="O119" i="4" a="1"/>
  <c r="E40" i="4" a="1"/>
  <c r="E80" i="4" a="1"/>
  <c r="O51" i="4" a="1"/>
  <c r="P110" i="4" a="1"/>
  <c r="I39" i="4" a="1"/>
  <c r="C48" i="4" a="1"/>
  <c r="O37" i="4" a="1"/>
  <c r="D83" i="4" a="1"/>
  <c r="P114" i="4" a="1"/>
  <c r="K88" i="4" a="1"/>
  <c r="E50" i="4" a="1"/>
  <c r="C57" i="4" a="1"/>
  <c r="K115" i="4" a="1"/>
  <c r="I72" i="4" a="1"/>
  <c r="D90" i="4" a="1"/>
  <c r="I69" i="4" a="1"/>
  <c r="I14" i="4" a="1"/>
  <c r="I14" i="4" l="1"/>
  <c r="C135" i="7"/>
  <c r="J145" i="7"/>
  <c r="J219" i="7"/>
  <c r="J209" i="7"/>
  <c r="J204" i="7"/>
  <c r="J199" i="7"/>
  <c r="J194" i="7"/>
  <c r="J189" i="7"/>
  <c r="J184" i="7"/>
  <c r="J179" i="7"/>
  <c r="J174" i="7"/>
  <c r="J169" i="7"/>
  <c r="J139" i="7"/>
  <c r="J155" i="7"/>
  <c r="J229" i="7"/>
  <c r="J144" i="7"/>
  <c r="J233" i="7"/>
  <c r="J228" i="7"/>
  <c r="J223" i="7"/>
  <c r="J218" i="7"/>
  <c r="J213" i="7"/>
  <c r="J208" i="7"/>
  <c r="J203" i="7"/>
  <c r="J198" i="7"/>
  <c r="J193" i="7"/>
  <c r="J188" i="7"/>
  <c r="J183" i="7"/>
  <c r="J178" i="7"/>
  <c r="J173" i="7"/>
  <c r="J168" i="7"/>
  <c r="J163" i="7"/>
  <c r="J158" i="7"/>
  <c r="J153" i="7"/>
  <c r="J148" i="7"/>
  <c r="J143" i="7"/>
  <c r="J138" i="7"/>
  <c r="J165" i="7"/>
  <c r="J149" i="7"/>
  <c r="J150" i="7"/>
  <c r="J224" i="7"/>
  <c r="J154" i="7"/>
  <c r="J232" i="7"/>
  <c r="J227" i="7"/>
  <c r="J222" i="7"/>
  <c r="J217" i="7"/>
  <c r="J212" i="7"/>
  <c r="J207" i="7"/>
  <c r="J202" i="7"/>
  <c r="J197" i="7"/>
  <c r="J192" i="7"/>
  <c r="J187" i="7"/>
  <c r="J182" i="7"/>
  <c r="J177" i="7"/>
  <c r="J172" i="7"/>
  <c r="J167" i="7"/>
  <c r="J162" i="7"/>
  <c r="J157" i="7"/>
  <c r="J152" i="7"/>
  <c r="J147" i="7"/>
  <c r="J142" i="7"/>
  <c r="J137" i="7"/>
  <c r="J160" i="7"/>
  <c r="J159" i="7"/>
  <c r="J230" i="7"/>
  <c r="J225" i="7"/>
  <c r="J220" i="7"/>
  <c r="J215" i="7"/>
  <c r="J210" i="7"/>
  <c r="J205" i="7"/>
  <c r="J200" i="7"/>
  <c r="J195" i="7"/>
  <c r="J190" i="7"/>
  <c r="J185" i="7"/>
  <c r="J180" i="7"/>
  <c r="J175" i="7"/>
  <c r="J170" i="7"/>
  <c r="J140" i="7"/>
  <c r="J234" i="7"/>
  <c r="J214" i="7"/>
  <c r="J164" i="7"/>
  <c r="J231" i="7"/>
  <c r="J226" i="7"/>
  <c r="J221" i="7"/>
  <c r="J216" i="7"/>
  <c r="J211" i="7"/>
  <c r="J206" i="7"/>
  <c r="J201" i="7"/>
  <c r="J196" i="7"/>
  <c r="J191" i="7"/>
  <c r="J186" i="7"/>
  <c r="J181" i="7"/>
  <c r="J176" i="7"/>
  <c r="J171" i="7"/>
  <c r="J166" i="7"/>
  <c r="J161" i="7"/>
  <c r="J156" i="7"/>
  <c r="J151" i="7"/>
  <c r="J146" i="7"/>
  <c r="J141" i="7"/>
  <c r="J136" i="7"/>
  <c r="I224" i="7"/>
  <c r="I219" i="7"/>
  <c r="I214" i="7"/>
  <c r="I209" i="7"/>
  <c r="I204" i="7"/>
  <c r="I199" i="7"/>
  <c r="I194" i="7"/>
  <c r="I189" i="7"/>
  <c r="I184" i="7"/>
  <c r="I179" i="7"/>
  <c r="I174" i="7"/>
  <c r="I169" i="7"/>
  <c r="I139" i="7"/>
  <c r="I155" i="7"/>
  <c r="I234" i="7"/>
  <c r="I149" i="7"/>
  <c r="I233" i="7"/>
  <c r="I228" i="7"/>
  <c r="I223" i="7"/>
  <c r="I218" i="7"/>
  <c r="I213" i="7"/>
  <c r="I208" i="7"/>
  <c r="I203" i="7"/>
  <c r="I198" i="7"/>
  <c r="I193" i="7"/>
  <c r="I188" i="7"/>
  <c r="I183" i="7"/>
  <c r="I178" i="7"/>
  <c r="I173" i="7"/>
  <c r="I168" i="7"/>
  <c r="I163" i="7"/>
  <c r="I158" i="7"/>
  <c r="I153" i="7"/>
  <c r="I148" i="7"/>
  <c r="I143" i="7"/>
  <c r="I138" i="7"/>
  <c r="I145" i="7"/>
  <c r="I144" i="7"/>
  <c r="I150" i="7"/>
  <c r="I154" i="7"/>
  <c r="I232" i="7"/>
  <c r="I227" i="7"/>
  <c r="I222" i="7"/>
  <c r="I217" i="7"/>
  <c r="I212" i="7"/>
  <c r="I207" i="7"/>
  <c r="I202" i="7"/>
  <c r="I197" i="7"/>
  <c r="I192" i="7"/>
  <c r="I187" i="7"/>
  <c r="I182" i="7"/>
  <c r="I177" i="7"/>
  <c r="I172" i="7"/>
  <c r="I167" i="7"/>
  <c r="I162" i="7"/>
  <c r="I157" i="7"/>
  <c r="I152" i="7"/>
  <c r="I147" i="7"/>
  <c r="I142" i="7"/>
  <c r="I137" i="7"/>
  <c r="I160" i="7"/>
  <c r="I159" i="7"/>
  <c r="I230" i="7"/>
  <c r="I225" i="7"/>
  <c r="I220" i="7"/>
  <c r="I215" i="7"/>
  <c r="I210" i="7"/>
  <c r="I205" i="7"/>
  <c r="I200" i="7"/>
  <c r="I195" i="7"/>
  <c r="I190" i="7"/>
  <c r="I185" i="7"/>
  <c r="I180" i="7"/>
  <c r="I175" i="7"/>
  <c r="I170" i="7"/>
  <c r="I165" i="7"/>
  <c r="I140" i="7"/>
  <c r="I229" i="7"/>
  <c r="I164" i="7"/>
  <c r="I231" i="7"/>
  <c r="I226" i="7"/>
  <c r="I221" i="7"/>
  <c r="I216" i="7"/>
  <c r="I211" i="7"/>
  <c r="I206" i="7"/>
  <c r="I201" i="7"/>
  <c r="I196" i="7"/>
  <c r="I191" i="7"/>
  <c r="I186" i="7"/>
  <c r="I181" i="7"/>
  <c r="I176" i="7"/>
  <c r="I171" i="7"/>
  <c r="I166" i="7"/>
  <c r="I161" i="7"/>
  <c r="I156" i="7"/>
  <c r="I151" i="7"/>
  <c r="I146" i="7"/>
  <c r="I141" i="7"/>
  <c r="I136" i="7"/>
  <c r="H230" i="7"/>
  <c r="H225" i="7"/>
  <c r="H220" i="7"/>
  <c r="H215" i="7"/>
  <c r="H210" i="7"/>
  <c r="H205" i="7"/>
  <c r="H200" i="7"/>
  <c r="H195" i="7"/>
  <c r="H190" i="7"/>
  <c r="H185" i="7"/>
  <c r="H180" i="7"/>
  <c r="H175" i="7"/>
  <c r="H170" i="7"/>
  <c r="H140" i="7"/>
  <c r="H229" i="7"/>
  <c r="H209" i="7"/>
  <c r="H204" i="7"/>
  <c r="H199" i="7"/>
  <c r="H194" i="7"/>
  <c r="H189" i="7"/>
  <c r="H184" i="7"/>
  <c r="H179" i="7"/>
  <c r="H174" i="7"/>
  <c r="H169" i="7"/>
  <c r="H139" i="7"/>
  <c r="H160" i="7"/>
  <c r="H224" i="7"/>
  <c r="H149" i="7"/>
  <c r="H233" i="7"/>
  <c r="H228" i="7"/>
  <c r="H223" i="7"/>
  <c r="H218" i="7"/>
  <c r="H213" i="7"/>
  <c r="H208" i="7"/>
  <c r="H203" i="7"/>
  <c r="H198" i="7"/>
  <c r="H193" i="7"/>
  <c r="H188" i="7"/>
  <c r="H183" i="7"/>
  <c r="H178" i="7"/>
  <c r="H173" i="7"/>
  <c r="H168" i="7"/>
  <c r="H163" i="7"/>
  <c r="H158" i="7"/>
  <c r="H153" i="7"/>
  <c r="H148" i="7"/>
  <c r="H143" i="7"/>
  <c r="H138" i="7"/>
  <c r="H145" i="7"/>
  <c r="H144" i="7"/>
  <c r="H150" i="7"/>
  <c r="H234" i="7"/>
  <c r="H214" i="7"/>
  <c r="H154" i="7"/>
  <c r="H232" i="7"/>
  <c r="H227" i="7"/>
  <c r="H222" i="7"/>
  <c r="H217" i="7"/>
  <c r="H212" i="7"/>
  <c r="H207" i="7"/>
  <c r="H202" i="7"/>
  <c r="H197" i="7"/>
  <c r="H192" i="7"/>
  <c r="H187" i="7"/>
  <c r="H182" i="7"/>
  <c r="H177" i="7"/>
  <c r="H172" i="7"/>
  <c r="H167" i="7"/>
  <c r="H162" i="7"/>
  <c r="H157" i="7"/>
  <c r="H152" i="7"/>
  <c r="H147" i="7"/>
  <c r="H142" i="7"/>
  <c r="H137" i="7"/>
  <c r="H155" i="7"/>
  <c r="H159" i="7"/>
  <c r="H165" i="7"/>
  <c r="H219" i="7"/>
  <c r="H164" i="7"/>
  <c r="H231" i="7"/>
  <c r="H226" i="7"/>
  <c r="H221" i="7"/>
  <c r="H216" i="7"/>
  <c r="H211" i="7"/>
  <c r="H206" i="7"/>
  <c r="H201" i="7"/>
  <c r="H196" i="7"/>
  <c r="H191" i="7"/>
  <c r="H186" i="7"/>
  <c r="H181" i="7"/>
  <c r="H176" i="7"/>
  <c r="H171" i="7"/>
  <c r="H166" i="7"/>
  <c r="H161" i="7"/>
  <c r="H156" i="7"/>
  <c r="H151" i="7"/>
  <c r="H146" i="7"/>
  <c r="H141" i="7"/>
  <c r="H136" i="7"/>
  <c r="J135" i="7"/>
  <c r="I135" i="7"/>
  <c r="H135" i="7"/>
  <c r="G160" i="7"/>
  <c r="G144" i="7"/>
  <c r="G230" i="7"/>
  <c r="G225" i="7"/>
  <c r="G220" i="7"/>
  <c r="G215" i="7"/>
  <c r="G210" i="7"/>
  <c r="G205" i="7"/>
  <c r="G200" i="7"/>
  <c r="G195" i="7"/>
  <c r="G190" i="7"/>
  <c r="G185" i="7"/>
  <c r="G180" i="7"/>
  <c r="G175" i="7"/>
  <c r="G170" i="7"/>
  <c r="G140" i="7"/>
  <c r="G234" i="7"/>
  <c r="G229" i="7"/>
  <c r="G224" i="7"/>
  <c r="G219" i="7"/>
  <c r="G214" i="7"/>
  <c r="G209" i="7"/>
  <c r="G204" i="7"/>
  <c r="G199" i="7"/>
  <c r="G194" i="7"/>
  <c r="G189" i="7"/>
  <c r="G184" i="7"/>
  <c r="G179" i="7"/>
  <c r="G174" i="7"/>
  <c r="G169" i="7"/>
  <c r="G139" i="7"/>
  <c r="G233" i="7"/>
  <c r="G228" i="7"/>
  <c r="G223" i="7"/>
  <c r="G218" i="7"/>
  <c r="G213" i="7"/>
  <c r="G208" i="7"/>
  <c r="G203" i="7"/>
  <c r="G198" i="7"/>
  <c r="G193" i="7"/>
  <c r="G188" i="7"/>
  <c r="G183" i="7"/>
  <c r="G178" i="7"/>
  <c r="G173" i="7"/>
  <c r="G168" i="7"/>
  <c r="G163" i="7"/>
  <c r="G158" i="7"/>
  <c r="G153" i="7"/>
  <c r="G148" i="7"/>
  <c r="G143" i="7"/>
  <c r="G138" i="7"/>
  <c r="G145" i="7"/>
  <c r="G159" i="7"/>
  <c r="G165" i="7"/>
  <c r="G154" i="7"/>
  <c r="G232" i="7"/>
  <c r="G227" i="7"/>
  <c r="G222" i="7"/>
  <c r="G217" i="7"/>
  <c r="G212" i="7"/>
  <c r="G207" i="7"/>
  <c r="G202" i="7"/>
  <c r="G197" i="7"/>
  <c r="G192" i="7"/>
  <c r="G187" i="7"/>
  <c r="G182" i="7"/>
  <c r="G177" i="7"/>
  <c r="G172" i="7"/>
  <c r="G167" i="7"/>
  <c r="G162" i="7"/>
  <c r="G157" i="7"/>
  <c r="G152" i="7"/>
  <c r="G147" i="7"/>
  <c r="G142" i="7"/>
  <c r="G137" i="7"/>
  <c r="G155" i="7"/>
  <c r="G164" i="7"/>
  <c r="G150" i="7"/>
  <c r="G149" i="7"/>
  <c r="G231" i="7"/>
  <c r="G226" i="7"/>
  <c r="G221" i="7"/>
  <c r="G216" i="7"/>
  <c r="G211" i="7"/>
  <c r="G206" i="7"/>
  <c r="G201" i="7"/>
  <c r="G196" i="7"/>
  <c r="G191" i="7"/>
  <c r="G186" i="7"/>
  <c r="G181" i="7"/>
  <c r="G176" i="7"/>
  <c r="G171" i="7"/>
  <c r="G166" i="7"/>
  <c r="G161" i="7"/>
  <c r="G156" i="7"/>
  <c r="G151" i="7"/>
  <c r="G146" i="7"/>
  <c r="G141" i="7"/>
  <c r="G136" i="7"/>
  <c r="G135" i="7"/>
  <c r="D234" i="7"/>
  <c r="F145" i="7"/>
  <c r="F144" i="7"/>
  <c r="F230" i="7"/>
  <c r="F225" i="7"/>
  <c r="F220" i="7"/>
  <c r="F215" i="7"/>
  <c r="F210" i="7"/>
  <c r="F205" i="7"/>
  <c r="F200" i="7"/>
  <c r="F195" i="7"/>
  <c r="F190" i="7"/>
  <c r="F185" i="7"/>
  <c r="F180" i="7"/>
  <c r="F175" i="7"/>
  <c r="F170" i="7"/>
  <c r="F140" i="7"/>
  <c r="F234" i="7"/>
  <c r="F229" i="7"/>
  <c r="F224" i="7"/>
  <c r="F219" i="7"/>
  <c r="F214" i="7"/>
  <c r="F209" i="7"/>
  <c r="F204" i="7"/>
  <c r="F199" i="7"/>
  <c r="F194" i="7"/>
  <c r="F189" i="7"/>
  <c r="F184" i="7"/>
  <c r="F179" i="7"/>
  <c r="F174" i="7"/>
  <c r="F169" i="7"/>
  <c r="F139" i="7"/>
  <c r="F233" i="7"/>
  <c r="F228" i="7"/>
  <c r="F223" i="7"/>
  <c r="F218" i="7"/>
  <c r="F213" i="7"/>
  <c r="F208" i="7"/>
  <c r="F203" i="7"/>
  <c r="F198" i="7"/>
  <c r="F193" i="7"/>
  <c r="F188" i="7"/>
  <c r="F183" i="7"/>
  <c r="F178" i="7"/>
  <c r="F173" i="7"/>
  <c r="F168" i="7"/>
  <c r="F163" i="7"/>
  <c r="F158" i="7"/>
  <c r="F153" i="7"/>
  <c r="F148" i="7"/>
  <c r="F143" i="7"/>
  <c r="F138" i="7"/>
  <c r="F165" i="7"/>
  <c r="F154" i="7"/>
  <c r="F150" i="7"/>
  <c r="F159" i="7"/>
  <c r="F232" i="7"/>
  <c r="F227" i="7"/>
  <c r="F222" i="7"/>
  <c r="F217" i="7"/>
  <c r="F212" i="7"/>
  <c r="F207" i="7"/>
  <c r="F202" i="7"/>
  <c r="F197" i="7"/>
  <c r="F192" i="7"/>
  <c r="F187" i="7"/>
  <c r="F182" i="7"/>
  <c r="F177" i="7"/>
  <c r="F172" i="7"/>
  <c r="F167" i="7"/>
  <c r="F162" i="7"/>
  <c r="F157" i="7"/>
  <c r="F152" i="7"/>
  <c r="F147" i="7"/>
  <c r="F142" i="7"/>
  <c r="F137" i="7"/>
  <c r="F160" i="7"/>
  <c r="F164" i="7"/>
  <c r="F155" i="7"/>
  <c r="F149" i="7"/>
  <c r="F231" i="7"/>
  <c r="F226" i="7"/>
  <c r="F221" i="7"/>
  <c r="F216" i="7"/>
  <c r="F211" i="7"/>
  <c r="F206" i="7"/>
  <c r="F201" i="7"/>
  <c r="F196" i="7"/>
  <c r="F191" i="7"/>
  <c r="F186" i="7"/>
  <c r="F181" i="7"/>
  <c r="F176" i="7"/>
  <c r="F171" i="7"/>
  <c r="F166" i="7"/>
  <c r="F161" i="7"/>
  <c r="F156" i="7"/>
  <c r="F151" i="7"/>
  <c r="F146" i="7"/>
  <c r="F141" i="7"/>
  <c r="F136" i="7"/>
  <c r="F135" i="7"/>
  <c r="C207" i="7"/>
  <c r="E231" i="7"/>
  <c r="E160" i="7"/>
  <c r="E164" i="7"/>
  <c r="E230" i="7"/>
  <c r="E225" i="7"/>
  <c r="E220" i="7"/>
  <c r="E215" i="7"/>
  <c r="E210" i="7"/>
  <c r="E205" i="7"/>
  <c r="E200" i="7"/>
  <c r="E195" i="7"/>
  <c r="E190" i="7"/>
  <c r="E185" i="7"/>
  <c r="E180" i="7"/>
  <c r="E175" i="7"/>
  <c r="E170" i="7"/>
  <c r="E140" i="7"/>
  <c r="E219" i="7"/>
  <c r="E199" i="7"/>
  <c r="E159" i="7"/>
  <c r="E233" i="7"/>
  <c r="E228" i="7"/>
  <c r="E223" i="7"/>
  <c r="E218" i="7"/>
  <c r="E213" i="7"/>
  <c r="E208" i="7"/>
  <c r="E203" i="7"/>
  <c r="E198" i="7"/>
  <c r="E193" i="7"/>
  <c r="E188" i="7"/>
  <c r="E183" i="7"/>
  <c r="E178" i="7"/>
  <c r="E173" i="7"/>
  <c r="E168" i="7"/>
  <c r="E163" i="7"/>
  <c r="E158" i="7"/>
  <c r="E153" i="7"/>
  <c r="E148" i="7"/>
  <c r="E143" i="7"/>
  <c r="E138" i="7"/>
  <c r="E165" i="7"/>
  <c r="E149" i="7"/>
  <c r="E150" i="7"/>
  <c r="E224" i="7"/>
  <c r="E194" i="7"/>
  <c r="E144" i="7"/>
  <c r="E232" i="7"/>
  <c r="E227" i="7"/>
  <c r="E222" i="7"/>
  <c r="E217" i="7"/>
  <c r="E212" i="7"/>
  <c r="E207" i="7"/>
  <c r="E202" i="7"/>
  <c r="E197" i="7"/>
  <c r="E192" i="7"/>
  <c r="E187" i="7"/>
  <c r="E182" i="7"/>
  <c r="E177" i="7"/>
  <c r="E172" i="7"/>
  <c r="E167" i="7"/>
  <c r="E162" i="7"/>
  <c r="E157" i="7"/>
  <c r="E152" i="7"/>
  <c r="E147" i="7"/>
  <c r="E142" i="7"/>
  <c r="E137" i="7"/>
  <c r="E155" i="7"/>
  <c r="E234" i="7"/>
  <c r="E214" i="7"/>
  <c r="E204" i="7"/>
  <c r="E189" i="7"/>
  <c r="E179" i="7"/>
  <c r="E174" i="7"/>
  <c r="E169" i="7"/>
  <c r="E139" i="7"/>
  <c r="E145" i="7"/>
  <c r="E229" i="7"/>
  <c r="E209" i="7"/>
  <c r="E184" i="7"/>
  <c r="E154" i="7"/>
  <c r="E226" i="7"/>
  <c r="E221" i="7"/>
  <c r="E216" i="7"/>
  <c r="E211" i="7"/>
  <c r="E206" i="7"/>
  <c r="E201" i="7"/>
  <c r="E196" i="7"/>
  <c r="E191" i="7"/>
  <c r="E186" i="7"/>
  <c r="E181" i="7"/>
  <c r="E176" i="7"/>
  <c r="E171" i="7"/>
  <c r="E166" i="7"/>
  <c r="E161" i="7"/>
  <c r="E156" i="7"/>
  <c r="E151" i="7"/>
  <c r="E146" i="7"/>
  <c r="E141" i="7"/>
  <c r="E136" i="7"/>
  <c r="E135" i="7"/>
  <c r="D160" i="7"/>
  <c r="D164" i="7"/>
  <c r="D155" i="7"/>
  <c r="D154" i="7"/>
  <c r="D233" i="7"/>
  <c r="D228" i="7"/>
  <c r="D223" i="7"/>
  <c r="D218" i="7"/>
  <c r="D213" i="7"/>
  <c r="D208" i="7"/>
  <c r="D203" i="7"/>
  <c r="D198" i="7"/>
  <c r="D193" i="7"/>
  <c r="D188" i="7"/>
  <c r="D183" i="7"/>
  <c r="D178" i="7"/>
  <c r="D173" i="7"/>
  <c r="D168" i="7"/>
  <c r="D163" i="7"/>
  <c r="D158" i="7"/>
  <c r="D153" i="7"/>
  <c r="D148" i="7"/>
  <c r="D143" i="7"/>
  <c r="D138" i="7"/>
  <c r="D165" i="7"/>
  <c r="D144" i="7"/>
  <c r="D145" i="7"/>
  <c r="D159" i="7"/>
  <c r="D232" i="7"/>
  <c r="D227" i="7"/>
  <c r="D222" i="7"/>
  <c r="D217" i="7"/>
  <c r="D212" i="7"/>
  <c r="D207" i="7"/>
  <c r="D202" i="7"/>
  <c r="D197" i="7"/>
  <c r="D192" i="7"/>
  <c r="D187" i="7"/>
  <c r="D182" i="7"/>
  <c r="D177" i="7"/>
  <c r="D172" i="7"/>
  <c r="D167" i="7"/>
  <c r="D162" i="7"/>
  <c r="D157" i="7"/>
  <c r="D152" i="7"/>
  <c r="D147" i="7"/>
  <c r="D142" i="7"/>
  <c r="D137" i="7"/>
  <c r="D150" i="7"/>
  <c r="D149" i="7"/>
  <c r="D230" i="7"/>
  <c r="D225" i="7"/>
  <c r="D220" i="7"/>
  <c r="D215" i="7"/>
  <c r="D210" i="7"/>
  <c r="D205" i="7"/>
  <c r="D200" i="7"/>
  <c r="D195" i="7"/>
  <c r="D190" i="7"/>
  <c r="D185" i="7"/>
  <c r="D180" i="7"/>
  <c r="D175" i="7"/>
  <c r="D170" i="7"/>
  <c r="D140" i="7"/>
  <c r="D229" i="7"/>
  <c r="D224" i="7"/>
  <c r="D219" i="7"/>
  <c r="D214" i="7"/>
  <c r="D209" i="7"/>
  <c r="D204" i="7"/>
  <c r="D199" i="7"/>
  <c r="D194" i="7"/>
  <c r="D189" i="7"/>
  <c r="D184" i="7"/>
  <c r="D179" i="7"/>
  <c r="D174" i="7"/>
  <c r="D169" i="7"/>
  <c r="D139" i="7"/>
  <c r="D231" i="7"/>
  <c r="D226" i="7"/>
  <c r="D221" i="7"/>
  <c r="D216" i="7"/>
  <c r="D211" i="7"/>
  <c r="D206" i="7"/>
  <c r="D201" i="7"/>
  <c r="D196" i="7"/>
  <c r="D191" i="7"/>
  <c r="D186" i="7"/>
  <c r="D181" i="7"/>
  <c r="D176" i="7"/>
  <c r="D171" i="7"/>
  <c r="D166" i="7"/>
  <c r="D161" i="7"/>
  <c r="D156" i="7"/>
  <c r="D151" i="7"/>
  <c r="D146" i="7"/>
  <c r="D141" i="7"/>
  <c r="D136" i="7"/>
  <c r="D135" i="7"/>
  <c r="C155" i="7"/>
  <c r="C164" i="7"/>
  <c r="C165" i="7"/>
  <c r="C144" i="7"/>
  <c r="C233" i="7"/>
  <c r="C228" i="7"/>
  <c r="C223" i="7"/>
  <c r="C218" i="7"/>
  <c r="C213" i="7"/>
  <c r="C208" i="7"/>
  <c r="C203" i="7"/>
  <c r="C198" i="7"/>
  <c r="C193" i="7"/>
  <c r="C188" i="7"/>
  <c r="C183" i="7"/>
  <c r="C178" i="7"/>
  <c r="C173" i="7"/>
  <c r="C168" i="7"/>
  <c r="C163" i="7"/>
  <c r="C158" i="7"/>
  <c r="C153" i="7"/>
  <c r="C148" i="7"/>
  <c r="C143" i="7"/>
  <c r="C138" i="7"/>
  <c r="C160" i="7"/>
  <c r="C149" i="7"/>
  <c r="C230" i="7"/>
  <c r="C225" i="7"/>
  <c r="C220" i="7"/>
  <c r="C215" i="7"/>
  <c r="C210" i="7"/>
  <c r="C205" i="7"/>
  <c r="C200" i="7"/>
  <c r="C195" i="7"/>
  <c r="C190" i="7"/>
  <c r="C185" i="7"/>
  <c r="C180" i="7"/>
  <c r="C175" i="7"/>
  <c r="C170" i="7"/>
  <c r="C140" i="7"/>
  <c r="C154" i="7"/>
  <c r="C232" i="7"/>
  <c r="C227" i="7"/>
  <c r="C222" i="7"/>
  <c r="C217" i="7"/>
  <c r="C212" i="7"/>
  <c r="C202" i="7"/>
  <c r="C197" i="7"/>
  <c r="C192" i="7"/>
  <c r="C187" i="7"/>
  <c r="C182" i="7"/>
  <c r="C177" i="7"/>
  <c r="C172" i="7"/>
  <c r="C167" i="7"/>
  <c r="C162" i="7"/>
  <c r="C157" i="7"/>
  <c r="C152" i="7"/>
  <c r="C147" i="7"/>
  <c r="C142" i="7"/>
  <c r="C137" i="7"/>
  <c r="C145" i="7"/>
  <c r="C229" i="7"/>
  <c r="C224" i="7"/>
  <c r="C219" i="7"/>
  <c r="C214" i="7"/>
  <c r="C209" i="7"/>
  <c r="C204" i="7"/>
  <c r="C199" i="7"/>
  <c r="C194" i="7"/>
  <c r="C189" i="7"/>
  <c r="C184" i="7"/>
  <c r="C179" i="7"/>
  <c r="C174" i="7"/>
  <c r="C169" i="7"/>
  <c r="C139" i="7"/>
  <c r="C150" i="7"/>
  <c r="C234" i="7"/>
  <c r="C159" i="7"/>
  <c r="C231" i="7"/>
  <c r="C226" i="7"/>
  <c r="C221" i="7"/>
  <c r="C216" i="7"/>
  <c r="C211" i="7"/>
  <c r="C206" i="7"/>
  <c r="C201" i="7"/>
  <c r="C196" i="7"/>
  <c r="C191" i="7"/>
  <c r="C186" i="7"/>
  <c r="C181" i="7"/>
  <c r="C176" i="7"/>
  <c r="C171" i="7"/>
  <c r="C166" i="7"/>
  <c r="C161" i="7"/>
  <c r="C156" i="7"/>
  <c r="C151" i="7"/>
  <c r="C146" i="7"/>
  <c r="C141" i="7"/>
  <c r="C136" i="7"/>
  <c r="B160" i="7"/>
  <c r="B164" i="7"/>
  <c r="B230" i="7"/>
  <c r="B225" i="7"/>
  <c r="B220" i="7"/>
  <c r="B215" i="7"/>
  <c r="B210" i="7"/>
  <c r="B205" i="7"/>
  <c r="B200" i="7"/>
  <c r="B195" i="7"/>
  <c r="B190" i="7"/>
  <c r="B185" i="7"/>
  <c r="B180" i="7"/>
  <c r="B175" i="7"/>
  <c r="B170" i="7"/>
  <c r="B140" i="7"/>
  <c r="B234" i="7"/>
  <c r="K234" i="7" s="1"/>
  <c r="B229" i="7"/>
  <c r="B224" i="7"/>
  <c r="B219" i="7"/>
  <c r="B214" i="7"/>
  <c r="B209" i="7"/>
  <c r="B204" i="7"/>
  <c r="B199" i="7"/>
  <c r="B194" i="7"/>
  <c r="B189" i="7"/>
  <c r="B184" i="7"/>
  <c r="B179" i="7"/>
  <c r="B174" i="7"/>
  <c r="B169" i="7"/>
  <c r="B139" i="7"/>
  <c r="B233" i="7"/>
  <c r="B228" i="7"/>
  <c r="B223" i="7"/>
  <c r="B218" i="7"/>
  <c r="B213" i="7"/>
  <c r="B208" i="7"/>
  <c r="B203" i="7"/>
  <c r="B198" i="7"/>
  <c r="B193" i="7"/>
  <c r="B188" i="7"/>
  <c r="B183" i="7"/>
  <c r="B178" i="7"/>
  <c r="B173" i="7"/>
  <c r="B168" i="7"/>
  <c r="B163" i="7"/>
  <c r="B158" i="7"/>
  <c r="B153" i="7"/>
  <c r="B148" i="7"/>
  <c r="B143" i="7"/>
  <c r="B138" i="7"/>
  <c r="B145" i="7"/>
  <c r="B144" i="7"/>
  <c r="B150" i="7"/>
  <c r="B159" i="7"/>
  <c r="B232" i="7"/>
  <c r="B227" i="7"/>
  <c r="B222" i="7"/>
  <c r="B217" i="7"/>
  <c r="B212" i="7"/>
  <c r="B207" i="7"/>
  <c r="B202" i="7"/>
  <c r="B197" i="7"/>
  <c r="B192" i="7"/>
  <c r="B187" i="7"/>
  <c r="B182" i="7"/>
  <c r="B177" i="7"/>
  <c r="B172" i="7"/>
  <c r="B167" i="7"/>
  <c r="B162" i="7"/>
  <c r="B157" i="7"/>
  <c r="B152" i="7"/>
  <c r="B147" i="7"/>
  <c r="B142" i="7"/>
  <c r="B137" i="7"/>
  <c r="B155" i="7"/>
  <c r="B154" i="7"/>
  <c r="B165" i="7"/>
  <c r="B149" i="7"/>
  <c r="B231" i="7"/>
  <c r="B226" i="7"/>
  <c r="B221" i="7"/>
  <c r="B216" i="7"/>
  <c r="B211" i="7"/>
  <c r="B206" i="7"/>
  <c r="B201" i="7"/>
  <c r="B196" i="7"/>
  <c r="B191" i="7"/>
  <c r="B186" i="7"/>
  <c r="B181" i="7"/>
  <c r="B176" i="7"/>
  <c r="B171" i="7"/>
  <c r="B166" i="7"/>
  <c r="B161" i="7"/>
  <c r="B156" i="7"/>
  <c r="B151" i="7"/>
  <c r="B146" i="7"/>
  <c r="B141" i="7"/>
  <c r="B136" i="7"/>
  <c r="B135" i="7"/>
  <c r="M4" i="7"/>
  <c r="L3" i="7"/>
  <c r="E3" i="7" s="1"/>
  <c r="C15" i="4"/>
  <c r="C14" i="4"/>
  <c r="E32" i="4"/>
  <c r="E78" i="4"/>
  <c r="P45" i="4"/>
  <c r="O122" i="4"/>
  <c r="P105" i="4"/>
  <c r="Q68" i="4"/>
  <c r="P115" i="4"/>
  <c r="Q98" i="4"/>
  <c r="Q28" i="4"/>
  <c r="P120" i="4"/>
  <c r="Q103" i="4"/>
  <c r="O92" i="4"/>
  <c r="Q83" i="4"/>
  <c r="P75" i="4"/>
  <c r="O67" i="4"/>
  <c r="Q58" i="4"/>
  <c r="P50" i="4"/>
  <c r="O42" i="4"/>
  <c r="Q33" i="4"/>
  <c r="P35" i="4"/>
  <c r="Q108" i="4"/>
  <c r="O37" i="4"/>
  <c r="P60" i="4"/>
  <c r="Q113" i="4"/>
  <c r="O97" i="4"/>
  <c r="P90" i="4"/>
  <c r="O82" i="4"/>
  <c r="Q73" i="4"/>
  <c r="P65" i="4"/>
  <c r="O57" i="4"/>
  <c r="Q48" i="4"/>
  <c r="P40" i="4"/>
  <c r="O27" i="4"/>
  <c r="O62" i="4"/>
  <c r="P110" i="4"/>
  <c r="Q93" i="4"/>
  <c r="P85" i="4"/>
  <c r="O77" i="4"/>
  <c r="Q118" i="4"/>
  <c r="O102" i="4"/>
  <c r="O32" i="4"/>
  <c r="O117" i="4"/>
  <c r="P100" i="4"/>
  <c r="O87" i="4"/>
  <c r="Q78" i="4"/>
  <c r="P70" i="4"/>
  <c r="P30" i="4"/>
  <c r="Q43" i="4"/>
  <c r="O107" i="4"/>
  <c r="Q88" i="4"/>
  <c r="P80" i="4"/>
  <c r="O72" i="4"/>
  <c r="Q63" i="4"/>
  <c r="P55" i="4"/>
  <c r="O47" i="4"/>
  <c r="Q38" i="4"/>
  <c r="Q53" i="4"/>
  <c r="O52" i="4"/>
  <c r="O112" i="4"/>
  <c r="P95" i="4"/>
  <c r="P25" i="4"/>
  <c r="Q121" i="4"/>
  <c r="Q111" i="4"/>
  <c r="O100" i="4"/>
  <c r="P88" i="4"/>
  <c r="O65" i="4"/>
  <c r="Q26" i="4"/>
  <c r="O115" i="4"/>
  <c r="Q106" i="4"/>
  <c r="P98" i="4"/>
  <c r="O90" i="4"/>
  <c r="O80" i="4"/>
  <c r="O75" i="4"/>
  <c r="P63" i="4"/>
  <c r="Q56" i="4"/>
  <c r="Q51" i="4"/>
  <c r="Q46" i="4"/>
  <c r="Q41" i="4"/>
  <c r="P38" i="4"/>
  <c r="Q36" i="4"/>
  <c r="O35" i="4"/>
  <c r="O25" i="4"/>
  <c r="P121" i="4"/>
  <c r="Q119" i="4"/>
  <c r="O118" i="4"/>
  <c r="P116" i="4"/>
  <c r="Q114" i="4"/>
  <c r="O113" i="4"/>
  <c r="P111" i="4"/>
  <c r="Q109" i="4"/>
  <c r="O108" i="4"/>
  <c r="P106" i="4"/>
  <c r="Q104" i="4"/>
  <c r="O103" i="4"/>
  <c r="P101" i="4"/>
  <c r="Q99" i="4"/>
  <c r="O98" i="4"/>
  <c r="P96" i="4"/>
  <c r="Q94" i="4"/>
  <c r="O93" i="4"/>
  <c r="P91" i="4"/>
  <c r="Q89" i="4"/>
  <c r="O88" i="4"/>
  <c r="P86" i="4"/>
  <c r="Q84" i="4"/>
  <c r="O83" i="4"/>
  <c r="P81" i="4"/>
  <c r="Q79" i="4"/>
  <c r="O78" i="4"/>
  <c r="P76" i="4"/>
  <c r="Q74" i="4"/>
  <c r="O73" i="4"/>
  <c r="P71" i="4"/>
  <c r="Q69" i="4"/>
  <c r="O68" i="4"/>
  <c r="P66" i="4"/>
  <c r="Q64" i="4"/>
  <c r="O63" i="4"/>
  <c r="P61" i="4"/>
  <c r="Q59" i="4"/>
  <c r="O58" i="4"/>
  <c r="P56" i="4"/>
  <c r="Q54" i="4"/>
  <c r="O53" i="4"/>
  <c r="P51" i="4"/>
  <c r="Q49" i="4"/>
  <c r="O48" i="4"/>
  <c r="P46" i="4"/>
  <c r="Q44" i="4"/>
  <c r="O43" i="4"/>
  <c r="P41" i="4"/>
  <c r="Q39" i="4"/>
  <c r="O38" i="4"/>
  <c r="P36" i="4"/>
  <c r="Q34" i="4"/>
  <c r="O33" i="4"/>
  <c r="P31" i="4"/>
  <c r="Q29" i="4"/>
  <c r="O28" i="4"/>
  <c r="P26" i="4"/>
  <c r="Q24" i="4"/>
  <c r="P113" i="4"/>
  <c r="O105" i="4"/>
  <c r="Q96" i="4"/>
  <c r="O85" i="4"/>
  <c r="P68" i="4"/>
  <c r="P28" i="4"/>
  <c r="Q116" i="4"/>
  <c r="P103" i="4"/>
  <c r="P93" i="4"/>
  <c r="P83" i="4"/>
  <c r="Q76" i="4"/>
  <c r="O70" i="4"/>
  <c r="Q61" i="4"/>
  <c r="P53" i="4"/>
  <c r="P48" i="4"/>
  <c r="P43" i="4"/>
  <c r="O40" i="4"/>
  <c r="O30" i="4"/>
  <c r="Q122" i="4"/>
  <c r="O121" i="4"/>
  <c r="P119" i="4"/>
  <c r="Q117" i="4"/>
  <c r="O116" i="4"/>
  <c r="P114" i="4"/>
  <c r="Q112" i="4"/>
  <c r="O111" i="4"/>
  <c r="P109" i="4"/>
  <c r="Q107" i="4"/>
  <c r="O106" i="4"/>
  <c r="P104" i="4"/>
  <c r="Q102" i="4"/>
  <c r="O101" i="4"/>
  <c r="P99" i="4"/>
  <c r="Q97" i="4"/>
  <c r="O96" i="4"/>
  <c r="P94" i="4"/>
  <c r="Q92" i="4"/>
  <c r="O91" i="4"/>
  <c r="P89" i="4"/>
  <c r="Q87" i="4"/>
  <c r="O86" i="4"/>
  <c r="P84" i="4"/>
  <c r="Q82" i="4"/>
  <c r="O81" i="4"/>
  <c r="P79" i="4"/>
  <c r="Q77" i="4"/>
  <c r="O76" i="4"/>
  <c r="P74" i="4"/>
  <c r="Q72" i="4"/>
  <c r="O71" i="4"/>
  <c r="P69" i="4"/>
  <c r="Q67" i="4"/>
  <c r="O66" i="4"/>
  <c r="P64" i="4"/>
  <c r="Q62" i="4"/>
  <c r="O61" i="4"/>
  <c r="P59" i="4"/>
  <c r="Q57" i="4"/>
  <c r="O56" i="4"/>
  <c r="P54" i="4"/>
  <c r="Q52" i="4"/>
  <c r="O51" i="4"/>
  <c r="P49" i="4"/>
  <c r="Q47" i="4"/>
  <c r="O46" i="4"/>
  <c r="P44" i="4"/>
  <c r="Q42" i="4"/>
  <c r="O41" i="4"/>
  <c r="P39" i="4"/>
  <c r="Q37" i="4"/>
  <c r="O36" i="4"/>
  <c r="P34" i="4"/>
  <c r="Q32" i="4"/>
  <c r="O31" i="4"/>
  <c r="P29" i="4"/>
  <c r="Q27" i="4"/>
  <c r="O26" i="4"/>
  <c r="P24" i="4"/>
  <c r="P118" i="4"/>
  <c r="O110" i="4"/>
  <c r="Q101" i="4"/>
  <c r="Q91" i="4"/>
  <c r="Q81" i="4"/>
  <c r="P73" i="4"/>
  <c r="P58" i="4"/>
  <c r="Q31" i="4"/>
  <c r="O120" i="4"/>
  <c r="P108" i="4"/>
  <c r="O95" i="4"/>
  <c r="Q86" i="4"/>
  <c r="P78" i="4"/>
  <c r="Q71" i="4"/>
  <c r="Q66" i="4"/>
  <c r="O60" i="4"/>
  <c r="O55" i="4"/>
  <c r="O50" i="4"/>
  <c r="O45" i="4"/>
  <c r="P33" i="4"/>
  <c r="P122" i="4"/>
  <c r="Q120" i="4"/>
  <c r="O119" i="4"/>
  <c r="P117" i="4"/>
  <c r="Q115" i="4"/>
  <c r="O114" i="4"/>
  <c r="P112" i="4"/>
  <c r="Q110" i="4"/>
  <c r="O109" i="4"/>
  <c r="P107" i="4"/>
  <c r="Q105" i="4"/>
  <c r="O104" i="4"/>
  <c r="P102" i="4"/>
  <c r="Q100" i="4"/>
  <c r="O99" i="4"/>
  <c r="P97" i="4"/>
  <c r="Q95" i="4"/>
  <c r="O94" i="4"/>
  <c r="P92" i="4"/>
  <c r="Q90" i="4"/>
  <c r="O89" i="4"/>
  <c r="P87" i="4"/>
  <c r="Q85" i="4"/>
  <c r="O84" i="4"/>
  <c r="P82" i="4"/>
  <c r="Q80" i="4"/>
  <c r="O79" i="4"/>
  <c r="P77" i="4"/>
  <c r="Q75" i="4"/>
  <c r="O74" i="4"/>
  <c r="P72" i="4"/>
  <c r="Q70" i="4"/>
  <c r="O69" i="4"/>
  <c r="P67" i="4"/>
  <c r="Q65" i="4"/>
  <c r="O64" i="4"/>
  <c r="P62" i="4"/>
  <c r="Q60" i="4"/>
  <c r="O59" i="4"/>
  <c r="P57" i="4"/>
  <c r="Q55" i="4"/>
  <c r="O54" i="4"/>
  <c r="P52" i="4"/>
  <c r="Q50" i="4"/>
  <c r="O49" i="4"/>
  <c r="P47" i="4"/>
  <c r="Q45" i="4"/>
  <c r="O44" i="4"/>
  <c r="P42" i="4"/>
  <c r="Q40" i="4"/>
  <c r="O39" i="4"/>
  <c r="P37" i="4"/>
  <c r="Q35" i="4"/>
  <c r="O34" i="4"/>
  <c r="P32" i="4"/>
  <c r="Q30" i="4"/>
  <c r="O29" i="4"/>
  <c r="P27" i="4"/>
  <c r="Q25" i="4"/>
  <c r="O24" i="4"/>
  <c r="Q23" i="4"/>
  <c r="P23" i="4"/>
  <c r="I115" i="4"/>
  <c r="J103" i="4"/>
  <c r="J88" i="4"/>
  <c r="I65" i="4"/>
  <c r="I113" i="4"/>
  <c r="I93" i="4"/>
  <c r="I63" i="4"/>
  <c r="K121" i="4"/>
  <c r="K111" i="4"/>
  <c r="K101" i="4"/>
  <c r="J93" i="4"/>
  <c r="K81" i="4"/>
  <c r="I70" i="4"/>
  <c r="K119" i="4"/>
  <c r="K114" i="4"/>
  <c r="I108" i="4"/>
  <c r="K99" i="4"/>
  <c r="K94" i="4"/>
  <c r="I88" i="4"/>
  <c r="I83" i="4"/>
  <c r="J76" i="4"/>
  <c r="K64" i="4"/>
  <c r="K122" i="4"/>
  <c r="I121" i="4"/>
  <c r="J119" i="4"/>
  <c r="K117" i="4"/>
  <c r="I116" i="4"/>
  <c r="J114" i="4"/>
  <c r="K112" i="4"/>
  <c r="I111" i="4"/>
  <c r="J109" i="4"/>
  <c r="K107" i="4"/>
  <c r="I106" i="4"/>
  <c r="J104" i="4"/>
  <c r="K102" i="4"/>
  <c r="I101" i="4"/>
  <c r="J99" i="4"/>
  <c r="K97" i="4"/>
  <c r="I96" i="4"/>
  <c r="J94" i="4"/>
  <c r="K92" i="4"/>
  <c r="I91" i="4"/>
  <c r="J89" i="4"/>
  <c r="K87" i="4"/>
  <c r="I86" i="4"/>
  <c r="J84" i="4"/>
  <c r="K82" i="4"/>
  <c r="I81" i="4"/>
  <c r="J79" i="4"/>
  <c r="K77" i="4"/>
  <c r="I76" i="4"/>
  <c r="J74" i="4"/>
  <c r="K72" i="4"/>
  <c r="I71" i="4"/>
  <c r="J69" i="4"/>
  <c r="K67" i="4"/>
  <c r="I66" i="4"/>
  <c r="J64" i="4"/>
  <c r="K62" i="4"/>
  <c r="I120" i="4"/>
  <c r="I110" i="4"/>
  <c r="J98" i="4"/>
  <c r="K86" i="4"/>
  <c r="K66" i="4"/>
  <c r="J121" i="4"/>
  <c r="I103" i="4"/>
  <c r="I68" i="4"/>
  <c r="J118" i="4"/>
  <c r="J108" i="4"/>
  <c r="I100" i="4"/>
  <c r="K91" i="4"/>
  <c r="I80" i="4"/>
  <c r="K71" i="4"/>
  <c r="I118" i="4"/>
  <c r="J111" i="4"/>
  <c r="K104" i="4"/>
  <c r="I98" i="4"/>
  <c r="J91" i="4"/>
  <c r="J86" i="4"/>
  <c r="J81" i="4"/>
  <c r="K74" i="4"/>
  <c r="J66" i="4"/>
  <c r="J122" i="4"/>
  <c r="K120" i="4"/>
  <c r="I119" i="4"/>
  <c r="J117" i="4"/>
  <c r="K115" i="4"/>
  <c r="I114" i="4"/>
  <c r="J112" i="4"/>
  <c r="K110" i="4"/>
  <c r="I109" i="4"/>
  <c r="J107" i="4"/>
  <c r="K105" i="4"/>
  <c r="I104" i="4"/>
  <c r="J102" i="4"/>
  <c r="K100" i="4"/>
  <c r="I99" i="4"/>
  <c r="J97" i="4"/>
  <c r="K95" i="4"/>
  <c r="I94" i="4"/>
  <c r="J92" i="4"/>
  <c r="K90" i="4"/>
  <c r="I89" i="4"/>
  <c r="J87" i="4"/>
  <c r="K85" i="4"/>
  <c r="I84" i="4"/>
  <c r="J82" i="4"/>
  <c r="K80" i="4"/>
  <c r="I79" i="4"/>
  <c r="J77" i="4"/>
  <c r="K75" i="4"/>
  <c r="I74" i="4"/>
  <c r="J72" i="4"/>
  <c r="K70" i="4"/>
  <c r="I69" i="4"/>
  <c r="J67" i="4"/>
  <c r="K65" i="4"/>
  <c r="I64" i="4"/>
  <c r="J62" i="4"/>
  <c r="K116" i="4"/>
  <c r="K106" i="4"/>
  <c r="K96" i="4"/>
  <c r="I90" i="4"/>
  <c r="J83" i="4"/>
  <c r="J78" i="4"/>
  <c r="K76" i="4"/>
  <c r="I75" i="4"/>
  <c r="J73" i="4"/>
  <c r="J63" i="4"/>
  <c r="J106" i="4"/>
  <c r="J71" i="4"/>
  <c r="J113" i="4"/>
  <c r="I105" i="4"/>
  <c r="I95" i="4"/>
  <c r="I85" i="4"/>
  <c r="J68" i="4"/>
  <c r="J116" i="4"/>
  <c r="K109" i="4"/>
  <c r="J101" i="4"/>
  <c r="J96" i="4"/>
  <c r="K89" i="4"/>
  <c r="K84" i="4"/>
  <c r="K79" i="4"/>
  <c r="I78" i="4"/>
  <c r="I73" i="4"/>
  <c r="K69" i="4"/>
  <c r="I122" i="4"/>
  <c r="J120" i="4"/>
  <c r="K118" i="4"/>
  <c r="I117" i="4"/>
  <c r="J115" i="4"/>
  <c r="K113" i="4"/>
  <c r="I112" i="4"/>
  <c r="J110" i="4"/>
  <c r="K108" i="4"/>
  <c r="I107" i="4"/>
  <c r="J105" i="4"/>
  <c r="K103" i="4"/>
  <c r="I102" i="4"/>
  <c r="J100" i="4"/>
  <c r="K98" i="4"/>
  <c r="I97" i="4"/>
  <c r="J95" i="4"/>
  <c r="K93" i="4"/>
  <c r="I92" i="4"/>
  <c r="J90" i="4"/>
  <c r="K88" i="4"/>
  <c r="I87" i="4"/>
  <c r="J85" i="4"/>
  <c r="K83" i="4"/>
  <c r="I82" i="4"/>
  <c r="J80" i="4"/>
  <c r="K78" i="4"/>
  <c r="I77" i="4"/>
  <c r="J75" i="4"/>
  <c r="K73" i="4"/>
  <c r="I72" i="4"/>
  <c r="J70" i="4"/>
  <c r="K68" i="4"/>
  <c r="I67" i="4"/>
  <c r="J65" i="4"/>
  <c r="K63" i="4"/>
  <c r="I62" i="4"/>
  <c r="J60" i="4"/>
  <c r="K58" i="4"/>
  <c r="I57" i="4"/>
  <c r="J55" i="4"/>
  <c r="K53" i="4"/>
  <c r="I52" i="4"/>
  <c r="J50" i="4"/>
  <c r="K48" i="4"/>
  <c r="I47" i="4"/>
  <c r="J45" i="4"/>
  <c r="K61" i="4"/>
  <c r="I60" i="4"/>
  <c r="J58" i="4"/>
  <c r="K56" i="4"/>
  <c r="I55" i="4"/>
  <c r="J53" i="4"/>
  <c r="K51" i="4"/>
  <c r="I50" i="4"/>
  <c r="J48" i="4"/>
  <c r="K46" i="4"/>
  <c r="I45" i="4"/>
  <c r="J61" i="4"/>
  <c r="K59" i="4"/>
  <c r="I58" i="4"/>
  <c r="J56" i="4"/>
  <c r="K54" i="4"/>
  <c r="I53" i="4"/>
  <c r="J51" i="4"/>
  <c r="K49" i="4"/>
  <c r="I48" i="4"/>
  <c r="J46" i="4"/>
  <c r="K44" i="4"/>
  <c r="I61" i="4"/>
  <c r="J59" i="4"/>
  <c r="K57" i="4"/>
  <c r="I56" i="4"/>
  <c r="J54" i="4"/>
  <c r="K52" i="4"/>
  <c r="I51" i="4"/>
  <c r="J49" i="4"/>
  <c r="K47" i="4"/>
  <c r="I46" i="4"/>
  <c r="J44" i="4"/>
  <c r="K60" i="4"/>
  <c r="I59" i="4"/>
  <c r="J57" i="4"/>
  <c r="K55" i="4"/>
  <c r="I54" i="4"/>
  <c r="J52" i="4"/>
  <c r="K50" i="4"/>
  <c r="I49" i="4"/>
  <c r="J47" i="4"/>
  <c r="K45" i="4"/>
  <c r="I44" i="4"/>
  <c r="I42" i="4"/>
  <c r="I37" i="4"/>
  <c r="J35" i="4"/>
  <c r="J25" i="4"/>
  <c r="I25" i="4"/>
  <c r="K43" i="4"/>
  <c r="K28" i="4"/>
  <c r="J43" i="4"/>
  <c r="J38" i="4"/>
  <c r="J28" i="4"/>
  <c r="I43" i="4"/>
  <c r="J41" i="4"/>
  <c r="K39" i="4"/>
  <c r="I38" i="4"/>
  <c r="J36" i="4"/>
  <c r="K34" i="4"/>
  <c r="I33" i="4"/>
  <c r="J31" i="4"/>
  <c r="K29" i="4"/>
  <c r="I28" i="4"/>
  <c r="J26" i="4"/>
  <c r="K24" i="4"/>
  <c r="I32" i="4"/>
  <c r="K26" i="4"/>
  <c r="J40" i="4"/>
  <c r="J30" i="4"/>
  <c r="K41" i="4"/>
  <c r="K36" i="4"/>
  <c r="I30" i="4"/>
  <c r="K42" i="4"/>
  <c r="I41" i="4"/>
  <c r="J39" i="4"/>
  <c r="K37" i="4"/>
  <c r="I36" i="4"/>
  <c r="J34" i="4"/>
  <c r="K32" i="4"/>
  <c r="I31" i="4"/>
  <c r="J29" i="4"/>
  <c r="K27" i="4"/>
  <c r="I26" i="4"/>
  <c r="J24" i="4"/>
  <c r="I27" i="4"/>
  <c r="J33" i="4"/>
  <c r="K38" i="4"/>
  <c r="K33" i="4"/>
  <c r="I40" i="4"/>
  <c r="I35" i="4"/>
  <c r="K31" i="4"/>
  <c r="J42" i="4"/>
  <c r="K40" i="4"/>
  <c r="I39" i="4"/>
  <c r="J37" i="4"/>
  <c r="K35" i="4"/>
  <c r="I34" i="4"/>
  <c r="J32" i="4"/>
  <c r="K30" i="4"/>
  <c r="I29" i="4"/>
  <c r="J27" i="4"/>
  <c r="K25" i="4"/>
  <c r="I24" i="4"/>
  <c r="K23" i="4"/>
  <c r="J23" i="4"/>
  <c r="D102" i="4"/>
  <c r="C97" i="4"/>
  <c r="C99" i="4"/>
  <c r="D120" i="4"/>
  <c r="D115" i="4"/>
  <c r="D110" i="4"/>
  <c r="E108" i="4"/>
  <c r="C107" i="4"/>
  <c r="E98" i="4"/>
  <c r="E121" i="4"/>
  <c r="C120" i="4"/>
  <c r="U120" i="4" s="1"/>
  <c r="D118" i="4"/>
  <c r="E116" i="4"/>
  <c r="C115" i="4"/>
  <c r="U115" i="4" s="1"/>
  <c r="D113" i="4"/>
  <c r="E111" i="4"/>
  <c r="C110" i="4"/>
  <c r="D108" i="4"/>
  <c r="E106" i="4"/>
  <c r="W106" i="4" s="1"/>
  <c r="C105" i="4"/>
  <c r="D103" i="4"/>
  <c r="E101" i="4"/>
  <c r="C100" i="4"/>
  <c r="D98" i="4"/>
  <c r="E96" i="4"/>
  <c r="D122" i="4"/>
  <c r="D117" i="4"/>
  <c r="C114" i="4"/>
  <c r="D112" i="4"/>
  <c r="E110" i="4"/>
  <c r="C109" i="4"/>
  <c r="U109" i="4" s="1"/>
  <c r="D107" i="4"/>
  <c r="D97" i="4"/>
  <c r="D100" i="4"/>
  <c r="C119" i="4"/>
  <c r="C104" i="4"/>
  <c r="E118" i="4"/>
  <c r="E113" i="4"/>
  <c r="C102" i="4"/>
  <c r="D121" i="4"/>
  <c r="E119" i="4"/>
  <c r="C118" i="4"/>
  <c r="D116" i="4"/>
  <c r="E114" i="4"/>
  <c r="C113" i="4"/>
  <c r="D111" i="4"/>
  <c r="E109" i="4"/>
  <c r="C108" i="4"/>
  <c r="D106" i="4"/>
  <c r="E104" i="4"/>
  <c r="C103" i="4"/>
  <c r="D101" i="4"/>
  <c r="E99" i="4"/>
  <c r="C98" i="4"/>
  <c r="D96" i="4"/>
  <c r="E120" i="4"/>
  <c r="E100" i="4"/>
  <c r="D105" i="4"/>
  <c r="E115" i="4"/>
  <c r="E105" i="4"/>
  <c r="C122" i="4"/>
  <c r="C117" i="4"/>
  <c r="C112" i="4"/>
  <c r="E103" i="4"/>
  <c r="E122" i="4"/>
  <c r="W122" i="4" s="1"/>
  <c r="C121" i="4"/>
  <c r="D119" i="4"/>
  <c r="E117" i="4"/>
  <c r="C116" i="4"/>
  <c r="D114" i="4"/>
  <c r="E112" i="4"/>
  <c r="C111" i="4"/>
  <c r="D109" i="4"/>
  <c r="V109" i="4" s="1"/>
  <c r="E107" i="4"/>
  <c r="C106" i="4"/>
  <c r="D104" i="4"/>
  <c r="E102" i="4"/>
  <c r="C101" i="4"/>
  <c r="D99" i="4"/>
  <c r="E97" i="4"/>
  <c r="C96" i="4"/>
  <c r="C86" i="4"/>
  <c r="C79" i="4"/>
  <c r="E82" i="4"/>
  <c r="D92" i="4"/>
  <c r="D82" i="4"/>
  <c r="D95" i="4"/>
  <c r="E93" i="4"/>
  <c r="C92" i="4"/>
  <c r="D90" i="4"/>
  <c r="E88" i="4"/>
  <c r="C87" i="4"/>
  <c r="D85" i="4"/>
  <c r="E83" i="4"/>
  <c r="C82" i="4"/>
  <c r="D80" i="4"/>
  <c r="C81" i="4"/>
  <c r="E80" i="4"/>
  <c r="E87" i="4"/>
  <c r="E95" i="4"/>
  <c r="E90" i="4"/>
  <c r="C84" i="4"/>
  <c r="C95" i="4"/>
  <c r="D93" i="4"/>
  <c r="V93" i="4" s="1"/>
  <c r="E91" i="4"/>
  <c r="C90" i="4"/>
  <c r="D88" i="4"/>
  <c r="E86" i="4"/>
  <c r="C85" i="4"/>
  <c r="D83" i="4"/>
  <c r="E81" i="4"/>
  <c r="C80" i="4"/>
  <c r="D78" i="4"/>
  <c r="D94" i="4"/>
  <c r="V94" i="4" s="1"/>
  <c r="E92" i="4"/>
  <c r="C91" i="4"/>
  <c r="D89" i="4"/>
  <c r="D79" i="4"/>
  <c r="E85" i="4"/>
  <c r="D84" i="4"/>
  <c r="C94" i="4"/>
  <c r="C89" i="4"/>
  <c r="D87" i="4"/>
  <c r="E94" i="4"/>
  <c r="C93" i="4"/>
  <c r="D91" i="4"/>
  <c r="E89" i="4"/>
  <c r="C88" i="4"/>
  <c r="D86" i="4"/>
  <c r="E84" i="4"/>
  <c r="C83" i="4"/>
  <c r="D81" i="4"/>
  <c r="E79" i="4"/>
  <c r="C78" i="4"/>
  <c r="E68" i="4"/>
  <c r="C57" i="4"/>
  <c r="E66" i="4"/>
  <c r="C50" i="4"/>
  <c r="C77" i="4"/>
  <c r="C67" i="4"/>
  <c r="D55" i="4"/>
  <c r="C75" i="4"/>
  <c r="C70" i="4"/>
  <c r="D63" i="4"/>
  <c r="E51" i="4"/>
  <c r="D76" i="4"/>
  <c r="V76" i="4" s="1"/>
  <c r="E74" i="4"/>
  <c r="C73" i="4"/>
  <c r="D71" i="4"/>
  <c r="E69" i="4"/>
  <c r="C68" i="4"/>
  <c r="D66" i="4"/>
  <c r="E64" i="4"/>
  <c r="W64" i="4" s="1"/>
  <c r="C63" i="4"/>
  <c r="D61" i="4"/>
  <c r="E59" i="4"/>
  <c r="C58" i="4"/>
  <c r="D56" i="4"/>
  <c r="E54" i="4"/>
  <c r="C53" i="4"/>
  <c r="D51" i="4"/>
  <c r="E49" i="4"/>
  <c r="D70" i="4"/>
  <c r="E63" i="4"/>
  <c r="C62" i="4"/>
  <c r="D60" i="4"/>
  <c r="D50" i="4"/>
  <c r="D53" i="4"/>
  <c r="E73" i="4"/>
  <c r="W73" i="4" s="1"/>
  <c r="D65" i="4"/>
  <c r="E58" i="4"/>
  <c r="W58" i="4" s="1"/>
  <c r="D73" i="4"/>
  <c r="D68" i="4"/>
  <c r="E61" i="4"/>
  <c r="C55" i="4"/>
  <c r="E77" i="4"/>
  <c r="C76" i="4"/>
  <c r="D74" i="4"/>
  <c r="E72" i="4"/>
  <c r="C71" i="4"/>
  <c r="D69" i="4"/>
  <c r="E67" i="4"/>
  <c r="C66" i="4"/>
  <c r="D64" i="4"/>
  <c r="E62" i="4"/>
  <c r="C61" i="4"/>
  <c r="D59" i="4"/>
  <c r="V59" i="4" s="1"/>
  <c r="E57" i="4"/>
  <c r="C56" i="4"/>
  <c r="U56" i="4" s="1"/>
  <c r="D54" i="4"/>
  <c r="E52" i="4"/>
  <c r="W52" i="4" s="1"/>
  <c r="C51" i="4"/>
  <c r="D49" i="4"/>
  <c r="D75" i="4"/>
  <c r="E53" i="4"/>
  <c r="D58" i="4"/>
  <c r="C72" i="4"/>
  <c r="C52" i="4"/>
  <c r="E76" i="4"/>
  <c r="E71" i="4"/>
  <c r="C65" i="4"/>
  <c r="C60" i="4"/>
  <c r="E56" i="4"/>
  <c r="D77" i="4"/>
  <c r="V77" i="4" s="1"/>
  <c r="E75" i="4"/>
  <c r="C74" i="4"/>
  <c r="D72" i="4"/>
  <c r="E70" i="4"/>
  <c r="C69" i="4"/>
  <c r="D67" i="4"/>
  <c r="E65" i="4"/>
  <c r="C64" i="4"/>
  <c r="D62" i="4"/>
  <c r="E60" i="4"/>
  <c r="C59" i="4"/>
  <c r="D57" i="4"/>
  <c r="E55" i="4"/>
  <c r="C54" i="4"/>
  <c r="D52" i="4"/>
  <c r="E50" i="4"/>
  <c r="C49" i="4"/>
  <c r="D42" i="4"/>
  <c r="E40" i="4"/>
  <c r="W40" i="4" s="1"/>
  <c r="C39" i="4"/>
  <c r="U39" i="4" s="1"/>
  <c r="D37" i="4"/>
  <c r="D27" i="4"/>
  <c r="C27" i="4"/>
  <c r="E45" i="4"/>
  <c r="C34" i="4"/>
  <c r="C47" i="4"/>
  <c r="D40" i="4"/>
  <c r="E28" i="4"/>
  <c r="D48" i="4"/>
  <c r="E46" i="4"/>
  <c r="C45" i="4"/>
  <c r="U45" i="4" s="1"/>
  <c r="D43" i="4"/>
  <c r="E41" i="4"/>
  <c r="C40" i="4"/>
  <c r="D38" i="4"/>
  <c r="E36" i="4"/>
  <c r="C35" i="4"/>
  <c r="D33" i="4"/>
  <c r="V33" i="4" s="1"/>
  <c r="E31" i="4"/>
  <c r="C30" i="4"/>
  <c r="D28" i="4"/>
  <c r="E26" i="4"/>
  <c r="C29" i="4"/>
  <c r="C32" i="4"/>
  <c r="C44" i="4"/>
  <c r="U44" i="4" s="1"/>
  <c r="E35" i="4"/>
  <c r="E48" i="4"/>
  <c r="W48" i="4" s="1"/>
  <c r="E43" i="4"/>
  <c r="E38" i="4"/>
  <c r="W38" i="4" s="1"/>
  <c r="D30" i="4"/>
  <c r="V30" i="4" s="1"/>
  <c r="C48" i="4"/>
  <c r="D46" i="4"/>
  <c r="E44" i="4"/>
  <c r="W44" i="4" s="1"/>
  <c r="C43" i="4"/>
  <c r="D41" i="4"/>
  <c r="E39" i="4"/>
  <c r="C38" i="4"/>
  <c r="D36" i="4"/>
  <c r="E34" i="4"/>
  <c r="C33" i="4"/>
  <c r="D31" i="4"/>
  <c r="E29" i="4"/>
  <c r="C28" i="4"/>
  <c r="D26" i="4"/>
  <c r="D32" i="4"/>
  <c r="E33" i="4"/>
  <c r="D47" i="4"/>
  <c r="E30" i="4"/>
  <c r="D45" i="4"/>
  <c r="C42" i="4"/>
  <c r="C37" i="4"/>
  <c r="D35" i="4"/>
  <c r="E47" i="4"/>
  <c r="C46" i="4"/>
  <c r="U46" i="4" s="1"/>
  <c r="D44" i="4"/>
  <c r="V44" i="4" s="1"/>
  <c r="E42" i="4"/>
  <c r="C41" i="4"/>
  <c r="U41" i="4" s="1"/>
  <c r="D39" i="4"/>
  <c r="V39" i="4" s="1"/>
  <c r="E37" i="4"/>
  <c r="W37" i="4" s="1"/>
  <c r="C36" i="4"/>
  <c r="U36" i="4" s="1"/>
  <c r="D34" i="4"/>
  <c r="C31" i="4"/>
  <c r="D29" i="4"/>
  <c r="E27" i="4"/>
  <c r="C26" i="4"/>
  <c r="D25" i="4"/>
  <c r="C25" i="4"/>
  <c r="E24" i="4"/>
  <c r="D24" i="4"/>
  <c r="E25" i="4"/>
  <c r="C24" i="4"/>
  <c r="E23" i="4"/>
  <c r="D23" i="4"/>
  <c r="O23" i="4"/>
  <c r="I23" i="4"/>
  <c r="C23" i="4"/>
  <c r="V23" i="4"/>
  <c r="U23" i="4"/>
  <c r="O14" i="4"/>
  <c r="L3" i="5"/>
  <c r="J3" i="5" s="1"/>
  <c r="M4" i="5"/>
  <c r="E3" i="5"/>
  <c r="I17" i="4"/>
  <c r="P17" i="4"/>
  <c r="O15" i="4"/>
  <c r="I16" i="4"/>
  <c r="J17" i="4"/>
  <c r="K15" i="4"/>
  <c r="J16" i="4"/>
  <c r="K17" i="4"/>
  <c r="K18" i="4"/>
  <c r="J15" i="4"/>
  <c r="I18" i="4"/>
  <c r="J18" i="4"/>
  <c r="K16" i="4"/>
  <c r="I15" i="4"/>
  <c r="K14" i="4"/>
  <c r="J14" i="4"/>
  <c r="E15" i="4"/>
  <c r="C18" i="4"/>
  <c r="D17" i="4"/>
  <c r="E17" i="4"/>
  <c r="E18" i="4"/>
  <c r="C17" i="4"/>
  <c r="D15" i="4"/>
  <c r="C16" i="4"/>
  <c r="D16" i="4"/>
  <c r="D18" i="4"/>
  <c r="E16" i="4"/>
  <c r="E14" i="4"/>
  <c r="D14" i="4"/>
  <c r="Q15" i="4"/>
  <c r="Q17" i="4"/>
  <c r="O17" i="4"/>
  <c r="P15" i="4"/>
  <c r="P16" i="4"/>
  <c r="Q18" i="4"/>
  <c r="O18" i="4"/>
  <c r="O16" i="4"/>
  <c r="P18" i="4"/>
  <c r="Q16" i="4"/>
  <c r="Q14" i="4"/>
  <c r="P14" i="4"/>
  <c r="S37" i="2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G4" i="3"/>
  <c r="E4" i="3" s="1"/>
  <c r="P4" i="3"/>
  <c r="M4" i="3"/>
  <c r="K4" i="3" s="1"/>
  <c r="N3" i="3"/>
  <c r="F3" i="3" s="1"/>
  <c r="O3" i="2"/>
  <c r="M3" i="2" s="1"/>
  <c r="H3" i="2"/>
  <c r="F3" i="2" s="1"/>
  <c r="Q4" i="2" s="1"/>
  <c r="R4" i="2" s="1"/>
  <c r="V72" i="4" l="1"/>
  <c r="U76" i="4"/>
  <c r="W74" i="4"/>
  <c r="V89" i="4"/>
  <c r="V31" i="4"/>
  <c r="W75" i="4"/>
  <c r="V61" i="4"/>
  <c r="W92" i="4"/>
  <c r="W91" i="4"/>
  <c r="V92" i="4"/>
  <c r="U106" i="4"/>
  <c r="V96" i="4"/>
  <c r="W79" i="4"/>
  <c r="U89" i="4"/>
  <c r="W34" i="4"/>
  <c r="U112" i="4"/>
  <c r="V54" i="4"/>
  <c r="V90" i="4"/>
  <c r="W105" i="4"/>
  <c r="W110" i="4"/>
  <c r="V45" i="4"/>
  <c r="U70" i="4"/>
  <c r="W76" i="4"/>
  <c r="W72" i="4"/>
  <c r="W98" i="4"/>
  <c r="U43" i="4"/>
  <c r="U32" i="4"/>
  <c r="W45" i="4"/>
  <c r="W57" i="4"/>
  <c r="W86" i="4"/>
  <c r="U108" i="4"/>
  <c r="U107" i="4"/>
  <c r="M234" i="7"/>
  <c r="U58" i="4"/>
  <c r="W89" i="4"/>
  <c r="V95" i="4"/>
  <c r="U110" i="4"/>
  <c r="W29" i="4"/>
  <c r="V43" i="4"/>
  <c r="V58" i="4"/>
  <c r="U61" i="4"/>
  <c r="W77" i="4"/>
  <c r="W59" i="4"/>
  <c r="U90" i="4"/>
  <c r="V111" i="4"/>
  <c r="V122" i="4"/>
  <c r="K135" i="7"/>
  <c r="L178" i="7"/>
  <c r="L173" i="7"/>
  <c r="L168" i="7"/>
  <c r="L163" i="7"/>
  <c r="L202" i="7"/>
  <c r="L197" i="7"/>
  <c r="L192" i="7"/>
  <c r="L187" i="7"/>
  <c r="L157" i="7"/>
  <c r="L152" i="7"/>
  <c r="L147" i="7"/>
  <c r="L142" i="7"/>
  <c r="L137" i="7"/>
  <c r="L196" i="7"/>
  <c r="L191" i="7"/>
  <c r="L186" i="7"/>
  <c r="L141" i="7"/>
  <c r="L136" i="7"/>
  <c r="L210" i="7"/>
  <c r="L205" i="7"/>
  <c r="L175" i="7"/>
  <c r="L170" i="7"/>
  <c r="L155" i="7"/>
  <c r="L222" i="7"/>
  <c r="L218" i="7"/>
  <c r="L207" i="7"/>
  <c r="L234" i="7"/>
  <c r="L229" i="7"/>
  <c r="L224" i="7"/>
  <c r="L199" i="7"/>
  <c r="L184" i="7"/>
  <c r="L179" i="7"/>
  <c r="L174" i="7"/>
  <c r="L144" i="7"/>
  <c r="L213" i="7"/>
  <c r="L212" i="7"/>
  <c r="M231" i="7"/>
  <c r="M201" i="7"/>
  <c r="M196" i="7"/>
  <c r="M191" i="7"/>
  <c r="M186" i="7"/>
  <c r="M181" i="7"/>
  <c r="M151" i="7"/>
  <c r="M146" i="7"/>
  <c r="M141" i="7"/>
  <c r="M136" i="7"/>
  <c r="M233" i="7"/>
  <c r="M178" i="7"/>
  <c r="M168" i="7"/>
  <c r="M163" i="7"/>
  <c r="M158" i="7"/>
  <c r="M197" i="7"/>
  <c r="M187" i="7"/>
  <c r="M182" i="7"/>
  <c r="M152" i="7"/>
  <c r="M147" i="7"/>
  <c r="M142" i="7"/>
  <c r="M137" i="7"/>
  <c r="M213" i="7"/>
  <c r="M220" i="7"/>
  <c r="M215" i="7"/>
  <c r="M210" i="7"/>
  <c r="M205" i="7"/>
  <c r="M200" i="7"/>
  <c r="M195" i="7"/>
  <c r="M190" i="7"/>
  <c r="M165" i="7"/>
  <c r="M160" i="7"/>
  <c r="M150" i="7"/>
  <c r="M145" i="7"/>
  <c r="M140" i="7"/>
  <c r="M222" i="7"/>
  <c r="M224" i="7"/>
  <c r="M214" i="7"/>
  <c r="M209" i="7"/>
  <c r="M184" i="7"/>
  <c r="M179" i="7"/>
  <c r="M174" i="7"/>
  <c r="M169" i="7"/>
  <c r="M164" i="7"/>
  <c r="M159" i="7"/>
  <c r="M212" i="7"/>
  <c r="M208" i="7"/>
  <c r="U33" i="4"/>
  <c r="W61" i="4"/>
  <c r="W63" i="4"/>
  <c r="U78" i="4"/>
  <c r="W107" i="4"/>
  <c r="V98" i="4"/>
  <c r="W32" i="4"/>
  <c r="U60" i="4"/>
  <c r="V66" i="4"/>
  <c r="U80" i="4"/>
  <c r="V107" i="4"/>
  <c r="U97" i="4"/>
  <c r="W78" i="4"/>
  <c r="V47" i="4"/>
  <c r="U49" i="4"/>
  <c r="W81" i="4"/>
  <c r="W90" i="4"/>
  <c r="V103" i="4"/>
  <c r="U67" i="4"/>
  <c r="W84" i="4"/>
  <c r="W97" i="4"/>
  <c r="V114" i="4"/>
  <c r="W54" i="4"/>
  <c r="U77" i="4"/>
  <c r="U85" i="4"/>
  <c r="W87" i="4"/>
  <c r="W70" i="4"/>
  <c r="V74" i="4"/>
  <c r="W80" i="4"/>
  <c r="W93" i="4"/>
  <c r="U101" i="4"/>
  <c r="V105" i="4"/>
  <c r="W113" i="4"/>
  <c r="U122" i="4"/>
  <c r="W47" i="4"/>
  <c r="V88" i="4"/>
  <c r="V46" i="4"/>
  <c r="U74" i="4"/>
  <c r="V60" i="4"/>
  <c r="U91" i="4"/>
  <c r="V80" i="4"/>
  <c r="V104" i="4"/>
  <c r="U121" i="4"/>
  <c r="W120" i="4"/>
  <c r="U104" i="4"/>
  <c r="V110" i="4"/>
  <c r="L221" i="7"/>
  <c r="L219" i="7"/>
  <c r="L217" i="7"/>
  <c r="L215" i="7"/>
  <c r="L203" i="7"/>
  <c r="L201" i="7"/>
  <c r="L161" i="7"/>
  <c r="L159" i="7"/>
  <c r="L139" i="7"/>
  <c r="L166" i="7"/>
  <c r="L180" i="7"/>
  <c r="L160" i="7"/>
  <c r="L154" i="7"/>
  <c r="L232" i="7"/>
  <c r="L216" i="7"/>
  <c r="L190" i="7"/>
  <c r="L228" i="7"/>
  <c r="L164" i="7"/>
  <c r="L138" i="7"/>
  <c r="L220" i="7"/>
  <c r="L214" i="7"/>
  <c r="L226" i="7"/>
  <c r="L150" i="7"/>
  <c r="M219" i="7"/>
  <c r="M217" i="7"/>
  <c r="M211" i="7"/>
  <c r="M193" i="7"/>
  <c r="M177" i="7"/>
  <c r="M175" i="7"/>
  <c r="M173" i="7"/>
  <c r="M157" i="7"/>
  <c r="M155" i="7"/>
  <c r="M153" i="7"/>
  <c r="M206" i="7"/>
  <c r="M204" i="7"/>
  <c r="M202" i="7"/>
  <c r="M180" i="7"/>
  <c r="M170" i="7"/>
  <c r="M166" i="7"/>
  <c r="M162" i="7"/>
  <c r="M154" i="7"/>
  <c r="M144" i="7"/>
  <c r="M230" i="7"/>
  <c r="K165" i="7"/>
  <c r="K203" i="7"/>
  <c r="K151" i="7"/>
  <c r="K201" i="7"/>
  <c r="K155" i="7"/>
  <c r="K195" i="7"/>
  <c r="K230" i="7"/>
  <c r="K225" i="7"/>
  <c r="K220" i="7"/>
  <c r="K215" i="7"/>
  <c r="K210" i="7"/>
  <c r="K205" i="7"/>
  <c r="K200" i="7"/>
  <c r="K190" i="7"/>
  <c r="K185" i="7"/>
  <c r="K180" i="7"/>
  <c r="K175" i="7"/>
  <c r="K170" i="7"/>
  <c r="K160" i="7"/>
  <c r="K150" i="7"/>
  <c r="K145" i="7"/>
  <c r="K140" i="7"/>
  <c r="K233" i="7"/>
  <c r="K228" i="7"/>
  <c r="K223" i="7"/>
  <c r="K218" i="7"/>
  <c r="K213" i="7"/>
  <c r="K208" i="7"/>
  <c r="K198" i="7"/>
  <c r="K193" i="7"/>
  <c r="K188" i="7"/>
  <c r="K183" i="7"/>
  <c r="K178" i="7"/>
  <c r="K173" i="7"/>
  <c r="K168" i="7"/>
  <c r="K163" i="7"/>
  <c r="K158" i="7"/>
  <c r="K153" i="7"/>
  <c r="K148" i="7"/>
  <c r="K143" i="7"/>
  <c r="K138" i="7"/>
  <c r="K231" i="7"/>
  <c r="K226" i="7"/>
  <c r="K221" i="7"/>
  <c r="K216" i="7"/>
  <c r="K211" i="7"/>
  <c r="K206" i="7"/>
  <c r="K196" i="7"/>
  <c r="K191" i="7"/>
  <c r="K186" i="7"/>
  <c r="K181" i="7"/>
  <c r="K176" i="7"/>
  <c r="K171" i="7"/>
  <c r="K166" i="7"/>
  <c r="K161" i="7"/>
  <c r="K156" i="7"/>
  <c r="K146" i="7"/>
  <c r="K141" i="7"/>
  <c r="K136" i="7"/>
  <c r="K229" i="7"/>
  <c r="K224" i="7"/>
  <c r="K219" i="7"/>
  <c r="K214" i="7"/>
  <c r="K209" i="7"/>
  <c r="K204" i="7"/>
  <c r="K199" i="7"/>
  <c r="K194" i="7"/>
  <c r="K189" i="7"/>
  <c r="K184" i="7"/>
  <c r="K179" i="7"/>
  <c r="K174" i="7"/>
  <c r="K169" i="7"/>
  <c r="K164" i="7"/>
  <c r="K159" i="7"/>
  <c r="K154" i="7"/>
  <c r="K149" i="7"/>
  <c r="K144" i="7"/>
  <c r="K139" i="7"/>
  <c r="K232" i="7"/>
  <c r="K227" i="7"/>
  <c r="K222" i="7"/>
  <c r="K217" i="7"/>
  <c r="K212" i="7"/>
  <c r="K207" i="7"/>
  <c r="K202" i="7"/>
  <c r="K197" i="7"/>
  <c r="K192" i="7"/>
  <c r="K187" i="7"/>
  <c r="K182" i="7"/>
  <c r="K177" i="7"/>
  <c r="K172" i="7"/>
  <c r="K167" i="7"/>
  <c r="K162" i="7"/>
  <c r="K157" i="7"/>
  <c r="K152" i="7"/>
  <c r="K147" i="7"/>
  <c r="K142" i="7"/>
  <c r="K137" i="7"/>
  <c r="L209" i="7"/>
  <c r="L204" i="7"/>
  <c r="L194" i="7"/>
  <c r="L189" i="7"/>
  <c r="L169" i="7"/>
  <c r="L149" i="7"/>
  <c r="L230" i="7"/>
  <c r="L225" i="7"/>
  <c r="L200" i="7"/>
  <c r="L195" i="7"/>
  <c r="L185" i="7"/>
  <c r="L165" i="7"/>
  <c r="L145" i="7"/>
  <c r="L140" i="7"/>
  <c r="L227" i="7"/>
  <c r="L182" i="7"/>
  <c r="L177" i="7"/>
  <c r="L172" i="7"/>
  <c r="L167" i="7"/>
  <c r="L162" i="7"/>
  <c r="L135" i="7"/>
  <c r="L223" i="7"/>
  <c r="L208" i="7"/>
  <c r="L231" i="7"/>
  <c r="L211" i="7"/>
  <c r="L206" i="7"/>
  <c r="L181" i="7"/>
  <c r="L176" i="7"/>
  <c r="L171" i="7"/>
  <c r="L156" i="7"/>
  <c r="L151" i="7"/>
  <c r="L146" i="7"/>
  <c r="L183" i="7"/>
  <c r="L233" i="7"/>
  <c r="L158" i="7"/>
  <c r="L153" i="7"/>
  <c r="L198" i="7"/>
  <c r="L148" i="7"/>
  <c r="L193" i="7"/>
  <c r="L143" i="7"/>
  <c r="L188" i="7"/>
  <c r="M229" i="7"/>
  <c r="M199" i="7"/>
  <c r="M194" i="7"/>
  <c r="M189" i="7"/>
  <c r="M149" i="7"/>
  <c r="M139" i="7"/>
  <c r="M225" i="7"/>
  <c r="M185" i="7"/>
  <c r="M227" i="7"/>
  <c r="M207" i="7"/>
  <c r="M192" i="7"/>
  <c r="M172" i="7"/>
  <c r="M167" i="7"/>
  <c r="M135" i="7"/>
  <c r="M223" i="7"/>
  <c r="M218" i="7"/>
  <c r="M203" i="7"/>
  <c r="M198" i="7"/>
  <c r="M188" i="7"/>
  <c r="M183" i="7"/>
  <c r="M148" i="7"/>
  <c r="M143" i="7"/>
  <c r="M138" i="7"/>
  <c r="M226" i="7"/>
  <c r="M221" i="7"/>
  <c r="M216" i="7"/>
  <c r="M176" i="7"/>
  <c r="M171" i="7"/>
  <c r="M161" i="7"/>
  <c r="M156" i="7"/>
  <c r="M232" i="7"/>
  <c r="M228" i="7"/>
  <c r="U38" i="4"/>
  <c r="U73" i="4"/>
  <c r="V56" i="4"/>
  <c r="V34" i="4"/>
  <c r="U37" i="4"/>
  <c r="V28" i="4"/>
  <c r="V37" i="4"/>
  <c r="U62" i="4"/>
  <c r="W96" i="4"/>
  <c r="V113" i="4"/>
  <c r="J3" i="7"/>
  <c r="V49" i="4"/>
  <c r="W49" i="4"/>
  <c r="V41" i="4"/>
  <c r="U69" i="4"/>
  <c r="V71" i="4"/>
  <c r="V86" i="4"/>
  <c r="W85" i="4"/>
  <c r="U92" i="4"/>
  <c r="V99" i="4"/>
  <c r="U116" i="4"/>
  <c r="W115" i="4"/>
  <c r="V106" i="4"/>
  <c r="V36" i="4"/>
  <c r="U51" i="4"/>
  <c r="V55" i="4"/>
  <c r="W39" i="4"/>
  <c r="W35" i="4"/>
  <c r="W50" i="4"/>
  <c r="W71" i="4"/>
  <c r="W104" i="4"/>
  <c r="V121" i="4"/>
  <c r="U105" i="4"/>
  <c r="W121" i="4"/>
  <c r="W117" i="4"/>
  <c r="U28" i="4"/>
  <c r="U72" i="4"/>
  <c r="W66" i="4"/>
  <c r="W102" i="4"/>
  <c r="V119" i="4"/>
  <c r="W100" i="4"/>
  <c r="V117" i="4"/>
  <c r="W108" i="4"/>
  <c r="F4" i="7"/>
  <c r="D4" i="7" s="1"/>
  <c r="N4" i="7"/>
  <c r="K4" i="7"/>
  <c r="I4" i="7" s="1"/>
  <c r="V65" i="4"/>
  <c r="U42" i="4"/>
  <c r="U82" i="4"/>
  <c r="V115" i="4"/>
  <c r="V35" i="4"/>
  <c r="U57" i="4"/>
  <c r="U88" i="4"/>
  <c r="U114" i="4"/>
  <c r="V91" i="4"/>
  <c r="U93" i="4"/>
  <c r="W111" i="4"/>
  <c r="U113" i="4"/>
  <c r="U119" i="4"/>
  <c r="V67" i="4"/>
  <c r="U71" i="4"/>
  <c r="W69" i="4"/>
  <c r="V84" i="4"/>
  <c r="V83" i="4"/>
  <c r="W95" i="4"/>
  <c r="W88" i="4"/>
  <c r="U96" i="4"/>
  <c r="W112" i="4"/>
  <c r="U103" i="4"/>
  <c r="W119" i="4"/>
  <c r="V102" i="4"/>
  <c r="V79" i="4"/>
  <c r="U102" i="4"/>
  <c r="U81" i="4"/>
  <c r="V108" i="4"/>
  <c r="W118" i="4"/>
  <c r="W68" i="4"/>
  <c r="V82" i="4"/>
  <c r="V64" i="4"/>
  <c r="U63" i="4"/>
  <c r="W94" i="4"/>
  <c r="V62" i="4"/>
  <c r="U66" i="4"/>
  <c r="V68" i="4"/>
  <c r="V70" i="4"/>
  <c r="V87" i="4"/>
  <c r="V78" i="4"/>
  <c r="U95" i="4"/>
  <c r="W83" i="4"/>
  <c r="W82" i="4"/>
  <c r="W103" i="4"/>
  <c r="U98" i="4"/>
  <c r="W114" i="4"/>
  <c r="V100" i="4"/>
  <c r="V120" i="4"/>
  <c r="W62" i="4"/>
  <c r="U64" i="4"/>
  <c r="W67" i="4"/>
  <c r="V73" i="4"/>
  <c r="U75" i="4"/>
  <c r="V81" i="4"/>
  <c r="U84" i="4"/>
  <c r="V85" i="4"/>
  <c r="U79" i="4"/>
  <c r="W99" i="4"/>
  <c r="V116" i="4"/>
  <c r="V97" i="4"/>
  <c r="U100" i="4"/>
  <c r="W116" i="4"/>
  <c r="U99" i="4"/>
  <c r="V112" i="4"/>
  <c r="W109" i="4"/>
  <c r="V75" i="4"/>
  <c r="V63" i="4"/>
  <c r="W65" i="4"/>
  <c r="U65" i="4"/>
  <c r="V69" i="4"/>
  <c r="U68" i="4"/>
  <c r="U83" i="4"/>
  <c r="U94" i="4"/>
  <c r="U87" i="4"/>
  <c r="U86" i="4"/>
  <c r="U111" i="4"/>
  <c r="U117" i="4"/>
  <c r="V101" i="4"/>
  <c r="U118" i="4"/>
  <c r="W101" i="4"/>
  <c r="V118" i="4"/>
  <c r="V52" i="4"/>
  <c r="V48" i="4"/>
  <c r="W56" i="4"/>
  <c r="V51" i="4"/>
  <c r="U54" i="4"/>
  <c r="U52" i="4"/>
  <c r="V53" i="4"/>
  <c r="U50" i="4"/>
  <c r="W55" i="4"/>
  <c r="V57" i="4"/>
  <c r="U47" i="4"/>
  <c r="U48" i="4"/>
  <c r="U59" i="4"/>
  <c r="W53" i="4"/>
  <c r="U55" i="4"/>
  <c r="W51" i="4"/>
  <c r="U53" i="4"/>
  <c r="V50" i="4"/>
  <c r="W46" i="4"/>
  <c r="W60" i="4"/>
  <c r="W30" i="4"/>
  <c r="V42" i="4"/>
  <c r="U31" i="4"/>
  <c r="U29" i="4"/>
  <c r="W41" i="4"/>
  <c r="U35" i="4"/>
  <c r="V40" i="4"/>
  <c r="W31" i="4"/>
  <c r="W42" i="4"/>
  <c r="W33" i="4"/>
  <c r="W36" i="4"/>
  <c r="U30" i="4"/>
  <c r="W28" i="4"/>
  <c r="V32" i="4"/>
  <c r="V38" i="4"/>
  <c r="U34" i="4"/>
  <c r="W43" i="4"/>
  <c r="V29" i="4"/>
  <c r="U40" i="4"/>
  <c r="W27" i="4"/>
  <c r="U24" i="4"/>
  <c r="W23" i="4"/>
  <c r="W24" i="4"/>
  <c r="U26" i="4"/>
  <c r="V27" i="4"/>
  <c r="U25" i="4"/>
  <c r="U27" i="4"/>
  <c r="V25" i="4"/>
  <c r="V24" i="4"/>
  <c r="W26" i="4"/>
  <c r="W25" i="4"/>
  <c r="V26" i="4"/>
  <c r="F4" i="5"/>
  <c r="D4" i="5" s="1"/>
  <c r="K4" i="5"/>
  <c r="I4" i="5" s="1"/>
  <c r="N4" i="5"/>
  <c r="V17" i="4"/>
  <c r="W16" i="4"/>
  <c r="W14" i="4"/>
  <c r="U15" i="4"/>
  <c r="W15" i="4"/>
  <c r="V18" i="4"/>
  <c r="U16" i="4"/>
  <c r="U17" i="4"/>
  <c r="V15" i="4"/>
  <c r="U14" i="4"/>
  <c r="W18" i="4"/>
  <c r="U18" i="4"/>
  <c r="V16" i="4"/>
  <c r="V14" i="4"/>
  <c r="W17" i="4"/>
  <c r="L3" i="3"/>
  <c r="N4" i="3"/>
  <c r="L4" i="3"/>
  <c r="O5" i="3"/>
  <c r="F4" i="3"/>
  <c r="O4" i="2"/>
  <c r="M4" i="2" s="1"/>
  <c r="H4" i="2"/>
  <c r="F4" i="2" s="1"/>
  <c r="Q5" i="2" s="1"/>
  <c r="R5" i="2" s="1"/>
  <c r="P3" i="2"/>
  <c r="G3" i="2" s="1"/>
  <c r="L4" i="7" l="1"/>
  <c r="J4" i="7"/>
  <c r="E4" i="7"/>
  <c r="M5" i="7"/>
  <c r="L4" i="5"/>
  <c r="J4" i="5" s="1"/>
  <c r="M5" i="5"/>
  <c r="P5" i="3"/>
  <c r="G5" i="3"/>
  <c r="E5" i="3" s="1"/>
  <c r="M5" i="3"/>
  <c r="K5" i="3" s="1"/>
  <c r="O5" i="2"/>
  <c r="M5" i="2" s="1"/>
  <c r="H5" i="2"/>
  <c r="F5" i="2" s="1"/>
  <c r="P4" i="2"/>
  <c r="G4" i="2" s="1"/>
  <c r="N3" i="2"/>
  <c r="F5" i="7" l="1"/>
  <c r="D5" i="7" s="1"/>
  <c r="N5" i="7"/>
  <c r="K5" i="7"/>
  <c r="I5" i="7" s="1"/>
  <c r="Y136" i="5"/>
  <c r="E4" i="5"/>
  <c r="K5" i="5"/>
  <c r="I5" i="5" s="1"/>
  <c r="F5" i="5"/>
  <c r="D5" i="5" s="1"/>
  <c r="N5" i="5"/>
  <c r="Q6" i="2"/>
  <c r="R6" i="2" s="1"/>
  <c r="N5" i="3"/>
  <c r="L5" i="3" s="1"/>
  <c r="O6" i="3"/>
  <c r="F5" i="3"/>
  <c r="O6" i="2"/>
  <c r="M6" i="2" s="1"/>
  <c r="H6" i="2"/>
  <c r="F6" i="2" s="1"/>
  <c r="Q7" i="2" s="1"/>
  <c r="R7" i="2" s="1"/>
  <c r="N4" i="2"/>
  <c r="P5" i="2"/>
  <c r="G5" i="2" s="1"/>
  <c r="L5" i="7" l="1"/>
  <c r="J5" i="7"/>
  <c r="E5" i="7"/>
  <c r="M6" i="7"/>
  <c r="AA136" i="5"/>
  <c r="Z136" i="5"/>
  <c r="M6" i="5"/>
  <c r="L5" i="5"/>
  <c r="E5" i="5" s="1"/>
  <c r="M6" i="3"/>
  <c r="K6" i="3" s="1"/>
  <c r="G6" i="3"/>
  <c r="E6" i="3" s="1"/>
  <c r="P6" i="3"/>
  <c r="N5" i="2"/>
  <c r="H7" i="2"/>
  <c r="F7" i="2" s="1"/>
  <c r="O7" i="2"/>
  <c r="M7" i="2" s="1"/>
  <c r="P6" i="2"/>
  <c r="G6" i="2" s="1"/>
  <c r="F6" i="7" l="1"/>
  <c r="D6" i="7" s="1"/>
  <c r="N6" i="7"/>
  <c r="K6" i="7"/>
  <c r="I6" i="7" s="1"/>
  <c r="J5" i="5"/>
  <c r="K6" i="5"/>
  <c r="I6" i="5" s="1"/>
  <c r="F6" i="5"/>
  <c r="D6" i="5" s="1"/>
  <c r="N6" i="5"/>
  <c r="O7" i="3"/>
  <c r="N6" i="3"/>
  <c r="F6" i="3" s="1"/>
  <c r="N6" i="2"/>
  <c r="Q8" i="2"/>
  <c r="R8" i="2" s="1"/>
  <c r="P7" i="2"/>
  <c r="G7" i="2" s="1"/>
  <c r="N7" i="2"/>
  <c r="L6" i="7" l="1"/>
  <c r="J6" i="7" s="1"/>
  <c r="E6" i="7"/>
  <c r="M7" i="7"/>
  <c r="M7" i="5"/>
  <c r="L6" i="5"/>
  <c r="E6" i="5" s="1"/>
  <c r="L6" i="3"/>
  <c r="M7" i="3"/>
  <c r="K7" i="3" s="1"/>
  <c r="G7" i="3"/>
  <c r="E7" i="3" s="1"/>
  <c r="P7" i="3"/>
  <c r="O8" i="2"/>
  <c r="M8" i="2" s="1"/>
  <c r="H8" i="2"/>
  <c r="F8" i="2" s="1"/>
  <c r="Q9" i="2" s="1"/>
  <c r="R9" i="2" s="1"/>
  <c r="F7" i="7" l="1"/>
  <c r="D7" i="7" s="1"/>
  <c r="K7" i="7"/>
  <c r="I7" i="7" s="1"/>
  <c r="N7" i="7"/>
  <c r="J6" i="5"/>
  <c r="K7" i="5"/>
  <c r="I7" i="5" s="1"/>
  <c r="N7" i="5"/>
  <c r="F7" i="5"/>
  <c r="D7" i="5" s="1"/>
  <c r="O8" i="3"/>
  <c r="N7" i="3"/>
  <c r="F7" i="3" s="1"/>
  <c r="L7" i="3"/>
  <c r="O9" i="2"/>
  <c r="M9" i="2" s="1"/>
  <c r="H9" i="2"/>
  <c r="F9" i="2" s="1"/>
  <c r="Q10" i="2" s="1"/>
  <c r="R10" i="2" s="1"/>
  <c r="P8" i="2"/>
  <c r="G8" i="2" s="1"/>
  <c r="L7" i="7" l="1"/>
  <c r="J7" i="7" s="1"/>
  <c r="M8" i="7"/>
  <c r="E7" i="7"/>
  <c r="M8" i="5"/>
  <c r="L7" i="5"/>
  <c r="E7" i="5" s="1"/>
  <c r="P8" i="3"/>
  <c r="M8" i="3"/>
  <c r="K8" i="3" s="1"/>
  <c r="G8" i="3"/>
  <c r="E8" i="3" s="1"/>
  <c r="N8" i="2"/>
  <c r="H10" i="2"/>
  <c r="F10" i="2" s="1"/>
  <c r="O10" i="2"/>
  <c r="M10" i="2" s="1"/>
  <c r="P9" i="2"/>
  <c r="G9" i="2" s="1"/>
  <c r="K8" i="7" l="1"/>
  <c r="I8" i="7" s="1"/>
  <c r="N8" i="7"/>
  <c r="F8" i="7"/>
  <c r="D8" i="7" s="1"/>
  <c r="J7" i="5"/>
  <c r="N8" i="5"/>
  <c r="K8" i="5"/>
  <c r="I8" i="5" s="1"/>
  <c r="F8" i="5"/>
  <c r="D8" i="5" s="1"/>
  <c r="O9" i="3"/>
  <c r="N8" i="3"/>
  <c r="F8" i="3" s="1"/>
  <c r="L8" i="3"/>
  <c r="N9" i="2"/>
  <c r="Q11" i="2"/>
  <c r="R11" i="2" s="1"/>
  <c r="P10" i="2"/>
  <c r="G10" i="2" s="1"/>
  <c r="M9" i="7" l="1"/>
  <c r="L8" i="7"/>
  <c r="E8" i="7" s="1"/>
  <c r="M9" i="5"/>
  <c r="L8" i="5"/>
  <c r="J8" i="5" s="1"/>
  <c r="P9" i="3"/>
  <c r="G9" i="3"/>
  <c r="E9" i="3" s="1"/>
  <c r="M9" i="3"/>
  <c r="K9" i="3" s="1"/>
  <c r="N10" i="2"/>
  <c r="H11" i="2"/>
  <c r="F11" i="2" s="1"/>
  <c r="O11" i="2"/>
  <c r="M11" i="2" s="1"/>
  <c r="J8" i="7" l="1"/>
  <c r="K9" i="7"/>
  <c r="I9" i="7" s="1"/>
  <c r="N9" i="7"/>
  <c r="F9" i="7"/>
  <c r="D9" i="7" s="1"/>
  <c r="E8" i="5"/>
  <c r="N9" i="5"/>
  <c r="K9" i="5"/>
  <c r="I9" i="5" s="1"/>
  <c r="F9" i="5"/>
  <c r="D9" i="5" s="1"/>
  <c r="N9" i="3"/>
  <c r="L9" i="3"/>
  <c r="F9" i="3"/>
  <c r="O10" i="3"/>
  <c r="P11" i="2"/>
  <c r="N11" i="2" s="1"/>
  <c r="Q12" i="2"/>
  <c r="R12" i="2" s="1"/>
  <c r="G11" i="2"/>
  <c r="M10" i="7" l="1"/>
  <c r="L9" i="7"/>
  <c r="E9" i="7" s="1"/>
  <c r="J9" i="7"/>
  <c r="M10" i="5"/>
  <c r="L9" i="5"/>
  <c r="E9" i="5" s="1"/>
  <c r="P10" i="3"/>
  <c r="G10" i="3"/>
  <c r="E10" i="3" s="1"/>
  <c r="M10" i="3"/>
  <c r="K10" i="3" s="1"/>
  <c r="O12" i="2"/>
  <c r="M12" i="2" s="1"/>
  <c r="H12" i="2"/>
  <c r="F12" i="2" s="1"/>
  <c r="Q13" i="2" s="1"/>
  <c r="R13" i="2" s="1"/>
  <c r="K10" i="7" l="1"/>
  <c r="I10" i="7" s="1"/>
  <c r="N10" i="7"/>
  <c r="F10" i="7"/>
  <c r="D10" i="7" s="1"/>
  <c r="J9" i="5"/>
  <c r="N10" i="5"/>
  <c r="F10" i="5"/>
  <c r="D10" i="5" s="1"/>
  <c r="K10" i="5"/>
  <c r="I10" i="5" s="1"/>
  <c r="N10" i="3"/>
  <c r="L10" i="3" s="1"/>
  <c r="O11" i="3"/>
  <c r="F10" i="3"/>
  <c r="P12" i="2"/>
  <c r="G12" i="2" s="1"/>
  <c r="N12" i="2"/>
  <c r="M11" i="7" l="1"/>
  <c r="L10" i="7"/>
  <c r="E10" i="7" s="1"/>
  <c r="J10" i="7"/>
  <c r="L10" i="5"/>
  <c r="J10" i="5" s="1"/>
  <c r="M11" i="5"/>
  <c r="E10" i="5"/>
  <c r="P11" i="3"/>
  <c r="G11" i="3"/>
  <c r="E11" i="3" s="1"/>
  <c r="M11" i="3"/>
  <c r="K11" i="3" s="1"/>
  <c r="H13" i="2"/>
  <c r="F13" i="2" s="1"/>
  <c r="O13" i="2"/>
  <c r="M13" i="2" s="1"/>
  <c r="N11" i="7" l="1"/>
  <c r="K11" i="7"/>
  <c r="I11" i="7" s="1"/>
  <c r="F11" i="7"/>
  <c r="D11" i="7" s="1"/>
  <c r="N11" i="5"/>
  <c r="F11" i="5"/>
  <c r="D11" i="5" s="1"/>
  <c r="K11" i="5"/>
  <c r="I11" i="5" s="1"/>
  <c r="N11" i="3"/>
  <c r="L11" i="3"/>
  <c r="O12" i="3"/>
  <c r="F11" i="3"/>
  <c r="Q14" i="2"/>
  <c r="R14" i="2" s="1"/>
  <c r="P13" i="2"/>
  <c r="N13" i="2" s="1"/>
  <c r="M12" i="7" l="1"/>
  <c r="L11" i="7"/>
  <c r="E11" i="7" s="1"/>
  <c r="J11" i="7"/>
  <c r="L11" i="5"/>
  <c r="J11" i="5" s="1"/>
  <c r="M12" i="5"/>
  <c r="G12" i="3"/>
  <c r="E12" i="3" s="1"/>
  <c r="P12" i="3"/>
  <c r="M12" i="3"/>
  <c r="K12" i="3" s="1"/>
  <c r="G13" i="2"/>
  <c r="O14" i="2"/>
  <c r="M14" i="2" s="1"/>
  <c r="H14" i="2"/>
  <c r="F14" i="2" s="1"/>
  <c r="N12" i="7" l="1"/>
  <c r="F12" i="7"/>
  <c r="D12" i="7" s="1"/>
  <c r="K12" i="7"/>
  <c r="I12" i="7" s="1"/>
  <c r="E11" i="5"/>
  <c r="F12" i="5"/>
  <c r="D12" i="5" s="1"/>
  <c r="N12" i="5"/>
  <c r="K12" i="5"/>
  <c r="I12" i="5" s="1"/>
  <c r="Q15" i="2"/>
  <c r="R15" i="2" s="1"/>
  <c r="N12" i="3"/>
  <c r="L12" i="3"/>
  <c r="F12" i="3"/>
  <c r="O13" i="3"/>
  <c r="O15" i="2"/>
  <c r="M15" i="2" s="1"/>
  <c r="H15" i="2"/>
  <c r="F15" i="2" s="1"/>
  <c r="Q16" i="2" s="1"/>
  <c r="R16" i="2" s="1"/>
  <c r="P14" i="2"/>
  <c r="G14" i="2" s="1"/>
  <c r="L12" i="7" l="1"/>
  <c r="J12" i="7" s="1"/>
  <c r="M13" i="7"/>
  <c r="E12" i="7"/>
  <c r="L12" i="5"/>
  <c r="J12" i="5" s="1"/>
  <c r="M13" i="5"/>
  <c r="P13" i="3"/>
  <c r="M13" i="3"/>
  <c r="K13" i="3" s="1"/>
  <c r="G13" i="3"/>
  <c r="E13" i="3" s="1"/>
  <c r="N14" i="2"/>
  <c r="O16" i="2"/>
  <c r="M16" i="2" s="1"/>
  <c r="H16" i="2"/>
  <c r="F16" i="2" s="1"/>
  <c r="P15" i="2"/>
  <c r="G15" i="2" s="1"/>
  <c r="N13" i="7" l="1"/>
  <c r="K13" i="7"/>
  <c r="I13" i="7" s="1"/>
  <c r="F13" i="7"/>
  <c r="D13" i="7" s="1"/>
  <c r="E12" i="5"/>
  <c r="F13" i="5"/>
  <c r="D13" i="5" s="1"/>
  <c r="K13" i="5"/>
  <c r="I13" i="5" s="1"/>
  <c r="N13" i="5"/>
  <c r="O14" i="3"/>
  <c r="N13" i="3"/>
  <c r="F13" i="3" s="1"/>
  <c r="Q17" i="2"/>
  <c r="R17" i="2" s="1"/>
  <c r="N15" i="2"/>
  <c r="P16" i="2"/>
  <c r="G16" i="2" s="1"/>
  <c r="N16" i="2"/>
  <c r="M14" i="7" l="1"/>
  <c r="L13" i="7"/>
  <c r="E13" i="7" s="1"/>
  <c r="J13" i="7"/>
  <c r="L13" i="5"/>
  <c r="J13" i="5" s="1"/>
  <c r="M14" i="5"/>
  <c r="H17" i="2"/>
  <c r="F17" i="2" s="1"/>
  <c r="O17" i="2"/>
  <c r="M17" i="2" s="1"/>
  <c r="L13" i="3"/>
  <c r="M14" i="3"/>
  <c r="K14" i="3" s="1"/>
  <c r="P14" i="3"/>
  <c r="G14" i="3"/>
  <c r="E14" i="3" s="1"/>
  <c r="Q18" i="2"/>
  <c r="R18" i="2" s="1"/>
  <c r="P17" i="2"/>
  <c r="N17" i="2" s="1"/>
  <c r="F14" i="7" l="1"/>
  <c r="D14" i="7" s="1"/>
  <c r="N14" i="7"/>
  <c r="K14" i="7"/>
  <c r="I14" i="7" s="1"/>
  <c r="E13" i="5"/>
  <c r="F14" i="5"/>
  <c r="D14" i="5" s="1"/>
  <c r="K14" i="5"/>
  <c r="I14" i="5" s="1"/>
  <c r="N14" i="5"/>
  <c r="O15" i="3"/>
  <c r="N14" i="3"/>
  <c r="F14" i="3" s="1"/>
  <c r="L14" i="3"/>
  <c r="G17" i="2"/>
  <c r="H18" i="2"/>
  <c r="F18" i="2" s="1"/>
  <c r="O18" i="2"/>
  <c r="M18" i="2" s="1"/>
  <c r="L14" i="7" l="1"/>
  <c r="J14" i="7" s="1"/>
  <c r="E14" i="7"/>
  <c r="M15" i="7"/>
  <c r="L14" i="5"/>
  <c r="J14" i="5" s="1"/>
  <c r="M15" i="5"/>
  <c r="P15" i="3"/>
  <c r="G15" i="3"/>
  <c r="E15" i="3" s="1"/>
  <c r="M15" i="3"/>
  <c r="K15" i="3" s="1"/>
  <c r="Q19" i="2"/>
  <c r="R19" i="2" s="1"/>
  <c r="P18" i="2"/>
  <c r="N18" i="2"/>
  <c r="G18" i="2"/>
  <c r="F15" i="7" l="1"/>
  <c r="D15" i="7" s="1"/>
  <c r="N15" i="7"/>
  <c r="K15" i="7"/>
  <c r="I15" i="7" s="1"/>
  <c r="E14" i="5"/>
  <c r="K15" i="5"/>
  <c r="I15" i="5" s="1"/>
  <c r="F15" i="5"/>
  <c r="D15" i="5" s="1"/>
  <c r="N15" i="5"/>
  <c r="N15" i="3"/>
  <c r="L15" i="3"/>
  <c r="F15" i="3"/>
  <c r="O16" i="3"/>
  <c r="H19" i="2"/>
  <c r="F19" i="2" s="1"/>
  <c r="O19" i="2"/>
  <c r="M19" i="2" s="1"/>
  <c r="L15" i="7" l="1"/>
  <c r="J15" i="7"/>
  <c r="E15" i="7"/>
  <c r="M16" i="7"/>
  <c r="M16" i="5"/>
  <c r="L15" i="5"/>
  <c r="E15" i="5" s="1"/>
  <c r="M16" i="3"/>
  <c r="K16" i="3" s="1"/>
  <c r="G16" i="3"/>
  <c r="E16" i="3" s="1"/>
  <c r="P16" i="3"/>
  <c r="Q20" i="2"/>
  <c r="R20" i="2" s="1"/>
  <c r="P19" i="2"/>
  <c r="N19" i="2"/>
  <c r="G19" i="2"/>
  <c r="F16" i="7" l="1"/>
  <c r="D16" i="7" s="1"/>
  <c r="N16" i="7"/>
  <c r="K16" i="7"/>
  <c r="I16" i="7" s="1"/>
  <c r="J15" i="5"/>
  <c r="K16" i="5"/>
  <c r="I16" i="5" s="1"/>
  <c r="F16" i="5"/>
  <c r="D16" i="5" s="1"/>
  <c r="N16" i="5"/>
  <c r="N16" i="3"/>
  <c r="L16" i="3" s="1"/>
  <c r="F16" i="3"/>
  <c r="O17" i="3"/>
  <c r="O20" i="2"/>
  <c r="M20" i="2" s="1"/>
  <c r="H20" i="2"/>
  <c r="F20" i="2" s="1"/>
  <c r="Q21" i="2" s="1"/>
  <c r="R21" i="2" s="1"/>
  <c r="L16" i="7" l="1"/>
  <c r="J16" i="7" s="1"/>
  <c r="E16" i="7"/>
  <c r="M17" i="7"/>
  <c r="M17" i="5"/>
  <c r="L16" i="5"/>
  <c r="E16" i="5" s="1"/>
  <c r="G17" i="3"/>
  <c r="E17" i="3" s="1"/>
  <c r="P17" i="3"/>
  <c r="M17" i="3"/>
  <c r="K17" i="3" s="1"/>
  <c r="H21" i="2"/>
  <c r="F21" i="2" s="1"/>
  <c r="O21" i="2"/>
  <c r="M21" i="2" s="1"/>
  <c r="P20" i="2"/>
  <c r="G20" i="2" s="1"/>
  <c r="N20" i="2"/>
  <c r="F17" i="7" l="1"/>
  <c r="D17" i="7" s="1"/>
  <c r="K17" i="7"/>
  <c r="I17" i="7" s="1"/>
  <c r="N17" i="7"/>
  <c r="J16" i="5"/>
  <c r="K17" i="5"/>
  <c r="I17" i="5" s="1"/>
  <c r="N17" i="5"/>
  <c r="F17" i="5"/>
  <c r="D17" i="5" s="1"/>
  <c r="N17" i="3"/>
  <c r="L17" i="3" s="1"/>
  <c r="F17" i="3"/>
  <c r="O18" i="3"/>
  <c r="Q22" i="2"/>
  <c r="R22" i="2" s="1"/>
  <c r="P21" i="2"/>
  <c r="N21" i="2" s="1"/>
  <c r="L17" i="7" l="1"/>
  <c r="J17" i="7" s="1"/>
  <c r="E17" i="7"/>
  <c r="M18" i="7"/>
  <c r="M18" i="5"/>
  <c r="L17" i="5"/>
  <c r="E17" i="5" s="1"/>
  <c r="G18" i="3"/>
  <c r="E18" i="3" s="1"/>
  <c r="P18" i="3"/>
  <c r="M18" i="3"/>
  <c r="K18" i="3" s="1"/>
  <c r="G21" i="2"/>
  <c r="H22" i="2"/>
  <c r="F22" i="2" s="1"/>
  <c r="O22" i="2"/>
  <c r="M22" i="2" s="1"/>
  <c r="P22" i="2" s="1"/>
  <c r="N22" i="2" s="1"/>
  <c r="K18" i="7" l="1"/>
  <c r="I18" i="7" s="1"/>
  <c r="N18" i="7"/>
  <c r="F18" i="7"/>
  <c r="D18" i="7" s="1"/>
  <c r="J17" i="5"/>
  <c r="N18" i="5"/>
  <c r="K18" i="5"/>
  <c r="I18" i="5" s="1"/>
  <c r="F18" i="5"/>
  <c r="D18" i="5" s="1"/>
  <c r="N18" i="3"/>
  <c r="L18" i="3" s="1"/>
  <c r="O19" i="3"/>
  <c r="F18" i="3"/>
  <c r="Q23" i="2"/>
  <c r="R23" i="2" s="1"/>
  <c r="G22" i="2"/>
  <c r="M19" i="7" l="1"/>
  <c r="L18" i="7"/>
  <c r="E18" i="7" s="1"/>
  <c r="M19" i="5"/>
  <c r="L18" i="5"/>
  <c r="E18" i="5" s="1"/>
  <c r="J18" i="5"/>
  <c r="M19" i="3"/>
  <c r="K19" i="3" s="1"/>
  <c r="G19" i="3"/>
  <c r="E19" i="3" s="1"/>
  <c r="P19" i="3"/>
  <c r="O23" i="2"/>
  <c r="M23" i="2" s="1"/>
  <c r="H23" i="2"/>
  <c r="F23" i="2" s="1"/>
  <c r="Q24" i="2" s="1"/>
  <c r="R24" i="2" s="1"/>
  <c r="J18" i="7" l="1"/>
  <c r="K19" i="7"/>
  <c r="I19" i="7" s="1"/>
  <c r="N19" i="7"/>
  <c r="F19" i="7"/>
  <c r="D19" i="7" s="1"/>
  <c r="N19" i="5"/>
  <c r="K19" i="5"/>
  <c r="I19" i="5" s="1"/>
  <c r="F19" i="5"/>
  <c r="D19" i="5" s="1"/>
  <c r="O20" i="3"/>
  <c r="N19" i="3"/>
  <c r="F19" i="3" s="1"/>
  <c r="H24" i="2"/>
  <c r="F24" i="2" s="1"/>
  <c r="O24" i="2"/>
  <c r="M24" i="2" s="1"/>
  <c r="P23" i="2"/>
  <c r="G23" i="2" s="1"/>
  <c r="M20" i="7" l="1"/>
  <c r="L19" i="7"/>
  <c r="E19" i="7" s="1"/>
  <c r="J19" i="7"/>
  <c r="M20" i="5"/>
  <c r="L19" i="5"/>
  <c r="E19" i="5" s="1"/>
  <c r="L19" i="3"/>
  <c r="M20" i="3"/>
  <c r="K20" i="3" s="1"/>
  <c r="P20" i="3"/>
  <c r="G20" i="3"/>
  <c r="E20" i="3" s="1"/>
  <c r="Q25" i="2"/>
  <c r="R25" i="2" s="1"/>
  <c r="N23" i="2"/>
  <c r="P24" i="2"/>
  <c r="N24" i="2" s="1"/>
  <c r="K20" i="7" l="1"/>
  <c r="I20" i="7" s="1"/>
  <c r="N20" i="7"/>
  <c r="F20" i="7"/>
  <c r="D20" i="7" s="1"/>
  <c r="J19" i="5"/>
  <c r="N20" i="5"/>
  <c r="F20" i="5"/>
  <c r="D20" i="5" s="1"/>
  <c r="K20" i="5"/>
  <c r="I20" i="5" s="1"/>
  <c r="O21" i="3"/>
  <c r="N20" i="3"/>
  <c r="F20" i="3" s="1"/>
  <c r="G24" i="2"/>
  <c r="O25" i="2"/>
  <c r="M25" i="2" s="1"/>
  <c r="H25" i="2"/>
  <c r="F25" i="2" s="1"/>
  <c r="M21" i="7" l="1"/>
  <c r="L20" i="7"/>
  <c r="E20" i="7" s="1"/>
  <c r="J20" i="7"/>
  <c r="L20" i="5"/>
  <c r="J20" i="5" s="1"/>
  <c r="M21" i="5"/>
  <c r="L20" i="3"/>
  <c r="G21" i="3"/>
  <c r="E21" i="3" s="1"/>
  <c r="P21" i="3"/>
  <c r="M21" i="3"/>
  <c r="K21" i="3" s="1"/>
  <c r="Q26" i="2"/>
  <c r="R26" i="2" s="1"/>
  <c r="H26" i="2"/>
  <c r="F26" i="2" s="1"/>
  <c r="P25" i="2"/>
  <c r="G25" i="2" s="1"/>
  <c r="N21" i="7" l="1"/>
  <c r="K21" i="7"/>
  <c r="I21" i="7" s="1"/>
  <c r="F21" i="7"/>
  <c r="D21" i="7" s="1"/>
  <c r="E20" i="5"/>
  <c r="N21" i="5"/>
  <c r="F21" i="5"/>
  <c r="D21" i="5" s="1"/>
  <c r="K21" i="5"/>
  <c r="I21" i="5" s="1"/>
  <c r="O26" i="2"/>
  <c r="M26" i="2" s="1"/>
  <c r="Q27" i="2" s="1"/>
  <c r="N21" i="3"/>
  <c r="L21" i="3"/>
  <c r="O22" i="3"/>
  <c r="F21" i="3"/>
  <c r="N25" i="2"/>
  <c r="P26" i="2"/>
  <c r="G26" i="2" s="1"/>
  <c r="M22" i="7" l="1"/>
  <c r="L21" i="7"/>
  <c r="E21" i="7" s="1"/>
  <c r="J21" i="7"/>
  <c r="L21" i="5"/>
  <c r="J21" i="5" s="1"/>
  <c r="M22" i="5"/>
  <c r="R27" i="2"/>
  <c r="H27" i="2"/>
  <c r="F27" i="2" s="1"/>
  <c r="O27" i="2"/>
  <c r="M27" i="2" s="1"/>
  <c r="N26" i="2"/>
  <c r="M22" i="3"/>
  <c r="K22" i="3" s="1"/>
  <c r="G22" i="3"/>
  <c r="E22" i="3" s="1"/>
  <c r="P22" i="3"/>
  <c r="Q28" i="2"/>
  <c r="R28" i="2" s="1"/>
  <c r="P27" i="2"/>
  <c r="N27" i="2" s="1"/>
  <c r="N22" i="7" l="1"/>
  <c r="K22" i="7"/>
  <c r="I22" i="7" s="1"/>
  <c r="F22" i="7"/>
  <c r="D22" i="7" s="1"/>
  <c r="E21" i="5"/>
  <c r="F22" i="5"/>
  <c r="D22" i="5" s="1"/>
  <c r="N22" i="5"/>
  <c r="K22" i="5"/>
  <c r="I22" i="5" s="1"/>
  <c r="O23" i="3"/>
  <c r="N22" i="3"/>
  <c r="F22" i="3" s="1"/>
  <c r="L22" i="3"/>
  <c r="G27" i="2"/>
  <c r="H28" i="2"/>
  <c r="F28" i="2" s="1"/>
  <c r="O28" i="2"/>
  <c r="M28" i="2" s="1"/>
  <c r="P28" i="2" s="1"/>
  <c r="N28" i="2" s="1"/>
  <c r="M23" i="7" l="1"/>
  <c r="L22" i="7"/>
  <c r="E22" i="7" s="1"/>
  <c r="J22" i="7"/>
  <c r="L22" i="5"/>
  <c r="J22" i="5" s="1"/>
  <c r="E22" i="5"/>
  <c r="M23" i="5"/>
  <c r="P23" i="3"/>
  <c r="G23" i="3"/>
  <c r="E23" i="3" s="1"/>
  <c r="M23" i="3"/>
  <c r="K23" i="3" s="1"/>
  <c r="Q29" i="2"/>
  <c r="R29" i="2" s="1"/>
  <c r="G28" i="2"/>
  <c r="N23" i="7" l="1"/>
  <c r="K23" i="7"/>
  <c r="I23" i="7" s="1"/>
  <c r="F23" i="7"/>
  <c r="D23" i="7" s="1"/>
  <c r="F23" i="5"/>
  <c r="D23" i="5" s="1"/>
  <c r="K23" i="5"/>
  <c r="I23" i="5" s="1"/>
  <c r="N23" i="5"/>
  <c r="N23" i="3"/>
  <c r="L23" i="3"/>
  <c r="F23" i="3"/>
  <c r="O24" i="3"/>
  <c r="O29" i="2"/>
  <c r="M29" i="2" s="1"/>
  <c r="H29" i="2"/>
  <c r="F29" i="2" s="1"/>
  <c r="M24" i="7" l="1"/>
  <c r="L23" i="7"/>
  <c r="E23" i="7" s="1"/>
  <c r="L23" i="5"/>
  <c r="J23" i="5" s="1"/>
  <c r="M24" i="5"/>
  <c r="M24" i="3"/>
  <c r="K24" i="3" s="1"/>
  <c r="G24" i="3"/>
  <c r="E24" i="3" s="1"/>
  <c r="P24" i="3"/>
  <c r="Q30" i="2"/>
  <c r="R30" i="2" s="1"/>
  <c r="O30" i="2"/>
  <c r="M30" i="2" s="1"/>
  <c r="H30" i="2"/>
  <c r="F30" i="2" s="1"/>
  <c r="Q31" i="2" s="1"/>
  <c r="R31" i="2" s="1"/>
  <c r="P29" i="2"/>
  <c r="G29" i="2" s="1"/>
  <c r="N29" i="2"/>
  <c r="J23" i="7" l="1"/>
  <c r="F24" i="7"/>
  <c r="D24" i="7" s="1"/>
  <c r="N24" i="7"/>
  <c r="K24" i="7"/>
  <c r="I24" i="7" s="1"/>
  <c r="E23" i="5"/>
  <c r="F24" i="5"/>
  <c r="D24" i="5" s="1"/>
  <c r="K24" i="5"/>
  <c r="I24" i="5" s="1"/>
  <c r="N24" i="5"/>
  <c r="O25" i="3"/>
  <c r="N24" i="3"/>
  <c r="F24" i="3" s="1"/>
  <c r="P30" i="2"/>
  <c r="N30" i="2" s="1"/>
  <c r="L24" i="7" l="1"/>
  <c r="J24" i="7"/>
  <c r="E24" i="7"/>
  <c r="M25" i="7"/>
  <c r="L24" i="5"/>
  <c r="J24" i="5" s="1"/>
  <c r="M25" i="5"/>
  <c r="L24" i="3"/>
  <c r="P25" i="3"/>
  <c r="G25" i="3"/>
  <c r="E25" i="3" s="1"/>
  <c r="M25" i="3"/>
  <c r="K25" i="3" s="1"/>
  <c r="G30" i="2"/>
  <c r="O31" i="2"/>
  <c r="M31" i="2" s="1"/>
  <c r="H31" i="2"/>
  <c r="F31" i="2" s="1"/>
  <c r="F25" i="7" l="1"/>
  <c r="D25" i="7" s="1"/>
  <c r="K25" i="7"/>
  <c r="I25" i="7" s="1"/>
  <c r="N25" i="7"/>
  <c r="E24" i="5"/>
  <c r="K25" i="5"/>
  <c r="I25" i="5" s="1"/>
  <c r="F25" i="5"/>
  <c r="D25" i="5" s="1"/>
  <c r="N25" i="5"/>
  <c r="N25" i="3"/>
  <c r="L25" i="3"/>
  <c r="O26" i="3"/>
  <c r="F25" i="3"/>
  <c r="Q32" i="2"/>
  <c r="R32" i="2" s="1"/>
  <c r="H32" i="2"/>
  <c r="F32" i="2" s="1"/>
  <c r="P31" i="2"/>
  <c r="G31" i="2" s="1"/>
  <c r="L25" i="7" l="1"/>
  <c r="J25" i="7" s="1"/>
  <c r="E25" i="7"/>
  <c r="M26" i="7"/>
  <c r="M26" i="5"/>
  <c r="L25" i="5"/>
  <c r="E25" i="5" s="1"/>
  <c r="P26" i="3"/>
  <c r="M26" i="3"/>
  <c r="K26" i="3" s="1"/>
  <c r="G26" i="3"/>
  <c r="E26" i="3" s="1"/>
  <c r="O32" i="2"/>
  <c r="M32" i="2" s="1"/>
  <c r="N31" i="2"/>
  <c r="Q33" i="2"/>
  <c r="R33" i="2" s="1"/>
  <c r="P32" i="2"/>
  <c r="N32" i="2" s="1"/>
  <c r="F26" i="7" l="1"/>
  <c r="D26" i="7" s="1"/>
  <c r="N26" i="7"/>
  <c r="K26" i="7"/>
  <c r="I26" i="7" s="1"/>
  <c r="J25" i="5"/>
  <c r="K26" i="5"/>
  <c r="I26" i="5" s="1"/>
  <c r="F26" i="5"/>
  <c r="D26" i="5" s="1"/>
  <c r="N26" i="5"/>
  <c r="O27" i="3"/>
  <c r="N26" i="3"/>
  <c r="F26" i="3" s="1"/>
  <c r="L26" i="3"/>
  <c r="G32" i="2"/>
  <c r="H33" i="2"/>
  <c r="F33" i="2" s="1"/>
  <c r="O33" i="2"/>
  <c r="M33" i="2" s="1"/>
  <c r="L26" i="7" l="1"/>
  <c r="J26" i="7" s="1"/>
  <c r="M27" i="7"/>
  <c r="M27" i="5"/>
  <c r="L26" i="5"/>
  <c r="E26" i="5" s="1"/>
  <c r="G27" i="3"/>
  <c r="E27" i="3" s="1"/>
  <c r="M27" i="3"/>
  <c r="K27" i="3" s="1"/>
  <c r="P27" i="3"/>
  <c r="Q34" i="2"/>
  <c r="R34" i="2" s="1"/>
  <c r="P33" i="2"/>
  <c r="N33" i="2"/>
  <c r="G33" i="2"/>
  <c r="E26" i="7" l="1"/>
  <c r="F27" i="7"/>
  <c r="D27" i="7" s="1"/>
  <c r="K27" i="7"/>
  <c r="I27" i="7" s="1"/>
  <c r="N27" i="7"/>
  <c r="J26" i="5"/>
  <c r="K27" i="5"/>
  <c r="I27" i="5" s="1"/>
  <c r="N27" i="5"/>
  <c r="F27" i="5"/>
  <c r="D27" i="5" s="1"/>
  <c r="N27" i="3"/>
  <c r="L27" i="3" s="1"/>
  <c r="O28" i="3"/>
  <c r="F27" i="3"/>
  <c r="O34" i="2"/>
  <c r="M34" i="2" s="1"/>
  <c r="H34" i="2"/>
  <c r="F34" i="2" s="1"/>
  <c r="L27" i="7" l="1"/>
  <c r="J27" i="7" s="1"/>
  <c r="E27" i="7"/>
  <c r="M28" i="7"/>
  <c r="M28" i="5"/>
  <c r="L27" i="5"/>
  <c r="E27" i="5" s="1"/>
  <c r="G28" i="3"/>
  <c r="E28" i="3" s="1"/>
  <c r="P28" i="3"/>
  <c r="M28" i="3"/>
  <c r="K28" i="3" s="1"/>
  <c r="Q35" i="2"/>
  <c r="R35" i="2" s="1"/>
  <c r="O35" i="2"/>
  <c r="M35" i="2" s="1"/>
  <c r="H35" i="2"/>
  <c r="F35" i="2" s="1"/>
  <c r="Q36" i="2" s="1"/>
  <c r="R36" i="2" s="1"/>
  <c r="P34" i="2"/>
  <c r="G34" i="2" s="1"/>
  <c r="N34" i="2"/>
  <c r="K28" i="7" l="1"/>
  <c r="I28" i="7" s="1"/>
  <c r="N28" i="7"/>
  <c r="F28" i="7"/>
  <c r="D28" i="7" s="1"/>
  <c r="J27" i="5"/>
  <c r="N28" i="5"/>
  <c r="K28" i="5"/>
  <c r="I28" i="5" s="1"/>
  <c r="F28" i="5"/>
  <c r="D28" i="5" s="1"/>
  <c r="N28" i="3"/>
  <c r="L28" i="3" s="1"/>
  <c r="F28" i="3"/>
  <c r="O29" i="3"/>
  <c r="O36" i="2"/>
  <c r="M36" i="2" s="1"/>
  <c r="H36" i="2"/>
  <c r="F36" i="2" s="1"/>
  <c r="Q37" i="2" s="1"/>
  <c r="R37" i="2" s="1"/>
  <c r="P35" i="2"/>
  <c r="G35" i="2" s="1"/>
  <c r="M29" i="7" l="1"/>
  <c r="L28" i="7"/>
  <c r="E28" i="7" s="1"/>
  <c r="L28" i="5"/>
  <c r="J28" i="5"/>
  <c r="M29" i="5"/>
  <c r="E28" i="5"/>
  <c r="M29" i="3"/>
  <c r="K29" i="3" s="1"/>
  <c r="P29" i="3"/>
  <c r="G29" i="3"/>
  <c r="E29" i="3" s="1"/>
  <c r="N35" i="2"/>
  <c r="O37" i="2"/>
  <c r="M37" i="2" s="1"/>
  <c r="H37" i="2"/>
  <c r="F37" i="2" s="1"/>
  <c r="Q38" i="2" s="1"/>
  <c r="R38" i="2" s="1"/>
  <c r="P36" i="2"/>
  <c r="G36" i="2" s="1"/>
  <c r="J28" i="7" l="1"/>
  <c r="K29" i="7"/>
  <c r="I29" i="7" s="1"/>
  <c r="N29" i="7"/>
  <c r="F29" i="7"/>
  <c r="D29" i="7" s="1"/>
  <c r="N29" i="5"/>
  <c r="K29" i="5"/>
  <c r="I29" i="5" s="1"/>
  <c r="F29" i="5"/>
  <c r="D29" i="5" s="1"/>
  <c r="O30" i="3"/>
  <c r="N29" i="3"/>
  <c r="F29" i="3" s="1"/>
  <c r="N36" i="2"/>
  <c r="H38" i="2"/>
  <c r="F38" i="2" s="1"/>
  <c r="O38" i="2"/>
  <c r="M38" i="2" s="1"/>
  <c r="P37" i="2"/>
  <c r="G37" i="2" s="1"/>
  <c r="M30" i="7" l="1"/>
  <c r="L29" i="7"/>
  <c r="E29" i="7" s="1"/>
  <c r="J29" i="7"/>
  <c r="M30" i="5"/>
  <c r="L29" i="5"/>
  <c r="E29" i="5" s="1"/>
  <c r="N37" i="2"/>
  <c r="L29" i="3"/>
  <c r="M30" i="3"/>
  <c r="K30" i="3" s="1"/>
  <c r="G30" i="3"/>
  <c r="E30" i="3" s="1"/>
  <c r="P30" i="3"/>
  <c r="Q39" i="2"/>
  <c r="R39" i="2" s="1"/>
  <c r="P38" i="2"/>
  <c r="G38" i="2" s="1"/>
  <c r="K30" i="7" l="1"/>
  <c r="I30" i="7" s="1"/>
  <c r="N30" i="7"/>
  <c r="F30" i="7"/>
  <c r="D30" i="7" s="1"/>
  <c r="J29" i="5"/>
  <c r="N30" i="5"/>
  <c r="F30" i="5"/>
  <c r="D30" i="5" s="1"/>
  <c r="K30" i="5"/>
  <c r="I30" i="5" s="1"/>
  <c r="N38" i="2"/>
  <c r="O31" i="3"/>
  <c r="N30" i="3"/>
  <c r="F30" i="3" s="1"/>
  <c r="L30" i="3"/>
  <c r="H39" i="2"/>
  <c r="F39" i="2" s="1"/>
  <c r="O39" i="2"/>
  <c r="M39" i="2" s="1"/>
  <c r="M31" i="7" l="1"/>
  <c r="L30" i="7"/>
  <c r="E30" i="7" s="1"/>
  <c r="J30" i="7"/>
  <c r="L30" i="5"/>
  <c r="J30" i="5" s="1"/>
  <c r="M31" i="5"/>
  <c r="P31" i="3"/>
  <c r="M31" i="3"/>
  <c r="K31" i="3" s="1"/>
  <c r="G31" i="3"/>
  <c r="E31" i="3" s="1"/>
  <c r="Q40" i="2"/>
  <c r="R40" i="2" s="1"/>
  <c r="P39" i="2"/>
  <c r="N39" i="2" s="1"/>
  <c r="G39" i="2"/>
  <c r="N31" i="7" l="1"/>
  <c r="K31" i="7"/>
  <c r="I31" i="7" s="1"/>
  <c r="F31" i="7"/>
  <c r="D31" i="7" s="1"/>
  <c r="E30" i="5"/>
  <c r="F31" i="5"/>
  <c r="D31" i="5" s="1"/>
  <c r="K31" i="5"/>
  <c r="I31" i="5" s="1"/>
  <c r="N31" i="5"/>
  <c r="O32" i="3"/>
  <c r="N31" i="3"/>
  <c r="F31" i="3" s="1"/>
  <c r="L31" i="3"/>
  <c r="O40" i="2"/>
  <c r="M40" i="2" s="1"/>
  <c r="H40" i="2"/>
  <c r="F40" i="2" s="1"/>
  <c r="Q41" i="2" s="1"/>
  <c r="R41" i="2" s="1"/>
  <c r="M32" i="7" l="1"/>
  <c r="L31" i="7"/>
  <c r="E31" i="7" s="1"/>
  <c r="J31" i="7"/>
  <c r="L31" i="5"/>
  <c r="J31" i="5" s="1"/>
  <c r="E31" i="5"/>
  <c r="M32" i="5"/>
  <c r="P32" i="3"/>
  <c r="G32" i="3"/>
  <c r="E32" i="3" s="1"/>
  <c r="M32" i="3"/>
  <c r="K32" i="3" s="1"/>
  <c r="H41" i="2"/>
  <c r="F41" i="2" s="1"/>
  <c r="O41" i="2"/>
  <c r="M41" i="2" s="1"/>
  <c r="P41" i="2" s="1"/>
  <c r="N41" i="2" s="1"/>
  <c r="P40" i="2"/>
  <c r="G40" i="2" s="1"/>
  <c r="N40" i="2"/>
  <c r="N32" i="7" l="1"/>
  <c r="K32" i="7"/>
  <c r="I32" i="7" s="1"/>
  <c r="F32" i="7"/>
  <c r="D32" i="7" s="1"/>
  <c r="K32" i="5"/>
  <c r="I32" i="5" s="1"/>
  <c r="F32" i="5"/>
  <c r="D32" i="5" s="1"/>
  <c r="N32" i="5"/>
  <c r="N32" i="3"/>
  <c r="L32" i="3"/>
  <c r="F32" i="3"/>
  <c r="O33" i="3"/>
  <c r="Q42" i="2"/>
  <c r="R42" i="2" s="1"/>
  <c r="G41" i="2"/>
  <c r="M33" i="7" l="1"/>
  <c r="L32" i="7"/>
  <c r="E32" i="7" s="1"/>
  <c r="J32" i="7"/>
  <c r="M33" i="5"/>
  <c r="L32" i="5"/>
  <c r="E32" i="5" s="1"/>
  <c r="P33" i="3"/>
  <c r="G33" i="3"/>
  <c r="E33" i="3" s="1"/>
  <c r="M33" i="3"/>
  <c r="K33" i="3" s="1"/>
  <c r="H42" i="2"/>
  <c r="F42" i="2" s="1"/>
  <c r="O42" i="2"/>
  <c r="M42" i="2" s="1"/>
  <c r="P42" i="2" s="1"/>
  <c r="N42" i="2" s="1"/>
  <c r="N33" i="7" l="1"/>
  <c r="K33" i="7"/>
  <c r="I33" i="7" s="1"/>
  <c r="F33" i="7"/>
  <c r="D33" i="7" s="1"/>
  <c r="J32" i="5"/>
  <c r="K33" i="5"/>
  <c r="I33" i="5" s="1"/>
  <c r="F33" i="5"/>
  <c r="D33" i="5" s="1"/>
  <c r="N33" i="5"/>
  <c r="N33" i="3"/>
  <c r="L33" i="3" s="1"/>
  <c r="F33" i="3"/>
  <c r="O34" i="3"/>
  <c r="Q43" i="2"/>
  <c r="R43" i="2" s="1"/>
  <c r="G42" i="2"/>
  <c r="M34" i="7" l="1"/>
  <c r="L33" i="7"/>
  <c r="E33" i="7" s="1"/>
  <c r="J33" i="7"/>
  <c r="M34" i="5"/>
  <c r="L33" i="5"/>
  <c r="E33" i="5" s="1"/>
  <c r="M34" i="3"/>
  <c r="K34" i="3" s="1"/>
  <c r="P34" i="3"/>
  <c r="G34" i="3"/>
  <c r="E34" i="3" s="1"/>
  <c r="O43" i="2"/>
  <c r="M43" i="2" s="1"/>
  <c r="H43" i="2"/>
  <c r="F43" i="2" s="1"/>
  <c r="Q44" i="2" s="1"/>
  <c r="R44" i="2" s="1"/>
  <c r="F34" i="7" l="1"/>
  <c r="D34" i="7" s="1"/>
  <c r="K34" i="7"/>
  <c r="I34" i="7" s="1"/>
  <c r="N34" i="7"/>
  <c r="J33" i="5"/>
  <c r="K34" i="5"/>
  <c r="I34" i="5" s="1"/>
  <c r="N34" i="5"/>
  <c r="F34" i="5"/>
  <c r="D34" i="5" s="1"/>
  <c r="O35" i="3"/>
  <c r="N34" i="3"/>
  <c r="F34" i="3" s="1"/>
  <c r="O44" i="2"/>
  <c r="M44" i="2" s="1"/>
  <c r="H44" i="2"/>
  <c r="F44" i="2" s="1"/>
  <c r="Q45" i="2" s="1"/>
  <c r="R45" i="2" s="1"/>
  <c r="P43" i="2"/>
  <c r="G43" i="2" s="1"/>
  <c r="L34" i="7" l="1"/>
  <c r="J34" i="7"/>
  <c r="E34" i="7"/>
  <c r="M35" i="7"/>
  <c r="M35" i="5"/>
  <c r="L34" i="5"/>
  <c r="E34" i="5" s="1"/>
  <c r="L34" i="3"/>
  <c r="M35" i="3"/>
  <c r="K35" i="3" s="1"/>
  <c r="P35" i="3"/>
  <c r="G35" i="3"/>
  <c r="E35" i="3" s="1"/>
  <c r="N43" i="2"/>
  <c r="O45" i="2"/>
  <c r="M45" i="2" s="1"/>
  <c r="H45" i="2"/>
  <c r="F45" i="2" s="1"/>
  <c r="Q46" i="2" s="1"/>
  <c r="R46" i="2" s="1"/>
  <c r="P44" i="2"/>
  <c r="G44" i="2" s="1"/>
  <c r="F35" i="7" l="1"/>
  <c r="D35" i="7" s="1"/>
  <c r="N35" i="7"/>
  <c r="K35" i="7"/>
  <c r="I35" i="7" s="1"/>
  <c r="J34" i="5"/>
  <c r="N35" i="5"/>
  <c r="F35" i="5"/>
  <c r="D35" i="5" s="1"/>
  <c r="K35" i="5"/>
  <c r="I35" i="5" s="1"/>
  <c r="O36" i="3"/>
  <c r="N35" i="3"/>
  <c r="F35" i="3" s="1"/>
  <c r="L35" i="3"/>
  <c r="N44" i="2"/>
  <c r="H46" i="2"/>
  <c r="F46" i="2" s="1"/>
  <c r="O46" i="2"/>
  <c r="M46" i="2" s="1"/>
  <c r="P45" i="2"/>
  <c r="G45" i="2" s="1"/>
  <c r="L35" i="7" l="1"/>
  <c r="J35" i="7" s="1"/>
  <c r="E35" i="7"/>
  <c r="M36" i="7"/>
  <c r="L35" i="5"/>
  <c r="J35" i="5" s="1"/>
  <c r="M36" i="5"/>
  <c r="E35" i="5"/>
  <c r="P46" i="2"/>
  <c r="N46" i="2" s="1"/>
  <c r="P36" i="3"/>
  <c r="M36" i="3"/>
  <c r="K36" i="3" s="1"/>
  <c r="G36" i="3"/>
  <c r="E36" i="3" s="1"/>
  <c r="N45" i="2"/>
  <c r="Q47" i="2"/>
  <c r="R47" i="2" s="1"/>
  <c r="G46" i="2"/>
  <c r="F36" i="7" l="1"/>
  <c r="D36" i="7" s="1"/>
  <c r="K36" i="7"/>
  <c r="I36" i="7" s="1"/>
  <c r="N36" i="7"/>
  <c r="F36" i="5"/>
  <c r="D36" i="5" s="1"/>
  <c r="N36" i="5"/>
  <c r="K36" i="5"/>
  <c r="I36" i="5" s="1"/>
  <c r="O37" i="3"/>
  <c r="N36" i="3"/>
  <c r="F36" i="3" s="1"/>
  <c r="H47" i="2"/>
  <c r="F47" i="2" s="1"/>
  <c r="O47" i="2"/>
  <c r="M47" i="2" s="1"/>
  <c r="L36" i="7" l="1"/>
  <c r="J36" i="7" s="1"/>
  <c r="E36" i="7"/>
  <c r="M37" i="7"/>
  <c r="L36" i="5"/>
  <c r="J36" i="5" s="1"/>
  <c r="E36" i="5"/>
  <c r="M37" i="5"/>
  <c r="L36" i="3"/>
  <c r="G37" i="3"/>
  <c r="E37" i="3" s="1"/>
  <c r="P37" i="3"/>
  <c r="M37" i="3"/>
  <c r="K37" i="3" s="1"/>
  <c r="Q48" i="2"/>
  <c r="R48" i="2" s="1"/>
  <c r="P47" i="2"/>
  <c r="N47" i="2"/>
  <c r="G47" i="2"/>
  <c r="F37" i="7" l="1"/>
  <c r="D37" i="7" s="1"/>
  <c r="K37" i="7"/>
  <c r="I37" i="7" s="1"/>
  <c r="N37" i="7"/>
  <c r="N37" i="5"/>
  <c r="F37" i="5"/>
  <c r="D37" i="5" s="1"/>
  <c r="K37" i="5"/>
  <c r="I37" i="5" s="1"/>
  <c r="N37" i="3"/>
  <c r="L37" i="3" s="1"/>
  <c r="F37" i="3"/>
  <c r="O38" i="3"/>
  <c r="H48" i="2"/>
  <c r="F48" i="2" s="1"/>
  <c r="O48" i="2"/>
  <c r="M48" i="2" s="1"/>
  <c r="L37" i="7" l="1"/>
  <c r="J37" i="7" s="1"/>
  <c r="M38" i="7"/>
  <c r="L37" i="5"/>
  <c r="J37" i="5" s="1"/>
  <c r="M38" i="5"/>
  <c r="G38" i="3"/>
  <c r="E38" i="3" s="1"/>
  <c r="P38" i="3"/>
  <c r="M38" i="3"/>
  <c r="K38" i="3" s="1"/>
  <c r="Q49" i="2"/>
  <c r="R49" i="2" s="1"/>
  <c r="P48" i="2"/>
  <c r="N48" i="2" s="1"/>
  <c r="G48" i="2"/>
  <c r="E37" i="7" l="1"/>
  <c r="K38" i="7"/>
  <c r="I38" i="7" s="1"/>
  <c r="F38" i="7"/>
  <c r="D38" i="7" s="1"/>
  <c r="N38" i="7"/>
  <c r="E37" i="5"/>
  <c r="F38" i="5"/>
  <c r="D38" i="5" s="1"/>
  <c r="K38" i="5"/>
  <c r="I38" i="5" s="1"/>
  <c r="N38" i="5"/>
  <c r="N38" i="3"/>
  <c r="L38" i="3" s="1"/>
  <c r="F38" i="3"/>
  <c r="O39" i="3"/>
  <c r="H49" i="2"/>
  <c r="F49" i="2" s="1"/>
  <c r="O49" i="2"/>
  <c r="M49" i="2" s="1"/>
  <c r="M39" i="7" l="1"/>
  <c r="L38" i="7"/>
  <c r="E38" i="7" s="1"/>
  <c r="L38" i="5"/>
  <c r="J38" i="5" s="1"/>
  <c r="M39" i="5"/>
  <c r="E38" i="5"/>
  <c r="G39" i="3"/>
  <c r="E39" i="3" s="1"/>
  <c r="M39" i="3"/>
  <c r="K39" i="3" s="1"/>
  <c r="P39" i="3"/>
  <c r="Q50" i="2"/>
  <c r="R50" i="2" s="1"/>
  <c r="P49" i="2"/>
  <c r="N49" i="2"/>
  <c r="G49" i="2"/>
  <c r="J38" i="7" l="1"/>
  <c r="K39" i="7"/>
  <c r="I39" i="7" s="1"/>
  <c r="N39" i="7"/>
  <c r="F39" i="7"/>
  <c r="D39" i="7" s="1"/>
  <c r="N39" i="5"/>
  <c r="K39" i="5"/>
  <c r="I39" i="5" s="1"/>
  <c r="F39" i="5"/>
  <c r="D39" i="5" s="1"/>
  <c r="N39" i="3"/>
  <c r="L39" i="3" s="1"/>
  <c r="O40" i="3"/>
  <c r="F39" i="3"/>
  <c r="O50" i="2"/>
  <c r="M50" i="2" s="1"/>
  <c r="H50" i="2"/>
  <c r="F50" i="2" s="1"/>
  <c r="Q51" i="2" s="1"/>
  <c r="R51" i="2" s="1"/>
  <c r="M40" i="7" l="1"/>
  <c r="L39" i="7"/>
  <c r="E39" i="7" s="1"/>
  <c r="J39" i="7"/>
  <c r="M40" i="5"/>
  <c r="L39" i="5"/>
  <c r="E39" i="5" s="1"/>
  <c r="M40" i="3"/>
  <c r="K40" i="3" s="1"/>
  <c r="P40" i="3"/>
  <c r="G40" i="3"/>
  <c r="E40" i="3" s="1"/>
  <c r="O51" i="2"/>
  <c r="M51" i="2" s="1"/>
  <c r="H51" i="2"/>
  <c r="F51" i="2" s="1"/>
  <c r="Q52" i="2" s="1"/>
  <c r="R52" i="2" s="1"/>
  <c r="P50" i="2"/>
  <c r="G50" i="2" s="1"/>
  <c r="K40" i="7" l="1"/>
  <c r="I40" i="7" s="1"/>
  <c r="N40" i="7"/>
  <c r="F40" i="7"/>
  <c r="D40" i="7" s="1"/>
  <c r="J39" i="5"/>
  <c r="N40" i="5"/>
  <c r="F40" i="5"/>
  <c r="D40" i="5" s="1"/>
  <c r="K40" i="5"/>
  <c r="I40" i="5" s="1"/>
  <c r="O41" i="3"/>
  <c r="N40" i="3"/>
  <c r="F40" i="3" s="1"/>
  <c r="L40" i="3"/>
  <c r="N50" i="2"/>
  <c r="O52" i="2"/>
  <c r="M52" i="2" s="1"/>
  <c r="H52" i="2"/>
  <c r="F52" i="2" s="1"/>
  <c r="Q53" i="2" s="1"/>
  <c r="R53" i="2" s="1"/>
  <c r="P51" i="2"/>
  <c r="G51" i="2" s="1"/>
  <c r="N51" i="2"/>
  <c r="M41" i="7" l="1"/>
  <c r="L40" i="7"/>
  <c r="E40" i="7" s="1"/>
  <c r="J40" i="7"/>
  <c r="L40" i="5"/>
  <c r="J40" i="5" s="1"/>
  <c r="M41" i="5"/>
  <c r="P41" i="3"/>
  <c r="G41" i="3"/>
  <c r="E41" i="3" s="1"/>
  <c r="M41" i="3"/>
  <c r="K41" i="3" s="1"/>
  <c r="O53" i="2"/>
  <c r="M53" i="2" s="1"/>
  <c r="H53" i="2"/>
  <c r="F53" i="2" s="1"/>
  <c r="P52" i="2"/>
  <c r="G52" i="2" s="1"/>
  <c r="N52" i="2"/>
  <c r="N41" i="7" l="1"/>
  <c r="K41" i="7"/>
  <c r="I41" i="7" s="1"/>
  <c r="F41" i="7"/>
  <c r="D41" i="7" s="1"/>
  <c r="E40" i="5"/>
  <c r="F41" i="5"/>
  <c r="D41" i="5" s="1"/>
  <c r="N41" i="5"/>
  <c r="K41" i="5"/>
  <c r="I41" i="5" s="1"/>
  <c r="N41" i="3"/>
  <c r="L41" i="3"/>
  <c r="O42" i="3"/>
  <c r="F41" i="3"/>
  <c r="Q54" i="2"/>
  <c r="R54" i="2" s="1"/>
  <c r="O54" i="2"/>
  <c r="M54" i="2" s="1"/>
  <c r="P53" i="2"/>
  <c r="G53" i="2" s="1"/>
  <c r="N53" i="2"/>
  <c r="M42" i="7" l="1"/>
  <c r="L41" i="7"/>
  <c r="E41" i="7" s="1"/>
  <c r="J41" i="7"/>
  <c r="L41" i="5"/>
  <c r="J41" i="5" s="1"/>
  <c r="M42" i="5"/>
  <c r="H54" i="2"/>
  <c r="F54" i="2" s="1"/>
  <c r="M42" i="3"/>
  <c r="K42" i="3" s="1"/>
  <c r="G42" i="3"/>
  <c r="E42" i="3" s="1"/>
  <c r="P42" i="3"/>
  <c r="Q55" i="2"/>
  <c r="R55" i="2" s="1"/>
  <c r="P54" i="2"/>
  <c r="N54" i="2" s="1"/>
  <c r="G54" i="2"/>
  <c r="N42" i="7" l="1"/>
  <c r="F42" i="7"/>
  <c r="D42" i="7" s="1"/>
  <c r="K42" i="7"/>
  <c r="I42" i="7" s="1"/>
  <c r="E41" i="5"/>
  <c r="F42" i="5"/>
  <c r="D42" i="5" s="1"/>
  <c r="K42" i="5"/>
  <c r="I42" i="5" s="1"/>
  <c r="N42" i="5"/>
  <c r="O43" i="3"/>
  <c r="N42" i="3"/>
  <c r="F42" i="3" s="1"/>
  <c r="L42" i="3"/>
  <c r="O55" i="2"/>
  <c r="M55" i="2" s="1"/>
  <c r="H55" i="2"/>
  <c r="F55" i="2" s="1"/>
  <c r="Q56" i="2" s="1"/>
  <c r="R56" i="2" s="1"/>
  <c r="L42" i="7" l="1"/>
  <c r="J42" i="7"/>
  <c r="M43" i="7"/>
  <c r="E42" i="7"/>
  <c r="L42" i="5"/>
  <c r="J42" i="5" s="1"/>
  <c r="M43" i="5"/>
  <c r="P43" i="3"/>
  <c r="M43" i="3"/>
  <c r="K43" i="3" s="1"/>
  <c r="G43" i="3"/>
  <c r="E43" i="3" s="1"/>
  <c r="P55" i="2"/>
  <c r="N55" i="2" s="1"/>
  <c r="N43" i="7" l="1"/>
  <c r="K43" i="7"/>
  <c r="I43" i="7" s="1"/>
  <c r="F43" i="7"/>
  <c r="D43" i="7" s="1"/>
  <c r="E42" i="5"/>
  <c r="K43" i="5"/>
  <c r="I43" i="5" s="1"/>
  <c r="F43" i="5"/>
  <c r="D43" i="5" s="1"/>
  <c r="N43" i="5"/>
  <c r="O44" i="3"/>
  <c r="N43" i="3"/>
  <c r="F43" i="3" s="1"/>
  <c r="L43" i="3"/>
  <c r="G55" i="2"/>
  <c r="H56" i="2"/>
  <c r="F56" i="2" s="1"/>
  <c r="O56" i="2"/>
  <c r="M56" i="2" s="1"/>
  <c r="M44" i="7" l="1"/>
  <c r="L43" i="7"/>
  <c r="E43" i="7" s="1"/>
  <c r="M44" i="5"/>
  <c r="L43" i="5"/>
  <c r="E43" i="5" s="1"/>
  <c r="G44" i="3"/>
  <c r="E44" i="3" s="1"/>
  <c r="M44" i="3"/>
  <c r="K44" i="3" s="1"/>
  <c r="P44" i="3"/>
  <c r="Q57" i="2"/>
  <c r="R57" i="2" s="1"/>
  <c r="P56" i="2"/>
  <c r="N56" i="2" s="1"/>
  <c r="G56" i="2"/>
  <c r="J43" i="7" l="1"/>
  <c r="F44" i="7"/>
  <c r="D44" i="7" s="1"/>
  <c r="N44" i="7"/>
  <c r="K44" i="7"/>
  <c r="I44" i="7" s="1"/>
  <c r="J43" i="5"/>
  <c r="K44" i="5"/>
  <c r="I44" i="5" s="1"/>
  <c r="N44" i="5"/>
  <c r="F44" i="5"/>
  <c r="D44" i="5" s="1"/>
  <c r="N44" i="3"/>
  <c r="L44" i="3" s="1"/>
  <c r="O45" i="3"/>
  <c r="F44" i="3"/>
  <c r="O57" i="2"/>
  <c r="M57" i="2" s="1"/>
  <c r="H57" i="2"/>
  <c r="F57" i="2" s="1"/>
  <c r="Q58" i="2" s="1"/>
  <c r="R58" i="2" s="1"/>
  <c r="L44" i="7" l="1"/>
  <c r="J44" i="7"/>
  <c r="E44" i="7"/>
  <c r="M45" i="7"/>
  <c r="M45" i="5"/>
  <c r="L44" i="5"/>
  <c r="E44" i="5" s="1"/>
  <c r="M45" i="3"/>
  <c r="K45" i="3" s="1"/>
  <c r="P45" i="3"/>
  <c r="G45" i="3"/>
  <c r="E45" i="3" s="1"/>
  <c r="P57" i="2"/>
  <c r="G57" i="2" s="1"/>
  <c r="F45" i="7" l="1"/>
  <c r="D45" i="7" s="1"/>
  <c r="K45" i="7"/>
  <c r="I45" i="7" s="1"/>
  <c r="N45" i="7"/>
  <c r="J44" i="5"/>
  <c r="N45" i="5"/>
  <c r="K45" i="5"/>
  <c r="I45" i="5" s="1"/>
  <c r="F45" i="5"/>
  <c r="D45" i="5" s="1"/>
  <c r="O46" i="3"/>
  <c r="N45" i="3"/>
  <c r="F45" i="3" s="1"/>
  <c r="N57" i="2"/>
  <c r="H58" i="2"/>
  <c r="F58" i="2" s="1"/>
  <c r="O58" i="2"/>
  <c r="M58" i="2" s="1"/>
  <c r="L45" i="7" l="1"/>
  <c r="J45" i="7"/>
  <c r="E45" i="7"/>
  <c r="M46" i="7"/>
  <c r="M46" i="5"/>
  <c r="L45" i="5"/>
  <c r="E45" i="5" s="1"/>
  <c r="L45" i="3"/>
  <c r="P46" i="3"/>
  <c r="M46" i="3"/>
  <c r="K46" i="3" s="1"/>
  <c r="G46" i="3"/>
  <c r="E46" i="3" s="1"/>
  <c r="Q59" i="2"/>
  <c r="R59" i="2" s="1"/>
  <c r="P58" i="2"/>
  <c r="N58" i="2"/>
  <c r="G58" i="2"/>
  <c r="F46" i="7" l="1"/>
  <c r="D46" i="7" s="1"/>
  <c r="N46" i="7"/>
  <c r="K46" i="7"/>
  <c r="I46" i="7" s="1"/>
  <c r="J45" i="5"/>
  <c r="N46" i="5"/>
  <c r="F46" i="5"/>
  <c r="D46" i="5" s="1"/>
  <c r="K46" i="5"/>
  <c r="I46" i="5" s="1"/>
  <c r="O47" i="3"/>
  <c r="N46" i="3"/>
  <c r="F46" i="3" s="1"/>
  <c r="L46" i="3"/>
  <c r="H59" i="2"/>
  <c r="F59" i="2" s="1"/>
  <c r="O59" i="2"/>
  <c r="M59" i="2" s="1"/>
  <c r="L46" i="7" l="1"/>
  <c r="J46" i="7" s="1"/>
  <c r="E46" i="7"/>
  <c r="M47" i="7"/>
  <c r="L46" i="5"/>
  <c r="J46" i="5" s="1"/>
  <c r="M47" i="5"/>
  <c r="G47" i="3"/>
  <c r="E47" i="3" s="1"/>
  <c r="P47" i="3"/>
  <c r="M47" i="3"/>
  <c r="K47" i="3" s="1"/>
  <c r="Q60" i="2"/>
  <c r="R60" i="2" s="1"/>
  <c r="P59" i="2"/>
  <c r="N59" i="2"/>
  <c r="G59" i="2"/>
  <c r="F47" i="7" l="1"/>
  <c r="D47" i="7" s="1"/>
  <c r="K47" i="7"/>
  <c r="I47" i="7" s="1"/>
  <c r="N47" i="7"/>
  <c r="E46" i="5"/>
  <c r="N47" i="5"/>
  <c r="F47" i="5"/>
  <c r="D47" i="5" s="1"/>
  <c r="K47" i="5"/>
  <c r="I47" i="5" s="1"/>
  <c r="N47" i="3"/>
  <c r="L47" i="3" s="1"/>
  <c r="O48" i="3"/>
  <c r="F47" i="3"/>
  <c r="H60" i="2"/>
  <c r="F60" i="2" s="1"/>
  <c r="O60" i="2"/>
  <c r="M60" i="2" s="1"/>
  <c r="L47" i="7" l="1"/>
  <c r="J47" i="7" s="1"/>
  <c r="E47" i="7"/>
  <c r="M48" i="7"/>
  <c r="L47" i="5"/>
  <c r="J47" i="5" s="1"/>
  <c r="M48" i="5"/>
  <c r="M48" i="3"/>
  <c r="K48" i="3" s="1"/>
  <c r="P48" i="3"/>
  <c r="G48" i="3"/>
  <c r="E48" i="3" s="1"/>
  <c r="Q61" i="2"/>
  <c r="R61" i="2" s="1"/>
  <c r="P60" i="2"/>
  <c r="N60" i="2" s="1"/>
  <c r="G60" i="2"/>
  <c r="K48" i="7" l="1"/>
  <c r="I48" i="7" s="1"/>
  <c r="N48" i="7"/>
  <c r="F48" i="7"/>
  <c r="D48" i="7" s="1"/>
  <c r="E47" i="5"/>
  <c r="K48" i="5"/>
  <c r="I48" i="5" s="1"/>
  <c r="F48" i="5"/>
  <c r="D48" i="5" s="1"/>
  <c r="N48" i="5"/>
  <c r="O49" i="3"/>
  <c r="N48" i="3"/>
  <c r="F48" i="3" s="1"/>
  <c r="O61" i="2"/>
  <c r="M61" i="2" s="1"/>
  <c r="H61" i="2"/>
  <c r="F61" i="2" s="1"/>
  <c r="Q62" i="2" s="1"/>
  <c r="R62" i="2" s="1"/>
  <c r="M49" i="7" l="1"/>
  <c r="L48" i="7"/>
  <c r="E48" i="7" s="1"/>
  <c r="M49" i="5"/>
  <c r="L48" i="5"/>
  <c r="J48" i="5" s="1"/>
  <c r="L48" i="3"/>
  <c r="G49" i="3"/>
  <c r="E49" i="3" s="1"/>
  <c r="M49" i="3"/>
  <c r="K49" i="3" s="1"/>
  <c r="P49" i="3"/>
  <c r="O62" i="2"/>
  <c r="M62" i="2" s="1"/>
  <c r="H62" i="2"/>
  <c r="F62" i="2" s="1"/>
  <c r="Q63" i="2" s="1"/>
  <c r="R63" i="2" s="1"/>
  <c r="P61" i="2"/>
  <c r="G61" i="2" s="1"/>
  <c r="N61" i="2"/>
  <c r="J48" i="7" l="1"/>
  <c r="K49" i="7"/>
  <c r="I49" i="7" s="1"/>
  <c r="F49" i="7"/>
  <c r="D49" i="7" s="1"/>
  <c r="N49" i="7"/>
  <c r="E48" i="5"/>
  <c r="K49" i="5"/>
  <c r="I49" i="5" s="1"/>
  <c r="N49" i="5"/>
  <c r="F49" i="5"/>
  <c r="D49" i="5" s="1"/>
  <c r="N49" i="3"/>
  <c r="L49" i="3" s="1"/>
  <c r="F49" i="3"/>
  <c r="O50" i="3"/>
  <c r="H63" i="2"/>
  <c r="F63" i="2" s="1"/>
  <c r="O63" i="2"/>
  <c r="M63" i="2" s="1"/>
  <c r="P63" i="2" s="1"/>
  <c r="N63" i="2" s="1"/>
  <c r="P62" i="2"/>
  <c r="G62" i="2" s="1"/>
  <c r="N62" i="2"/>
  <c r="M50" i="7" l="1"/>
  <c r="L49" i="7"/>
  <c r="E49" i="7" s="1"/>
  <c r="J49" i="7"/>
  <c r="M50" i="5"/>
  <c r="L49" i="5"/>
  <c r="E49" i="5" s="1"/>
  <c r="J49" i="5"/>
  <c r="M50" i="3"/>
  <c r="K50" i="3" s="1"/>
  <c r="P50" i="3"/>
  <c r="G50" i="3"/>
  <c r="E50" i="3" s="1"/>
  <c r="Q64" i="2"/>
  <c r="R64" i="2" s="1"/>
  <c r="G63" i="2"/>
  <c r="K50" i="7" l="1"/>
  <c r="I50" i="7" s="1"/>
  <c r="N50" i="7"/>
  <c r="F50" i="7"/>
  <c r="D50" i="7" s="1"/>
  <c r="N50" i="5"/>
  <c r="K50" i="5"/>
  <c r="I50" i="5" s="1"/>
  <c r="F50" i="5"/>
  <c r="D50" i="5" s="1"/>
  <c r="O51" i="3"/>
  <c r="N50" i="3"/>
  <c r="F50" i="3" s="1"/>
  <c r="H64" i="2"/>
  <c r="F64" i="2" s="1"/>
  <c r="O64" i="2"/>
  <c r="M64" i="2" s="1"/>
  <c r="M51" i="7" l="1"/>
  <c r="L50" i="7"/>
  <c r="E50" i="7" s="1"/>
  <c r="J50" i="7"/>
  <c r="M51" i="5"/>
  <c r="L50" i="5"/>
  <c r="E50" i="5" s="1"/>
  <c r="J50" i="5"/>
  <c r="L50" i="3"/>
  <c r="M51" i="3"/>
  <c r="K51" i="3" s="1"/>
  <c r="P51" i="3"/>
  <c r="G51" i="3"/>
  <c r="E51" i="3" s="1"/>
  <c r="Q65" i="2"/>
  <c r="R65" i="2" s="1"/>
  <c r="P64" i="2"/>
  <c r="N64" i="2"/>
  <c r="G64" i="2"/>
  <c r="N51" i="7" l="1"/>
  <c r="F51" i="7"/>
  <c r="D51" i="7" s="1"/>
  <c r="K51" i="7"/>
  <c r="I51" i="7" s="1"/>
  <c r="F51" i="5"/>
  <c r="D51" i="5" s="1"/>
  <c r="N51" i="5"/>
  <c r="K51" i="5"/>
  <c r="I51" i="5" s="1"/>
  <c r="O52" i="3"/>
  <c r="N51" i="3"/>
  <c r="F51" i="3" s="1"/>
  <c r="L51" i="3"/>
  <c r="H65" i="2"/>
  <c r="F65" i="2" s="1"/>
  <c r="O65" i="2"/>
  <c r="M65" i="2" s="1"/>
  <c r="P65" i="2" s="1"/>
  <c r="N65" i="2" s="1"/>
  <c r="L51" i="7" l="1"/>
  <c r="J51" i="7"/>
  <c r="M52" i="7"/>
  <c r="E51" i="7"/>
  <c r="L51" i="5"/>
  <c r="J51" i="5" s="1"/>
  <c r="E51" i="5"/>
  <c r="M52" i="5"/>
  <c r="P52" i="3"/>
  <c r="M52" i="3"/>
  <c r="K52" i="3" s="1"/>
  <c r="G52" i="3"/>
  <c r="E52" i="3" s="1"/>
  <c r="Q66" i="2"/>
  <c r="R66" i="2" s="1"/>
  <c r="G65" i="2"/>
  <c r="N52" i="7" l="1"/>
  <c r="K52" i="7"/>
  <c r="I52" i="7" s="1"/>
  <c r="F52" i="7"/>
  <c r="D52" i="7" s="1"/>
  <c r="F52" i="5"/>
  <c r="D52" i="5" s="1"/>
  <c r="N52" i="5"/>
  <c r="K52" i="5"/>
  <c r="I52" i="5" s="1"/>
  <c r="O53" i="3"/>
  <c r="N52" i="3"/>
  <c r="F52" i="3" s="1"/>
  <c r="H66" i="2"/>
  <c r="F66" i="2" s="1"/>
  <c r="O66" i="2"/>
  <c r="M66" i="2" s="1"/>
  <c r="P66" i="2" s="1"/>
  <c r="N66" i="2" s="1"/>
  <c r="M53" i="7" l="1"/>
  <c r="L52" i="7"/>
  <c r="E52" i="7" s="1"/>
  <c r="J52" i="7"/>
  <c r="L52" i="5"/>
  <c r="J52" i="5" s="1"/>
  <c r="M53" i="5"/>
  <c r="L52" i="3"/>
  <c r="P53" i="3"/>
  <c r="M53" i="3"/>
  <c r="K53" i="3" s="1"/>
  <c r="G53" i="3"/>
  <c r="E53" i="3" s="1"/>
  <c r="Q67" i="2"/>
  <c r="R67" i="2" s="1"/>
  <c r="G66" i="2"/>
  <c r="N53" i="7" l="1"/>
  <c r="F53" i="7"/>
  <c r="D53" i="7" s="1"/>
  <c r="K53" i="7"/>
  <c r="I53" i="7" s="1"/>
  <c r="E52" i="5"/>
  <c r="K53" i="5"/>
  <c r="I53" i="5" s="1"/>
  <c r="F53" i="5"/>
  <c r="D53" i="5" s="1"/>
  <c r="N53" i="5"/>
  <c r="O54" i="3"/>
  <c r="N53" i="3"/>
  <c r="F53" i="3" s="1"/>
  <c r="L53" i="3"/>
  <c r="H67" i="2"/>
  <c r="F67" i="2" s="1"/>
  <c r="O67" i="2"/>
  <c r="M67" i="2" s="1"/>
  <c r="L53" i="7" l="1"/>
  <c r="J53" i="7"/>
  <c r="E53" i="7"/>
  <c r="M54" i="7"/>
  <c r="M54" i="5"/>
  <c r="L53" i="5"/>
  <c r="E53" i="5" s="1"/>
  <c r="G54" i="3"/>
  <c r="E54" i="3" s="1"/>
  <c r="M54" i="3"/>
  <c r="K54" i="3" s="1"/>
  <c r="P54" i="3"/>
  <c r="Q68" i="2"/>
  <c r="R68" i="2" s="1"/>
  <c r="P67" i="2"/>
  <c r="N67" i="2"/>
  <c r="G67" i="2"/>
  <c r="F54" i="7" l="1"/>
  <c r="D54" i="7" s="1"/>
  <c r="N54" i="7"/>
  <c r="K54" i="7"/>
  <c r="I54" i="7" s="1"/>
  <c r="J53" i="5"/>
  <c r="K54" i="5"/>
  <c r="I54" i="5" s="1"/>
  <c r="N54" i="5"/>
  <c r="F54" i="5"/>
  <c r="D54" i="5" s="1"/>
  <c r="N54" i="3"/>
  <c r="L54" i="3"/>
  <c r="F54" i="3"/>
  <c r="O55" i="3"/>
  <c r="O68" i="2"/>
  <c r="M68" i="2" s="1"/>
  <c r="H68" i="2"/>
  <c r="F68" i="2" s="1"/>
  <c r="Q69" i="2" s="1"/>
  <c r="R69" i="2" s="1"/>
  <c r="L54" i="7" l="1"/>
  <c r="J54" i="7"/>
  <c r="E54" i="7"/>
  <c r="M55" i="7"/>
  <c r="M55" i="5"/>
  <c r="L54" i="5"/>
  <c r="E54" i="5" s="1"/>
  <c r="G55" i="3"/>
  <c r="E55" i="3" s="1"/>
  <c r="M55" i="3"/>
  <c r="K55" i="3" s="1"/>
  <c r="P55" i="3"/>
  <c r="H69" i="2"/>
  <c r="F69" i="2" s="1"/>
  <c r="O69" i="2"/>
  <c r="M69" i="2" s="1"/>
  <c r="P68" i="2"/>
  <c r="G68" i="2" s="1"/>
  <c r="F55" i="7" l="1"/>
  <c r="D55" i="7" s="1"/>
  <c r="N55" i="7"/>
  <c r="K55" i="7"/>
  <c r="I55" i="7" s="1"/>
  <c r="J54" i="5"/>
  <c r="N55" i="5"/>
  <c r="K55" i="5"/>
  <c r="I55" i="5" s="1"/>
  <c r="F55" i="5"/>
  <c r="D55" i="5" s="1"/>
  <c r="N55" i="3"/>
  <c r="L55" i="3" s="1"/>
  <c r="F55" i="3"/>
  <c r="O56" i="3"/>
  <c r="Q70" i="2"/>
  <c r="R70" i="2" s="1"/>
  <c r="N68" i="2"/>
  <c r="P69" i="2"/>
  <c r="G69" i="2" s="1"/>
  <c r="L55" i="7" l="1"/>
  <c r="J55" i="7"/>
  <c r="E55" i="7"/>
  <c r="M56" i="7"/>
  <c r="M56" i="5"/>
  <c r="L55" i="5"/>
  <c r="E55" i="5" s="1"/>
  <c r="N69" i="2"/>
  <c r="M56" i="3"/>
  <c r="K56" i="3" s="1"/>
  <c r="G56" i="3"/>
  <c r="E56" i="3" s="1"/>
  <c r="P56" i="3"/>
  <c r="H70" i="2"/>
  <c r="F70" i="2" s="1"/>
  <c r="O70" i="2"/>
  <c r="M70" i="2" s="1"/>
  <c r="F56" i="7" l="1"/>
  <c r="D56" i="7" s="1"/>
  <c r="N56" i="7"/>
  <c r="K56" i="7"/>
  <c r="I56" i="7" s="1"/>
  <c r="J55" i="5"/>
  <c r="N56" i="5"/>
  <c r="F56" i="5"/>
  <c r="D56" i="5" s="1"/>
  <c r="K56" i="5"/>
  <c r="I56" i="5" s="1"/>
  <c r="O57" i="3"/>
  <c r="N56" i="3"/>
  <c r="F56" i="3" s="1"/>
  <c r="L56" i="3"/>
  <c r="Q71" i="2"/>
  <c r="R71" i="2" s="1"/>
  <c r="P70" i="2"/>
  <c r="N70" i="2"/>
  <c r="G70" i="2"/>
  <c r="L56" i="7" l="1"/>
  <c r="J56" i="7" s="1"/>
  <c r="E56" i="7"/>
  <c r="M57" i="7"/>
  <c r="L56" i="5"/>
  <c r="J56" i="5" s="1"/>
  <c r="E56" i="5"/>
  <c r="M57" i="5"/>
  <c r="G57" i="3"/>
  <c r="E57" i="3" s="1"/>
  <c r="P57" i="3"/>
  <c r="M57" i="3"/>
  <c r="K57" i="3" s="1"/>
  <c r="O71" i="2"/>
  <c r="M71" i="2" s="1"/>
  <c r="H71" i="2"/>
  <c r="F71" i="2" s="1"/>
  <c r="Q72" i="2" s="1"/>
  <c r="R72" i="2" s="1"/>
  <c r="F57" i="7" l="1"/>
  <c r="D57" i="7" s="1"/>
  <c r="K57" i="7"/>
  <c r="I57" i="7" s="1"/>
  <c r="N57" i="7"/>
  <c r="N57" i="5"/>
  <c r="F57" i="5"/>
  <c r="D57" i="5" s="1"/>
  <c r="K57" i="5"/>
  <c r="I57" i="5" s="1"/>
  <c r="N57" i="3"/>
  <c r="L57" i="3"/>
  <c r="O58" i="3"/>
  <c r="F57" i="3"/>
  <c r="P71" i="2"/>
  <c r="N71" i="2" s="1"/>
  <c r="L57" i="7" l="1"/>
  <c r="J57" i="7" s="1"/>
  <c r="M58" i="7"/>
  <c r="E57" i="7"/>
  <c r="L57" i="5"/>
  <c r="J57" i="5"/>
  <c r="E57" i="5"/>
  <c r="M58" i="5"/>
  <c r="P58" i="3"/>
  <c r="M58" i="3"/>
  <c r="K58" i="3" s="1"/>
  <c r="G58" i="3"/>
  <c r="E58" i="3" s="1"/>
  <c r="G71" i="2"/>
  <c r="H72" i="2"/>
  <c r="F72" i="2" s="1"/>
  <c r="O72" i="2"/>
  <c r="M72" i="2" s="1"/>
  <c r="K58" i="7" l="1"/>
  <c r="I58" i="7" s="1"/>
  <c r="N58" i="7"/>
  <c r="F58" i="7"/>
  <c r="D58" i="7" s="1"/>
  <c r="F58" i="5"/>
  <c r="D58" i="5" s="1"/>
  <c r="K58" i="5"/>
  <c r="I58" i="5" s="1"/>
  <c r="N58" i="5"/>
  <c r="O59" i="3"/>
  <c r="N58" i="3"/>
  <c r="F58" i="3" s="1"/>
  <c r="L58" i="3"/>
  <c r="Q73" i="2"/>
  <c r="R73" i="2" s="1"/>
  <c r="P72" i="2"/>
  <c r="N72" i="2" s="1"/>
  <c r="M59" i="7" l="1"/>
  <c r="L58" i="7"/>
  <c r="J58" i="7" s="1"/>
  <c r="L58" i="5"/>
  <c r="J58" i="5" s="1"/>
  <c r="M59" i="5"/>
  <c r="G72" i="2"/>
  <c r="G59" i="3"/>
  <c r="E59" i="3" s="1"/>
  <c r="M59" i="3"/>
  <c r="K59" i="3" s="1"/>
  <c r="P59" i="3"/>
  <c r="H73" i="2"/>
  <c r="F73" i="2" s="1"/>
  <c r="O73" i="2"/>
  <c r="M73" i="2" s="1"/>
  <c r="E58" i="7" l="1"/>
  <c r="K59" i="7"/>
  <c r="I59" i="7" s="1"/>
  <c r="N59" i="7"/>
  <c r="F59" i="7"/>
  <c r="D59" i="7" s="1"/>
  <c r="E58" i="5"/>
  <c r="K59" i="5"/>
  <c r="I59" i="5" s="1"/>
  <c r="F59" i="5"/>
  <c r="D59" i="5" s="1"/>
  <c r="N59" i="5"/>
  <c r="N59" i="3"/>
  <c r="L59" i="3" s="1"/>
  <c r="F59" i="3"/>
  <c r="O60" i="3"/>
  <c r="Q74" i="2"/>
  <c r="R74" i="2" s="1"/>
  <c r="P73" i="2"/>
  <c r="N73" i="2" s="1"/>
  <c r="M60" i="7" l="1"/>
  <c r="L59" i="7"/>
  <c r="E59" i="7" s="1"/>
  <c r="J59" i="7"/>
  <c r="M60" i="5"/>
  <c r="L59" i="5"/>
  <c r="E59" i="5" s="1"/>
  <c r="G73" i="2"/>
  <c r="M60" i="3"/>
  <c r="K60" i="3" s="1"/>
  <c r="G60" i="3"/>
  <c r="E60" i="3" s="1"/>
  <c r="P60" i="3"/>
  <c r="H74" i="2"/>
  <c r="F74" i="2" s="1"/>
  <c r="O74" i="2"/>
  <c r="M74" i="2" s="1"/>
  <c r="K60" i="7" l="1"/>
  <c r="I60" i="7" s="1"/>
  <c r="N60" i="7"/>
  <c r="F60" i="7"/>
  <c r="D60" i="7" s="1"/>
  <c r="J59" i="5"/>
  <c r="N60" i="5"/>
  <c r="K60" i="5"/>
  <c r="I60" i="5" s="1"/>
  <c r="F60" i="5"/>
  <c r="D60" i="5" s="1"/>
  <c r="O61" i="3"/>
  <c r="N60" i="3"/>
  <c r="F60" i="3" s="1"/>
  <c r="Q75" i="2"/>
  <c r="R75" i="2" s="1"/>
  <c r="P74" i="2"/>
  <c r="N74" i="2"/>
  <c r="G74" i="2"/>
  <c r="M61" i="7" l="1"/>
  <c r="L60" i="7"/>
  <c r="E60" i="7" s="1"/>
  <c r="J60" i="7"/>
  <c r="M61" i="5"/>
  <c r="L60" i="5"/>
  <c r="E60" i="5" s="1"/>
  <c r="J60" i="5"/>
  <c r="L60" i="3"/>
  <c r="M61" i="3"/>
  <c r="K61" i="3" s="1"/>
  <c r="G61" i="3"/>
  <c r="E61" i="3" s="1"/>
  <c r="P61" i="3"/>
  <c r="O75" i="2"/>
  <c r="M75" i="2" s="1"/>
  <c r="H75" i="2"/>
  <c r="F75" i="2" s="1"/>
  <c r="Q76" i="2" s="1"/>
  <c r="R76" i="2" s="1"/>
  <c r="N61" i="7" l="1"/>
  <c r="K61" i="7"/>
  <c r="I61" i="7" s="1"/>
  <c r="F61" i="7"/>
  <c r="D61" i="7" s="1"/>
  <c r="F61" i="5"/>
  <c r="D61" i="5" s="1"/>
  <c r="N61" i="5"/>
  <c r="K61" i="5"/>
  <c r="I61" i="5" s="1"/>
  <c r="O62" i="3"/>
  <c r="N61" i="3"/>
  <c r="F61" i="3" s="1"/>
  <c r="L61" i="3"/>
  <c r="H76" i="2"/>
  <c r="F76" i="2" s="1"/>
  <c r="O76" i="2"/>
  <c r="M76" i="2" s="1"/>
  <c r="P76" i="2" s="1"/>
  <c r="N76" i="2" s="1"/>
  <c r="P75" i="2"/>
  <c r="G75" i="2" s="1"/>
  <c r="N75" i="2"/>
  <c r="M62" i="7" l="1"/>
  <c r="L61" i="7"/>
  <c r="E61" i="7" s="1"/>
  <c r="J61" i="7"/>
  <c r="L61" i="5"/>
  <c r="J61" i="5" s="1"/>
  <c r="E61" i="5"/>
  <c r="M62" i="5"/>
  <c r="P62" i="3"/>
  <c r="M62" i="3"/>
  <c r="K62" i="3" s="1"/>
  <c r="G62" i="3"/>
  <c r="E62" i="3" s="1"/>
  <c r="Q77" i="2"/>
  <c r="R77" i="2" s="1"/>
  <c r="G76" i="2"/>
  <c r="N62" i="7" l="1"/>
  <c r="F62" i="7"/>
  <c r="D62" i="7" s="1"/>
  <c r="K62" i="7"/>
  <c r="I62" i="7" s="1"/>
  <c r="N62" i="5"/>
  <c r="F62" i="5"/>
  <c r="D62" i="5" s="1"/>
  <c r="K62" i="5"/>
  <c r="I62" i="5" s="1"/>
  <c r="O63" i="3"/>
  <c r="N62" i="3"/>
  <c r="F62" i="3" s="1"/>
  <c r="L62" i="3"/>
  <c r="H77" i="2"/>
  <c r="F77" i="2" s="1"/>
  <c r="O77" i="2"/>
  <c r="M77" i="2" s="1"/>
  <c r="P77" i="2" s="1"/>
  <c r="N77" i="2" s="1"/>
  <c r="L62" i="7" l="1"/>
  <c r="J62" i="7" s="1"/>
  <c r="M63" i="7"/>
  <c r="E62" i="7"/>
  <c r="L62" i="5"/>
  <c r="J62" i="5" s="1"/>
  <c r="M63" i="5"/>
  <c r="P63" i="3"/>
  <c r="M63" i="3"/>
  <c r="K63" i="3" s="1"/>
  <c r="G63" i="3"/>
  <c r="E63" i="3" s="1"/>
  <c r="Q78" i="2"/>
  <c r="R78" i="2" s="1"/>
  <c r="G77" i="2"/>
  <c r="N63" i="7" l="1"/>
  <c r="K63" i="7"/>
  <c r="I63" i="7" s="1"/>
  <c r="F63" i="7"/>
  <c r="D63" i="7" s="1"/>
  <c r="E62" i="5"/>
  <c r="F63" i="5"/>
  <c r="D63" i="5" s="1"/>
  <c r="K63" i="5"/>
  <c r="I63" i="5" s="1"/>
  <c r="N63" i="5"/>
  <c r="O64" i="3"/>
  <c r="N63" i="3"/>
  <c r="F63" i="3" s="1"/>
  <c r="L63" i="3"/>
  <c r="H78" i="2"/>
  <c r="F78" i="2" s="1"/>
  <c r="O78" i="2"/>
  <c r="M78" i="2" s="1"/>
  <c r="M64" i="7" l="1"/>
  <c r="L63" i="7"/>
  <c r="E63" i="7" s="1"/>
  <c r="J63" i="7"/>
  <c r="L63" i="5"/>
  <c r="J63" i="5" s="1"/>
  <c r="E63" i="5"/>
  <c r="M64" i="5"/>
  <c r="P64" i="3"/>
  <c r="G64" i="3"/>
  <c r="E64" i="3" s="1"/>
  <c r="M64" i="3"/>
  <c r="K64" i="3" s="1"/>
  <c r="Q79" i="2"/>
  <c r="R79" i="2" s="1"/>
  <c r="P78" i="2"/>
  <c r="G78" i="2" s="1"/>
  <c r="N78" i="2"/>
  <c r="F64" i="7" l="1"/>
  <c r="D64" i="7" s="1"/>
  <c r="N64" i="7"/>
  <c r="K64" i="7"/>
  <c r="I64" i="7" s="1"/>
  <c r="K64" i="5"/>
  <c r="I64" i="5" s="1"/>
  <c r="F64" i="5"/>
  <c r="D64" i="5" s="1"/>
  <c r="N64" i="5"/>
  <c r="N64" i="3"/>
  <c r="L64" i="3"/>
  <c r="F64" i="3"/>
  <c r="O65" i="3"/>
  <c r="H79" i="2"/>
  <c r="F79" i="2" s="1"/>
  <c r="O79" i="2"/>
  <c r="M79" i="2" s="1"/>
  <c r="L64" i="7" l="1"/>
  <c r="J64" i="7" s="1"/>
  <c r="E64" i="7"/>
  <c r="M65" i="7"/>
  <c r="M65" i="5"/>
  <c r="L64" i="5"/>
  <c r="E64" i="5" s="1"/>
  <c r="J64" i="5"/>
  <c r="G65" i="3"/>
  <c r="E65" i="3" s="1"/>
  <c r="M65" i="3"/>
  <c r="K65" i="3" s="1"/>
  <c r="P65" i="3"/>
  <c r="Q80" i="2"/>
  <c r="R80" i="2" s="1"/>
  <c r="P79" i="2"/>
  <c r="N79" i="2" s="1"/>
  <c r="F65" i="7" l="1"/>
  <c r="D65" i="7" s="1"/>
  <c r="N65" i="7"/>
  <c r="K65" i="7"/>
  <c r="I65" i="7" s="1"/>
  <c r="N65" i="5"/>
  <c r="K65" i="5"/>
  <c r="I65" i="5" s="1"/>
  <c r="F65" i="5"/>
  <c r="D65" i="5" s="1"/>
  <c r="N65" i="3"/>
  <c r="L65" i="3" s="1"/>
  <c r="F65" i="3"/>
  <c r="O66" i="3"/>
  <c r="G79" i="2"/>
  <c r="H80" i="2"/>
  <c r="F80" i="2" s="1"/>
  <c r="O80" i="2"/>
  <c r="M80" i="2" s="1"/>
  <c r="L65" i="7" l="1"/>
  <c r="J65" i="7"/>
  <c r="E65" i="7"/>
  <c r="M66" i="7"/>
  <c r="M66" i="5"/>
  <c r="L65" i="5"/>
  <c r="E65" i="5" s="1"/>
  <c r="G66" i="3"/>
  <c r="E66" i="3" s="1"/>
  <c r="M66" i="3"/>
  <c r="K66" i="3" s="1"/>
  <c r="P66" i="3"/>
  <c r="Q81" i="2"/>
  <c r="R81" i="2" s="1"/>
  <c r="P80" i="2"/>
  <c r="N80" i="2" s="1"/>
  <c r="G80" i="2"/>
  <c r="F66" i="7" l="1"/>
  <c r="D66" i="7" s="1"/>
  <c r="N66" i="7"/>
  <c r="K66" i="7"/>
  <c r="I66" i="7" s="1"/>
  <c r="J65" i="5"/>
  <c r="N66" i="5"/>
  <c r="K66" i="5"/>
  <c r="I66" i="5" s="1"/>
  <c r="F66" i="5"/>
  <c r="D66" i="5" s="1"/>
  <c r="N66" i="3"/>
  <c r="L66" i="3"/>
  <c r="F66" i="3"/>
  <c r="O67" i="3"/>
  <c r="H81" i="2"/>
  <c r="F81" i="2" s="1"/>
  <c r="O81" i="2"/>
  <c r="M81" i="2" s="1"/>
  <c r="P81" i="2" s="1"/>
  <c r="N81" i="2" s="1"/>
  <c r="L66" i="7" l="1"/>
  <c r="J66" i="7" s="1"/>
  <c r="E66" i="7"/>
  <c r="M67" i="7"/>
  <c r="M67" i="5"/>
  <c r="L66" i="5"/>
  <c r="E66" i="5" s="1"/>
  <c r="G67" i="3"/>
  <c r="E67" i="3" s="1"/>
  <c r="P67" i="3"/>
  <c r="M67" i="3"/>
  <c r="K67" i="3" s="1"/>
  <c r="Q82" i="2"/>
  <c r="R82" i="2" s="1"/>
  <c r="G81" i="2"/>
  <c r="F67" i="7" l="1"/>
  <c r="D67" i="7" s="1"/>
  <c r="K67" i="7"/>
  <c r="I67" i="7" s="1"/>
  <c r="N67" i="7"/>
  <c r="J66" i="5"/>
  <c r="N67" i="5"/>
  <c r="F67" i="5"/>
  <c r="D67" i="5" s="1"/>
  <c r="K67" i="5"/>
  <c r="I67" i="5" s="1"/>
  <c r="N67" i="3"/>
  <c r="L67" i="3" s="1"/>
  <c r="F67" i="3"/>
  <c r="O68" i="3"/>
  <c r="O82" i="2"/>
  <c r="M82" i="2" s="1"/>
  <c r="H82" i="2"/>
  <c r="F82" i="2" s="1"/>
  <c r="L67" i="7" l="1"/>
  <c r="J67" i="7" s="1"/>
  <c r="E67" i="7"/>
  <c r="M68" i="7"/>
  <c r="L67" i="5"/>
  <c r="J67" i="5" s="1"/>
  <c r="M68" i="5"/>
  <c r="G68" i="3"/>
  <c r="E68" i="3" s="1"/>
  <c r="P68" i="3"/>
  <c r="M68" i="3"/>
  <c r="K68" i="3" s="1"/>
  <c r="Q83" i="2"/>
  <c r="R83" i="2" s="1"/>
  <c r="P82" i="2"/>
  <c r="G82" i="2" s="1"/>
  <c r="K68" i="7" l="1"/>
  <c r="I68" i="7" s="1"/>
  <c r="N68" i="7"/>
  <c r="F68" i="7"/>
  <c r="D68" i="7" s="1"/>
  <c r="E67" i="5"/>
  <c r="F68" i="5"/>
  <c r="D68" i="5" s="1"/>
  <c r="N68" i="5"/>
  <c r="K68" i="5"/>
  <c r="I68" i="5" s="1"/>
  <c r="N68" i="3"/>
  <c r="L68" i="3" s="1"/>
  <c r="F68" i="3"/>
  <c r="O69" i="3"/>
  <c r="N82" i="2"/>
  <c r="H83" i="2"/>
  <c r="F83" i="2" s="1"/>
  <c r="O83" i="2"/>
  <c r="M83" i="2" s="1"/>
  <c r="P83" i="2" s="1"/>
  <c r="N83" i="2" s="1"/>
  <c r="M69" i="7" l="1"/>
  <c r="L68" i="7"/>
  <c r="E68" i="7" s="1"/>
  <c r="L68" i="5"/>
  <c r="J68" i="5" s="1"/>
  <c r="M69" i="5"/>
  <c r="M69" i="3"/>
  <c r="K69" i="3" s="1"/>
  <c r="G69" i="3"/>
  <c r="E69" i="3" s="1"/>
  <c r="P69" i="3"/>
  <c r="Q84" i="2"/>
  <c r="R84" i="2" s="1"/>
  <c r="G83" i="2"/>
  <c r="J68" i="7" l="1"/>
  <c r="K69" i="7"/>
  <c r="I69" i="7" s="1"/>
  <c r="N69" i="7"/>
  <c r="F69" i="7"/>
  <c r="D69" i="7" s="1"/>
  <c r="E68" i="5"/>
  <c r="K69" i="5"/>
  <c r="I69" i="5" s="1"/>
  <c r="F69" i="5"/>
  <c r="D69" i="5" s="1"/>
  <c r="N69" i="5"/>
  <c r="O70" i="3"/>
  <c r="N69" i="3"/>
  <c r="F69" i="3" s="1"/>
  <c r="H84" i="2"/>
  <c r="F84" i="2" s="1"/>
  <c r="O84" i="2"/>
  <c r="M84" i="2" s="1"/>
  <c r="M70" i="7" l="1"/>
  <c r="L69" i="7"/>
  <c r="E69" i="7" s="1"/>
  <c r="J69" i="7"/>
  <c r="M70" i="5"/>
  <c r="L69" i="5"/>
  <c r="E69" i="5" s="1"/>
  <c r="L69" i="3"/>
  <c r="M70" i="3"/>
  <c r="K70" i="3" s="1"/>
  <c r="P70" i="3"/>
  <c r="G70" i="3"/>
  <c r="E70" i="3" s="1"/>
  <c r="Q85" i="2"/>
  <c r="R85" i="2" s="1"/>
  <c r="P84" i="2"/>
  <c r="N84" i="2" s="1"/>
  <c r="G84" i="2"/>
  <c r="K70" i="7" l="1"/>
  <c r="I70" i="7" s="1"/>
  <c r="N70" i="7"/>
  <c r="F70" i="7"/>
  <c r="D70" i="7" s="1"/>
  <c r="J69" i="5"/>
  <c r="K70" i="5"/>
  <c r="I70" i="5" s="1"/>
  <c r="N70" i="5"/>
  <c r="F70" i="5"/>
  <c r="D70" i="5" s="1"/>
  <c r="O71" i="3"/>
  <c r="N70" i="3"/>
  <c r="F70" i="3" s="1"/>
  <c r="L70" i="3"/>
  <c r="H85" i="2"/>
  <c r="F85" i="2" s="1"/>
  <c r="O85" i="2"/>
  <c r="M85" i="2" s="1"/>
  <c r="P85" i="2" s="1"/>
  <c r="N85" i="2" s="1"/>
  <c r="M71" i="7" l="1"/>
  <c r="L70" i="7"/>
  <c r="E70" i="7" s="1"/>
  <c r="J70" i="7"/>
  <c r="M71" i="5"/>
  <c r="L70" i="5"/>
  <c r="E70" i="5" s="1"/>
  <c r="J70" i="5"/>
  <c r="P71" i="3"/>
  <c r="M71" i="3"/>
  <c r="K71" i="3" s="1"/>
  <c r="G71" i="3"/>
  <c r="E71" i="3" s="1"/>
  <c r="Q86" i="2"/>
  <c r="R86" i="2" s="1"/>
  <c r="G85" i="2"/>
  <c r="N71" i="7" l="1"/>
  <c r="K71" i="7"/>
  <c r="I71" i="7" s="1"/>
  <c r="F71" i="7"/>
  <c r="D71" i="7" s="1"/>
  <c r="F71" i="5"/>
  <c r="D71" i="5" s="1"/>
  <c r="N71" i="5"/>
  <c r="K71" i="5"/>
  <c r="I71" i="5" s="1"/>
  <c r="O72" i="3"/>
  <c r="N71" i="3"/>
  <c r="F71" i="3" s="1"/>
  <c r="L71" i="3"/>
  <c r="H86" i="2"/>
  <c r="F86" i="2" s="1"/>
  <c r="O86" i="2"/>
  <c r="M86" i="2" s="1"/>
  <c r="P86" i="2" s="1"/>
  <c r="N86" i="2" s="1"/>
  <c r="M72" i="7" l="1"/>
  <c r="L71" i="7"/>
  <c r="E71" i="7" s="1"/>
  <c r="J71" i="7"/>
  <c r="L71" i="5"/>
  <c r="J71" i="5" s="1"/>
  <c r="M72" i="5"/>
  <c r="E71" i="5"/>
  <c r="P72" i="3"/>
  <c r="G72" i="3"/>
  <c r="E72" i="3" s="1"/>
  <c r="M72" i="3"/>
  <c r="K72" i="3" s="1"/>
  <c r="Q87" i="2"/>
  <c r="R87" i="2" s="1"/>
  <c r="G86" i="2"/>
  <c r="N72" i="7" l="1"/>
  <c r="K72" i="7"/>
  <c r="I72" i="7" s="1"/>
  <c r="F72" i="7"/>
  <c r="D72" i="7" s="1"/>
  <c r="N72" i="5"/>
  <c r="K72" i="5"/>
  <c r="I72" i="5" s="1"/>
  <c r="F72" i="5"/>
  <c r="D72" i="5" s="1"/>
  <c r="N72" i="3"/>
  <c r="L72" i="3" s="1"/>
  <c r="F72" i="3"/>
  <c r="O73" i="3"/>
  <c r="O87" i="2"/>
  <c r="M87" i="2" s="1"/>
  <c r="H87" i="2"/>
  <c r="F87" i="2" s="1"/>
  <c r="Q88" i="2" s="1"/>
  <c r="R88" i="2" s="1"/>
  <c r="M73" i="7" l="1"/>
  <c r="L72" i="7"/>
  <c r="E72" i="7" s="1"/>
  <c r="J72" i="7"/>
  <c r="M73" i="5"/>
  <c r="L72" i="5"/>
  <c r="E72" i="5" s="1"/>
  <c r="J72" i="5"/>
  <c r="P73" i="3"/>
  <c r="M73" i="3"/>
  <c r="K73" i="3" s="1"/>
  <c r="G73" i="3"/>
  <c r="E73" i="3" s="1"/>
  <c r="O88" i="2"/>
  <c r="M88" i="2" s="1"/>
  <c r="H88" i="2"/>
  <c r="F88" i="2" s="1"/>
  <c r="Q89" i="2" s="1"/>
  <c r="R89" i="2" s="1"/>
  <c r="P87" i="2"/>
  <c r="G87" i="2" s="1"/>
  <c r="N87" i="2"/>
  <c r="N73" i="7" l="1"/>
  <c r="K73" i="7"/>
  <c r="I73" i="7" s="1"/>
  <c r="F73" i="7"/>
  <c r="D73" i="7" s="1"/>
  <c r="F73" i="5"/>
  <c r="D73" i="5" s="1"/>
  <c r="K73" i="5"/>
  <c r="I73" i="5" s="1"/>
  <c r="N73" i="5"/>
  <c r="O74" i="3"/>
  <c r="N73" i="3"/>
  <c r="F73" i="3" s="1"/>
  <c r="L73" i="3"/>
  <c r="O89" i="2"/>
  <c r="M89" i="2" s="1"/>
  <c r="H89" i="2"/>
  <c r="F89" i="2" s="1"/>
  <c r="Q90" i="2" s="1"/>
  <c r="R90" i="2" s="1"/>
  <c r="P88" i="2"/>
  <c r="G88" i="2" s="1"/>
  <c r="N88" i="2"/>
  <c r="M74" i="7" l="1"/>
  <c r="L73" i="7"/>
  <c r="E73" i="7" s="1"/>
  <c r="J73" i="7"/>
  <c r="L73" i="5"/>
  <c r="J73" i="5" s="1"/>
  <c r="M74" i="5"/>
  <c r="P74" i="3"/>
  <c r="M74" i="3"/>
  <c r="K74" i="3" s="1"/>
  <c r="G74" i="3"/>
  <c r="E74" i="3" s="1"/>
  <c r="O90" i="2"/>
  <c r="M90" i="2" s="1"/>
  <c r="H90" i="2"/>
  <c r="F90" i="2" s="1"/>
  <c r="P89" i="2"/>
  <c r="G89" i="2" s="1"/>
  <c r="N74" i="7" l="1"/>
  <c r="F74" i="7"/>
  <c r="D74" i="7" s="1"/>
  <c r="K74" i="7"/>
  <c r="I74" i="7" s="1"/>
  <c r="E73" i="5"/>
  <c r="K74" i="5"/>
  <c r="I74" i="5" s="1"/>
  <c r="F74" i="5"/>
  <c r="D74" i="5" s="1"/>
  <c r="N74" i="5"/>
  <c r="O75" i="3"/>
  <c r="N74" i="3"/>
  <c r="F74" i="3" s="1"/>
  <c r="L74" i="3"/>
  <c r="N89" i="2"/>
  <c r="Q91" i="2"/>
  <c r="R91" i="2" s="1"/>
  <c r="H91" i="2"/>
  <c r="F91" i="2" s="1"/>
  <c r="P90" i="2"/>
  <c r="G90" i="2" s="1"/>
  <c r="N90" i="2"/>
  <c r="L74" i="7" l="1"/>
  <c r="J74" i="7"/>
  <c r="E74" i="7"/>
  <c r="M75" i="7"/>
  <c r="M75" i="5"/>
  <c r="L74" i="5"/>
  <c r="E74" i="5" s="1"/>
  <c r="O91" i="2"/>
  <c r="M91" i="2" s="1"/>
  <c r="Q92" i="2"/>
  <c r="R92" i="2" s="1"/>
  <c r="G75" i="3"/>
  <c r="E75" i="3" s="1"/>
  <c r="M75" i="3"/>
  <c r="K75" i="3" s="1"/>
  <c r="P75" i="3"/>
  <c r="P91" i="2"/>
  <c r="N91" i="2" s="1"/>
  <c r="F75" i="7" l="1"/>
  <c r="D75" i="7" s="1"/>
  <c r="N75" i="7"/>
  <c r="K75" i="7"/>
  <c r="I75" i="7" s="1"/>
  <c r="J74" i="5"/>
  <c r="K75" i="5"/>
  <c r="I75" i="5" s="1"/>
  <c r="F75" i="5"/>
  <c r="D75" i="5" s="1"/>
  <c r="N75" i="5"/>
  <c r="N75" i="3"/>
  <c r="L75" i="3"/>
  <c r="F75" i="3"/>
  <c r="O76" i="3"/>
  <c r="G91" i="2"/>
  <c r="H92" i="2"/>
  <c r="F92" i="2" s="1"/>
  <c r="O92" i="2"/>
  <c r="M92" i="2" s="1"/>
  <c r="L75" i="7" l="1"/>
  <c r="J75" i="7"/>
  <c r="E75" i="7"/>
  <c r="M76" i="7"/>
  <c r="M76" i="5"/>
  <c r="L75" i="5"/>
  <c r="E75" i="5" s="1"/>
  <c r="G76" i="3"/>
  <c r="E76" i="3" s="1"/>
  <c r="M76" i="3"/>
  <c r="K76" i="3" s="1"/>
  <c r="P76" i="3"/>
  <c r="Q93" i="2"/>
  <c r="R93" i="2" s="1"/>
  <c r="P92" i="2"/>
  <c r="G92" i="2" s="1"/>
  <c r="N92" i="2"/>
  <c r="F76" i="7" l="1"/>
  <c r="D76" i="7" s="1"/>
  <c r="N76" i="7"/>
  <c r="K76" i="7"/>
  <c r="I76" i="7" s="1"/>
  <c r="J75" i="5"/>
  <c r="N76" i="5"/>
  <c r="K76" i="5"/>
  <c r="I76" i="5" s="1"/>
  <c r="F76" i="5"/>
  <c r="D76" i="5" s="1"/>
  <c r="N76" i="3"/>
  <c r="L76" i="3" s="1"/>
  <c r="F76" i="3"/>
  <c r="O77" i="3"/>
  <c r="O93" i="2"/>
  <c r="M93" i="2" s="1"/>
  <c r="H93" i="2"/>
  <c r="F93" i="2" s="1"/>
  <c r="Q94" i="2" s="1"/>
  <c r="R94" i="2" s="1"/>
  <c r="L76" i="7" l="1"/>
  <c r="J76" i="7" s="1"/>
  <c r="E76" i="7"/>
  <c r="M77" i="7"/>
  <c r="M77" i="5"/>
  <c r="L76" i="5"/>
  <c r="E76" i="5" s="1"/>
  <c r="G77" i="3"/>
  <c r="E77" i="3" s="1"/>
  <c r="P77" i="3"/>
  <c r="M77" i="3"/>
  <c r="K77" i="3" s="1"/>
  <c r="O94" i="2"/>
  <c r="M94" i="2" s="1"/>
  <c r="H94" i="2"/>
  <c r="F94" i="2" s="1"/>
  <c r="Q95" i="2" s="1"/>
  <c r="R95" i="2" s="1"/>
  <c r="P93" i="2"/>
  <c r="G93" i="2" s="1"/>
  <c r="F77" i="7" l="1"/>
  <c r="D77" i="7" s="1"/>
  <c r="K77" i="7"/>
  <c r="I77" i="7" s="1"/>
  <c r="N77" i="7"/>
  <c r="J76" i="5"/>
  <c r="N77" i="5"/>
  <c r="F77" i="5"/>
  <c r="D77" i="5" s="1"/>
  <c r="K77" i="5"/>
  <c r="I77" i="5" s="1"/>
  <c r="N77" i="3"/>
  <c r="L77" i="3"/>
  <c r="O78" i="3"/>
  <c r="F77" i="3"/>
  <c r="N93" i="2"/>
  <c r="P94" i="2"/>
  <c r="N94" i="2" s="1"/>
  <c r="L77" i="7" l="1"/>
  <c r="J77" i="7" s="1"/>
  <c r="E77" i="7"/>
  <c r="M78" i="7"/>
  <c r="L77" i="5"/>
  <c r="J77" i="5" s="1"/>
  <c r="M78" i="5"/>
  <c r="P78" i="3"/>
  <c r="M78" i="3"/>
  <c r="K78" i="3" s="1"/>
  <c r="G78" i="3"/>
  <c r="E78" i="3" s="1"/>
  <c r="G94" i="2"/>
  <c r="H95" i="2"/>
  <c r="F95" i="2" s="1"/>
  <c r="O95" i="2"/>
  <c r="M95" i="2" s="1"/>
  <c r="P95" i="2" s="1"/>
  <c r="N95" i="2" s="1"/>
  <c r="K78" i="7" l="1"/>
  <c r="I78" i="7" s="1"/>
  <c r="F78" i="7"/>
  <c r="D78" i="7" s="1"/>
  <c r="N78" i="7"/>
  <c r="E77" i="5"/>
  <c r="F78" i="5"/>
  <c r="D78" i="5" s="1"/>
  <c r="N78" i="5"/>
  <c r="K78" i="5"/>
  <c r="I78" i="5" s="1"/>
  <c r="O79" i="3"/>
  <c r="N78" i="3"/>
  <c r="F78" i="3" s="1"/>
  <c r="Q96" i="2"/>
  <c r="R96" i="2" s="1"/>
  <c r="G95" i="2"/>
  <c r="M79" i="7" l="1"/>
  <c r="L78" i="7"/>
  <c r="E78" i="7" s="1"/>
  <c r="L78" i="5"/>
  <c r="J78" i="5" s="1"/>
  <c r="M79" i="5"/>
  <c r="L78" i="3"/>
  <c r="M79" i="3"/>
  <c r="K79" i="3" s="1"/>
  <c r="G79" i="3"/>
  <c r="E79" i="3" s="1"/>
  <c r="P79" i="3"/>
  <c r="O96" i="2"/>
  <c r="M96" i="2" s="1"/>
  <c r="H96" i="2"/>
  <c r="F96" i="2" s="1"/>
  <c r="Q97" i="2" s="1"/>
  <c r="R97" i="2" s="1"/>
  <c r="J78" i="7" l="1"/>
  <c r="K79" i="7"/>
  <c r="I79" i="7" s="1"/>
  <c r="N79" i="7"/>
  <c r="F79" i="7"/>
  <c r="D79" i="7" s="1"/>
  <c r="F79" i="5"/>
  <c r="D79" i="5" s="1"/>
  <c r="K79" i="5"/>
  <c r="I79" i="5" s="1"/>
  <c r="N79" i="5"/>
  <c r="E78" i="5"/>
  <c r="O80" i="3"/>
  <c r="N79" i="3"/>
  <c r="F79" i="3" s="1"/>
  <c r="P96" i="2"/>
  <c r="N96" i="2" s="1"/>
  <c r="M80" i="7" l="1"/>
  <c r="L79" i="7"/>
  <c r="E79" i="7" s="1"/>
  <c r="J79" i="7"/>
  <c r="L79" i="5"/>
  <c r="J79" i="5" s="1"/>
  <c r="E79" i="5"/>
  <c r="M80" i="5"/>
  <c r="L79" i="3"/>
  <c r="M80" i="3"/>
  <c r="K80" i="3" s="1"/>
  <c r="G80" i="3"/>
  <c r="E80" i="3" s="1"/>
  <c r="P80" i="3"/>
  <c r="G96" i="2"/>
  <c r="H97" i="2"/>
  <c r="F97" i="2" s="1"/>
  <c r="O97" i="2"/>
  <c r="M97" i="2" s="1"/>
  <c r="K80" i="7" l="1"/>
  <c r="I80" i="7" s="1"/>
  <c r="N80" i="7"/>
  <c r="F80" i="7"/>
  <c r="D80" i="7" s="1"/>
  <c r="K80" i="5"/>
  <c r="I80" i="5" s="1"/>
  <c r="N80" i="5"/>
  <c r="F80" i="5"/>
  <c r="D80" i="5" s="1"/>
  <c r="O81" i="3"/>
  <c r="N80" i="3"/>
  <c r="F80" i="3" s="1"/>
  <c r="L80" i="3"/>
  <c r="Q98" i="2"/>
  <c r="R98" i="2" s="1"/>
  <c r="P97" i="2"/>
  <c r="N97" i="2"/>
  <c r="G97" i="2"/>
  <c r="M81" i="7" l="1"/>
  <c r="L80" i="7"/>
  <c r="E80" i="7" s="1"/>
  <c r="J80" i="7"/>
  <c r="M81" i="5"/>
  <c r="L80" i="5"/>
  <c r="E80" i="5" s="1"/>
  <c r="P81" i="3"/>
  <c r="M81" i="3"/>
  <c r="K81" i="3" s="1"/>
  <c r="G81" i="3"/>
  <c r="E81" i="3" s="1"/>
  <c r="O98" i="2"/>
  <c r="M98" i="2" s="1"/>
  <c r="H98" i="2"/>
  <c r="F98" i="2" s="1"/>
  <c r="Q99" i="2" s="1"/>
  <c r="R99" i="2" s="1"/>
  <c r="N81" i="7" l="1"/>
  <c r="K81" i="7"/>
  <c r="I81" i="7" s="1"/>
  <c r="F81" i="7"/>
  <c r="D81" i="7" s="1"/>
  <c r="J80" i="5"/>
  <c r="F81" i="5"/>
  <c r="D81" i="5" s="1"/>
  <c r="K81" i="5"/>
  <c r="I81" i="5" s="1"/>
  <c r="N81" i="5"/>
  <c r="O82" i="3"/>
  <c r="N81" i="3"/>
  <c r="F81" i="3" s="1"/>
  <c r="L81" i="3"/>
  <c r="H99" i="2"/>
  <c r="F99" i="2" s="1"/>
  <c r="O99" i="2"/>
  <c r="M99" i="2" s="1"/>
  <c r="P98" i="2"/>
  <c r="G98" i="2" s="1"/>
  <c r="M82" i="7" l="1"/>
  <c r="L81" i="7"/>
  <c r="E81" i="7" s="1"/>
  <c r="J81" i="7"/>
  <c r="L81" i="5"/>
  <c r="J81" i="5" s="1"/>
  <c r="M82" i="5"/>
  <c r="P82" i="3"/>
  <c r="G82" i="3"/>
  <c r="E82" i="3" s="1"/>
  <c r="M82" i="3"/>
  <c r="K82" i="3" s="1"/>
  <c r="N98" i="2"/>
  <c r="Q100" i="2"/>
  <c r="R100" i="2" s="1"/>
  <c r="P99" i="2"/>
  <c r="N99" i="2"/>
  <c r="G99" i="2"/>
  <c r="N82" i="7" l="1"/>
  <c r="K82" i="7"/>
  <c r="I82" i="7" s="1"/>
  <c r="F82" i="7"/>
  <c r="D82" i="7" s="1"/>
  <c r="E81" i="5"/>
  <c r="N82" i="5"/>
  <c r="K82" i="5"/>
  <c r="I82" i="5" s="1"/>
  <c r="F82" i="5"/>
  <c r="D82" i="5" s="1"/>
  <c r="N82" i="3"/>
  <c r="L82" i="3"/>
  <c r="F82" i="3"/>
  <c r="O83" i="3"/>
  <c r="O100" i="2"/>
  <c r="M100" i="2" s="1"/>
  <c r="H100" i="2"/>
  <c r="F100" i="2" s="1"/>
  <c r="Q101" i="2" s="1"/>
  <c r="R101" i="2" s="1"/>
  <c r="M83" i="7" l="1"/>
  <c r="L82" i="7"/>
  <c r="E82" i="7" s="1"/>
  <c r="J82" i="7"/>
  <c r="M83" i="5"/>
  <c r="L82" i="5"/>
  <c r="E82" i="5" s="1"/>
  <c r="P83" i="3"/>
  <c r="G83" i="3"/>
  <c r="E83" i="3" s="1"/>
  <c r="M83" i="3"/>
  <c r="K83" i="3" s="1"/>
  <c r="O101" i="2"/>
  <c r="M101" i="2" s="1"/>
  <c r="H101" i="2"/>
  <c r="F101" i="2" s="1"/>
  <c r="Q102" i="2" s="1"/>
  <c r="R102" i="2" s="1"/>
  <c r="P100" i="2"/>
  <c r="G100" i="2" s="1"/>
  <c r="N83" i="7" l="1"/>
  <c r="K83" i="7"/>
  <c r="I83" i="7" s="1"/>
  <c r="F83" i="7"/>
  <c r="D83" i="7" s="1"/>
  <c r="J82" i="5"/>
  <c r="K83" i="5"/>
  <c r="I83" i="5" s="1"/>
  <c r="F83" i="5"/>
  <c r="D83" i="5" s="1"/>
  <c r="N83" i="5"/>
  <c r="N83" i="3"/>
  <c r="L83" i="3" s="1"/>
  <c r="O84" i="3"/>
  <c r="F83" i="3"/>
  <c r="N100" i="2"/>
  <c r="P101" i="2"/>
  <c r="N101" i="2" s="1"/>
  <c r="M84" i="7" l="1"/>
  <c r="L83" i="7"/>
  <c r="E83" i="7" s="1"/>
  <c r="J83" i="7"/>
  <c r="M84" i="5"/>
  <c r="L83" i="5"/>
  <c r="E83" i="5" s="1"/>
  <c r="M84" i="3"/>
  <c r="K84" i="3" s="1"/>
  <c r="P84" i="3"/>
  <c r="G84" i="3"/>
  <c r="E84" i="3" s="1"/>
  <c r="G101" i="2"/>
  <c r="H102" i="2"/>
  <c r="F102" i="2" s="1"/>
  <c r="O102" i="2"/>
  <c r="M102" i="2" s="1"/>
  <c r="N84" i="7" l="1"/>
  <c r="F84" i="7"/>
  <c r="D84" i="7" s="1"/>
  <c r="K84" i="7"/>
  <c r="I84" i="7" s="1"/>
  <c r="J83" i="5"/>
  <c r="K84" i="5"/>
  <c r="I84" i="5" s="1"/>
  <c r="F84" i="5"/>
  <c r="D84" i="5" s="1"/>
  <c r="N84" i="5"/>
  <c r="O85" i="3"/>
  <c r="N84" i="3"/>
  <c r="F84" i="3" s="1"/>
  <c r="L84" i="3"/>
  <c r="Q103" i="2"/>
  <c r="R103" i="2" s="1"/>
  <c r="P102" i="2"/>
  <c r="G102" i="2" s="1"/>
  <c r="N102" i="2"/>
  <c r="L84" i="7" l="1"/>
  <c r="J84" i="7"/>
  <c r="E84" i="7"/>
  <c r="M85" i="7"/>
  <c r="M85" i="5"/>
  <c r="L84" i="5"/>
  <c r="E84" i="5" s="1"/>
  <c r="J84" i="5"/>
  <c r="P85" i="3"/>
  <c r="M85" i="3"/>
  <c r="K85" i="3" s="1"/>
  <c r="G85" i="3"/>
  <c r="E85" i="3" s="1"/>
  <c r="O103" i="2"/>
  <c r="M103" i="2" s="1"/>
  <c r="H103" i="2"/>
  <c r="F103" i="2" s="1"/>
  <c r="Q104" i="2" s="1"/>
  <c r="R104" i="2" s="1"/>
  <c r="F85" i="7" l="1"/>
  <c r="D85" i="7" s="1"/>
  <c r="N85" i="7"/>
  <c r="K85" i="7"/>
  <c r="I85" i="7" s="1"/>
  <c r="F85" i="5"/>
  <c r="D85" i="5" s="1"/>
  <c r="K85" i="5"/>
  <c r="I85" i="5" s="1"/>
  <c r="N85" i="5"/>
  <c r="O86" i="3"/>
  <c r="N85" i="3"/>
  <c r="F85" i="3" s="1"/>
  <c r="L85" i="3"/>
  <c r="P103" i="2"/>
  <c r="G103" i="2" s="1"/>
  <c r="L85" i="7" l="1"/>
  <c r="J85" i="7" s="1"/>
  <c r="E85" i="7"/>
  <c r="M86" i="7"/>
  <c r="L85" i="5"/>
  <c r="J85" i="5" s="1"/>
  <c r="M86" i="5"/>
  <c r="E85" i="5"/>
  <c r="N103" i="2"/>
  <c r="G86" i="3"/>
  <c r="E86" i="3" s="1"/>
  <c r="P86" i="3"/>
  <c r="M86" i="3"/>
  <c r="K86" i="3" s="1"/>
  <c r="O104" i="2"/>
  <c r="M104" i="2" s="1"/>
  <c r="H104" i="2"/>
  <c r="F104" i="2" s="1"/>
  <c r="Q105" i="2" s="1"/>
  <c r="R105" i="2" s="1"/>
  <c r="F86" i="7" l="1"/>
  <c r="D86" i="7" s="1"/>
  <c r="N86" i="7"/>
  <c r="K86" i="7"/>
  <c r="I86" i="7" s="1"/>
  <c r="K86" i="5"/>
  <c r="I86" i="5" s="1"/>
  <c r="N86" i="5"/>
  <c r="F86" i="5"/>
  <c r="D86" i="5" s="1"/>
  <c r="N86" i="3"/>
  <c r="L86" i="3" s="1"/>
  <c r="F86" i="3"/>
  <c r="O87" i="3"/>
  <c r="O105" i="2"/>
  <c r="M105" i="2" s="1"/>
  <c r="H105" i="2"/>
  <c r="F105" i="2" s="1"/>
  <c r="Q106" i="2" s="1"/>
  <c r="R106" i="2" s="1"/>
  <c r="P104" i="2"/>
  <c r="G104" i="2" s="1"/>
  <c r="N104" i="2"/>
  <c r="L86" i="7" l="1"/>
  <c r="J86" i="7" s="1"/>
  <c r="E86" i="7"/>
  <c r="M87" i="7"/>
  <c r="M87" i="5"/>
  <c r="L86" i="5"/>
  <c r="E86" i="5" s="1"/>
  <c r="J86" i="5"/>
  <c r="G87" i="3"/>
  <c r="E87" i="3" s="1"/>
  <c r="M87" i="3"/>
  <c r="K87" i="3" s="1"/>
  <c r="P87" i="3"/>
  <c r="O106" i="2"/>
  <c r="M106" i="2" s="1"/>
  <c r="H106" i="2"/>
  <c r="F106" i="2" s="1"/>
  <c r="P105" i="2"/>
  <c r="G105" i="2" s="1"/>
  <c r="N105" i="2"/>
  <c r="F87" i="7" l="1"/>
  <c r="D87" i="7" s="1"/>
  <c r="K87" i="7"/>
  <c r="I87" i="7" s="1"/>
  <c r="N87" i="7"/>
  <c r="N87" i="5"/>
  <c r="F87" i="5"/>
  <c r="D87" i="5" s="1"/>
  <c r="K87" i="5"/>
  <c r="I87" i="5" s="1"/>
  <c r="N87" i="3"/>
  <c r="L87" i="3"/>
  <c r="O88" i="3"/>
  <c r="F87" i="3"/>
  <c r="Q107" i="2"/>
  <c r="R107" i="2" s="1"/>
  <c r="O107" i="2"/>
  <c r="M107" i="2" s="1"/>
  <c r="P106" i="2"/>
  <c r="G106" i="2" s="1"/>
  <c r="L87" i="7" l="1"/>
  <c r="J87" i="7" s="1"/>
  <c r="E87" i="7"/>
  <c r="M88" i="7"/>
  <c r="L87" i="5"/>
  <c r="J87" i="5" s="1"/>
  <c r="M88" i="5"/>
  <c r="E87" i="5"/>
  <c r="P88" i="3"/>
  <c r="M88" i="3"/>
  <c r="K88" i="3" s="1"/>
  <c r="G88" i="3"/>
  <c r="E88" i="3" s="1"/>
  <c r="H107" i="2"/>
  <c r="F107" i="2" s="1"/>
  <c r="Q108" i="2"/>
  <c r="R108" i="2" s="1"/>
  <c r="N106" i="2"/>
  <c r="P107" i="2"/>
  <c r="N107" i="2" s="1"/>
  <c r="K88" i="7" l="1"/>
  <c r="I88" i="7" s="1"/>
  <c r="F88" i="7"/>
  <c r="D88" i="7" s="1"/>
  <c r="N88" i="7"/>
  <c r="N88" i="5"/>
  <c r="K88" i="5"/>
  <c r="I88" i="5" s="1"/>
  <c r="F88" i="5"/>
  <c r="D88" i="5" s="1"/>
  <c r="O89" i="3"/>
  <c r="N88" i="3"/>
  <c r="F88" i="3" s="1"/>
  <c r="G107" i="2"/>
  <c r="H108" i="2"/>
  <c r="F108" i="2" s="1"/>
  <c r="O108" i="2"/>
  <c r="M108" i="2" s="1"/>
  <c r="M89" i="7" l="1"/>
  <c r="L88" i="7"/>
  <c r="E88" i="7" s="1"/>
  <c r="M89" i="5"/>
  <c r="L88" i="5"/>
  <c r="E88" i="5" s="1"/>
  <c r="L88" i="3"/>
  <c r="M89" i="3"/>
  <c r="K89" i="3" s="1"/>
  <c r="G89" i="3"/>
  <c r="E89" i="3" s="1"/>
  <c r="P89" i="3"/>
  <c r="Q109" i="2"/>
  <c r="R109" i="2" s="1"/>
  <c r="P108" i="2"/>
  <c r="N108" i="2" s="1"/>
  <c r="G108" i="2"/>
  <c r="J88" i="7" l="1"/>
  <c r="K89" i="7"/>
  <c r="I89" i="7" s="1"/>
  <c r="F89" i="7"/>
  <c r="D89" i="7" s="1"/>
  <c r="N89" i="7"/>
  <c r="J88" i="5"/>
  <c r="F89" i="5"/>
  <c r="D89" i="5" s="1"/>
  <c r="K89" i="5"/>
  <c r="I89" i="5" s="1"/>
  <c r="N89" i="5"/>
  <c r="O90" i="3"/>
  <c r="N89" i="3"/>
  <c r="F89" i="3" s="1"/>
  <c r="H109" i="2"/>
  <c r="F109" i="2" s="1"/>
  <c r="O109" i="2"/>
  <c r="M109" i="2" s="1"/>
  <c r="M90" i="7" l="1"/>
  <c r="L89" i="7"/>
  <c r="E89" i="7" s="1"/>
  <c r="J89" i="7"/>
  <c r="L89" i="5"/>
  <c r="J89" i="5" s="1"/>
  <c r="M90" i="5"/>
  <c r="L89" i="3"/>
  <c r="M90" i="3"/>
  <c r="K90" i="3" s="1"/>
  <c r="G90" i="3"/>
  <c r="E90" i="3" s="1"/>
  <c r="P90" i="3"/>
  <c r="Q110" i="2"/>
  <c r="R110" i="2" s="1"/>
  <c r="P109" i="2"/>
  <c r="N109" i="2" s="1"/>
  <c r="G109" i="2"/>
  <c r="K90" i="7" l="1"/>
  <c r="I90" i="7" s="1"/>
  <c r="N90" i="7"/>
  <c r="F90" i="7"/>
  <c r="D90" i="7" s="1"/>
  <c r="E89" i="5"/>
  <c r="F90" i="5"/>
  <c r="D90" i="5" s="1"/>
  <c r="K90" i="5"/>
  <c r="I90" i="5" s="1"/>
  <c r="N90" i="5"/>
  <c r="O91" i="3"/>
  <c r="N90" i="3"/>
  <c r="F90" i="3" s="1"/>
  <c r="L90" i="3"/>
  <c r="O110" i="2"/>
  <c r="M110" i="2" s="1"/>
  <c r="H110" i="2"/>
  <c r="F110" i="2" s="1"/>
  <c r="Q111" i="2" s="1"/>
  <c r="R111" i="2" s="1"/>
  <c r="M91" i="7" l="1"/>
  <c r="L90" i="7"/>
  <c r="E90" i="7" s="1"/>
  <c r="J90" i="7"/>
  <c r="L90" i="5"/>
  <c r="J90" i="5" s="1"/>
  <c r="M91" i="5"/>
  <c r="P91" i="3"/>
  <c r="M91" i="3"/>
  <c r="K91" i="3" s="1"/>
  <c r="G91" i="3"/>
  <c r="E91" i="3" s="1"/>
  <c r="O111" i="2"/>
  <c r="M111" i="2" s="1"/>
  <c r="H111" i="2"/>
  <c r="F111" i="2" s="1"/>
  <c r="Q112" i="2" s="1"/>
  <c r="R112" i="2" s="1"/>
  <c r="P110" i="2"/>
  <c r="G110" i="2" s="1"/>
  <c r="N110" i="2"/>
  <c r="N91" i="7" l="1"/>
  <c r="K91" i="7"/>
  <c r="I91" i="7" s="1"/>
  <c r="F91" i="7"/>
  <c r="D91" i="7" s="1"/>
  <c r="E90" i="5"/>
  <c r="F91" i="5"/>
  <c r="D91" i="5" s="1"/>
  <c r="K91" i="5"/>
  <c r="I91" i="5" s="1"/>
  <c r="N91" i="5"/>
  <c r="O92" i="3"/>
  <c r="N91" i="3"/>
  <c r="F91" i="3" s="1"/>
  <c r="L91" i="3"/>
  <c r="H112" i="2"/>
  <c r="F112" i="2" s="1"/>
  <c r="O112" i="2"/>
  <c r="M112" i="2" s="1"/>
  <c r="P111" i="2"/>
  <c r="G111" i="2" s="1"/>
  <c r="N111" i="2"/>
  <c r="M92" i="7" l="1"/>
  <c r="L91" i="7"/>
  <c r="E91" i="7" s="1"/>
  <c r="J91" i="7"/>
  <c r="L91" i="5"/>
  <c r="J91" i="5" s="1"/>
  <c r="M92" i="5"/>
  <c r="E91" i="5"/>
  <c r="P92" i="3"/>
  <c r="G92" i="3"/>
  <c r="E92" i="3" s="1"/>
  <c r="M92" i="3"/>
  <c r="K92" i="3" s="1"/>
  <c r="Q113" i="2"/>
  <c r="R113" i="2" s="1"/>
  <c r="P112" i="2"/>
  <c r="G112" i="2" s="1"/>
  <c r="N112" i="2"/>
  <c r="N92" i="7" l="1"/>
  <c r="K92" i="7"/>
  <c r="I92" i="7" s="1"/>
  <c r="F92" i="7"/>
  <c r="D92" i="7" s="1"/>
  <c r="N92" i="5"/>
  <c r="K92" i="5"/>
  <c r="I92" i="5" s="1"/>
  <c r="F92" i="5"/>
  <c r="D92" i="5" s="1"/>
  <c r="N92" i="3"/>
  <c r="L92" i="3"/>
  <c r="F92" i="3"/>
  <c r="O93" i="3"/>
  <c r="O113" i="2"/>
  <c r="M113" i="2" s="1"/>
  <c r="H113" i="2"/>
  <c r="F113" i="2" s="1"/>
  <c r="Q114" i="2" s="1"/>
  <c r="R114" i="2" s="1"/>
  <c r="M93" i="7" l="1"/>
  <c r="L92" i="7"/>
  <c r="E92" i="7" s="1"/>
  <c r="J92" i="7"/>
  <c r="M93" i="5"/>
  <c r="L92" i="5"/>
  <c r="E92" i="5" s="1"/>
  <c r="P93" i="3"/>
  <c r="G93" i="3"/>
  <c r="E93" i="3" s="1"/>
  <c r="M93" i="3"/>
  <c r="K93" i="3" s="1"/>
  <c r="O114" i="2"/>
  <c r="M114" i="2" s="1"/>
  <c r="H114" i="2"/>
  <c r="F114" i="2" s="1"/>
  <c r="Q115" i="2" s="1"/>
  <c r="R115" i="2" s="1"/>
  <c r="P113" i="2"/>
  <c r="G113" i="2" s="1"/>
  <c r="N93" i="7" l="1"/>
  <c r="K93" i="7"/>
  <c r="I93" i="7" s="1"/>
  <c r="F93" i="7"/>
  <c r="D93" i="7" s="1"/>
  <c r="J92" i="5"/>
  <c r="N93" i="5"/>
  <c r="K93" i="5"/>
  <c r="I93" i="5" s="1"/>
  <c r="F93" i="5"/>
  <c r="D93" i="5" s="1"/>
  <c r="N93" i="3"/>
  <c r="L93" i="3"/>
  <c r="F93" i="3"/>
  <c r="O94" i="3"/>
  <c r="N113" i="2"/>
  <c r="H115" i="2"/>
  <c r="F115" i="2" s="1"/>
  <c r="O115" i="2"/>
  <c r="M115" i="2" s="1"/>
  <c r="P115" i="2" s="1"/>
  <c r="N115" i="2" s="1"/>
  <c r="P114" i="2"/>
  <c r="G114" i="2" s="1"/>
  <c r="M94" i="7" l="1"/>
  <c r="L93" i="7"/>
  <c r="E93" i="7" s="1"/>
  <c r="J93" i="7"/>
  <c r="M94" i="5"/>
  <c r="L93" i="5"/>
  <c r="E93" i="5" s="1"/>
  <c r="M94" i="3"/>
  <c r="K94" i="3" s="1"/>
  <c r="G94" i="3"/>
  <c r="E94" i="3" s="1"/>
  <c r="P94" i="3"/>
  <c r="N114" i="2"/>
  <c r="Q116" i="2"/>
  <c r="R116" i="2" s="1"/>
  <c r="G115" i="2"/>
  <c r="N94" i="7" l="1"/>
  <c r="F94" i="7"/>
  <c r="D94" i="7" s="1"/>
  <c r="K94" i="7"/>
  <c r="I94" i="7" s="1"/>
  <c r="J93" i="5"/>
  <c r="K94" i="5"/>
  <c r="I94" i="5" s="1"/>
  <c r="F94" i="5"/>
  <c r="D94" i="5" s="1"/>
  <c r="N94" i="5"/>
  <c r="O95" i="3"/>
  <c r="N94" i="3"/>
  <c r="F94" i="3" s="1"/>
  <c r="O116" i="2"/>
  <c r="M116" i="2" s="1"/>
  <c r="H116" i="2"/>
  <c r="F116" i="2" s="1"/>
  <c r="Q117" i="2" s="1"/>
  <c r="R117" i="2" s="1"/>
  <c r="L94" i="7" l="1"/>
  <c r="J94" i="7"/>
  <c r="E94" i="7"/>
  <c r="M95" i="7"/>
  <c r="M95" i="5"/>
  <c r="L94" i="5"/>
  <c r="E94" i="5" s="1"/>
  <c r="L94" i="3"/>
  <c r="P95" i="3"/>
  <c r="M95" i="3"/>
  <c r="K95" i="3" s="1"/>
  <c r="G95" i="3"/>
  <c r="E95" i="3" s="1"/>
  <c r="P116" i="2"/>
  <c r="N116" i="2" s="1"/>
  <c r="F95" i="7" l="1"/>
  <c r="D95" i="7" s="1"/>
  <c r="N95" i="7"/>
  <c r="K95" i="7"/>
  <c r="I95" i="7" s="1"/>
  <c r="J94" i="5"/>
  <c r="F95" i="5"/>
  <c r="D95" i="5" s="1"/>
  <c r="N95" i="5"/>
  <c r="K95" i="5"/>
  <c r="I95" i="5" s="1"/>
  <c r="O96" i="3"/>
  <c r="N95" i="3"/>
  <c r="F95" i="3" s="1"/>
  <c r="L95" i="3"/>
  <c r="G116" i="2"/>
  <c r="H117" i="2"/>
  <c r="F117" i="2" s="1"/>
  <c r="O117" i="2"/>
  <c r="M117" i="2" s="1"/>
  <c r="L95" i="7" l="1"/>
  <c r="J95" i="7"/>
  <c r="E95" i="7"/>
  <c r="M96" i="7"/>
  <c r="L95" i="5"/>
  <c r="J95" i="5"/>
  <c r="M96" i="5"/>
  <c r="E95" i="5"/>
  <c r="G96" i="3"/>
  <c r="E96" i="3" s="1"/>
  <c r="P96" i="3"/>
  <c r="M96" i="3"/>
  <c r="K96" i="3" s="1"/>
  <c r="Q118" i="2"/>
  <c r="R118" i="2" s="1"/>
  <c r="P117" i="2"/>
  <c r="N117" i="2" s="1"/>
  <c r="G117" i="2"/>
  <c r="F96" i="7" l="1"/>
  <c r="D96" i="7" s="1"/>
  <c r="N96" i="7"/>
  <c r="K96" i="7"/>
  <c r="I96" i="7" s="1"/>
  <c r="K96" i="5"/>
  <c r="I96" i="5" s="1"/>
  <c r="F96" i="5"/>
  <c r="D96" i="5" s="1"/>
  <c r="N96" i="5"/>
  <c r="N96" i="3"/>
  <c r="L96" i="3"/>
  <c r="F96" i="3"/>
  <c r="O97" i="3"/>
  <c r="H118" i="2"/>
  <c r="F118" i="2" s="1"/>
  <c r="O118" i="2"/>
  <c r="M118" i="2" s="1"/>
  <c r="L96" i="7" l="1"/>
  <c r="J96" i="7" s="1"/>
  <c r="E96" i="7"/>
  <c r="M97" i="7"/>
  <c r="M97" i="5"/>
  <c r="L96" i="5"/>
  <c r="E96" i="5" s="1"/>
  <c r="G97" i="3"/>
  <c r="E97" i="3" s="1"/>
  <c r="M97" i="3"/>
  <c r="K97" i="3" s="1"/>
  <c r="P97" i="3"/>
  <c r="Q119" i="2"/>
  <c r="R119" i="2" s="1"/>
  <c r="P118" i="2"/>
  <c r="N118" i="2"/>
  <c r="G118" i="2"/>
  <c r="F97" i="7" l="1"/>
  <c r="D97" i="7" s="1"/>
  <c r="K97" i="7"/>
  <c r="I97" i="7" s="1"/>
  <c r="N97" i="7"/>
  <c r="J96" i="5"/>
  <c r="N97" i="5"/>
  <c r="K97" i="5"/>
  <c r="I97" i="5" s="1"/>
  <c r="F97" i="5"/>
  <c r="D97" i="5" s="1"/>
  <c r="N97" i="3"/>
  <c r="L97" i="3" s="1"/>
  <c r="O98" i="3"/>
  <c r="F97" i="3"/>
  <c r="H119" i="2"/>
  <c r="F119" i="2" s="1"/>
  <c r="O119" i="2"/>
  <c r="M119" i="2" s="1"/>
  <c r="L97" i="7" l="1"/>
  <c r="J97" i="7" s="1"/>
  <c r="E97" i="7"/>
  <c r="M98" i="7"/>
  <c r="L97" i="5"/>
  <c r="J97" i="5"/>
  <c r="M98" i="5"/>
  <c r="E97" i="5"/>
  <c r="M98" i="3"/>
  <c r="K98" i="3" s="1"/>
  <c r="G98" i="3"/>
  <c r="E98" i="3" s="1"/>
  <c r="P98" i="3"/>
  <c r="Q120" i="2"/>
  <c r="R120" i="2" s="1"/>
  <c r="P119" i="2"/>
  <c r="N119" i="2"/>
  <c r="G119" i="2"/>
  <c r="K98" i="7" l="1"/>
  <c r="I98" i="7" s="1"/>
  <c r="F98" i="7"/>
  <c r="D98" i="7" s="1"/>
  <c r="N98" i="7"/>
  <c r="N98" i="5"/>
  <c r="F98" i="5"/>
  <c r="D98" i="5" s="1"/>
  <c r="K98" i="5"/>
  <c r="I98" i="5" s="1"/>
  <c r="O99" i="3"/>
  <c r="N98" i="3"/>
  <c r="F98" i="3" s="1"/>
  <c r="H120" i="2"/>
  <c r="F120" i="2" s="1"/>
  <c r="O120" i="2"/>
  <c r="M120" i="2" s="1"/>
  <c r="M99" i="7" l="1"/>
  <c r="L98" i="7"/>
  <c r="E98" i="7" s="1"/>
  <c r="L98" i="5"/>
  <c r="J98" i="5" s="1"/>
  <c r="M99" i="5"/>
  <c r="L98" i="3"/>
  <c r="M99" i="3"/>
  <c r="K99" i="3" s="1"/>
  <c r="P99" i="3"/>
  <c r="G99" i="3"/>
  <c r="E99" i="3" s="1"/>
  <c r="Q121" i="2"/>
  <c r="R121" i="2" s="1"/>
  <c r="P120" i="2"/>
  <c r="N120" i="2"/>
  <c r="G120" i="2"/>
  <c r="J98" i="7" l="1"/>
  <c r="K99" i="7"/>
  <c r="I99" i="7" s="1"/>
  <c r="N99" i="7"/>
  <c r="F99" i="7"/>
  <c r="D99" i="7" s="1"/>
  <c r="E98" i="5"/>
  <c r="F99" i="5"/>
  <c r="D99" i="5" s="1"/>
  <c r="K99" i="5"/>
  <c r="I99" i="5" s="1"/>
  <c r="N99" i="5"/>
  <c r="O100" i="3"/>
  <c r="N99" i="3"/>
  <c r="F99" i="3" s="1"/>
  <c r="O121" i="2"/>
  <c r="M121" i="2" s="1"/>
  <c r="H121" i="2"/>
  <c r="F121" i="2" s="1"/>
  <c r="Q122" i="2" s="1"/>
  <c r="R122" i="2" s="1"/>
  <c r="M100" i="7" l="1"/>
  <c r="L99" i="7"/>
  <c r="E99" i="7" s="1"/>
  <c r="J99" i="7"/>
  <c r="L99" i="5"/>
  <c r="J99" i="5" s="1"/>
  <c r="E99" i="5"/>
  <c r="M100" i="5"/>
  <c r="L99" i="3"/>
  <c r="M100" i="3"/>
  <c r="K100" i="3" s="1"/>
  <c r="G100" i="3"/>
  <c r="E100" i="3" s="1"/>
  <c r="P100" i="3"/>
  <c r="P121" i="2"/>
  <c r="N121" i="2" s="1"/>
  <c r="K100" i="7" l="1"/>
  <c r="I100" i="7" s="1"/>
  <c r="N100" i="7"/>
  <c r="F100" i="7"/>
  <c r="D100" i="7" s="1"/>
  <c r="F100" i="5"/>
  <c r="D100" i="5" s="1"/>
  <c r="N100" i="5"/>
  <c r="K100" i="5"/>
  <c r="I100" i="5" s="1"/>
  <c r="O101" i="3"/>
  <c r="N100" i="3"/>
  <c r="F100" i="3" s="1"/>
  <c r="L100" i="3"/>
  <c r="G121" i="2"/>
  <c r="O122" i="2"/>
  <c r="M122" i="2" s="1"/>
  <c r="H122" i="2"/>
  <c r="F122" i="2" s="1"/>
  <c r="Q123" i="2" s="1"/>
  <c r="R123" i="2" s="1"/>
  <c r="M101" i="7" l="1"/>
  <c r="L100" i="7"/>
  <c r="E100" i="7" s="1"/>
  <c r="J100" i="7"/>
  <c r="L100" i="5"/>
  <c r="J100" i="5" s="1"/>
  <c r="E100" i="5"/>
  <c r="M101" i="5"/>
  <c r="P101" i="3"/>
  <c r="M101" i="3"/>
  <c r="K101" i="3" s="1"/>
  <c r="G101" i="3"/>
  <c r="E101" i="3" s="1"/>
  <c r="O123" i="2"/>
  <c r="M123" i="2" s="1"/>
  <c r="H123" i="2"/>
  <c r="F123" i="2" s="1"/>
  <c r="Q124" i="2" s="1"/>
  <c r="R124" i="2" s="1"/>
  <c r="P122" i="2"/>
  <c r="G122" i="2" s="1"/>
  <c r="N101" i="7" l="1"/>
  <c r="K101" i="7"/>
  <c r="I101" i="7" s="1"/>
  <c r="F101" i="7"/>
  <c r="D101" i="7" s="1"/>
  <c r="F101" i="5"/>
  <c r="D101" i="5" s="1"/>
  <c r="K101" i="5"/>
  <c r="I101" i="5" s="1"/>
  <c r="N101" i="5"/>
  <c r="O102" i="3"/>
  <c r="N101" i="3"/>
  <c r="F101" i="3" s="1"/>
  <c r="L101" i="3"/>
  <c r="N122" i="2"/>
  <c r="H124" i="2"/>
  <c r="F124" i="2" s="1"/>
  <c r="O124" i="2"/>
  <c r="M124" i="2" s="1"/>
  <c r="P124" i="2" s="1"/>
  <c r="N124" i="2" s="1"/>
  <c r="P123" i="2"/>
  <c r="G123" i="2" s="1"/>
  <c r="M102" i="7" l="1"/>
  <c r="L101" i="7"/>
  <c r="E101" i="7" s="1"/>
  <c r="J101" i="7"/>
  <c r="L101" i="5"/>
  <c r="J101" i="5" s="1"/>
  <c r="M102" i="5"/>
  <c r="E101" i="5"/>
  <c r="P102" i="3"/>
  <c r="M102" i="3"/>
  <c r="K102" i="3" s="1"/>
  <c r="G102" i="3"/>
  <c r="E102" i="3" s="1"/>
  <c r="Q125" i="2"/>
  <c r="R125" i="2" s="1"/>
  <c r="N123" i="2"/>
  <c r="G124" i="2"/>
  <c r="N102" i="7" l="1"/>
  <c r="K102" i="7"/>
  <c r="I102" i="7" s="1"/>
  <c r="F102" i="7"/>
  <c r="D102" i="7" s="1"/>
  <c r="K102" i="5"/>
  <c r="I102" i="5" s="1"/>
  <c r="N102" i="5"/>
  <c r="F102" i="5"/>
  <c r="D102" i="5" s="1"/>
  <c r="O103" i="3"/>
  <c r="N102" i="3"/>
  <c r="F102" i="3" s="1"/>
  <c r="L102" i="3"/>
  <c r="H125" i="2"/>
  <c r="F125" i="2" s="1"/>
  <c r="O125" i="2"/>
  <c r="M125" i="2" s="1"/>
  <c r="P125" i="2" s="1"/>
  <c r="N125" i="2" s="1"/>
  <c r="M103" i="7" l="1"/>
  <c r="L102" i="7"/>
  <c r="E102" i="7" s="1"/>
  <c r="J102" i="7"/>
  <c r="M103" i="5"/>
  <c r="L102" i="5"/>
  <c r="E102" i="5" s="1"/>
  <c r="P103" i="3"/>
  <c r="G103" i="3"/>
  <c r="E103" i="3" s="1"/>
  <c r="M103" i="3"/>
  <c r="K103" i="3" s="1"/>
  <c r="Q126" i="2"/>
  <c r="R126" i="2" s="1"/>
  <c r="G125" i="2"/>
  <c r="N103" i="7" l="1"/>
  <c r="K103" i="7"/>
  <c r="I103" i="7" s="1"/>
  <c r="F103" i="7"/>
  <c r="D103" i="7" s="1"/>
  <c r="J102" i="5"/>
  <c r="N103" i="5"/>
  <c r="K103" i="5"/>
  <c r="I103" i="5" s="1"/>
  <c r="F103" i="5"/>
  <c r="D103" i="5" s="1"/>
  <c r="N103" i="3"/>
  <c r="L103" i="3" s="1"/>
  <c r="O104" i="3"/>
  <c r="F103" i="3"/>
  <c r="O126" i="2"/>
  <c r="M126" i="2" s="1"/>
  <c r="H126" i="2"/>
  <c r="F126" i="2" s="1"/>
  <c r="Q127" i="2" s="1"/>
  <c r="R127" i="2" s="1"/>
  <c r="M104" i="7" l="1"/>
  <c r="L103" i="7"/>
  <c r="E103" i="7" s="1"/>
  <c r="J103" i="7"/>
  <c r="M104" i="5"/>
  <c r="L103" i="5"/>
  <c r="E103" i="5" s="1"/>
  <c r="M104" i="3"/>
  <c r="K104" i="3" s="1"/>
  <c r="P104" i="3"/>
  <c r="G104" i="3"/>
  <c r="E104" i="3" s="1"/>
  <c r="R131" i="2"/>
  <c r="O127" i="2"/>
  <c r="H127" i="2"/>
  <c r="P126" i="2"/>
  <c r="G126" i="2" s="1"/>
  <c r="N126" i="2"/>
  <c r="N104" i="7" l="1"/>
  <c r="F104" i="7"/>
  <c r="D104" i="7" s="1"/>
  <c r="K104" i="7"/>
  <c r="I104" i="7" s="1"/>
  <c r="J103" i="5"/>
  <c r="K104" i="5"/>
  <c r="I104" i="5" s="1"/>
  <c r="F104" i="5"/>
  <c r="D104" i="5" s="1"/>
  <c r="N104" i="5"/>
  <c r="O105" i="3"/>
  <c r="N104" i="3"/>
  <c r="F104" i="3" s="1"/>
  <c r="L104" i="3"/>
  <c r="M127" i="2"/>
  <c r="P127" i="2" s="1"/>
  <c r="G127" i="2" s="1"/>
  <c r="F127" i="2"/>
  <c r="L104" i="7" l="1"/>
  <c r="J104" i="7"/>
  <c r="E104" i="7"/>
  <c r="M105" i="7"/>
  <c r="M105" i="5"/>
  <c r="L104" i="5"/>
  <c r="E104" i="5" s="1"/>
  <c r="J104" i="5"/>
  <c r="G105" i="3"/>
  <c r="E105" i="3" s="1"/>
  <c r="P105" i="3"/>
  <c r="M105" i="3"/>
  <c r="K105" i="3" s="1"/>
  <c r="N127" i="2"/>
  <c r="U157" i="2"/>
  <c r="W152" i="2"/>
  <c r="V233" i="2"/>
  <c r="V238" i="2"/>
  <c r="F105" i="7" l="1"/>
  <c r="D105" i="7" s="1"/>
  <c r="N105" i="7"/>
  <c r="K105" i="7"/>
  <c r="I105" i="7" s="1"/>
  <c r="V214" i="2"/>
  <c r="V171" i="2"/>
  <c r="V230" i="2"/>
  <c r="W157" i="2"/>
  <c r="W212" i="2"/>
  <c r="W155" i="2"/>
  <c r="W209" i="2"/>
  <c r="U203" i="2"/>
  <c r="F105" i="5"/>
  <c r="D105" i="5" s="1"/>
  <c r="N105" i="5"/>
  <c r="K105" i="5"/>
  <c r="I105" i="5" s="1"/>
  <c r="V188" i="2"/>
  <c r="V181" i="2"/>
  <c r="V223" i="2"/>
  <c r="W197" i="2"/>
  <c r="W174" i="2"/>
  <c r="W236" i="2"/>
  <c r="W222" i="2"/>
  <c r="W223" i="2"/>
  <c r="U231" i="2"/>
  <c r="U168" i="2"/>
  <c r="U237" i="2"/>
  <c r="U164" i="2"/>
  <c r="V177" i="2"/>
  <c r="U193" i="2"/>
  <c r="V207" i="2"/>
  <c r="V164" i="2"/>
  <c r="W192" i="2"/>
  <c r="W239" i="2"/>
  <c r="V222" i="2"/>
  <c r="U217" i="2"/>
  <c r="V154" i="2"/>
  <c r="V235" i="2"/>
  <c r="V198" i="2"/>
  <c r="V191" i="2"/>
  <c r="V173" i="2"/>
  <c r="W167" i="2"/>
  <c r="W184" i="2"/>
  <c r="W233" i="2"/>
  <c r="W232" i="2"/>
  <c r="W175" i="2"/>
  <c r="W229" i="2"/>
  <c r="U178" i="2"/>
  <c r="U200" i="2"/>
  <c r="U186" i="2"/>
  <c r="U213" i="2"/>
  <c r="U199" i="2"/>
  <c r="V200" i="2"/>
  <c r="W183" i="2"/>
  <c r="U232" i="2"/>
  <c r="V219" i="2"/>
  <c r="V147" i="2"/>
  <c r="V225" i="2"/>
  <c r="W211" i="2"/>
  <c r="W200" i="2"/>
  <c r="W163" i="2"/>
  <c r="W228" i="2"/>
  <c r="U211" i="2"/>
  <c r="U205" i="2"/>
  <c r="U208" i="2"/>
  <c r="U230" i="2"/>
  <c r="U216" i="2"/>
  <c r="U184" i="2"/>
  <c r="U229" i="2"/>
  <c r="U222" i="2"/>
  <c r="V186" i="2"/>
  <c r="U235" i="2"/>
  <c r="V144" i="2"/>
  <c r="U228" i="2"/>
  <c r="W204" i="2"/>
  <c r="U161" i="2"/>
  <c r="U220" i="2"/>
  <c r="U206" i="2"/>
  <c r="U219" i="2"/>
  <c r="U212" i="2"/>
  <c r="V197" i="2"/>
  <c r="W196" i="2"/>
  <c r="V228" i="2"/>
  <c r="V203" i="2"/>
  <c r="V227" i="2"/>
  <c r="V202" i="2"/>
  <c r="W177" i="2"/>
  <c r="V141" i="2"/>
  <c r="V218" i="2"/>
  <c r="V211" i="2"/>
  <c r="V193" i="2"/>
  <c r="V217" i="2"/>
  <c r="V192" i="2"/>
  <c r="V240" i="2"/>
  <c r="V215" i="2"/>
  <c r="W207" i="2"/>
  <c r="W201" i="2"/>
  <c r="W190" i="2"/>
  <c r="W166" i="2"/>
  <c r="W153" i="2"/>
  <c r="W160" i="2"/>
  <c r="U195" i="2"/>
  <c r="V208" i="2"/>
  <c r="V183" i="2"/>
  <c r="V199" i="2"/>
  <c r="V182" i="2"/>
  <c r="W194" i="2"/>
  <c r="W170" i="2"/>
  <c r="W185" i="2"/>
  <c r="W208" i="2"/>
  <c r="U171" i="2"/>
  <c r="U185" i="2"/>
  <c r="U188" i="2"/>
  <c r="U196" i="2"/>
  <c r="U209" i="2"/>
  <c r="U174" i="2"/>
  <c r="U202" i="2"/>
  <c r="N105" i="3"/>
  <c r="L105" i="3"/>
  <c r="F105" i="3"/>
  <c r="O106" i="3"/>
  <c r="U191" i="2"/>
  <c r="V221" i="2"/>
  <c r="V180" i="2"/>
  <c r="W214" i="2"/>
  <c r="W176" i="2"/>
  <c r="W162" i="2"/>
  <c r="W205" i="2"/>
  <c r="W180" i="2"/>
  <c r="U167" i="2"/>
  <c r="U224" i="2"/>
  <c r="W218" i="2"/>
  <c r="U201" i="2"/>
  <c r="W199" i="2"/>
  <c r="W187" i="2"/>
  <c r="W193" i="2"/>
  <c r="W158" i="2"/>
  <c r="U152" i="2"/>
  <c r="V220" i="2"/>
  <c r="U225" i="2"/>
  <c r="U226" i="2"/>
  <c r="W203" i="2"/>
  <c r="V184" i="2"/>
  <c r="V229" i="2"/>
  <c r="V187" i="2"/>
  <c r="W221" i="2"/>
  <c r="W186" i="2"/>
  <c r="U181" i="2"/>
  <c r="U215" i="2"/>
  <c r="U218" i="2"/>
  <c r="U240" i="2"/>
  <c r="U236" i="2"/>
  <c r="U194" i="2"/>
  <c r="U239" i="2"/>
  <c r="W195" i="2"/>
  <c r="W142" i="2"/>
  <c r="V174" i="2"/>
  <c r="V172" i="2"/>
  <c r="W146" i="2"/>
  <c r="U144" i="2"/>
  <c r="V185" i="2"/>
  <c r="W171" i="2"/>
  <c r="W179" i="2"/>
  <c r="W165" i="2"/>
  <c r="W219" i="2"/>
  <c r="W188" i="2"/>
  <c r="U165" i="2"/>
  <c r="U190" i="2"/>
  <c r="U176" i="2"/>
  <c r="U163" i="2"/>
  <c r="U189" i="2"/>
  <c r="U223" i="2"/>
  <c r="U182" i="2"/>
  <c r="V236" i="2"/>
  <c r="W156" i="2"/>
  <c r="U210" i="2"/>
  <c r="U147" i="2"/>
  <c r="V150" i="2"/>
  <c r="W198" i="2"/>
  <c r="U192" i="2"/>
  <c r="V178" i="2"/>
  <c r="V152" i="2"/>
  <c r="W161" i="2"/>
  <c r="W164" i="2"/>
  <c r="W226" i="2"/>
  <c r="W213" i="2"/>
  <c r="W169" i="2"/>
  <c r="W178" i="2"/>
  <c r="U155" i="2"/>
  <c r="U158" i="2"/>
  <c r="U180" i="2"/>
  <c r="U166" i="2"/>
  <c r="U227" i="2"/>
  <c r="U153" i="2"/>
  <c r="U179" i="2"/>
  <c r="U172" i="2"/>
  <c r="V205" i="2"/>
  <c r="U233" i="2"/>
  <c r="V163" i="2"/>
  <c r="V216" i="2"/>
  <c r="V166" i="2"/>
  <c r="V234" i="2"/>
  <c r="V161" i="2"/>
  <c r="V143" i="2"/>
  <c r="V159" i="2"/>
  <c r="V156" i="2"/>
  <c r="V142" i="2"/>
  <c r="V196" i="2"/>
  <c r="V165" i="2"/>
  <c r="W227" i="2"/>
  <c r="W151" i="2"/>
  <c r="W154" i="2"/>
  <c r="W216" i="2"/>
  <c r="W202" i="2"/>
  <c r="W159" i="2"/>
  <c r="W145" i="2"/>
  <c r="W168" i="2"/>
  <c r="U221" i="2"/>
  <c r="U145" i="2"/>
  <c r="U148" i="2"/>
  <c r="U170" i="2"/>
  <c r="U156" i="2"/>
  <c r="U207" i="2"/>
  <c r="U143" i="2"/>
  <c r="U169" i="2"/>
  <c r="U162" i="2"/>
  <c r="V209" i="2"/>
  <c r="V160" i="2"/>
  <c r="W191" i="2"/>
  <c r="V226" i="2"/>
  <c r="V157" i="2"/>
  <c r="V151" i="2"/>
  <c r="V146" i="2"/>
  <c r="V149" i="2"/>
  <c r="V210" i="2"/>
  <c r="V232" i="2"/>
  <c r="V155" i="2"/>
  <c r="W141" i="2"/>
  <c r="W144" i="2"/>
  <c r="W206" i="2"/>
  <c r="W235" i="2"/>
  <c r="W147" i="2"/>
  <c r="W189" i="2"/>
  <c r="U238" i="2"/>
  <c r="U234" i="2"/>
  <c r="U160" i="2"/>
  <c r="U146" i="2"/>
  <c r="U197" i="2"/>
  <c r="U159" i="2"/>
  <c r="U183" i="2"/>
  <c r="U198" i="2"/>
  <c r="U214" i="2"/>
  <c r="W237" i="2"/>
  <c r="V167" i="2"/>
  <c r="V195" i="2"/>
  <c r="W150" i="2"/>
  <c r="U175" i="2"/>
  <c r="V179" i="2"/>
  <c r="V224" i="2"/>
  <c r="V169" i="2"/>
  <c r="V206" i="2"/>
  <c r="V168" i="2"/>
  <c r="V158" i="2"/>
  <c r="V148" i="2"/>
  <c r="V145" i="2"/>
  <c r="W231" i="2"/>
  <c r="W234" i="2"/>
  <c r="W220" i="2"/>
  <c r="W182" i="2"/>
  <c r="W225" i="2"/>
  <c r="W240" i="2"/>
  <c r="W149" i="2"/>
  <c r="W148" i="2"/>
  <c r="U150" i="2"/>
  <c r="U204" i="2"/>
  <c r="U187" i="2"/>
  <c r="U149" i="2"/>
  <c r="U173" i="2"/>
  <c r="U142" i="2"/>
  <c r="V170" i="2"/>
  <c r="V201" i="2"/>
  <c r="W143" i="2"/>
  <c r="U154" i="2"/>
  <c r="V189" i="2"/>
  <c r="W181" i="2"/>
  <c r="V204" i="2"/>
  <c r="V162" i="2"/>
  <c r="V153" i="2"/>
  <c r="V175" i="2"/>
  <c r="V194" i="2"/>
  <c r="V239" i="2"/>
  <c r="V176" i="2"/>
  <c r="V231" i="2"/>
  <c r="V213" i="2"/>
  <c r="V237" i="2"/>
  <c r="V190" i="2"/>
  <c r="V212" i="2"/>
  <c r="W217" i="2"/>
  <c r="W224" i="2"/>
  <c r="W210" i="2"/>
  <c r="W172" i="2"/>
  <c r="W173" i="2"/>
  <c r="W215" i="2"/>
  <c r="W230" i="2"/>
  <c r="W238" i="2"/>
  <c r="U177" i="2"/>
  <c r="U151" i="2"/>
  <c r="L105" i="7" l="1"/>
  <c r="J105" i="7"/>
  <c r="E105" i="7"/>
  <c r="M106" i="7"/>
  <c r="L105" i="5"/>
  <c r="J105" i="5"/>
  <c r="M106" i="5"/>
  <c r="E105" i="5"/>
  <c r="G106" i="3"/>
  <c r="E106" i="3" s="1"/>
  <c r="M106" i="3"/>
  <c r="K106" i="3" s="1"/>
  <c r="P106" i="3"/>
  <c r="F106" i="7" l="1"/>
  <c r="D106" i="7" s="1"/>
  <c r="N106" i="7"/>
  <c r="K106" i="7"/>
  <c r="I106" i="7" s="1"/>
  <c r="F106" i="5"/>
  <c r="D106" i="5" s="1"/>
  <c r="K106" i="5"/>
  <c r="I106" i="5" s="1"/>
  <c r="N106" i="5"/>
  <c r="N106" i="3"/>
  <c r="L106" i="3" s="1"/>
  <c r="F106" i="3"/>
  <c r="O107" i="3"/>
  <c r="L106" i="7" l="1"/>
  <c r="J106" i="7" s="1"/>
  <c r="E106" i="7"/>
  <c r="M107" i="7"/>
  <c r="L106" i="5"/>
  <c r="J106" i="5"/>
  <c r="M107" i="5"/>
  <c r="E106" i="5"/>
  <c r="G107" i="3"/>
  <c r="E107" i="3" s="1"/>
  <c r="P107" i="3"/>
  <c r="M107" i="3"/>
  <c r="K107" i="3" s="1"/>
  <c r="F107" i="7" l="1"/>
  <c r="D107" i="7" s="1"/>
  <c r="K107" i="7"/>
  <c r="I107" i="7" s="1"/>
  <c r="N107" i="7"/>
  <c r="N107" i="5"/>
  <c r="K107" i="5"/>
  <c r="I107" i="5" s="1"/>
  <c r="F107" i="5"/>
  <c r="D107" i="5" s="1"/>
  <c r="N107" i="3"/>
  <c r="L107" i="3" s="1"/>
  <c r="F107" i="3"/>
  <c r="O108" i="3"/>
  <c r="L107" i="7" l="1"/>
  <c r="J107" i="7" s="1"/>
  <c r="E107" i="7"/>
  <c r="M108" i="7"/>
  <c r="M108" i="5"/>
  <c r="L107" i="5"/>
  <c r="E107" i="5" s="1"/>
  <c r="M108" i="3"/>
  <c r="K108" i="3" s="1"/>
  <c r="P108" i="3"/>
  <c r="G108" i="3"/>
  <c r="E108" i="3" s="1"/>
  <c r="K108" i="7" l="1"/>
  <c r="I108" i="7" s="1"/>
  <c r="F108" i="7"/>
  <c r="D108" i="7" s="1"/>
  <c r="N108" i="7"/>
  <c r="J107" i="5"/>
  <c r="N108" i="5"/>
  <c r="F108" i="5"/>
  <c r="D108" i="5" s="1"/>
  <c r="K108" i="5"/>
  <c r="I108" i="5" s="1"/>
  <c r="O109" i="3"/>
  <c r="N108" i="3"/>
  <c r="F108" i="3" s="1"/>
  <c r="M109" i="7" l="1"/>
  <c r="L108" i="7"/>
  <c r="E108" i="7" s="1"/>
  <c r="L108" i="5"/>
  <c r="J108" i="5" s="1"/>
  <c r="E108" i="5"/>
  <c r="M109" i="5"/>
  <c r="L108" i="3"/>
  <c r="M109" i="3"/>
  <c r="K109" i="3" s="1"/>
  <c r="G109" i="3"/>
  <c r="E109" i="3" s="1"/>
  <c r="P109" i="3"/>
  <c r="J108" i="7" l="1"/>
  <c r="K109" i="7"/>
  <c r="I109" i="7" s="1"/>
  <c r="F109" i="7"/>
  <c r="D109" i="7" s="1"/>
  <c r="N109" i="7"/>
  <c r="F109" i="5"/>
  <c r="D109" i="5" s="1"/>
  <c r="N109" i="5"/>
  <c r="K109" i="5"/>
  <c r="I109" i="5" s="1"/>
  <c r="O110" i="3"/>
  <c r="N109" i="3"/>
  <c r="F109" i="3" s="1"/>
  <c r="M110" i="7" l="1"/>
  <c r="L109" i="7"/>
  <c r="E109" i="7" s="1"/>
  <c r="J109" i="7"/>
  <c r="L109" i="5"/>
  <c r="J109" i="5" s="1"/>
  <c r="E109" i="5"/>
  <c r="M110" i="5"/>
  <c r="L109" i="3"/>
  <c r="M110" i="3"/>
  <c r="K110" i="3" s="1"/>
  <c r="P110" i="3"/>
  <c r="G110" i="3"/>
  <c r="E110" i="3" s="1"/>
  <c r="K110" i="7" l="1"/>
  <c r="I110" i="7" s="1"/>
  <c r="N110" i="7"/>
  <c r="F110" i="7"/>
  <c r="D110" i="7" s="1"/>
  <c r="K110" i="5"/>
  <c r="I110" i="5" s="1"/>
  <c r="N110" i="5"/>
  <c r="F110" i="5"/>
  <c r="D110" i="5" s="1"/>
  <c r="O111" i="3"/>
  <c r="N110" i="3"/>
  <c r="F110" i="3" s="1"/>
  <c r="L110" i="3"/>
  <c r="M111" i="7" l="1"/>
  <c r="L110" i="7"/>
  <c r="E110" i="7" s="1"/>
  <c r="J110" i="7"/>
  <c r="M111" i="5"/>
  <c r="L110" i="5"/>
  <c r="E110" i="5" s="1"/>
  <c r="J110" i="5"/>
  <c r="P111" i="3"/>
  <c r="G111" i="3"/>
  <c r="E111" i="3" s="1"/>
  <c r="M111" i="3"/>
  <c r="K111" i="3" s="1"/>
  <c r="N111" i="7" l="1"/>
  <c r="K111" i="7"/>
  <c r="I111" i="7" s="1"/>
  <c r="F111" i="7"/>
  <c r="D111" i="7" s="1"/>
  <c r="F111" i="5"/>
  <c r="D111" i="5" s="1"/>
  <c r="N111" i="5"/>
  <c r="K111" i="5"/>
  <c r="I111" i="5" s="1"/>
  <c r="N111" i="3"/>
  <c r="L111" i="3"/>
  <c r="O112" i="3"/>
  <c r="F111" i="3"/>
  <c r="M112" i="7" l="1"/>
  <c r="L111" i="7"/>
  <c r="E111" i="7" s="1"/>
  <c r="J111" i="7"/>
  <c r="L111" i="5"/>
  <c r="J111" i="5" s="1"/>
  <c r="M112" i="5"/>
  <c r="P112" i="3"/>
  <c r="M112" i="3"/>
  <c r="K112" i="3" s="1"/>
  <c r="G112" i="3"/>
  <c r="E112" i="3" s="1"/>
  <c r="N112" i="7" l="1"/>
  <c r="K112" i="7"/>
  <c r="I112" i="7" s="1"/>
  <c r="F112" i="7"/>
  <c r="D112" i="7" s="1"/>
  <c r="E111" i="5"/>
  <c r="F112" i="5"/>
  <c r="D112" i="5" s="1"/>
  <c r="N112" i="5"/>
  <c r="K112" i="5"/>
  <c r="I112" i="5" s="1"/>
  <c r="O113" i="3"/>
  <c r="N112" i="3"/>
  <c r="F112" i="3" s="1"/>
  <c r="L112" i="3"/>
  <c r="M113" i="7" l="1"/>
  <c r="L112" i="7"/>
  <c r="E112" i="7" s="1"/>
  <c r="J112" i="7"/>
  <c r="L112" i="5"/>
  <c r="J112" i="5" s="1"/>
  <c r="M113" i="5"/>
  <c r="P113" i="3"/>
  <c r="M113" i="3"/>
  <c r="K113" i="3" s="1"/>
  <c r="G113" i="3"/>
  <c r="E113" i="3" s="1"/>
  <c r="N113" i="7" l="1"/>
  <c r="K113" i="7"/>
  <c r="I113" i="7" s="1"/>
  <c r="F113" i="7"/>
  <c r="D113" i="7" s="1"/>
  <c r="E112" i="5"/>
  <c r="K113" i="5"/>
  <c r="I113" i="5" s="1"/>
  <c r="F113" i="5"/>
  <c r="D113" i="5" s="1"/>
  <c r="N113" i="5"/>
  <c r="O114" i="3"/>
  <c r="N113" i="3"/>
  <c r="F113" i="3" s="1"/>
  <c r="M114" i="7" l="1"/>
  <c r="L113" i="7"/>
  <c r="E113" i="7" s="1"/>
  <c r="J113" i="7"/>
  <c r="M114" i="5"/>
  <c r="L113" i="5"/>
  <c r="E113" i="5" s="1"/>
  <c r="L113" i="3"/>
  <c r="G114" i="3"/>
  <c r="E114" i="3" s="1"/>
  <c r="M114" i="3"/>
  <c r="K114" i="3" s="1"/>
  <c r="P114" i="3"/>
  <c r="N114" i="7" l="1"/>
  <c r="F114" i="7"/>
  <c r="D114" i="7" s="1"/>
  <c r="K114" i="7"/>
  <c r="I114" i="7" s="1"/>
  <c r="J113" i="5"/>
  <c r="K114" i="5"/>
  <c r="I114" i="5" s="1"/>
  <c r="N114" i="5"/>
  <c r="F114" i="5"/>
  <c r="D114" i="5" s="1"/>
  <c r="N114" i="3"/>
  <c r="L114" i="3" s="1"/>
  <c r="F114" i="3"/>
  <c r="O115" i="3"/>
  <c r="L114" i="7" l="1"/>
  <c r="J114" i="7"/>
  <c r="E114" i="7"/>
  <c r="M115" i="7"/>
  <c r="M115" i="5"/>
  <c r="L114" i="5"/>
  <c r="E114" i="5" s="1"/>
  <c r="G115" i="3"/>
  <c r="E115" i="3" s="1"/>
  <c r="P115" i="3"/>
  <c r="M115" i="3"/>
  <c r="K115" i="3" s="1"/>
  <c r="F115" i="7" l="1"/>
  <c r="D115" i="7" s="1"/>
  <c r="N115" i="7"/>
  <c r="K115" i="7"/>
  <c r="I115" i="7" s="1"/>
  <c r="J114" i="5"/>
  <c r="K115" i="5"/>
  <c r="I115" i="5" s="1"/>
  <c r="F115" i="5"/>
  <c r="D115" i="5" s="1"/>
  <c r="N115" i="5"/>
  <c r="N115" i="3"/>
  <c r="L115" i="3"/>
  <c r="F115" i="3"/>
  <c r="O116" i="3"/>
  <c r="L115" i="7" l="1"/>
  <c r="J115" i="7"/>
  <c r="E115" i="7"/>
  <c r="M116" i="7"/>
  <c r="M116" i="5"/>
  <c r="L115" i="5"/>
  <c r="E115" i="5" s="1"/>
  <c r="J115" i="5"/>
  <c r="G116" i="3"/>
  <c r="E116" i="3" s="1"/>
  <c r="M116" i="3"/>
  <c r="K116" i="3" s="1"/>
  <c r="P116" i="3"/>
  <c r="F116" i="7" l="1"/>
  <c r="D116" i="7" s="1"/>
  <c r="N116" i="7"/>
  <c r="K116" i="7"/>
  <c r="I116" i="7" s="1"/>
  <c r="F116" i="5"/>
  <c r="D116" i="5" s="1"/>
  <c r="N116" i="5"/>
  <c r="K116" i="5"/>
  <c r="I116" i="5" s="1"/>
  <c r="N116" i="3"/>
  <c r="L116" i="3"/>
  <c r="F116" i="3"/>
  <c r="O117" i="3"/>
  <c r="L116" i="7" l="1"/>
  <c r="J116" i="7" s="1"/>
  <c r="E116" i="7"/>
  <c r="M117" i="7"/>
  <c r="L116" i="5"/>
  <c r="J116" i="5"/>
  <c r="M117" i="5"/>
  <c r="E116" i="5"/>
  <c r="G117" i="3"/>
  <c r="E117" i="3" s="1"/>
  <c r="M117" i="3"/>
  <c r="K117" i="3" s="1"/>
  <c r="P117" i="3"/>
  <c r="F117" i="7" l="1"/>
  <c r="D117" i="7" s="1"/>
  <c r="K117" i="7"/>
  <c r="I117" i="7" s="1"/>
  <c r="N117" i="7"/>
  <c r="N117" i="5"/>
  <c r="K117" i="5"/>
  <c r="I117" i="5" s="1"/>
  <c r="F117" i="5"/>
  <c r="D117" i="5" s="1"/>
  <c r="N117" i="3"/>
  <c r="L117" i="3" s="1"/>
  <c r="F117" i="3"/>
  <c r="O118" i="3"/>
  <c r="L117" i="7" l="1"/>
  <c r="J117" i="7" s="1"/>
  <c r="E117" i="7"/>
  <c r="M118" i="7"/>
  <c r="M118" i="5"/>
  <c r="L117" i="5"/>
  <c r="E117" i="5" s="1"/>
  <c r="M118" i="3"/>
  <c r="K118" i="3" s="1"/>
  <c r="P118" i="3"/>
  <c r="G118" i="3"/>
  <c r="E118" i="3" s="1"/>
  <c r="K118" i="7" l="1"/>
  <c r="I118" i="7" s="1"/>
  <c r="F118" i="7"/>
  <c r="D118" i="7" s="1"/>
  <c r="N118" i="7"/>
  <c r="J117" i="5"/>
  <c r="N118" i="5"/>
  <c r="K118" i="5"/>
  <c r="I118" i="5" s="1"/>
  <c r="F118" i="5"/>
  <c r="D118" i="5" s="1"/>
  <c r="O119" i="3"/>
  <c r="N118" i="3"/>
  <c r="F118" i="3" s="1"/>
  <c r="M119" i="7" l="1"/>
  <c r="L118" i="7"/>
  <c r="E118" i="7" s="1"/>
  <c r="L118" i="5"/>
  <c r="J118" i="5"/>
  <c r="M119" i="5"/>
  <c r="E118" i="5"/>
  <c r="L118" i="3"/>
  <c r="M119" i="3"/>
  <c r="K119" i="3" s="1"/>
  <c r="G119" i="3"/>
  <c r="E119" i="3" s="1"/>
  <c r="P119" i="3"/>
  <c r="J118" i="7" l="1"/>
  <c r="K119" i="7"/>
  <c r="I119" i="7" s="1"/>
  <c r="N119" i="7"/>
  <c r="F119" i="7"/>
  <c r="D119" i="7" s="1"/>
  <c r="F119" i="5"/>
  <c r="D119" i="5" s="1"/>
  <c r="K119" i="5"/>
  <c r="I119" i="5" s="1"/>
  <c r="N119" i="5"/>
  <c r="O120" i="3"/>
  <c r="N119" i="3"/>
  <c r="F119" i="3" s="1"/>
  <c r="M120" i="7" l="1"/>
  <c r="L119" i="7"/>
  <c r="E119" i="7" s="1"/>
  <c r="J119" i="7"/>
  <c r="L119" i="5"/>
  <c r="J119" i="5" s="1"/>
  <c r="E119" i="5"/>
  <c r="M120" i="5"/>
  <c r="L119" i="3"/>
  <c r="M120" i="3"/>
  <c r="K120" i="3" s="1"/>
  <c r="P120" i="3"/>
  <c r="G120" i="3"/>
  <c r="E120" i="3" s="1"/>
  <c r="K120" i="7" l="1"/>
  <c r="I120" i="7" s="1"/>
  <c r="N120" i="7"/>
  <c r="F120" i="7"/>
  <c r="D120" i="7" s="1"/>
  <c r="F120" i="5"/>
  <c r="D120" i="5" s="1"/>
  <c r="K120" i="5"/>
  <c r="I120" i="5" s="1"/>
  <c r="N120" i="5"/>
  <c r="O121" i="3"/>
  <c r="N120" i="3"/>
  <c r="F120" i="3" s="1"/>
  <c r="L120" i="3"/>
  <c r="M121" i="7" l="1"/>
  <c r="L120" i="7"/>
  <c r="E120" i="7" s="1"/>
  <c r="J120" i="7"/>
  <c r="L120" i="5"/>
  <c r="J120" i="5" s="1"/>
  <c r="E120" i="5"/>
  <c r="M121" i="5"/>
  <c r="P121" i="3"/>
  <c r="M121" i="3"/>
  <c r="K121" i="3" s="1"/>
  <c r="G121" i="3"/>
  <c r="E121" i="3" s="1"/>
  <c r="N121" i="7" l="1"/>
  <c r="K121" i="7"/>
  <c r="I121" i="7" s="1"/>
  <c r="F121" i="7"/>
  <c r="D121" i="7" s="1"/>
  <c r="F121" i="5"/>
  <c r="D121" i="5" s="1"/>
  <c r="K121" i="5"/>
  <c r="I121" i="5" s="1"/>
  <c r="N121" i="5"/>
  <c r="O122" i="3"/>
  <c r="N121" i="3"/>
  <c r="F121" i="3" s="1"/>
  <c r="L121" i="3"/>
  <c r="M122" i="7" l="1"/>
  <c r="L121" i="7"/>
  <c r="E121" i="7" s="1"/>
  <c r="J121" i="7"/>
  <c r="L121" i="5"/>
  <c r="J121" i="5" s="1"/>
  <c r="E121" i="5"/>
  <c r="M122" i="5"/>
  <c r="P122" i="3"/>
  <c r="G122" i="3"/>
  <c r="E122" i="3" s="1"/>
  <c r="M122" i="3"/>
  <c r="K122" i="3" s="1"/>
  <c r="N122" i="7" l="1"/>
  <c r="K122" i="7"/>
  <c r="I122" i="7" s="1"/>
  <c r="F122" i="7"/>
  <c r="D122" i="7" s="1"/>
  <c r="F122" i="5"/>
  <c r="D122" i="5" s="1"/>
  <c r="N122" i="5"/>
  <c r="K122" i="5"/>
  <c r="I122" i="5" s="1"/>
  <c r="N122" i="3"/>
  <c r="L122" i="3" s="1"/>
  <c r="O123" i="3"/>
  <c r="F122" i="3"/>
  <c r="M123" i="7" l="1"/>
  <c r="L122" i="7"/>
  <c r="E122" i="7" s="1"/>
  <c r="J122" i="7"/>
  <c r="L122" i="5"/>
  <c r="J122" i="5" s="1"/>
  <c r="M123" i="5"/>
  <c r="E122" i="5"/>
  <c r="P123" i="3"/>
  <c r="M123" i="3"/>
  <c r="K123" i="3" s="1"/>
  <c r="G123" i="3"/>
  <c r="E123" i="3" s="1"/>
  <c r="N123" i="7" l="1"/>
  <c r="K123" i="7"/>
  <c r="I123" i="7" s="1"/>
  <c r="F123" i="7"/>
  <c r="D123" i="7" s="1"/>
  <c r="F123" i="5"/>
  <c r="D123" i="5" s="1"/>
  <c r="N123" i="5"/>
  <c r="K123" i="5"/>
  <c r="I123" i="5" s="1"/>
  <c r="O124" i="3"/>
  <c r="N123" i="3"/>
  <c r="F123" i="3" s="1"/>
  <c r="L123" i="3"/>
  <c r="M124" i="7" l="1"/>
  <c r="L123" i="7"/>
  <c r="E123" i="7" s="1"/>
  <c r="J123" i="7"/>
  <c r="L123" i="5"/>
  <c r="J123" i="5" s="1"/>
  <c r="E123" i="5"/>
  <c r="M124" i="5"/>
  <c r="P124" i="3"/>
  <c r="G124" i="3"/>
  <c r="E124" i="3" s="1"/>
  <c r="M124" i="3"/>
  <c r="K124" i="3" s="1"/>
  <c r="F124" i="7" l="1"/>
  <c r="D124" i="7" s="1"/>
  <c r="N124" i="7"/>
  <c r="K124" i="7"/>
  <c r="I124" i="7" s="1"/>
  <c r="K124" i="5"/>
  <c r="I124" i="5" s="1"/>
  <c r="F124" i="5"/>
  <c r="D124" i="5" s="1"/>
  <c r="N124" i="5"/>
  <c r="N124" i="3"/>
  <c r="L124" i="3"/>
  <c r="F124" i="3"/>
  <c r="O125" i="3"/>
  <c r="L124" i="7" l="1"/>
  <c r="J124" i="7"/>
  <c r="M125" i="7"/>
  <c r="E124" i="7"/>
  <c r="M125" i="5"/>
  <c r="L124" i="5"/>
  <c r="E124" i="5" s="1"/>
  <c r="G125" i="3"/>
  <c r="E125" i="3" s="1"/>
  <c r="M125" i="3"/>
  <c r="K125" i="3" s="1"/>
  <c r="P125" i="3"/>
  <c r="N125" i="7" l="1"/>
  <c r="F125" i="7"/>
  <c r="D125" i="7" s="1"/>
  <c r="K125" i="7"/>
  <c r="I125" i="7" s="1"/>
  <c r="J124" i="5"/>
  <c r="K125" i="5"/>
  <c r="I125" i="5" s="1"/>
  <c r="N125" i="5"/>
  <c r="F125" i="5"/>
  <c r="D125" i="5" s="1"/>
  <c r="N125" i="3"/>
  <c r="L125" i="3" s="1"/>
  <c r="F125" i="3"/>
  <c r="O126" i="3"/>
  <c r="L125" i="7" l="1"/>
  <c r="J125" i="7" s="1"/>
  <c r="M126" i="7"/>
  <c r="E125" i="7"/>
  <c r="M126" i="5"/>
  <c r="L125" i="5"/>
  <c r="E125" i="5" s="1"/>
  <c r="J125" i="5"/>
  <c r="G126" i="3"/>
  <c r="E126" i="3" s="1"/>
  <c r="P126" i="3"/>
  <c r="M126" i="3"/>
  <c r="K126" i="3" s="1"/>
  <c r="N126" i="7" l="1"/>
  <c r="K126" i="7"/>
  <c r="I126" i="7" s="1"/>
  <c r="F126" i="7"/>
  <c r="D126" i="7" s="1"/>
  <c r="N126" i="5"/>
  <c r="K126" i="5"/>
  <c r="I126" i="5" s="1"/>
  <c r="F126" i="5"/>
  <c r="D126" i="5" s="1"/>
  <c r="N126" i="3"/>
  <c r="L126" i="3"/>
  <c r="F126" i="3"/>
  <c r="O127" i="3"/>
  <c r="M127" i="7" l="1"/>
  <c r="L126" i="7"/>
  <c r="E126" i="7" s="1"/>
  <c r="J126" i="7"/>
  <c r="M127" i="5"/>
  <c r="L126" i="5"/>
  <c r="E126" i="5" s="1"/>
  <c r="J126" i="5"/>
  <c r="G127" i="3"/>
  <c r="P127" i="3"/>
  <c r="M127" i="3"/>
  <c r="N127" i="7" l="1"/>
  <c r="F127" i="7"/>
  <c r="D127" i="7" s="1"/>
  <c r="K127" i="7"/>
  <c r="I127" i="7" s="1"/>
  <c r="N127" i="5"/>
  <c r="F127" i="5"/>
  <c r="K127" i="5"/>
  <c r="K127" i="3"/>
  <c r="P129" i="3"/>
  <c r="P130" i="3"/>
  <c r="P131" i="3"/>
  <c r="E127" i="3"/>
  <c r="L127" i="7" l="1"/>
  <c r="J127" i="7" s="1"/>
  <c r="E127" i="7"/>
  <c r="I127" i="5"/>
  <c r="D127" i="5"/>
  <c r="N127" i="3"/>
  <c r="F127" i="3" s="1"/>
  <c r="B136" i="5" l="1"/>
  <c r="B146" i="5"/>
  <c r="B156" i="5"/>
  <c r="B166" i="5"/>
  <c r="B176" i="5"/>
  <c r="B186" i="5"/>
  <c r="B196" i="5"/>
  <c r="B206" i="5"/>
  <c r="B216" i="5"/>
  <c r="B226" i="5"/>
  <c r="B236" i="5"/>
  <c r="B246" i="5"/>
  <c r="B161" i="5"/>
  <c r="B201" i="5"/>
  <c r="B251" i="5"/>
  <c r="B137" i="5"/>
  <c r="B147" i="5"/>
  <c r="B157" i="5"/>
  <c r="B167" i="5"/>
  <c r="B177" i="5"/>
  <c r="B187" i="5"/>
  <c r="B197" i="5"/>
  <c r="B207" i="5"/>
  <c r="B217" i="5"/>
  <c r="B227" i="5"/>
  <c r="B237" i="5"/>
  <c r="B247" i="5"/>
  <c r="B141" i="5"/>
  <c r="B171" i="5"/>
  <c r="B211" i="5"/>
  <c r="B241" i="5"/>
  <c r="B138" i="5"/>
  <c r="B148" i="5"/>
  <c r="B158" i="5"/>
  <c r="B168" i="5"/>
  <c r="B178" i="5"/>
  <c r="B188" i="5"/>
  <c r="B198" i="5"/>
  <c r="B208" i="5"/>
  <c r="B218" i="5"/>
  <c r="B228" i="5"/>
  <c r="B238" i="5"/>
  <c r="B248" i="5"/>
  <c r="B191" i="5"/>
  <c r="B231" i="5"/>
  <c r="B139" i="5"/>
  <c r="B149" i="5"/>
  <c r="B159" i="5"/>
  <c r="B169" i="5"/>
  <c r="B179" i="5"/>
  <c r="B189" i="5"/>
  <c r="B199" i="5"/>
  <c r="B209" i="5"/>
  <c r="B219" i="5"/>
  <c r="B229" i="5"/>
  <c r="B239" i="5"/>
  <c r="B249" i="5"/>
  <c r="B151" i="5"/>
  <c r="B181" i="5"/>
  <c r="B221" i="5"/>
  <c r="B140" i="5"/>
  <c r="B150" i="5"/>
  <c r="B160" i="5"/>
  <c r="B170" i="5"/>
  <c r="B180" i="5"/>
  <c r="B190" i="5"/>
  <c r="B200" i="5"/>
  <c r="B210" i="5"/>
  <c r="B220" i="5"/>
  <c r="B230" i="5"/>
  <c r="B240" i="5"/>
  <c r="B250" i="5"/>
  <c r="B142" i="5"/>
  <c r="B164" i="5"/>
  <c r="B192" i="5"/>
  <c r="B214" i="5"/>
  <c r="B242" i="5"/>
  <c r="B143" i="5"/>
  <c r="B193" i="5"/>
  <c r="B215" i="5"/>
  <c r="B244" i="5"/>
  <c r="B173" i="5"/>
  <c r="B174" i="5"/>
  <c r="B153" i="5"/>
  <c r="B154" i="5"/>
  <c r="B254" i="5"/>
  <c r="B205" i="5"/>
  <c r="B234" i="5"/>
  <c r="B185" i="5"/>
  <c r="B165" i="5"/>
  <c r="B243" i="5"/>
  <c r="B223" i="5"/>
  <c r="B202" i="5"/>
  <c r="B175" i="5"/>
  <c r="B204" i="5"/>
  <c r="B233" i="5"/>
  <c r="B162" i="5"/>
  <c r="B213" i="5"/>
  <c r="B144" i="5"/>
  <c r="B172" i="5"/>
  <c r="B194" i="5"/>
  <c r="B222" i="5"/>
  <c r="B195" i="5"/>
  <c r="B224" i="5"/>
  <c r="B253" i="5"/>
  <c r="B155" i="5"/>
  <c r="B212" i="5"/>
  <c r="B163" i="5"/>
  <c r="B145" i="5"/>
  <c r="B245" i="5"/>
  <c r="B232" i="5"/>
  <c r="B183" i="5"/>
  <c r="B152" i="5"/>
  <c r="B252" i="5"/>
  <c r="B203" i="5"/>
  <c r="B132" i="5"/>
  <c r="B133" i="5"/>
  <c r="B131" i="5"/>
  <c r="C131" i="5" s="1"/>
  <c r="B134" i="5"/>
  <c r="B225" i="5"/>
  <c r="B182" i="5"/>
  <c r="B184" i="5"/>
  <c r="B135" i="5"/>
  <c r="B235" i="5"/>
  <c r="D134" i="5"/>
  <c r="E134" i="5" s="1"/>
  <c r="D144" i="5"/>
  <c r="E144" i="5" s="1"/>
  <c r="D154" i="5"/>
  <c r="E154" i="5" s="1"/>
  <c r="D164" i="5"/>
  <c r="E164" i="5" s="1"/>
  <c r="D174" i="5"/>
  <c r="E174" i="5" s="1"/>
  <c r="D184" i="5"/>
  <c r="E184" i="5" s="1"/>
  <c r="D194" i="5"/>
  <c r="E194" i="5" s="1"/>
  <c r="D204" i="5"/>
  <c r="E204" i="5" s="1"/>
  <c r="D214" i="5"/>
  <c r="E214" i="5" s="1"/>
  <c r="D224" i="5"/>
  <c r="E224" i="5" s="1"/>
  <c r="D234" i="5"/>
  <c r="E234" i="5" s="1"/>
  <c r="D244" i="5"/>
  <c r="E244" i="5" s="1"/>
  <c r="D254" i="5"/>
  <c r="E254" i="5" s="1"/>
  <c r="D169" i="5"/>
  <c r="E169" i="5" s="1"/>
  <c r="D209" i="5"/>
  <c r="E209" i="5" s="1"/>
  <c r="D239" i="5"/>
  <c r="E239" i="5" s="1"/>
  <c r="D160" i="5"/>
  <c r="E160" i="5" s="1"/>
  <c r="D135" i="5"/>
  <c r="E135" i="5" s="1"/>
  <c r="D145" i="5"/>
  <c r="E145" i="5" s="1"/>
  <c r="D155" i="5"/>
  <c r="E155" i="5" s="1"/>
  <c r="D165" i="5"/>
  <c r="E165" i="5" s="1"/>
  <c r="D175" i="5"/>
  <c r="E175" i="5" s="1"/>
  <c r="D185" i="5"/>
  <c r="E185" i="5" s="1"/>
  <c r="D195" i="5"/>
  <c r="E195" i="5" s="1"/>
  <c r="D205" i="5"/>
  <c r="E205" i="5" s="1"/>
  <c r="D215" i="5"/>
  <c r="E215" i="5" s="1"/>
  <c r="D225" i="5"/>
  <c r="E225" i="5" s="1"/>
  <c r="D235" i="5"/>
  <c r="E235" i="5" s="1"/>
  <c r="D245" i="5"/>
  <c r="E245" i="5" s="1"/>
  <c r="D131" i="5"/>
  <c r="D179" i="5"/>
  <c r="E179" i="5" s="1"/>
  <c r="D249" i="5"/>
  <c r="E249" i="5" s="1"/>
  <c r="D140" i="5"/>
  <c r="E140" i="5" s="1"/>
  <c r="D180" i="5"/>
  <c r="E180" i="5" s="1"/>
  <c r="D136" i="5"/>
  <c r="E136" i="5" s="1"/>
  <c r="D146" i="5"/>
  <c r="E146" i="5" s="1"/>
  <c r="D156" i="5"/>
  <c r="E156" i="5" s="1"/>
  <c r="D166" i="5"/>
  <c r="E166" i="5" s="1"/>
  <c r="D176" i="5"/>
  <c r="E176" i="5" s="1"/>
  <c r="D186" i="5"/>
  <c r="E186" i="5" s="1"/>
  <c r="D196" i="5"/>
  <c r="E196" i="5" s="1"/>
  <c r="D206" i="5"/>
  <c r="E206" i="5" s="1"/>
  <c r="D216" i="5"/>
  <c r="E216" i="5" s="1"/>
  <c r="D226" i="5"/>
  <c r="E226" i="5" s="1"/>
  <c r="D236" i="5"/>
  <c r="E236" i="5" s="1"/>
  <c r="D246" i="5"/>
  <c r="E246" i="5" s="1"/>
  <c r="D159" i="5"/>
  <c r="E159" i="5" s="1"/>
  <c r="D190" i="5"/>
  <c r="E190" i="5" s="1"/>
  <c r="D137" i="5"/>
  <c r="E137" i="5" s="1"/>
  <c r="D147" i="5"/>
  <c r="E147" i="5" s="1"/>
  <c r="D157" i="5"/>
  <c r="E157" i="5" s="1"/>
  <c r="D167" i="5"/>
  <c r="E167" i="5" s="1"/>
  <c r="D177" i="5"/>
  <c r="E177" i="5" s="1"/>
  <c r="D187" i="5"/>
  <c r="E187" i="5" s="1"/>
  <c r="D197" i="5"/>
  <c r="E197" i="5" s="1"/>
  <c r="D207" i="5"/>
  <c r="E207" i="5" s="1"/>
  <c r="D217" i="5"/>
  <c r="E217" i="5" s="1"/>
  <c r="D227" i="5"/>
  <c r="E227" i="5" s="1"/>
  <c r="D237" i="5"/>
  <c r="E237" i="5" s="1"/>
  <c r="D247" i="5"/>
  <c r="E247" i="5" s="1"/>
  <c r="D149" i="5"/>
  <c r="E149" i="5" s="1"/>
  <c r="D199" i="5"/>
  <c r="E199" i="5" s="1"/>
  <c r="D219" i="5"/>
  <c r="E219" i="5" s="1"/>
  <c r="D170" i="5"/>
  <c r="E170" i="5" s="1"/>
  <c r="D138" i="5"/>
  <c r="E138" i="5" s="1"/>
  <c r="D148" i="5"/>
  <c r="E148" i="5" s="1"/>
  <c r="D158" i="5"/>
  <c r="E158" i="5" s="1"/>
  <c r="D168" i="5"/>
  <c r="E168" i="5" s="1"/>
  <c r="D178" i="5"/>
  <c r="E178" i="5" s="1"/>
  <c r="D188" i="5"/>
  <c r="E188" i="5" s="1"/>
  <c r="D198" i="5"/>
  <c r="E198" i="5" s="1"/>
  <c r="D208" i="5"/>
  <c r="E208" i="5" s="1"/>
  <c r="D218" i="5"/>
  <c r="E218" i="5" s="1"/>
  <c r="D228" i="5"/>
  <c r="E228" i="5" s="1"/>
  <c r="D238" i="5"/>
  <c r="E238" i="5" s="1"/>
  <c r="D248" i="5"/>
  <c r="E248" i="5" s="1"/>
  <c r="D139" i="5"/>
  <c r="E139" i="5" s="1"/>
  <c r="D189" i="5"/>
  <c r="E189" i="5" s="1"/>
  <c r="D229" i="5"/>
  <c r="E229" i="5" s="1"/>
  <c r="D150" i="5"/>
  <c r="E150" i="5" s="1"/>
  <c r="D152" i="5"/>
  <c r="E152" i="5" s="1"/>
  <c r="D183" i="5"/>
  <c r="E183" i="5" s="1"/>
  <c r="D212" i="5"/>
  <c r="E212" i="5" s="1"/>
  <c r="D240" i="5"/>
  <c r="E240" i="5" s="1"/>
  <c r="D201" i="5"/>
  <c r="E201" i="5" s="1"/>
  <c r="D141" i="5"/>
  <c r="E141" i="5" s="1"/>
  <c r="D252" i="5"/>
  <c r="E252" i="5" s="1"/>
  <c r="D142" i="5"/>
  <c r="E142" i="5" s="1"/>
  <c r="D232" i="5"/>
  <c r="E232" i="5" s="1"/>
  <c r="D233" i="5"/>
  <c r="E233" i="5" s="1"/>
  <c r="D153" i="5"/>
  <c r="E153" i="5" s="1"/>
  <c r="D191" i="5"/>
  <c r="E191" i="5" s="1"/>
  <c r="D213" i="5"/>
  <c r="E213" i="5" s="1"/>
  <c r="D241" i="5"/>
  <c r="E241" i="5" s="1"/>
  <c r="D223" i="5"/>
  <c r="E223" i="5" s="1"/>
  <c r="D203" i="5"/>
  <c r="E203" i="5" s="1"/>
  <c r="D143" i="5"/>
  <c r="E143" i="5" s="1"/>
  <c r="D151" i="5"/>
  <c r="E151" i="5" s="1"/>
  <c r="D161" i="5"/>
  <c r="E161" i="5" s="1"/>
  <c r="D192" i="5"/>
  <c r="E192" i="5" s="1"/>
  <c r="D220" i="5"/>
  <c r="E220" i="5" s="1"/>
  <c r="D242" i="5"/>
  <c r="E242" i="5" s="1"/>
  <c r="D230" i="5"/>
  <c r="E230" i="5" s="1"/>
  <c r="D231" i="5"/>
  <c r="E231" i="5" s="1"/>
  <c r="D211" i="5"/>
  <c r="E211" i="5" s="1"/>
  <c r="D162" i="5"/>
  <c r="E162" i="5" s="1"/>
  <c r="D193" i="5"/>
  <c r="E193" i="5" s="1"/>
  <c r="D221" i="5"/>
  <c r="E221" i="5" s="1"/>
  <c r="D243" i="5"/>
  <c r="E243" i="5" s="1"/>
  <c r="D133" i="5"/>
  <c r="E133" i="5" s="1"/>
  <c r="D251" i="5"/>
  <c r="E251" i="5" s="1"/>
  <c r="D172" i="5"/>
  <c r="E172" i="5" s="1"/>
  <c r="D210" i="5"/>
  <c r="E210" i="5" s="1"/>
  <c r="D132" i="5"/>
  <c r="E132" i="5" s="1"/>
  <c r="D163" i="5"/>
  <c r="E163" i="5" s="1"/>
  <c r="D200" i="5"/>
  <c r="E200" i="5" s="1"/>
  <c r="D222" i="5"/>
  <c r="E222" i="5" s="1"/>
  <c r="D250" i="5"/>
  <c r="E250" i="5" s="1"/>
  <c r="D171" i="5"/>
  <c r="E171" i="5" s="1"/>
  <c r="D202" i="5"/>
  <c r="E202" i="5" s="1"/>
  <c r="D253" i="5"/>
  <c r="E253" i="5" s="1"/>
  <c r="D181" i="5"/>
  <c r="E181" i="5" s="1"/>
  <c r="D173" i="5"/>
  <c r="E173" i="5" s="1"/>
  <c r="D182" i="5"/>
  <c r="E182" i="5" s="1"/>
  <c r="L127" i="5"/>
  <c r="T156" i="3"/>
  <c r="U184" i="3"/>
  <c r="S189" i="3"/>
  <c r="U150" i="3"/>
  <c r="T141" i="3"/>
  <c r="U160" i="3"/>
  <c r="U169" i="3"/>
  <c r="U237" i="3"/>
  <c r="U226" i="3"/>
  <c r="T149" i="3"/>
  <c r="T165" i="3"/>
  <c r="T191" i="3"/>
  <c r="T207" i="3"/>
  <c r="S227" i="3"/>
  <c r="S205" i="3"/>
  <c r="S211" i="3"/>
  <c r="U199" i="3"/>
  <c r="U215" i="3"/>
  <c r="T181" i="3"/>
  <c r="T197" i="3"/>
  <c r="T188" i="3"/>
  <c r="T214" i="3"/>
  <c r="S166" i="3"/>
  <c r="S216" i="3"/>
  <c r="U189" i="3"/>
  <c r="U220" i="3"/>
  <c r="U144" i="3"/>
  <c r="U180" i="3"/>
  <c r="T222" i="3"/>
  <c r="S155" i="3"/>
  <c r="U148" i="3"/>
  <c r="U231" i="3"/>
  <c r="U216" i="3"/>
  <c r="U240" i="3"/>
  <c r="U235" i="3"/>
  <c r="U225" i="3"/>
  <c r="U232" i="3"/>
  <c r="U227" i="3"/>
  <c r="U217" i="3"/>
  <c r="U212" i="3"/>
  <c r="U207" i="3"/>
  <c r="U197" i="3"/>
  <c r="U192" i="3"/>
  <c r="U177" i="3"/>
  <c r="U172" i="3"/>
  <c r="U233" i="3"/>
  <c r="U219" i="3"/>
  <c r="U208" i="3"/>
  <c r="U156" i="3"/>
  <c r="U209" i="3"/>
  <c r="U196" i="3"/>
  <c r="U168" i="3"/>
  <c r="U175" i="3"/>
  <c r="U167" i="3"/>
  <c r="U154" i="3"/>
  <c r="U143" i="3"/>
  <c r="U203" i="3"/>
  <c r="U198" i="3"/>
  <c r="U178" i="3"/>
  <c r="U239" i="3"/>
  <c r="U190" i="3"/>
  <c r="U171" i="3"/>
  <c r="U155" i="3"/>
  <c r="U151" i="3"/>
  <c r="U201" i="3"/>
  <c r="U159" i="3"/>
  <c r="U158" i="3"/>
  <c r="U157" i="3"/>
  <c r="U191" i="3"/>
  <c r="U185" i="3"/>
  <c r="U165" i="3"/>
  <c r="U163" i="3"/>
  <c r="U149" i="3"/>
  <c r="U238" i="3"/>
  <c r="U224" i="3"/>
  <c r="U195" i="3"/>
  <c r="U183" i="3"/>
  <c r="U188" i="3"/>
  <c r="U145" i="3"/>
  <c r="U170" i="3"/>
  <c r="U214" i="3"/>
  <c r="U204" i="3"/>
  <c r="U228" i="3"/>
  <c r="U147" i="3"/>
  <c r="S184" i="3"/>
  <c r="S196" i="3"/>
  <c r="S214" i="3"/>
  <c r="S230" i="3"/>
  <c r="U173" i="3"/>
  <c r="U211" i="3"/>
  <c r="U206" i="3"/>
  <c r="U200" i="3"/>
  <c r="U213" i="3"/>
  <c r="U229" i="3"/>
  <c r="S190" i="3"/>
  <c r="U187" i="3"/>
  <c r="U164" i="3"/>
  <c r="T212" i="3"/>
  <c r="S199" i="3"/>
  <c r="U202" i="3"/>
  <c r="T143" i="3"/>
  <c r="T236" i="3"/>
  <c r="S175" i="3"/>
  <c r="S222" i="3"/>
  <c r="S220" i="3"/>
  <c r="U141" i="3"/>
  <c r="T235" i="3"/>
  <c r="T230" i="3"/>
  <c r="T225" i="3"/>
  <c r="T220" i="3"/>
  <c r="T215" i="3"/>
  <c r="T210" i="3"/>
  <c r="T187" i="3"/>
  <c r="T175" i="3"/>
  <c r="T233" i="3"/>
  <c r="T226" i="3"/>
  <c r="T219" i="3"/>
  <c r="T208" i="3"/>
  <c r="T237" i="3"/>
  <c r="T218" i="3"/>
  <c r="T202" i="3"/>
  <c r="T172" i="3"/>
  <c r="T171" i="3"/>
  <c r="T170" i="3"/>
  <c r="T169" i="3"/>
  <c r="T174" i="3"/>
  <c r="T173" i="3"/>
  <c r="T168" i="3"/>
  <c r="T155" i="3"/>
  <c r="T177" i="3"/>
  <c r="T167" i="3"/>
  <c r="T166" i="3"/>
  <c r="T232" i="3"/>
  <c r="T228" i="3"/>
  <c r="T213" i="3"/>
  <c r="T229" i="3"/>
  <c r="T216" i="3"/>
  <c r="T203" i="3"/>
  <c r="T193" i="3"/>
  <c r="T190" i="3"/>
  <c r="T184" i="3"/>
  <c r="T153" i="3"/>
  <c r="T152" i="3"/>
  <c r="T196" i="3"/>
  <c r="T178" i="3"/>
  <c r="T151" i="3"/>
  <c r="T209" i="3"/>
  <c r="T201" i="3"/>
  <c r="T199" i="3"/>
  <c r="T161" i="3"/>
  <c r="T159" i="3"/>
  <c r="T158" i="3"/>
  <c r="T157" i="3"/>
  <c r="T150" i="3"/>
  <c r="T142" i="3"/>
  <c r="T231" i="3"/>
  <c r="T238" i="3"/>
  <c r="T146" i="3"/>
  <c r="T217" i="3"/>
  <c r="T192" i="3"/>
  <c r="T186" i="3"/>
  <c r="T223" i="3"/>
  <c r="T211" i="3"/>
  <c r="T195" i="3"/>
  <c r="T189" i="3"/>
  <c r="T183" i="3"/>
  <c r="T180" i="3"/>
  <c r="T194" i="3"/>
  <c r="T221" i="3"/>
  <c r="T234" i="3"/>
  <c r="T145" i="3"/>
  <c r="T147" i="3"/>
  <c r="T185" i="3"/>
  <c r="T163" i="3"/>
  <c r="T204" i="3"/>
  <c r="T227" i="3"/>
  <c r="S238" i="3"/>
  <c r="U152" i="3"/>
  <c r="U146" i="3"/>
  <c r="T160" i="3"/>
  <c r="T154" i="3"/>
  <c r="T164" i="3"/>
  <c r="T200" i="3"/>
  <c r="T224" i="3"/>
  <c r="T240" i="3"/>
  <c r="T205" i="3"/>
  <c r="S237" i="3"/>
  <c r="S217" i="3"/>
  <c r="S212" i="3"/>
  <c r="S207" i="3"/>
  <c r="S236" i="3"/>
  <c r="S231" i="3"/>
  <c r="S226" i="3"/>
  <c r="S221" i="3"/>
  <c r="S233" i="3"/>
  <c r="S228" i="3"/>
  <c r="S223" i="3"/>
  <c r="S218" i="3"/>
  <c r="S208" i="3"/>
  <c r="S203" i="3"/>
  <c r="S198" i="3"/>
  <c r="S188" i="3"/>
  <c r="S178" i="3"/>
  <c r="S173" i="3"/>
  <c r="S229" i="3"/>
  <c r="S215" i="3"/>
  <c r="S176" i="3"/>
  <c r="S167" i="3"/>
  <c r="S162" i="3"/>
  <c r="S157" i="3"/>
  <c r="S239" i="3"/>
  <c r="S202" i="3"/>
  <c r="S172" i="3"/>
  <c r="S171" i="3"/>
  <c r="S170" i="3"/>
  <c r="S156" i="3"/>
  <c r="S149" i="3"/>
  <c r="S144" i="3"/>
  <c r="S174" i="3"/>
  <c r="S168" i="3"/>
  <c r="S187" i="3"/>
  <c r="S141" i="3"/>
  <c r="S210" i="3"/>
  <c r="S154" i="3"/>
  <c r="S153" i="3"/>
  <c r="S152" i="3"/>
  <c r="S225" i="3"/>
  <c r="S151" i="3"/>
  <c r="S180" i="3"/>
  <c r="S143" i="3"/>
  <c r="S160" i="3"/>
  <c r="S158" i="3"/>
  <c r="S164" i="3"/>
  <c r="S148" i="3"/>
  <c r="S146" i="3"/>
  <c r="S145" i="3"/>
  <c r="S186" i="3"/>
  <c r="S209" i="3"/>
  <c r="S161" i="3"/>
  <c r="S194" i="3"/>
  <c r="S182" i="3"/>
  <c r="S165" i="3"/>
  <c r="S234" i="3"/>
  <c r="S192" i="3"/>
  <c r="S179" i="3"/>
  <c r="S159" i="3"/>
  <c r="S147" i="3"/>
  <c r="S185" i="3"/>
  <c r="S177" i="3"/>
  <c r="S183" i="3"/>
  <c r="S201" i="3"/>
  <c r="S219" i="3"/>
  <c r="S235" i="3"/>
  <c r="U179" i="3"/>
  <c r="U176" i="3"/>
  <c r="U186" i="3"/>
  <c r="U161" i="3"/>
  <c r="U222" i="3"/>
  <c r="U205" i="3"/>
  <c r="U218" i="3"/>
  <c r="U234" i="3"/>
  <c r="T176" i="3"/>
  <c r="S193" i="3"/>
  <c r="S232" i="3"/>
  <c r="U153" i="3"/>
  <c r="U166" i="3"/>
  <c r="U230" i="3"/>
  <c r="T144" i="3"/>
  <c r="T239" i="3"/>
  <c r="S181" i="3"/>
  <c r="U142" i="3"/>
  <c r="L127" i="3"/>
  <c r="T182" i="3"/>
  <c r="S204" i="3"/>
  <c r="U162" i="3"/>
  <c r="U174" i="3"/>
  <c r="U181" i="3"/>
  <c r="S169" i="3"/>
  <c r="S142" i="3"/>
  <c r="S191" i="3"/>
  <c r="U193" i="3"/>
  <c r="T179" i="3"/>
  <c r="T198" i="3"/>
  <c r="T148" i="3"/>
  <c r="T162" i="3"/>
  <c r="T206" i="3"/>
  <c r="S213" i="3"/>
  <c r="S197" i="3"/>
  <c r="S163" i="3"/>
  <c r="S200" i="3"/>
  <c r="S195" i="3"/>
  <c r="S206" i="3"/>
  <c r="S224" i="3"/>
  <c r="U182" i="3"/>
  <c r="U194" i="3"/>
  <c r="U236" i="3"/>
  <c r="U221" i="3"/>
  <c r="U210" i="3"/>
  <c r="U223" i="3"/>
  <c r="F147" i="5" l="1"/>
  <c r="G147" i="5" s="1"/>
  <c r="C147" i="5"/>
  <c r="F233" i="5"/>
  <c r="G233" i="5" s="1"/>
  <c r="C233" i="5"/>
  <c r="F190" i="5"/>
  <c r="G190" i="5" s="1"/>
  <c r="C190" i="5"/>
  <c r="C239" i="5"/>
  <c r="F239" i="5"/>
  <c r="G239" i="5" s="1"/>
  <c r="F186" i="5"/>
  <c r="G186" i="5" s="1"/>
  <c r="C186" i="5"/>
  <c r="F231" i="5"/>
  <c r="G231" i="5" s="1"/>
  <c r="C231" i="5"/>
  <c r="C225" i="5"/>
  <c r="F225" i="5"/>
  <c r="G225" i="5" s="1"/>
  <c r="C245" i="5"/>
  <c r="F245" i="5"/>
  <c r="G245" i="5" s="1"/>
  <c r="F172" i="5"/>
  <c r="G172" i="5" s="1"/>
  <c r="C172" i="5"/>
  <c r="F165" i="5"/>
  <c r="G165" i="5" s="1"/>
  <c r="C165" i="5"/>
  <c r="F215" i="5"/>
  <c r="G215" i="5" s="1"/>
  <c r="C215" i="5"/>
  <c r="F230" i="5"/>
  <c r="G230" i="5" s="1"/>
  <c r="C230" i="5"/>
  <c r="F221" i="5"/>
  <c r="G221" i="5" s="1"/>
  <c r="C221" i="5"/>
  <c r="C179" i="5"/>
  <c r="F179" i="5"/>
  <c r="G179" i="5" s="1"/>
  <c r="F218" i="5"/>
  <c r="G218" i="5" s="1"/>
  <c r="C218" i="5"/>
  <c r="F211" i="5"/>
  <c r="G211" i="5" s="1"/>
  <c r="C211" i="5"/>
  <c r="F177" i="5"/>
  <c r="G177" i="5" s="1"/>
  <c r="C177" i="5"/>
  <c r="F226" i="5"/>
  <c r="G226" i="5" s="1"/>
  <c r="C226" i="5"/>
  <c r="F134" i="5"/>
  <c r="G134" i="5" s="1"/>
  <c r="C134" i="5"/>
  <c r="C145" i="5"/>
  <c r="F145" i="5"/>
  <c r="G145" i="5" s="1"/>
  <c r="F144" i="5"/>
  <c r="G144" i="5" s="1"/>
  <c r="C144" i="5"/>
  <c r="C185" i="5"/>
  <c r="F185" i="5"/>
  <c r="G185" i="5" s="1"/>
  <c r="F193" i="5"/>
  <c r="G193" i="5" s="1"/>
  <c r="C193" i="5"/>
  <c r="F220" i="5"/>
  <c r="G220" i="5" s="1"/>
  <c r="C220" i="5"/>
  <c r="F181" i="5"/>
  <c r="G181" i="5" s="1"/>
  <c r="C181" i="5"/>
  <c r="F169" i="5"/>
  <c r="G169" i="5" s="1"/>
  <c r="C169" i="5"/>
  <c r="C208" i="5"/>
  <c r="F208" i="5"/>
  <c r="G208" i="5" s="1"/>
  <c r="F171" i="5"/>
  <c r="G171" i="5" s="1"/>
  <c r="C171" i="5"/>
  <c r="F167" i="5"/>
  <c r="G167" i="5" s="1"/>
  <c r="C167" i="5"/>
  <c r="F216" i="5"/>
  <c r="G216" i="5" s="1"/>
  <c r="C216" i="5"/>
  <c r="F163" i="5"/>
  <c r="G163" i="5" s="1"/>
  <c r="C163" i="5"/>
  <c r="F213" i="5"/>
  <c r="G213" i="5" s="1"/>
  <c r="C213" i="5"/>
  <c r="F234" i="5"/>
  <c r="G234" i="5" s="1"/>
  <c r="C234" i="5"/>
  <c r="F143" i="5"/>
  <c r="G143" i="5" s="1"/>
  <c r="C143" i="5"/>
  <c r="F210" i="5"/>
  <c r="G210" i="5" s="1"/>
  <c r="C210" i="5"/>
  <c r="F151" i="5"/>
  <c r="G151" i="5" s="1"/>
  <c r="C151" i="5"/>
  <c r="F159" i="5"/>
  <c r="G159" i="5" s="1"/>
  <c r="C159" i="5"/>
  <c r="F198" i="5"/>
  <c r="G198" i="5" s="1"/>
  <c r="C198" i="5"/>
  <c r="F141" i="5"/>
  <c r="G141" i="5" s="1"/>
  <c r="C141" i="5"/>
  <c r="F157" i="5"/>
  <c r="G157" i="5" s="1"/>
  <c r="C157" i="5"/>
  <c r="F206" i="5"/>
  <c r="G206" i="5" s="1"/>
  <c r="C206" i="5"/>
  <c r="F249" i="5"/>
  <c r="G249" i="5" s="1"/>
  <c r="C249" i="5"/>
  <c r="F212" i="5"/>
  <c r="G212" i="5" s="1"/>
  <c r="C212" i="5"/>
  <c r="F133" i="5"/>
  <c r="G133" i="5" s="1"/>
  <c r="C133" i="5"/>
  <c r="F162" i="5"/>
  <c r="G162" i="5" s="1"/>
  <c r="C162" i="5"/>
  <c r="C205" i="5"/>
  <c r="F205" i="5"/>
  <c r="G205" i="5" s="1"/>
  <c r="F242" i="5"/>
  <c r="G242" i="5" s="1"/>
  <c r="C242" i="5"/>
  <c r="F200" i="5"/>
  <c r="G200" i="5" s="1"/>
  <c r="C200" i="5"/>
  <c r="F196" i="5"/>
  <c r="G196" i="5" s="1"/>
  <c r="C196" i="5"/>
  <c r="F254" i="5"/>
  <c r="G254" i="5" s="1"/>
  <c r="C254" i="5"/>
  <c r="C139" i="5"/>
  <c r="F139" i="5"/>
  <c r="G139" i="5" s="1"/>
  <c r="C227" i="5"/>
  <c r="F227" i="5"/>
  <c r="G227" i="5" s="1"/>
  <c r="F131" i="5"/>
  <c r="G131" i="5" s="1"/>
  <c r="E131" i="5"/>
  <c r="C235" i="5"/>
  <c r="F235" i="5"/>
  <c r="G235" i="5" s="1"/>
  <c r="F252" i="5"/>
  <c r="G252" i="5" s="1"/>
  <c r="C252" i="5"/>
  <c r="F224" i="5"/>
  <c r="G224" i="5" s="1"/>
  <c r="C224" i="5"/>
  <c r="C175" i="5"/>
  <c r="F175" i="5"/>
  <c r="G175" i="5" s="1"/>
  <c r="F153" i="5"/>
  <c r="G153" i="5" s="1"/>
  <c r="C153" i="5"/>
  <c r="F164" i="5"/>
  <c r="G164" i="5" s="1"/>
  <c r="C164" i="5"/>
  <c r="F170" i="5"/>
  <c r="G170" i="5" s="1"/>
  <c r="C170" i="5"/>
  <c r="F219" i="5"/>
  <c r="G219" i="5" s="1"/>
  <c r="C219" i="5"/>
  <c r="F191" i="5"/>
  <c r="G191" i="5" s="1"/>
  <c r="C191" i="5"/>
  <c r="F158" i="5"/>
  <c r="G158" i="5" s="1"/>
  <c r="C158" i="5"/>
  <c r="C217" i="5"/>
  <c r="F217" i="5"/>
  <c r="G217" i="5" s="1"/>
  <c r="F201" i="5"/>
  <c r="G201" i="5" s="1"/>
  <c r="C201" i="5"/>
  <c r="F166" i="5"/>
  <c r="G166" i="5" s="1"/>
  <c r="C166" i="5"/>
  <c r="C247" i="5"/>
  <c r="F247" i="5"/>
  <c r="G247" i="5" s="1"/>
  <c r="F132" i="5"/>
  <c r="G132" i="5" s="1"/>
  <c r="C132" i="5"/>
  <c r="F237" i="5"/>
  <c r="G237" i="5" s="1"/>
  <c r="C237" i="5"/>
  <c r="F203" i="5"/>
  <c r="G203" i="5" s="1"/>
  <c r="C203" i="5"/>
  <c r="F154" i="5"/>
  <c r="G154" i="5" s="1"/>
  <c r="C154" i="5"/>
  <c r="F180" i="5"/>
  <c r="G180" i="5" s="1"/>
  <c r="C180" i="5"/>
  <c r="F229" i="5"/>
  <c r="G229" i="5" s="1"/>
  <c r="C229" i="5"/>
  <c r="F168" i="5"/>
  <c r="G168" i="5" s="1"/>
  <c r="C168" i="5"/>
  <c r="F135" i="5"/>
  <c r="G135" i="5" s="1"/>
  <c r="C135" i="5"/>
  <c r="F152" i="5"/>
  <c r="G152" i="5" s="1"/>
  <c r="C152" i="5"/>
  <c r="C195" i="5"/>
  <c r="F195" i="5"/>
  <c r="G195" i="5" s="1"/>
  <c r="F202" i="5"/>
  <c r="G202" i="5" s="1"/>
  <c r="C202" i="5"/>
  <c r="F174" i="5"/>
  <c r="G174" i="5" s="1"/>
  <c r="C174" i="5"/>
  <c r="F142" i="5"/>
  <c r="G142" i="5" s="1"/>
  <c r="C142" i="5"/>
  <c r="F160" i="5"/>
  <c r="G160" i="5" s="1"/>
  <c r="C160" i="5"/>
  <c r="C209" i="5"/>
  <c r="F209" i="5"/>
  <c r="G209" i="5" s="1"/>
  <c r="C248" i="5"/>
  <c r="F248" i="5"/>
  <c r="G248" i="5" s="1"/>
  <c r="F148" i="5"/>
  <c r="G148" i="5" s="1"/>
  <c r="C148" i="5"/>
  <c r="F207" i="5"/>
  <c r="G207" i="5" s="1"/>
  <c r="C207" i="5"/>
  <c r="F161" i="5"/>
  <c r="G161" i="5" s="1"/>
  <c r="C161" i="5"/>
  <c r="F156" i="5"/>
  <c r="G156" i="5" s="1"/>
  <c r="C156" i="5"/>
  <c r="C188" i="5"/>
  <c r="F188" i="5"/>
  <c r="G188" i="5" s="1"/>
  <c r="F137" i="5"/>
  <c r="G137" i="5" s="1"/>
  <c r="C137" i="5"/>
  <c r="F253" i="5"/>
  <c r="G253" i="5" s="1"/>
  <c r="C253" i="5"/>
  <c r="F192" i="5"/>
  <c r="G192" i="5" s="1"/>
  <c r="C192" i="5"/>
  <c r="F251" i="5"/>
  <c r="G251" i="5" s="1"/>
  <c r="C251" i="5"/>
  <c r="F184" i="5"/>
  <c r="G184" i="5" s="1"/>
  <c r="C184" i="5"/>
  <c r="F183" i="5"/>
  <c r="G183" i="5" s="1"/>
  <c r="C183" i="5"/>
  <c r="F222" i="5"/>
  <c r="G222" i="5" s="1"/>
  <c r="C222" i="5"/>
  <c r="F223" i="5"/>
  <c r="G223" i="5" s="1"/>
  <c r="C223" i="5"/>
  <c r="F173" i="5"/>
  <c r="G173" i="5" s="1"/>
  <c r="C173" i="5"/>
  <c r="F250" i="5"/>
  <c r="G250" i="5" s="1"/>
  <c r="C250" i="5"/>
  <c r="F150" i="5"/>
  <c r="G150" i="5" s="1"/>
  <c r="C150" i="5"/>
  <c r="F199" i="5"/>
  <c r="G199" i="5" s="1"/>
  <c r="C199" i="5"/>
  <c r="C238" i="5"/>
  <c r="F238" i="5"/>
  <c r="G238" i="5" s="1"/>
  <c r="C138" i="5"/>
  <c r="F138" i="5"/>
  <c r="G138" i="5" s="1"/>
  <c r="C197" i="5"/>
  <c r="F197" i="5"/>
  <c r="G197" i="5" s="1"/>
  <c r="F246" i="5"/>
  <c r="G246" i="5" s="1"/>
  <c r="C246" i="5"/>
  <c r="F146" i="5"/>
  <c r="G146" i="5" s="1"/>
  <c r="C146" i="5"/>
  <c r="F149" i="5"/>
  <c r="G149" i="5" s="1"/>
  <c r="C149" i="5"/>
  <c r="C155" i="5"/>
  <c r="F155" i="5"/>
  <c r="G155" i="5" s="1"/>
  <c r="F214" i="5"/>
  <c r="G214" i="5" s="1"/>
  <c r="C214" i="5"/>
  <c r="F178" i="5"/>
  <c r="G178" i="5" s="1"/>
  <c r="C178" i="5"/>
  <c r="F204" i="5"/>
  <c r="G204" i="5" s="1"/>
  <c r="C204" i="5"/>
  <c r="F176" i="5"/>
  <c r="G176" i="5" s="1"/>
  <c r="C176" i="5"/>
  <c r="F182" i="5"/>
  <c r="G182" i="5" s="1"/>
  <c r="C182" i="5"/>
  <c r="F232" i="5"/>
  <c r="G232" i="5" s="1"/>
  <c r="C232" i="5"/>
  <c r="F194" i="5"/>
  <c r="G194" i="5" s="1"/>
  <c r="C194" i="5"/>
  <c r="F243" i="5"/>
  <c r="G243" i="5" s="1"/>
  <c r="C243" i="5"/>
  <c r="F244" i="5"/>
  <c r="G244" i="5" s="1"/>
  <c r="C244" i="5"/>
  <c r="F240" i="5"/>
  <c r="G240" i="5" s="1"/>
  <c r="C240" i="5"/>
  <c r="F140" i="5"/>
  <c r="G140" i="5" s="1"/>
  <c r="C140" i="5"/>
  <c r="C189" i="5"/>
  <c r="F189" i="5"/>
  <c r="G189" i="5" s="1"/>
  <c r="F228" i="5"/>
  <c r="G228" i="5" s="1"/>
  <c r="C228" i="5"/>
  <c r="F241" i="5"/>
  <c r="G241" i="5" s="1"/>
  <c r="C241" i="5"/>
  <c r="C187" i="5"/>
  <c r="F187" i="5"/>
  <c r="G187" i="5" s="1"/>
  <c r="F236" i="5"/>
  <c r="G236" i="5" s="1"/>
  <c r="C236" i="5"/>
  <c r="F136" i="5"/>
  <c r="G136" i="5" s="1"/>
  <c r="C136" i="5"/>
  <c r="E127" i="5"/>
  <c r="J127" i="5"/>
  <c r="J151" i="5" l="1"/>
  <c r="J154" i="5" s="1"/>
  <c r="L135" i="5"/>
  <c r="L136" i="5" s="1"/>
  <c r="L143" i="5"/>
  <c r="J143" i="5"/>
  <c r="K143" i="5"/>
  <c r="J135" i="5"/>
  <c r="J137" i="5" s="1"/>
  <c r="K151" i="5"/>
  <c r="K153" i="5" s="1"/>
  <c r="L151" i="5"/>
  <c r="L152" i="5" s="1"/>
  <c r="K135" i="5"/>
  <c r="K137" i="5" s="1"/>
  <c r="J139" i="5" l="1"/>
  <c r="L137" i="5"/>
  <c r="L139" i="5"/>
  <c r="J155" i="5"/>
  <c r="J153" i="5"/>
  <c r="L138" i="5"/>
  <c r="J152" i="5"/>
  <c r="K138" i="5"/>
  <c r="K152" i="5"/>
  <c r="K155" i="5"/>
  <c r="L159" i="5"/>
  <c r="K154" i="5"/>
  <c r="K136" i="5"/>
  <c r="K139" i="5"/>
  <c r="L154" i="5"/>
  <c r="L155" i="5"/>
  <c r="J136" i="5"/>
  <c r="J138" i="5"/>
  <c r="J162" i="5" s="1"/>
  <c r="L153" i="5"/>
  <c r="K144" i="5"/>
  <c r="K147" i="5"/>
  <c r="K146" i="5"/>
  <c r="K145" i="5"/>
  <c r="K161" i="5" s="1"/>
  <c r="J147" i="5"/>
  <c r="J163" i="5" s="1"/>
  <c r="J144" i="5"/>
  <c r="J146" i="5"/>
  <c r="J145" i="5"/>
  <c r="J161" i="5" s="1"/>
  <c r="J159" i="5"/>
  <c r="K159" i="5"/>
  <c r="L147" i="5"/>
  <c r="L144" i="5"/>
  <c r="L160" i="5" s="1"/>
  <c r="L145" i="5"/>
  <c r="L146" i="5"/>
  <c r="J160" i="5" l="1"/>
  <c r="K163" i="5"/>
  <c r="L161" i="5"/>
  <c r="L162" i="5"/>
  <c r="K162" i="5"/>
  <c r="L163" i="5"/>
  <c r="K16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<sst xmlns="http://schemas.openxmlformats.org/spreadsheetml/2006/main" count="240" uniqueCount="54">
  <si>
    <t>XOM History     Daily     6 Months</t>
  </si>
  <si>
    <t>Exchange Date</t>
  </si>
  <si>
    <t>Close</t>
  </si>
  <si>
    <t>Net</t>
  </si>
  <si>
    <t>%Chg</t>
  </si>
  <si>
    <t>MSFT.O History     Daily     6 Months</t>
  </si>
  <si>
    <t>n shares XON</t>
  </si>
  <si>
    <t>n shares MSFT</t>
  </si>
  <si>
    <t>% XON</t>
  </si>
  <si>
    <t>% MSFT</t>
  </si>
  <si>
    <t>MSFT value</t>
  </si>
  <si>
    <t>total n shares</t>
  </si>
  <si>
    <t>portfolio value</t>
  </si>
  <si>
    <t>XON value</t>
  </si>
  <si>
    <t>daily vol</t>
  </si>
  <si>
    <t>MSFT</t>
  </si>
  <si>
    <t>var</t>
  </si>
  <si>
    <t>avg</t>
  </si>
  <si>
    <t>return</t>
  </si>
  <si>
    <t>portfolio</t>
  </si>
  <si>
    <t>corr</t>
  </si>
  <si>
    <t>PARAMETRIC SINGLE NORMAL VAR</t>
  </si>
  <si>
    <t>X</t>
  </si>
  <si>
    <t>T</t>
  </si>
  <si>
    <t>flat volatility</t>
  </si>
  <si>
    <t>PARAMETRIC JOINT NORMAL VAR</t>
  </si>
  <si>
    <t>BENEFIT OF DIVERSIFICATION</t>
  </si>
  <si>
    <t>z</t>
  </si>
  <si>
    <t>XOM</t>
  </si>
  <si>
    <t>EWMA</t>
  </si>
  <si>
    <t>lambda EWMA</t>
  </si>
  <si>
    <t>avg XOM</t>
  </si>
  <si>
    <t>avg MSFT</t>
  </si>
  <si>
    <t>daily vol XOM</t>
  </si>
  <si>
    <t>daily vol MSFT</t>
  </si>
  <si>
    <t>weight XOM</t>
  </si>
  <si>
    <t>weight MSFT</t>
  </si>
  <si>
    <t>N</t>
  </si>
  <si>
    <t>single asset value</t>
  </si>
  <si>
    <t>PORTFOLIO</t>
  </si>
  <si>
    <t>DIVERSIFICATION BENEFIT</t>
  </si>
  <si>
    <t>scenario</t>
  </si>
  <si>
    <t>delta XOM</t>
  </si>
  <si>
    <t>delta MSFT</t>
  </si>
  <si>
    <t>delta P</t>
  </si>
  <si>
    <t>Portfolio</t>
  </si>
  <si>
    <t>VaR 95%</t>
  </si>
  <si>
    <t>VaR 99%</t>
  </si>
  <si>
    <t>VaR 99.5%</t>
  </si>
  <si>
    <t>diversification benefit</t>
  </si>
  <si>
    <t>sigma flat</t>
  </si>
  <si>
    <t>MC</t>
  </si>
  <si>
    <t>HISTORICAL (aggregate sqr(T))</t>
  </si>
  <si>
    <t>HISTORICAL (bootstrap)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</si>
</sst>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#,##0.00;\-#,##0.00;#,##0.00;&quot;--&quot;"/>
    <numFmt numFmtId="166" formatCode="\+#,##0.00;\-#,##0.00;#,##0.00;&quot;--&quot;"/>
    <numFmt numFmtId="167" formatCode="0.00000%"/>
    <numFmt numFmtId="168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rgb="FFA6A6A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rgb="FFA6A6A6"/>
      </patternFill>
    </fill>
    <fill>
      <patternFill patternType="solid">
        <fgColor theme="8" tint="0.39997558519241921"/>
        <bgColor rgb="FFA6A6A6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7">
    <xf numFmtId="0" fontId="0" fillId="0" borderId="0" xfId="0"/>
    <xf numFmtId="10" fontId="3" fillId="0" borderId="0" xfId="1" applyNumberFormat="1" applyFont="1" applyBorder="1"/>
    <xf numFmtId="2" fontId="3" fillId="0" borderId="0" xfId="1" applyNumberFormat="1" applyFont="1" applyBorder="1"/>
    <xf numFmtId="2" fontId="0" fillId="0" borderId="0" xfId="0" applyNumberFormat="1"/>
    <xf numFmtId="10" fontId="0" fillId="0" borderId="0" xfId="1" applyNumberFormat="1" applyFont="1" applyBorder="1"/>
    <xf numFmtId="2" fontId="0" fillId="0" borderId="0" xfId="1" applyNumberFormat="1" applyFont="1" applyBorder="1"/>
    <xf numFmtId="9" fontId="0" fillId="0" borderId="0" xfId="1" applyFont="1" applyBorder="1"/>
    <xf numFmtId="167" fontId="0" fillId="0" borderId="0" xfId="1" applyNumberFormat="1" applyFont="1"/>
    <xf numFmtId="2" fontId="0" fillId="0" borderId="0" xfId="1" applyNumberFormat="1" applyFont="1" applyBorder="1" applyAlignment="1">
      <alignment horizontal="right"/>
    </xf>
    <xf numFmtId="2" fontId="0" fillId="0" borderId="0" xfId="1" applyNumberFormat="1" applyFont="1"/>
    <xf numFmtId="168" fontId="0" fillId="0" borderId="0" xfId="0" applyNumberFormat="1"/>
    <xf numFmtId="168" fontId="3" fillId="0" borderId="0" xfId="1" applyNumberFormat="1" applyFont="1" applyBorder="1"/>
    <xf numFmtId="9" fontId="3" fillId="0" borderId="0" xfId="1" applyFont="1" applyBorder="1"/>
    <xf numFmtId="168" fontId="0" fillId="0" borderId="0" xfId="1" applyNumberFormat="1" applyFont="1" applyBorder="1"/>
    <xf numFmtId="164" fontId="3" fillId="0" borderId="3" xfId="0" applyNumberFormat="1" applyFont="1" applyBorder="1"/>
    <xf numFmtId="164" fontId="2" fillId="0" borderId="4" xfId="0" applyNumberFormat="1" applyFont="1" applyBorder="1"/>
    <xf numFmtId="0" fontId="2" fillId="3" borderId="2" xfId="0" applyFont="1" applyFill="1" applyBorder="1"/>
    <xf numFmtId="0" fontId="3" fillId="3" borderId="5" xfId="0" applyFont="1" applyFill="1" applyBorder="1"/>
    <xf numFmtId="2" fontId="3" fillId="3" borderId="5" xfId="1" applyNumberFormat="1" applyFont="1" applyFill="1" applyBorder="1"/>
    <xf numFmtId="10" fontId="3" fillId="3" borderId="5" xfId="1" applyNumberFormat="1" applyFont="1" applyFill="1" applyBorder="1"/>
    <xf numFmtId="2" fontId="3" fillId="3" borderId="6" xfId="1" applyNumberFormat="1" applyFont="1" applyFill="1" applyBorder="1"/>
    <xf numFmtId="165" fontId="3" fillId="0" borderId="3" xfId="0" applyNumberFormat="1" applyFont="1" applyBorder="1"/>
    <xf numFmtId="166" fontId="3" fillId="0" borderId="0" xfId="0" applyNumberFormat="1" applyFont="1"/>
    <xf numFmtId="2" fontId="3" fillId="0" borderId="7" xfId="1" applyNumberFormat="1" applyFont="1" applyBorder="1"/>
    <xf numFmtId="165" fontId="2" fillId="0" borderId="4" xfId="0" applyNumberFormat="1" applyFont="1" applyBorder="1"/>
    <xf numFmtId="166" fontId="2" fillId="0" borderId="8" xfId="0" applyNumberFormat="1" applyFont="1" applyBorder="1"/>
    <xf numFmtId="168" fontId="2" fillId="0" borderId="8" xfId="1" applyNumberFormat="1" applyFont="1" applyBorder="1"/>
    <xf numFmtId="2" fontId="2" fillId="0" borderId="8" xfId="1" applyNumberFormat="1" applyFont="1" applyBorder="1"/>
    <xf numFmtId="9" fontId="2" fillId="0" borderId="8" xfId="1" applyFont="1" applyBorder="1"/>
    <xf numFmtId="2" fontId="2" fillId="0" borderId="9" xfId="1" applyNumberFormat="1" applyFont="1" applyBorder="1"/>
    <xf numFmtId="0" fontId="2" fillId="5" borderId="2" xfId="0" applyFont="1" applyFill="1" applyBorder="1"/>
    <xf numFmtId="0" fontId="3" fillId="5" borderId="5" xfId="0" applyFont="1" applyFill="1" applyBorder="1"/>
    <xf numFmtId="10" fontId="3" fillId="5" borderId="5" xfId="1" applyNumberFormat="1" applyFont="1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7" xfId="0" applyNumberFormat="1" applyBorder="1"/>
    <xf numFmtId="2" fontId="4" fillId="0" borderId="8" xfId="0" applyNumberFormat="1" applyFont="1" applyBorder="1"/>
    <xf numFmtId="9" fontId="4" fillId="0" borderId="8" xfId="1" applyFont="1" applyBorder="1"/>
    <xf numFmtId="2" fontId="4" fillId="0" borderId="9" xfId="0" applyNumberFormat="1" applyFont="1" applyBorder="1"/>
    <xf numFmtId="2" fontId="0" fillId="0" borderId="3" xfId="0" applyNumberFormat="1" applyBorder="1"/>
    <xf numFmtId="168" fontId="0" fillId="0" borderId="7" xfId="0" applyNumberFormat="1" applyBorder="1"/>
    <xf numFmtId="168" fontId="0" fillId="0" borderId="7" xfId="1" applyNumberFormat="1" applyFont="1" applyBorder="1"/>
    <xf numFmtId="2" fontId="4" fillId="0" borderId="4" xfId="0" applyNumberFormat="1" applyFont="1" applyBorder="1"/>
    <xf numFmtId="168" fontId="4" fillId="0" borderId="9" xfId="1" applyNumberFormat="1" applyFont="1" applyBorder="1"/>
    <xf numFmtId="0" fontId="2" fillId="2" borderId="10" xfId="0" applyFont="1" applyFill="1" applyBorder="1" applyAlignment="1">
      <alignment horizontal="right"/>
    </xf>
    <xf numFmtId="0" fontId="2" fillId="4" borderId="10" xfId="0" applyFont="1" applyFill="1" applyBorder="1" applyAlignment="1">
      <alignment horizontal="right"/>
    </xf>
    <xf numFmtId="0" fontId="2" fillId="4" borderId="11" xfId="0" applyFont="1" applyFill="1" applyBorder="1" applyAlignment="1">
      <alignment horizontal="right"/>
    </xf>
    <xf numFmtId="2" fontId="2" fillId="4" borderId="11" xfId="1" applyNumberFormat="1" applyFont="1" applyFill="1" applyBorder="1" applyAlignment="1">
      <alignment horizontal="right"/>
    </xf>
    <xf numFmtId="10" fontId="2" fillId="4" borderId="11" xfId="1" applyNumberFormat="1" applyFont="1" applyFill="1" applyBorder="1" applyAlignment="1">
      <alignment horizontal="right"/>
    </xf>
    <xf numFmtId="2" fontId="2" fillId="4" borderId="12" xfId="1" applyNumberFormat="1" applyFont="1" applyFill="1" applyBorder="1" applyAlignment="1">
      <alignment horizontal="right"/>
    </xf>
    <xf numFmtId="0" fontId="2" fillId="6" borderId="10" xfId="0" applyFont="1" applyFill="1" applyBorder="1" applyAlignment="1">
      <alignment horizontal="right"/>
    </xf>
    <xf numFmtId="0" fontId="2" fillId="6" borderId="11" xfId="0" applyFont="1" applyFill="1" applyBorder="1" applyAlignment="1">
      <alignment horizontal="right"/>
    </xf>
    <xf numFmtId="10" fontId="2" fillId="6" borderId="11" xfId="1" applyNumberFormat="1" applyFont="1" applyFill="1" applyBorder="1" applyAlignment="1">
      <alignment horizontal="right"/>
    </xf>
    <xf numFmtId="10" fontId="2" fillId="6" borderId="12" xfId="1" applyNumberFormat="1" applyFont="1" applyFill="1" applyBorder="1" applyAlignment="1">
      <alignment horizontal="right"/>
    </xf>
    <xf numFmtId="10" fontId="2" fillId="7" borderId="10" xfId="1" applyNumberFormat="1" applyFont="1" applyFill="1" applyBorder="1" applyAlignment="1">
      <alignment horizontal="right"/>
    </xf>
    <xf numFmtId="10" fontId="2" fillId="7" borderId="11" xfId="1" applyNumberFormat="1" applyFont="1" applyFill="1" applyBorder="1" applyAlignment="1">
      <alignment horizontal="right"/>
    </xf>
    <xf numFmtId="168" fontId="2" fillId="7" borderId="12" xfId="1" applyNumberFormat="1" applyFont="1" applyFill="1" applyBorder="1" applyAlignment="1">
      <alignment horizontal="right"/>
    </xf>
    <xf numFmtId="0" fontId="0" fillId="0" borderId="2" xfId="0" applyBorder="1"/>
    <xf numFmtId="2" fontId="0" fillId="0" borderId="6" xfId="1" applyNumberFormat="1" applyFont="1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10" xfId="0" applyBorder="1"/>
    <xf numFmtId="2" fontId="0" fillId="0" borderId="12" xfId="0" applyNumberFormat="1" applyBorder="1"/>
    <xf numFmtId="0" fontId="0" fillId="0" borderId="5" xfId="0" applyBorder="1"/>
    <xf numFmtId="0" fontId="0" fillId="0" borderId="6" xfId="0" applyBorder="1"/>
    <xf numFmtId="10" fontId="0" fillId="0" borderId="6" xfId="1" applyNumberFormat="1" applyFont="1" applyBorder="1"/>
    <xf numFmtId="10" fontId="0" fillId="0" borderId="7" xfId="1" applyNumberFormat="1" applyFont="1" applyBorder="1"/>
    <xf numFmtId="10" fontId="0" fillId="0" borderId="9" xfId="1" applyNumberFormat="1" applyFont="1" applyBorder="1"/>
    <xf numFmtId="1" fontId="0" fillId="0" borderId="0" xfId="0" applyNumberFormat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10" fontId="0" fillId="0" borderId="0" xfId="1" applyNumberFormat="1" applyFont="1" applyFill="1" applyBorder="1"/>
    <xf numFmtId="2" fontId="0" fillId="0" borderId="0" xfId="1" applyNumberFormat="1" applyFont="1" applyFill="1" applyBorder="1"/>
    <xf numFmtId="2" fontId="0" fillId="0" borderId="7" xfId="1" applyNumberFormat="1" applyFont="1" applyFill="1" applyBorder="1"/>
    <xf numFmtId="0" fontId="0" fillId="0" borderId="0" xfId="0" applyAlignment="1">
      <alignment horizontal="center"/>
    </xf>
    <xf numFmtId="0" fontId="4" fillId="0" borderId="0" xfId="0" applyFont="1"/>
    <xf numFmtId="10" fontId="2" fillId="0" borderId="8" xfId="1" applyNumberFormat="1" applyFont="1" applyBorder="1"/>
    <xf numFmtId="0" fontId="0" fillId="8" borderId="0" xfId="0" applyFill="1"/>
    <xf numFmtId="168" fontId="2" fillId="7" borderId="13" xfId="1" applyNumberFormat="1" applyFont="1" applyFill="1" applyBorder="1" applyAlignment="1">
      <alignment horizontal="right"/>
    </xf>
    <xf numFmtId="0" fontId="0" fillId="0" borderId="14" xfId="0" applyBorder="1"/>
    <xf numFmtId="10" fontId="0" fillId="0" borderId="14" xfId="1" applyNumberFormat="1" applyFont="1" applyBorder="1"/>
    <xf numFmtId="10" fontId="3" fillId="0" borderId="14" xfId="1" applyNumberFormat="1" applyFont="1" applyBorder="1"/>
    <xf numFmtId="10" fontId="2" fillId="0" borderId="15" xfId="1" applyNumberFormat="1" applyFont="1" applyBorder="1"/>
    <xf numFmtId="0" fontId="6" fillId="0" borderId="3" xfId="0" applyFont="1" applyBorder="1"/>
    <xf numFmtId="1" fontId="6" fillId="0" borderId="7" xfId="0" applyNumberFormat="1" applyFont="1" applyBorder="1"/>
    <xf numFmtId="0" fontId="6" fillId="0" borderId="4" xfId="0" applyFont="1" applyBorder="1"/>
    <xf numFmtId="1" fontId="6" fillId="0" borderId="8" xfId="0" applyNumberFormat="1" applyFont="1" applyBorder="1"/>
    <xf numFmtId="1" fontId="6" fillId="0" borderId="9" xfId="0" applyNumberFormat="1" applyFont="1" applyBorder="1"/>
    <xf numFmtId="0" fontId="6" fillId="0" borderId="13" xfId="0" applyFont="1" applyBorder="1"/>
    <xf numFmtId="2" fontId="6" fillId="0" borderId="13" xfId="0" applyNumberFormat="1" applyFont="1" applyBorder="1"/>
    <xf numFmtId="1" fontId="0" fillId="0" borderId="3" xfId="0" applyNumberFormat="1" applyBorder="1"/>
    <xf numFmtId="1" fontId="0" fillId="0" borderId="4" xfId="0" applyNumberFormat="1" applyBorder="1"/>
    <xf numFmtId="1" fontId="6" fillId="0" borderId="3" xfId="0" applyNumberFormat="1" applyFont="1" applyBorder="1"/>
    <xf numFmtId="1" fontId="6" fillId="0" borderId="0" xfId="0" applyNumberFormat="1" applyFont="1"/>
    <xf numFmtId="1" fontId="6" fillId="0" borderId="4" xfId="0" applyNumberFormat="1" applyFont="1" applyBorder="1"/>
    <xf numFmtId="2" fontId="6" fillId="0" borderId="13" xfId="1" applyNumberFormat="1" applyFont="1" applyBorder="1"/>
    <xf numFmtId="2" fontId="0" fillId="0" borderId="0" xfId="1" applyNumberFormat="1" applyFont="1" applyBorder="1" applyAlignment="1"/>
    <xf numFmtId="0" fontId="0" fillId="0" borderId="7" xfId="0" applyBorder="1"/>
    <xf numFmtId="0" fontId="0" fillId="0" borderId="8" xfId="0" applyBorder="1"/>
    <xf numFmtId="0" fontId="0" fillId="0" borderId="3" xfId="0" applyBorder="1" applyAlignment="1">
      <alignment vertical="center"/>
    </xf>
    <xf numFmtId="2" fontId="0" fillId="0" borderId="2" xfId="1" applyNumberFormat="1" applyFont="1" applyBorder="1"/>
    <xf numFmtId="10" fontId="0" fillId="0" borderId="5" xfId="1" applyNumberFormat="1" applyFont="1" applyBorder="1"/>
    <xf numFmtId="2" fontId="0" fillId="0" borderId="5" xfId="1" applyNumberFormat="1" applyFont="1" applyBorder="1"/>
    <xf numFmtId="2" fontId="0" fillId="0" borderId="7" xfId="1" applyNumberFormat="1" applyFont="1" applyBorder="1"/>
    <xf numFmtId="2" fontId="0" fillId="0" borderId="8" xfId="0" applyNumberFormat="1" applyBorder="1"/>
    <xf numFmtId="2" fontId="0" fillId="0" borderId="8" xfId="1" applyNumberFormat="1" applyFont="1" applyBorder="1"/>
    <xf numFmtId="2" fontId="0" fillId="0" borderId="9" xfId="1" applyNumberFormat="1" applyFont="1" applyBorder="1"/>
    <xf numFmtId="2" fontId="0" fillId="0" borderId="3" xfId="1" applyNumberFormat="1" applyFont="1" applyBorder="1"/>
    <xf numFmtId="1" fontId="0" fillId="0" borderId="3" xfId="1" applyNumberFormat="1" applyFont="1" applyBorder="1"/>
    <xf numFmtId="1" fontId="0" fillId="0" borderId="4" xfId="1" applyNumberFormat="1" applyFont="1" applyBorder="1"/>
    <xf numFmtId="165" fontId="3" fillId="0" borderId="0" xfId="0" applyNumberFormat="1" applyFont="1"/>
    <xf numFmtId="2" fontId="6" fillId="0" borderId="12" xfId="1" applyNumberFormat="1" applyFont="1" applyBorder="1"/>
    <xf numFmtId="0" fontId="6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2" fontId="0" fillId="0" borderId="2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colors>
    <mruColors>
      <color rgb="FF941651"/>
      <color rgb="FF76D6FF"/>
      <color rgb="FF0096FF"/>
      <color rgb="FF005493"/>
      <color rgb="FF73FB79"/>
      <color rgb="FF00FA00"/>
      <color rgb="FF008F00"/>
      <color rgb="FFFF2600"/>
      <color rgb="FF941100"/>
      <color rgb="FF945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600" baseline="0"/>
              <a:t>Diversification benefit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Sigma flat 99%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recap!$C$5:$C$104</c:f>
              <c:numCache>
                <c:formatCode>0</c:formatCode>
                <c:ptCount val="100"/>
                <c:pt idx="0">
                  <c:v>1390.7490941635865</c:v>
                </c:pt>
                <c:pt idx="1">
                  <c:v>1966.8162308242399</c:v>
                </c:pt>
                <c:pt idx="2">
                  <c:v>2408.8480916717244</c:v>
                </c:pt>
                <c:pt idx="3">
                  <c:v>2781.4981883271739</c:v>
                </c:pt>
                <c:pt idx="4">
                  <c:v>3109.8095141960366</c:v>
                </c:pt>
                <c:pt idx="5">
                  <c:v>3406.6256409387024</c:v>
                </c:pt>
                <c:pt idx="6">
                  <c:v>3679.5762392452025</c:v>
                </c:pt>
                <c:pt idx="7">
                  <c:v>3933.6324616484826</c:v>
                </c:pt>
                <c:pt idx="8">
                  <c:v>4172.2472824907609</c:v>
                </c:pt>
                <c:pt idx="9">
                  <c:v>4397.9347913729207</c:v>
                </c:pt>
                <c:pt idx="10">
                  <c:v>4612.5929228672685</c:v>
                </c:pt>
                <c:pt idx="11">
                  <c:v>4817.696183343447</c:v>
                </c:pt>
                <c:pt idx="12">
                  <c:v>5014.41717031191</c:v>
                </c:pt>
                <c:pt idx="13">
                  <c:v>5203.7066213263533</c:v>
                </c:pt>
                <c:pt idx="14">
                  <c:v>5386.3480804486207</c:v>
                </c:pt>
                <c:pt idx="15">
                  <c:v>5562.9963766543497</c:v>
                </c:pt>
                <c:pt idx="16">
                  <c:v>5734.2054139685497</c:v>
                </c:pt>
                <c:pt idx="17">
                  <c:v>5900.4486924727244</c:v>
                </c:pt>
                <c:pt idx="18">
                  <c:v>6062.1347572798077</c:v>
                </c:pt>
                <c:pt idx="19">
                  <c:v>6219.6190283920732</c:v>
                </c:pt>
                <c:pt idx="20">
                  <c:v>6373.2129966959055</c:v>
                </c:pt>
                <c:pt idx="21">
                  <c:v>6523.1914692250502</c:v>
                </c:pt>
                <c:pt idx="22">
                  <c:v>6669.7983468083366</c:v>
                </c:pt>
                <c:pt idx="23">
                  <c:v>6813.2512818774067</c:v>
                </c:pt>
                <c:pt idx="24">
                  <c:v>6953.7454708179339</c:v>
                </c:pt>
                <c:pt idx="25">
                  <c:v>7091.4567696516206</c:v>
                </c:pt>
                <c:pt idx="26">
                  <c:v>7226.5442750151797</c:v>
                </c:pt>
                <c:pt idx="27">
                  <c:v>7359.152478490405</c:v>
                </c:pt>
                <c:pt idx="28">
                  <c:v>7489.4130774439382</c:v>
                </c:pt>
                <c:pt idx="29">
                  <c:v>7617.4465070327296</c:v>
                </c:pt>
                <c:pt idx="30">
                  <c:v>7743.363244122158</c:v>
                </c:pt>
                <c:pt idx="31">
                  <c:v>7867.2649232969652</c:v>
                </c:pt>
                <c:pt idx="32">
                  <c:v>7989.2452970387458</c:v>
                </c:pt>
                <c:pt idx="33">
                  <c:v>8109.3910658675541</c:v>
                </c:pt>
                <c:pt idx="34">
                  <c:v>8227.7825993453043</c:v>
                </c:pt>
                <c:pt idx="35">
                  <c:v>8344.4945649815199</c:v>
                </c:pt>
                <c:pt idx="36">
                  <c:v>8459.5964790244561</c:v>
                </c:pt>
                <c:pt idx="37">
                  <c:v>8573.1531906784385</c:v>
                </c:pt>
                <c:pt idx="38">
                  <c:v>8685.225309325986</c:v>
                </c:pt>
                <c:pt idx="39">
                  <c:v>8795.8695827458469</c:v>
                </c:pt>
                <c:pt idx="40">
                  <c:v>8905.1392330266408</c:v>
                </c:pt>
                <c:pt idx="41">
                  <c:v>9013.0842558198219</c:v>
                </c:pt>
                <c:pt idx="42">
                  <c:v>9119.7516877064136</c:v>
                </c:pt>
                <c:pt idx="43">
                  <c:v>9225.1858457345406</c:v>
                </c:pt>
                <c:pt idx="44">
                  <c:v>9329.4285425881117</c:v>
                </c:pt>
                <c:pt idx="45">
                  <c:v>9432.5192803500086</c:v>
                </c:pt>
                <c:pt idx="46">
                  <c:v>9534.4954254061831</c:v>
                </c:pt>
                <c:pt idx="47">
                  <c:v>9635.3923666869086</c:v>
                </c:pt>
                <c:pt idx="48">
                  <c:v>9735.2436591451133</c:v>
                </c:pt>
                <c:pt idx="49">
                  <c:v>9834.0811541212115</c:v>
                </c:pt>
                <c:pt idx="50">
                  <c:v>9931.9351180300655</c:v>
                </c:pt>
                <c:pt idx="51">
                  <c:v>10028.83434062382</c:v>
                </c:pt>
                <c:pt idx="52">
                  <c:v>10124.806233928259</c:v>
                </c:pt>
                <c:pt idx="53">
                  <c:v>10219.876922816115</c:v>
                </c:pt>
                <c:pt idx="54">
                  <c:v>10314.071328065656</c:v>
                </c:pt>
                <c:pt idx="55">
                  <c:v>10407.413242652707</c:v>
                </c:pt>
                <c:pt idx="56">
                  <c:v>10499.925401937857</c:v>
                </c:pt>
                <c:pt idx="57">
                  <c:v>10591.629548335644</c:v>
                </c:pt>
                <c:pt idx="58">
                  <c:v>10682.546490986755</c:v>
                </c:pt>
                <c:pt idx="59">
                  <c:v>10772.696160897252</c:v>
                </c:pt>
                <c:pt idx="60">
                  <c:v>10862.097661958633</c:v>
                </c:pt>
                <c:pt idx="61">
                  <c:v>10950.769318218881</c:v>
                </c:pt>
                <c:pt idx="62">
                  <c:v>11038.728717735608</c:v>
                </c:pt>
                <c:pt idx="63">
                  <c:v>11125.992753308703</c:v>
                </c:pt>
                <c:pt idx="64">
                  <c:v>11212.577660359577</c:v>
                </c:pt>
                <c:pt idx="65">
                  <c:v>11298.499052197658</c:v>
                </c:pt>
                <c:pt idx="66">
                  <c:v>11383.77195289102</c:v>
                </c:pt>
                <c:pt idx="67">
                  <c:v>11468.410827937103</c:v>
                </c:pt>
                <c:pt idx="68">
                  <c:v>11552.429612910957</c:v>
                </c:pt>
                <c:pt idx="69">
                  <c:v>11635.841740251493</c:v>
                </c:pt>
                <c:pt idx="70">
                  <c:v>11718.660164331741</c:v>
                </c:pt>
                <c:pt idx="71">
                  <c:v>11800.897384945452</c:v>
                </c:pt>
                <c:pt idx="72">
                  <c:v>11882.565469330657</c:v>
                </c:pt>
                <c:pt idx="73">
                  <c:v>11963.67607284007</c:v>
                </c:pt>
                <c:pt idx="74">
                  <c:v>12044.240458358632</c:v>
                </c:pt>
                <c:pt idx="75">
                  <c:v>12124.269514559615</c:v>
                </c:pt>
                <c:pt idx="76">
                  <c:v>12203.773773083332</c:v>
                </c:pt>
                <c:pt idx="77">
                  <c:v>12282.763424714878</c:v>
                </c:pt>
                <c:pt idx="78">
                  <c:v>12361.248334631509</c:v>
                </c:pt>
                <c:pt idx="79">
                  <c:v>12439.238056784157</c:v>
                </c:pt>
                <c:pt idx="80">
                  <c:v>12516.741847472294</c:v>
                </c:pt>
                <c:pt idx="81">
                  <c:v>12593.768678167027</c:v>
                </c:pt>
                <c:pt idx="82">
                  <c:v>12670.327247632471</c:v>
                </c:pt>
                <c:pt idx="83">
                  <c:v>12746.425993391811</c:v>
                </c:pt>
                <c:pt idx="84">
                  <c:v>12822.073102581009</c:v>
                </c:pt>
                <c:pt idx="85">
                  <c:v>12897.276522229346</c:v>
                </c:pt>
                <c:pt idx="86">
                  <c:v>12972.043969003691</c:v>
                </c:pt>
                <c:pt idx="87">
                  <c:v>13046.382938450104</c:v>
                </c:pt>
                <c:pt idx="88">
                  <c:v>13120.300713764093</c:v>
                </c:pt>
                <c:pt idx="89">
                  <c:v>13193.804374118772</c:v>
                </c:pt>
                <c:pt idx="90">
                  <c:v>13266.900802577533</c:v>
                </c:pt>
                <c:pt idx="91">
                  <c:v>13339.596693616677</c:v>
                </c:pt>
                <c:pt idx="92">
                  <c:v>13411.898560280948</c:v>
                </c:pt>
                <c:pt idx="93">
                  <c:v>13483.812740993653</c:v>
                </c:pt>
                <c:pt idx="94">
                  <c:v>13555.345406041844</c:v>
                </c:pt>
                <c:pt idx="95">
                  <c:v>13626.502563754813</c:v>
                </c:pt>
                <c:pt idx="96">
                  <c:v>13697.290066393911</c:v>
                </c:pt>
                <c:pt idx="97">
                  <c:v>13767.713615769695</c:v>
                </c:pt>
                <c:pt idx="98">
                  <c:v>13837.778768601816</c:v>
                </c:pt>
                <c:pt idx="99">
                  <c:v>13907.490941635879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5A-0449-BB2E-4CCB9D03CDCC}"/>
            </c:ext>
          </c:extLst>
        </c:ser>
        <c:ser>
          <c:idx val="4"/>
          <c:order val="1"/>
          <c:tx>
            <c:v>EWMA 99%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recap!$F$5:$F$104</c:f>
              <c:numCache>
                <c:formatCode>0</c:formatCode>
                <c:ptCount val="100"/>
                <c:pt idx="0">
                  <c:v>1971.7569655533966</c:v>
                </c:pt>
                <c:pt idx="1">
                  <c:v>2788.4854423892334</c:v>
                </c:pt>
                <c:pt idx="2">
                  <c:v>3415.1832445163204</c:v>
                </c:pt>
                <c:pt idx="3">
                  <c:v>3943.5139311067942</c:v>
                </c:pt>
                <c:pt idx="4">
                  <c:v>4408.9826100861083</c:v>
                </c:pt>
                <c:pt idx="5">
                  <c:v>4829.7984623843286</c:v>
                </c:pt>
                <c:pt idx="6">
                  <c:v>5216.7785767136402</c:v>
                </c:pt>
                <c:pt idx="7">
                  <c:v>5576.9708847784686</c:v>
                </c:pt>
                <c:pt idx="8">
                  <c:v>5915.2708966601922</c:v>
                </c:pt>
                <c:pt idx="9">
                  <c:v>6235.2430034509007</c:v>
                </c:pt>
                <c:pt idx="10">
                  <c:v>6539.5780325103378</c:v>
                </c:pt>
                <c:pt idx="11">
                  <c:v>6830.366489032639</c:v>
                </c:pt>
                <c:pt idx="12">
                  <c:v>7109.2708420560548</c:v>
                </c:pt>
                <c:pt idx="13">
                  <c:v>7377.6390150858433</c:v>
                </c:pt>
                <c:pt idx="14">
                  <c:v>7636.5818903567806</c:v>
                </c:pt>
                <c:pt idx="15">
                  <c:v>7887.0278622135902</c:v>
                </c:pt>
                <c:pt idx="16">
                  <c:v>8129.7622370240206</c:v>
                </c:pt>
                <c:pt idx="17">
                  <c:v>8365.4563271677052</c:v>
                </c:pt>
                <c:pt idx="18">
                  <c:v>8594.689354069671</c:v>
                </c:pt>
                <c:pt idx="19">
                  <c:v>8817.9652201722165</c:v>
                </c:pt>
                <c:pt idx="20">
                  <c:v>9035.7255467048763</c:v>
                </c:pt>
                <c:pt idx="21">
                  <c:v>9248.3599457732817</c:v>
                </c:pt>
                <c:pt idx="22">
                  <c:v>9456.2142117124185</c:v>
                </c:pt>
                <c:pt idx="23">
                  <c:v>9659.5969247686608</c:v>
                </c:pt>
                <c:pt idx="24">
                  <c:v>9858.7848277669873</c:v>
                </c:pt>
                <c:pt idx="25">
                  <c:v>10054.02724341927</c:v>
                </c:pt>
                <c:pt idx="26">
                  <c:v>10245.549733548964</c:v>
                </c:pt>
                <c:pt idx="27">
                  <c:v>10433.55715342728</c:v>
                </c:pt>
                <c:pt idx="28">
                  <c:v>10618.236219120476</c:v>
                </c:pt>
                <c:pt idx="29">
                  <c:v>10799.757679515327</c:v>
                </c:pt>
                <c:pt idx="30">
                  <c:v>10978.278164970072</c:v>
                </c:pt>
                <c:pt idx="31">
                  <c:v>11153.941769556941</c:v>
                </c:pt>
                <c:pt idx="32">
                  <c:v>11326.881412369219</c:v>
                </c:pt>
                <c:pt idx="33">
                  <c:v>11497.220014468005</c:v>
                </c:pt>
                <c:pt idx="34">
                  <c:v>11665.071521096301</c:v>
                </c:pt>
                <c:pt idx="35">
                  <c:v>11830.541793320384</c:v>
                </c:pt>
                <c:pt idx="36">
                  <c:v>11993.729388922724</c:v>
                </c:pt>
                <c:pt idx="37">
                  <c:v>12154.726248908984</c:v>
                </c:pt>
                <c:pt idx="38">
                  <c:v>12313.618303209068</c:v>
                </c:pt>
                <c:pt idx="39">
                  <c:v>12470.486006901807</c:v>
                </c:pt>
                <c:pt idx="40">
                  <c:v>12625.404816462007</c:v>
                </c:pt>
                <c:pt idx="41">
                  <c:v>12778.44561403109</c:v>
                </c:pt>
                <c:pt idx="42">
                  <c:v>12929.675086480667</c:v>
                </c:pt>
                <c:pt idx="43">
                  <c:v>13079.156065020674</c:v>
                </c:pt>
                <c:pt idx="44">
                  <c:v>13226.947830258328</c:v>
                </c:pt>
                <c:pt idx="45">
                  <c:v>13373.10638690891</c:v>
                </c:pt>
                <c:pt idx="46">
                  <c:v>13517.684711768958</c:v>
                </c:pt>
                <c:pt idx="47">
                  <c:v>13660.732978065284</c:v>
                </c:pt>
                <c:pt idx="48">
                  <c:v>13802.298758873789</c:v>
                </c:pt>
                <c:pt idx="49">
                  <c:v>13942.427211946169</c:v>
                </c:pt>
                <c:pt idx="50">
                  <c:v>14081.161247980419</c:v>
                </c:pt>
                <c:pt idx="51">
                  <c:v>14218.541684112115</c:v>
                </c:pt>
                <c:pt idx="52">
                  <c:v>14354.607384183038</c:v>
                </c:pt>
                <c:pt idx="53">
                  <c:v>14489.395387152999</c:v>
                </c:pt>
                <c:pt idx="54">
                  <c:v>14622.94102485744</c:v>
                </c:pt>
                <c:pt idx="55">
                  <c:v>14755.278030171687</c:v>
                </c:pt>
                <c:pt idx="56">
                  <c:v>14886.438636520004</c:v>
                </c:pt>
                <c:pt idx="57">
                  <c:v>15016.453669561397</c:v>
                </c:pt>
                <c:pt idx="58">
                  <c:v>15145.352631790789</c:v>
                </c:pt>
                <c:pt idx="59">
                  <c:v>15273.163780713568</c:v>
                </c:pt>
                <c:pt idx="60">
                  <c:v>15399.914201180114</c:v>
                </c:pt>
                <c:pt idx="61">
                  <c:v>15525.629872405088</c:v>
                </c:pt>
                <c:pt idx="62">
                  <c:v>15650.335730140925</c:v>
                </c:pt>
                <c:pt idx="63">
                  <c:v>15774.055724427184</c:v>
                </c:pt>
                <c:pt idx="64">
                  <c:v>15896.812873294521</c:v>
                </c:pt>
                <c:pt idx="65">
                  <c:v>16018.629312764273</c:v>
                </c:pt>
                <c:pt idx="66">
                  <c:v>16139.52634345132</c:v>
                </c:pt>
                <c:pt idx="67">
                  <c:v>16259.524474048047</c:v>
                </c:pt>
                <c:pt idx="68">
                  <c:v>16378.643461940788</c:v>
                </c:pt>
                <c:pt idx="69">
                  <c:v>16496.902351186545</c:v>
                </c:pt>
                <c:pt idx="70">
                  <c:v>16614.319508056669</c:v>
                </c:pt>
                <c:pt idx="71">
                  <c:v>16730.912654335414</c:v>
                </c:pt>
                <c:pt idx="72">
                  <c:v>16846.698898544164</c:v>
                </c:pt>
                <c:pt idx="73">
                  <c:v>16961.694765247299</c:v>
                </c:pt>
                <c:pt idx="74">
                  <c:v>17075.916222581607</c:v>
                </c:pt>
                <c:pt idx="75">
                  <c:v>17189.378708139342</c:v>
                </c:pt>
                <c:pt idx="76">
                  <c:v>17302.097153323422</c:v>
                </c:pt>
                <c:pt idx="77">
                  <c:v>17414.086006283851</c:v>
                </c:pt>
                <c:pt idx="78">
                  <c:v>17525.35925353484</c:v>
                </c:pt>
                <c:pt idx="79">
                  <c:v>17635.930440344437</c:v>
                </c:pt>
                <c:pt idx="80">
                  <c:v>17745.812689980583</c:v>
                </c:pt>
                <c:pt idx="81">
                  <c:v>17855.018721891174</c:v>
                </c:pt>
                <c:pt idx="82">
                  <c:v>17963.560868889348</c:v>
                </c:pt>
                <c:pt idx="83">
                  <c:v>18071.451093409771</c:v>
                </c:pt>
                <c:pt idx="84">
                  <c:v>18178.701002896472</c:v>
                </c:pt>
                <c:pt idx="85">
                  <c:v>18285.321864378478</c:v>
                </c:pt>
                <c:pt idx="86">
                  <c:v>18391.324618284729</c:v>
                </c:pt>
                <c:pt idx="87">
                  <c:v>18496.719891546563</c:v>
                </c:pt>
                <c:pt idx="88">
                  <c:v>18601.518010031941</c:v>
                </c:pt>
                <c:pt idx="89">
                  <c:v>18705.729010352708</c:v>
                </c:pt>
                <c:pt idx="90">
                  <c:v>18809.362651083087</c:v>
                </c:pt>
                <c:pt idx="91">
                  <c:v>18912.428423424833</c:v>
                </c:pt>
                <c:pt idx="92">
                  <c:v>19014.935561352191</c:v>
                </c:pt>
                <c:pt idx="93">
                  <c:v>19116.8930512671</c:v>
                </c:pt>
                <c:pt idx="94">
                  <c:v>19218.309641193548</c:v>
                </c:pt>
                <c:pt idx="95">
                  <c:v>19319.193849537325</c:v>
                </c:pt>
                <c:pt idx="96">
                  <c:v>19419.553973436392</c:v>
                </c:pt>
                <c:pt idx="97">
                  <c:v>19519.398096724653</c:v>
                </c:pt>
                <c:pt idx="98">
                  <c:v>19618.734097531018</c:v>
                </c:pt>
                <c:pt idx="99">
                  <c:v>19717.569655533978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5A-0449-BB2E-4CCB9D03CDCC}"/>
            </c:ext>
          </c:extLst>
        </c:ser>
        <c:ser>
          <c:idx val="7"/>
          <c:order val="2"/>
          <c:tx>
            <c:v>MC 99%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recap!$I$5:$I$104</c:f>
              <c:numCache>
                <c:formatCode>0</c:formatCode>
                <c:ptCount val="100"/>
                <c:pt idx="0">
                  <c:v>1424.8509831628253</c:v>
                </c:pt>
                <c:pt idx="1">
                  <c:v>1867.5811905909782</c:v>
                </c:pt>
                <c:pt idx="2">
                  <c:v>2453.1266646053846</c:v>
                </c:pt>
                <c:pt idx="3">
                  <c:v>2823.7628224691016</c:v>
                </c:pt>
                <c:pt idx="4">
                  <c:v>3107.9508499419799</c:v>
                </c:pt>
                <c:pt idx="5">
                  <c:v>3481.9288248085504</c:v>
                </c:pt>
                <c:pt idx="6">
                  <c:v>3628.7206162441171</c:v>
                </c:pt>
                <c:pt idx="7">
                  <c:v>3969.5812491973556</c:v>
                </c:pt>
                <c:pt idx="8">
                  <c:v>4244.203961341881</c:v>
                </c:pt>
                <c:pt idx="9">
                  <c:v>4461.8160912300445</c:v>
                </c:pt>
                <c:pt idx="10">
                  <c:v>4849.5921696469686</c:v>
                </c:pt>
                <c:pt idx="11">
                  <c:v>4553.2848631086999</c:v>
                </c:pt>
                <c:pt idx="12">
                  <c:v>5048.9584904125677</c:v>
                </c:pt>
                <c:pt idx="13">
                  <c:v>5172.1953234278772</c:v>
                </c:pt>
                <c:pt idx="14">
                  <c:v>5444.1254901834109</c:v>
                </c:pt>
                <c:pt idx="15">
                  <c:v>5698.1855854842797</c:v>
                </c:pt>
                <c:pt idx="16">
                  <c:v>5473.7043084425695</c:v>
                </c:pt>
                <c:pt idx="17">
                  <c:v>5784.1594864602539</c:v>
                </c:pt>
                <c:pt idx="18">
                  <c:v>6158.995878870197</c:v>
                </c:pt>
                <c:pt idx="19">
                  <c:v>5827.0860021727749</c:v>
                </c:pt>
                <c:pt idx="20">
                  <c:v>6272.5293820655279</c:v>
                </c:pt>
                <c:pt idx="21">
                  <c:v>6879.0856468285583</c:v>
                </c:pt>
                <c:pt idx="22">
                  <c:v>6987.2834483996685</c:v>
                </c:pt>
                <c:pt idx="23">
                  <c:v>7509.8124103399659</c:v>
                </c:pt>
                <c:pt idx="24">
                  <c:v>6968.9492956940412</c:v>
                </c:pt>
                <c:pt idx="25">
                  <c:v>6468.684237084437</c:v>
                </c:pt>
                <c:pt idx="26">
                  <c:v>7069.5549159300372</c:v>
                </c:pt>
                <c:pt idx="27">
                  <c:v>7473.0121553006775</c:v>
                </c:pt>
                <c:pt idx="28">
                  <c:v>7677.5694580611234</c:v>
                </c:pt>
                <c:pt idx="29">
                  <c:v>8266.0656453107076</c:v>
                </c:pt>
                <c:pt idx="30">
                  <c:v>7209.550696018543</c:v>
                </c:pt>
                <c:pt idx="31">
                  <c:v>7611.8973578125533</c:v>
                </c:pt>
                <c:pt idx="32">
                  <c:v>8075.1991015848653</c:v>
                </c:pt>
                <c:pt idx="33">
                  <c:v>8247.891622816207</c:v>
                </c:pt>
                <c:pt idx="34">
                  <c:v>8037.0947201326398</c:v>
                </c:pt>
                <c:pt idx="35">
                  <c:v>8392.0922584113105</c:v>
                </c:pt>
                <c:pt idx="36">
                  <c:v>8334.8187597660435</c:v>
                </c:pt>
                <c:pt idx="37">
                  <c:v>8453.9578056119281</c:v>
                </c:pt>
                <c:pt idx="38">
                  <c:v>8779.6848479577093</c:v>
                </c:pt>
                <c:pt idx="39">
                  <c:v>8923.6976341462268</c:v>
                </c:pt>
                <c:pt idx="40">
                  <c:v>8886.6227905344767</c:v>
                </c:pt>
                <c:pt idx="41">
                  <c:v>8784.7586195202275</c:v>
                </c:pt>
                <c:pt idx="42">
                  <c:v>8326.5633078532537</c:v>
                </c:pt>
                <c:pt idx="43">
                  <c:v>9477.661007679093</c:v>
                </c:pt>
                <c:pt idx="44">
                  <c:v>9284.6672608048648</c:v>
                </c:pt>
                <c:pt idx="45">
                  <c:v>10095.425060809779</c:v>
                </c:pt>
                <c:pt idx="46">
                  <c:v>8664.017717164832</c:v>
                </c:pt>
                <c:pt idx="47">
                  <c:v>9478.2636207209598</c:v>
                </c:pt>
                <c:pt idx="48">
                  <c:v>9824.0974472791968</c:v>
                </c:pt>
                <c:pt idx="49">
                  <c:v>10504.019777108459</c:v>
                </c:pt>
                <c:pt idx="50">
                  <c:v>10164.206392682367</c:v>
                </c:pt>
                <c:pt idx="51">
                  <c:v>10302.870315991713</c:v>
                </c:pt>
                <c:pt idx="52">
                  <c:v>10067.863894532293</c:v>
                </c:pt>
                <c:pt idx="53">
                  <c:v>9831.8544343268331</c:v>
                </c:pt>
                <c:pt idx="54">
                  <c:v>10726.470855926182</c:v>
                </c:pt>
                <c:pt idx="55">
                  <c:v>10549.25444521851</c:v>
                </c:pt>
                <c:pt idx="56">
                  <c:v>11141.726953877056</c:v>
                </c:pt>
                <c:pt idx="57">
                  <c:v>10224.923096508552</c:v>
                </c:pt>
                <c:pt idx="58">
                  <c:v>10663.355999884428</c:v>
                </c:pt>
                <c:pt idx="59">
                  <c:v>10681.638360080313</c:v>
                </c:pt>
                <c:pt idx="60">
                  <c:v>10751.494592313313</c:v>
                </c:pt>
                <c:pt idx="61">
                  <c:v>10633.389471099188</c:v>
                </c:pt>
                <c:pt idx="62">
                  <c:v>10327.163317095972</c:v>
                </c:pt>
                <c:pt idx="63">
                  <c:v>11474.800103522233</c:v>
                </c:pt>
                <c:pt idx="64">
                  <c:v>11426.659933122239</c:v>
                </c:pt>
                <c:pt idx="65">
                  <c:v>10879.888027921348</c:v>
                </c:pt>
                <c:pt idx="66">
                  <c:v>11157.803860752458</c:v>
                </c:pt>
                <c:pt idx="67">
                  <c:v>11871.075056905302</c:v>
                </c:pt>
                <c:pt idx="68">
                  <c:v>11209.454284466759</c:v>
                </c:pt>
                <c:pt idx="69">
                  <c:v>12224.356348902842</c:v>
                </c:pt>
                <c:pt idx="70">
                  <c:v>11555.456812832275</c:v>
                </c:pt>
                <c:pt idx="71">
                  <c:v>11807.432208427854</c:v>
                </c:pt>
                <c:pt idx="72">
                  <c:v>11671.906078640011</c:v>
                </c:pt>
                <c:pt idx="73">
                  <c:v>11905.024946036443</c:v>
                </c:pt>
                <c:pt idx="74">
                  <c:v>12215.338505977354</c:v>
                </c:pt>
                <c:pt idx="75">
                  <c:v>12777.91324027492</c:v>
                </c:pt>
                <c:pt idx="76">
                  <c:v>13528.889454738626</c:v>
                </c:pt>
                <c:pt idx="77">
                  <c:v>12659.693507101474</c:v>
                </c:pt>
                <c:pt idx="78">
                  <c:v>12760.762330490794</c:v>
                </c:pt>
                <c:pt idx="79">
                  <c:v>12159.914463628149</c:v>
                </c:pt>
                <c:pt idx="80">
                  <c:v>12193.571833475351</c:v>
                </c:pt>
                <c:pt idx="81">
                  <c:v>13135.776094416302</c:v>
                </c:pt>
                <c:pt idx="82">
                  <c:v>12605.333521424407</c:v>
                </c:pt>
                <c:pt idx="83">
                  <c:v>12430.879722459693</c:v>
                </c:pt>
                <c:pt idx="84">
                  <c:v>13702.18842412646</c:v>
                </c:pt>
                <c:pt idx="85">
                  <c:v>12879.236826924876</c:v>
                </c:pt>
                <c:pt idx="86">
                  <c:v>12625.425862179545</c:v>
                </c:pt>
                <c:pt idx="87">
                  <c:v>13291.400206336632</c:v>
                </c:pt>
                <c:pt idx="88">
                  <c:v>12983.015326651253</c:v>
                </c:pt>
                <c:pt idx="89">
                  <c:v>12779.682083194395</c:v>
                </c:pt>
                <c:pt idx="90">
                  <c:v>12320.046455486787</c:v>
                </c:pt>
                <c:pt idx="91">
                  <c:v>13745.80206503774</c:v>
                </c:pt>
                <c:pt idx="92">
                  <c:v>13950.273718877041</c:v>
                </c:pt>
                <c:pt idx="93">
                  <c:v>13757.982988399173</c:v>
                </c:pt>
                <c:pt idx="94">
                  <c:v>14051.896662943658</c:v>
                </c:pt>
                <c:pt idx="95">
                  <c:v>14088.049383770503</c:v>
                </c:pt>
                <c:pt idx="96">
                  <c:v>12863.204691083552</c:v>
                </c:pt>
                <c:pt idx="97">
                  <c:v>13655.530861593379</c:v>
                </c:pt>
                <c:pt idx="98">
                  <c:v>14265.650158480912</c:v>
                </c:pt>
                <c:pt idx="99">
                  <c:v>14034.677946350141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B5A-0449-BB2E-4CCB9D03CDCC}"/>
            </c:ext>
          </c:extLst>
        </c:ser>
        <c:ser>
          <c:idx val="10"/>
          <c:order val="3"/>
          <c:tx>
            <c:v>Hist 99%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recap!$L$5:$L$104</c:f>
              <c:numCache>
                <c:formatCode>0</c:formatCode>
                <c:ptCount val="100"/>
                <c:pt idx="0">
                  <c:v>1168.8662650996748</c:v>
                </c:pt>
                <c:pt idx="1">
                  <c:v>1653.0265247043453</c:v>
                </c:pt>
                <c:pt idx="2">
                  <c:v>2024.5357584059093</c:v>
                </c:pt>
                <c:pt idx="3">
                  <c:v>2337.7325301993496</c:v>
                </c:pt>
                <c:pt idx="4">
                  <c:v>2613.6644253691638</c:v>
                </c:pt>
                <c:pt idx="5">
                  <c:v>2863.1259270469354</c:v>
                </c:pt>
                <c:pt idx="6">
                  <c:v>3092.5294533466358</c:v>
                </c:pt>
                <c:pt idx="7">
                  <c:v>3306.0530494086906</c:v>
                </c:pt>
                <c:pt idx="8">
                  <c:v>3506.5987952990254</c:v>
                </c:pt>
                <c:pt idx="9">
                  <c:v>3696.279677849152</c:v>
                </c:pt>
                <c:pt idx="10">
                  <c:v>3876.6908314397078</c:v>
                </c:pt>
                <c:pt idx="11">
                  <c:v>4049.0715168118186</c:v>
                </c:pt>
                <c:pt idx="12">
                  <c:v>4214.4072529769601</c:v>
                </c:pt>
                <c:pt idx="13">
                  <c:v>4373.4970949610652</c:v>
                </c:pt>
                <c:pt idx="14">
                  <c:v>4526.999578674704</c:v>
                </c:pt>
                <c:pt idx="15">
                  <c:v>4675.4650603986993</c:v>
                </c:pt>
                <c:pt idx="16">
                  <c:v>4819.3590732271696</c:v>
                </c:pt>
                <c:pt idx="17">
                  <c:v>4959.0795741130369</c:v>
                </c:pt>
                <c:pt idx="18">
                  <c:v>5094.9699280833047</c:v>
                </c:pt>
                <c:pt idx="19">
                  <c:v>5227.3288507383277</c:v>
                </c:pt>
                <c:pt idx="20">
                  <c:v>5356.4181370995793</c:v>
                </c:pt>
                <c:pt idx="21">
                  <c:v>5482.468750949467</c:v>
                </c:pt>
                <c:pt idx="22">
                  <c:v>5605.6856807018194</c:v>
                </c:pt>
                <c:pt idx="23">
                  <c:v>5726.2518540938709</c:v>
                </c:pt>
                <c:pt idx="24">
                  <c:v>5844.3313254983696</c:v>
                </c:pt>
                <c:pt idx="25">
                  <c:v>5960.0718945235567</c:v>
                </c:pt>
                <c:pt idx="26">
                  <c:v>6073.6072752177261</c:v>
                </c:pt>
                <c:pt idx="27">
                  <c:v>6185.0589066932716</c:v>
                </c:pt>
                <c:pt idx="28">
                  <c:v>6294.5374750615174</c:v>
                </c:pt>
                <c:pt idx="29">
                  <c:v>6402.1442010190513</c:v>
                </c:pt>
                <c:pt idx="30">
                  <c:v>6507.971935736201</c:v>
                </c:pt>
                <c:pt idx="31">
                  <c:v>6612.1060988173813</c:v>
                </c:pt>
                <c:pt idx="32">
                  <c:v>6714.6254852900092</c:v>
                </c:pt>
                <c:pt idx="33">
                  <c:v>6815.602963303696</c:v>
                </c:pt>
                <c:pt idx="34">
                  <c:v>6915.1060801033418</c:v>
                </c:pt>
                <c:pt idx="35">
                  <c:v>7013.1975905980507</c:v>
                </c:pt>
                <c:pt idx="36">
                  <c:v>7109.9359202779269</c:v>
                </c:pt>
                <c:pt idx="37">
                  <c:v>7205.3755721784837</c:v>
                </c:pt>
                <c:pt idx="38">
                  <c:v>7299.56748594288</c:v>
                </c:pt>
                <c:pt idx="39">
                  <c:v>7392.559355698304</c:v>
                </c:pt>
                <c:pt idx="40">
                  <c:v>7484.3959123773348</c:v>
                </c:pt>
                <c:pt idx="41">
                  <c:v>7575.1191752274535</c:v>
                </c:pt>
                <c:pt idx="42">
                  <c:v>7664.7686765215985</c:v>
                </c:pt>
                <c:pt idx="43">
                  <c:v>7753.3816628794157</c:v>
                </c:pt>
                <c:pt idx="44">
                  <c:v>7840.9932761074888</c:v>
                </c:pt>
                <c:pt idx="45">
                  <c:v>7927.6367160491718</c:v>
                </c:pt>
                <c:pt idx="46">
                  <c:v>8013.3433875841729</c:v>
                </c:pt>
                <c:pt idx="47">
                  <c:v>8098.1430336236372</c:v>
                </c:pt>
                <c:pt idx="48">
                  <c:v>8182.063855697721</c:v>
                </c:pt>
                <c:pt idx="49">
                  <c:v>8265.1326235217275</c:v>
                </c:pt>
                <c:pt idx="50">
                  <c:v>8347.3747747475172</c:v>
                </c:pt>
                <c:pt idx="51">
                  <c:v>8428.8145059539202</c:v>
                </c:pt>
                <c:pt idx="52">
                  <c:v>8509.4748557985258</c:v>
                </c:pt>
                <c:pt idx="53">
                  <c:v>8589.3777811408108</c:v>
                </c:pt>
                <c:pt idx="54">
                  <c:v>8668.5442268493643</c:v>
                </c:pt>
                <c:pt idx="55">
                  <c:v>8746.9941899221303</c:v>
                </c:pt>
                <c:pt idx="56">
                  <c:v>8824.7467784758301</c:v>
                </c:pt>
                <c:pt idx="57">
                  <c:v>8901.8202660976967</c:v>
                </c:pt>
                <c:pt idx="58">
                  <c:v>8978.2321419974251</c:v>
                </c:pt>
                <c:pt idx="59">
                  <c:v>9053.9991573494081</c:v>
                </c:pt>
                <c:pt idx="60">
                  <c:v>9129.1373681729528</c:v>
                </c:pt>
                <c:pt idx="61">
                  <c:v>9203.6621750616141</c:v>
                </c:pt>
                <c:pt idx="62">
                  <c:v>9277.5883600399102</c:v>
                </c:pt>
                <c:pt idx="63">
                  <c:v>9350.9301207973986</c:v>
                </c:pt>
                <c:pt idx="64">
                  <c:v>9423.7011025246356</c:v>
                </c:pt>
                <c:pt idx="65">
                  <c:v>9495.9144275531507</c:v>
                </c:pt>
                <c:pt idx="66">
                  <c:v>9567.5827229818206</c:v>
                </c:pt>
                <c:pt idx="67">
                  <c:v>9638.7181464543391</c:v>
                </c:pt>
                <c:pt idx="68">
                  <c:v>9709.3324102368824</c:v>
                </c:pt>
                <c:pt idx="69">
                  <c:v>9779.4368037307977</c:v>
                </c:pt>
                <c:pt idx="70">
                  <c:v>9849.0422145431221</c:v>
                </c:pt>
                <c:pt idx="71">
                  <c:v>9918.1591482260737</c:v>
                </c:pt>
                <c:pt idx="72">
                  <c:v>9986.797746786935</c:v>
                </c:pt>
                <c:pt idx="73">
                  <c:v>10054.967806060678</c:v>
                </c:pt>
                <c:pt idx="74">
                  <c:v>10122.678792029546</c:v>
                </c:pt>
                <c:pt idx="75">
                  <c:v>10189.939856166609</c:v>
                </c:pt>
                <c:pt idx="76">
                  <c:v>10256.759849873684</c:v>
                </c:pt>
                <c:pt idx="77">
                  <c:v>10323.147338078095</c:v>
                </c:pt>
                <c:pt idx="78">
                  <c:v>10389.110612047447</c:v>
                </c:pt>
                <c:pt idx="79">
                  <c:v>10454.657701476655</c:v>
                </c:pt>
                <c:pt idx="80">
                  <c:v>10519.796385897069</c:v>
                </c:pt>
                <c:pt idx="81">
                  <c:v>10584.534205453787</c:v>
                </c:pt>
                <c:pt idx="82">
                  <c:v>10648.878471093056</c:v>
                </c:pt>
                <c:pt idx="83">
                  <c:v>10712.836274199159</c:v>
                </c:pt>
                <c:pt idx="84">
                  <c:v>10776.414495716341</c:v>
                </c:pt>
                <c:pt idx="85">
                  <c:v>10839.61981478933</c:v>
                </c:pt>
                <c:pt idx="86">
                  <c:v>10902.45871695286</c:v>
                </c:pt>
                <c:pt idx="87">
                  <c:v>10964.937501898934</c:v>
                </c:pt>
                <c:pt idx="88">
                  <c:v>11027.062290847807</c:v>
                </c:pt>
                <c:pt idx="89">
                  <c:v>11088.839033547451</c:v>
                </c:pt>
                <c:pt idx="90">
                  <c:v>11150.273514923916</c:v>
                </c:pt>
                <c:pt idx="91">
                  <c:v>11211.371361403639</c:v>
                </c:pt>
                <c:pt idx="92">
                  <c:v>11272.138046927463</c:v>
                </c:pt>
                <c:pt idx="93">
                  <c:v>11332.578898674299</c:v>
                </c:pt>
                <c:pt idx="94">
                  <c:v>11392.699102511477</c:v>
                </c:pt>
                <c:pt idx="95">
                  <c:v>11452.503708187742</c:v>
                </c:pt>
                <c:pt idx="96">
                  <c:v>11511.997634283205</c:v>
                </c:pt>
                <c:pt idx="97">
                  <c:v>11571.185672930416</c:v>
                </c:pt>
                <c:pt idx="98">
                  <c:v>11630.072494319124</c:v>
                </c:pt>
                <c:pt idx="99">
                  <c:v>11688.662650996739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B5A-0449-BB2E-4CCB9D03CDCC}"/>
            </c:ext>
          </c:extLst>
        </c:ser>
        <c:ser>
          <c:idx val="13"/>
          <c:order val="4"/>
          <c:tx>
            <c:v>Bootstrap 99%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recap!$O$5:$O$104</c:f>
              <c:numCache>
                <c:formatCode>0</c:formatCode>
                <c:ptCount val="100"/>
                <c:pt idx="0">
                  <c:v>1333.812916145841</c:v>
                </c:pt>
                <c:pt idx="1">
                  <c:v>3174.017100007999</c:v>
                </c:pt>
                <c:pt idx="2">
                  <c:v>3519.6726533656156</c:v>
                </c:pt>
                <c:pt idx="3">
                  <c:v>3621.9679993599366</c:v>
                </c:pt>
                <c:pt idx="4">
                  <c:v>3924.3927673551052</c:v>
                </c:pt>
                <c:pt idx="5">
                  <c:v>3973.5513286989999</c:v>
                </c:pt>
                <c:pt idx="6">
                  <c:v>4536.6393950250385</c:v>
                </c:pt>
                <c:pt idx="7">
                  <c:v>4336.0258223621995</c:v>
                </c:pt>
                <c:pt idx="8">
                  <c:v>5112.1288350213335</c:v>
                </c:pt>
                <c:pt idx="9">
                  <c:v>4939.7367196038695</c:v>
                </c:pt>
                <c:pt idx="10">
                  <c:v>5229.0688315249745</c:v>
                </c:pt>
                <c:pt idx="11">
                  <c:v>5068.3365460305558</c:v>
                </c:pt>
                <c:pt idx="12">
                  <c:v>5471.3500917668971</c:v>
                </c:pt>
                <c:pt idx="13">
                  <c:v>5264.5908392626807</c:v>
                </c:pt>
                <c:pt idx="14">
                  <c:v>5586.5773245452438</c:v>
                </c:pt>
                <c:pt idx="15">
                  <c:v>5745.7601351303711</c:v>
                </c:pt>
                <c:pt idx="16">
                  <c:v>5334.2454399401122</c:v>
                </c:pt>
                <c:pt idx="17">
                  <c:v>5334.9631414357245</c:v>
                </c:pt>
                <c:pt idx="18">
                  <c:v>6148.2280695203317</c:v>
                </c:pt>
                <c:pt idx="19">
                  <c:v>5779.8232618832426</c:v>
                </c:pt>
                <c:pt idx="20">
                  <c:v>5965.4972108724596</c:v>
                </c:pt>
                <c:pt idx="21">
                  <c:v>6196.7826102813506</c:v>
                </c:pt>
                <c:pt idx="22">
                  <c:v>6319.829122438945</c:v>
                </c:pt>
                <c:pt idx="23">
                  <c:v>7102.4839896119956</c:v>
                </c:pt>
                <c:pt idx="24">
                  <c:v>7112.0469787168986</c:v>
                </c:pt>
                <c:pt idx="25">
                  <c:v>6217.3321007870927</c:v>
                </c:pt>
                <c:pt idx="26">
                  <c:v>6683.570776220522</c:v>
                </c:pt>
                <c:pt idx="27">
                  <c:v>7174.2545408466685</c:v>
                </c:pt>
                <c:pt idx="28">
                  <c:v>6771.1605704769554</c:v>
                </c:pt>
                <c:pt idx="29">
                  <c:v>6667.2194423737583</c:v>
                </c:pt>
                <c:pt idx="30">
                  <c:v>7105.485272188871</c:v>
                </c:pt>
                <c:pt idx="31">
                  <c:v>7027.0042082428572</c:v>
                </c:pt>
                <c:pt idx="32">
                  <c:v>6975.141638415902</c:v>
                </c:pt>
                <c:pt idx="33">
                  <c:v>7379.7928621550072</c:v>
                </c:pt>
                <c:pt idx="34">
                  <c:v>7259.6573689666802</c:v>
                </c:pt>
                <c:pt idx="35">
                  <c:v>6902.990598314931</c:v>
                </c:pt>
                <c:pt idx="36">
                  <c:v>7343.4820479743466</c:v>
                </c:pt>
                <c:pt idx="37">
                  <c:v>7161.5416809176295</c:v>
                </c:pt>
                <c:pt idx="38">
                  <c:v>7600.066449433969</c:v>
                </c:pt>
                <c:pt idx="39">
                  <c:v>7481.85014205882</c:v>
                </c:pt>
                <c:pt idx="40">
                  <c:v>6759.1151059799413</c:v>
                </c:pt>
                <c:pt idx="41">
                  <c:v>7713.2789994583254</c:v>
                </c:pt>
                <c:pt idx="42">
                  <c:v>7468.9001355270757</c:v>
                </c:pt>
                <c:pt idx="43">
                  <c:v>8002.289064038765</c:v>
                </c:pt>
                <c:pt idx="44">
                  <c:v>7088.5331871869221</c:v>
                </c:pt>
                <c:pt idx="45">
                  <c:v>7264.7555293536407</c:v>
                </c:pt>
                <c:pt idx="46">
                  <c:v>7801.4848593889346</c:v>
                </c:pt>
                <c:pt idx="47">
                  <c:v>8148.9272091731746</c:v>
                </c:pt>
                <c:pt idx="48">
                  <c:v>8262.785205342454</c:v>
                </c:pt>
                <c:pt idx="49">
                  <c:v>7494.302365069796</c:v>
                </c:pt>
                <c:pt idx="50">
                  <c:v>7920.8060454865881</c:v>
                </c:pt>
                <c:pt idx="51">
                  <c:v>8532.3741248902752</c:v>
                </c:pt>
                <c:pt idx="52">
                  <c:v>7764.559091956562</c:v>
                </c:pt>
                <c:pt idx="53">
                  <c:v>7842.8614054799036</c:v>
                </c:pt>
                <c:pt idx="54">
                  <c:v>8092.7193012454663</c:v>
                </c:pt>
                <c:pt idx="55">
                  <c:v>8407.1201817021283</c:v>
                </c:pt>
                <c:pt idx="56">
                  <c:v>7614.0731319401348</c:v>
                </c:pt>
                <c:pt idx="57">
                  <c:v>7714.5457689258255</c:v>
                </c:pt>
                <c:pt idx="58">
                  <c:v>8082.9486170650016</c:v>
                </c:pt>
                <c:pt idx="59">
                  <c:v>8408.684407936722</c:v>
                </c:pt>
                <c:pt idx="60">
                  <c:v>8858.2224333918275</c:v>
                </c:pt>
                <c:pt idx="61">
                  <c:v>7662.6285882987322</c:v>
                </c:pt>
                <c:pt idx="62">
                  <c:v>8802.5253790312781</c:v>
                </c:pt>
                <c:pt idx="63">
                  <c:v>8529.4169491493485</c:v>
                </c:pt>
                <c:pt idx="64">
                  <c:v>7898.0654478468641</c:v>
                </c:pt>
                <c:pt idx="65">
                  <c:v>8287.1322154989102</c:v>
                </c:pt>
                <c:pt idx="66">
                  <c:v>8536.9477521302506</c:v>
                </c:pt>
                <c:pt idx="67">
                  <c:v>9060.2543565147353</c:v>
                </c:pt>
                <c:pt idx="68">
                  <c:v>8330.7975669728221</c:v>
                </c:pt>
                <c:pt idx="69">
                  <c:v>8985.3004968519272</c:v>
                </c:pt>
                <c:pt idx="70">
                  <c:v>8073.0512820790573</c:v>
                </c:pt>
                <c:pt idx="71">
                  <c:v>8138.6847537052818</c:v>
                </c:pt>
                <c:pt idx="72">
                  <c:v>8662.3272756211918</c:v>
                </c:pt>
                <c:pt idx="73">
                  <c:v>8107.5627164466168</c:v>
                </c:pt>
                <c:pt idx="74">
                  <c:v>9302.7947434022972</c:v>
                </c:pt>
                <c:pt idx="75">
                  <c:v>7586.8986717185253</c:v>
                </c:pt>
                <c:pt idx="76">
                  <c:v>8441.9645130630233</c:v>
                </c:pt>
                <c:pt idx="77">
                  <c:v>8223.5980022469885</c:v>
                </c:pt>
                <c:pt idx="78">
                  <c:v>8885.3381396109653</c:v>
                </c:pt>
                <c:pt idx="79">
                  <c:v>8898.0576352239914</c:v>
                </c:pt>
                <c:pt idx="80">
                  <c:v>8109.774753525191</c:v>
                </c:pt>
                <c:pt idx="81">
                  <c:v>8470.6488595584633</c:v>
                </c:pt>
                <c:pt idx="82">
                  <c:v>9244.0184119371697</c:v>
                </c:pt>
                <c:pt idx="83">
                  <c:v>8203.1870875026943</c:v>
                </c:pt>
                <c:pt idx="84">
                  <c:v>8750.4493415202051</c:v>
                </c:pt>
                <c:pt idx="85">
                  <c:v>8466.3596915567541</c:v>
                </c:pt>
                <c:pt idx="86">
                  <c:v>8461.0547583879998</c:v>
                </c:pt>
                <c:pt idx="87">
                  <c:v>7777.8505960475486</c:v>
                </c:pt>
                <c:pt idx="88">
                  <c:v>8837.491237778504</c:v>
                </c:pt>
                <c:pt idx="89">
                  <c:v>7719.6911922807194</c:v>
                </c:pt>
                <c:pt idx="90">
                  <c:v>8561.4810641108415</c:v>
                </c:pt>
                <c:pt idx="91">
                  <c:v>8250.3090428632495</c:v>
                </c:pt>
                <c:pt idx="92">
                  <c:v>8454.7385944002526</c:v>
                </c:pt>
                <c:pt idx="93">
                  <c:v>8507.5891598688104</c:v>
                </c:pt>
                <c:pt idx="94">
                  <c:v>8258.2612277138105</c:v>
                </c:pt>
                <c:pt idx="95">
                  <c:v>8119.7638726767436</c:v>
                </c:pt>
                <c:pt idx="96">
                  <c:v>8949.4724028533346</c:v>
                </c:pt>
                <c:pt idx="97">
                  <c:v>8347.1699744216494</c:v>
                </c:pt>
                <c:pt idx="98">
                  <c:v>8012.2226591364997</c:v>
                </c:pt>
                <c:pt idx="99">
                  <c:v>7942.5533459697217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B5A-0449-BB2E-4CCB9D03C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5772095"/>
        <c:axId val="1285773887"/>
      </c:lineChart>
      <c:catAx>
        <c:axId val="12857720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aseline="0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5773887"/>
        <c:crosses val="autoZero"/>
        <c:auto val="1"/>
        <c:lblAlgn val="ctr"/>
        <c:lblOffset val="100"/>
        <c:noMultiLvlLbl val="0"/>
      </c:catAx>
      <c:valAx>
        <c:axId val="1285773887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aseline="0"/>
                  <a:t>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577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XOM %returns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XOM %returns</a:t>
          </a:r>
        </a:p>
      </cx:txPr>
    </cx:title>
    <cx:plotArea>
      <cx:plotAreaRegion>
        <cx:series layoutId="clusteredColumn" uniqueId="{AC629EA8-D111-D94F-AAF8-15E49C0C636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MSFT %returns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MSFT %returns</a:t>
          </a:r>
        </a:p>
      </cx:txPr>
    </cx:title>
    <cx:plotArea>
      <cx:plotAreaRegion>
        <cx:series layoutId="clusteredColumn" uniqueId="{688E96AD-B657-984E-B671-5EBBA8AADE49}">
          <cx:spPr>
            <a:solidFill>
              <a:schemeClr val="accent2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Portfolio %return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Portfolio %return</a:t>
          </a:r>
        </a:p>
      </cx:txPr>
    </cx:title>
    <cx:plotArea>
      <cx:plotAreaRegion>
        <cx:series layoutId="clusteredColumn" uniqueId="{710CC4D4-F179-D347-8317-AA2E95E25B80}">
          <cx:spPr>
            <a:solidFill>
              <a:schemeClr val="accent6"/>
            </a:solidFill>
          </cx:spPr>
          <cx:dataPt idx="0"/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1869</xdr:colOff>
      <xdr:row>2</xdr:row>
      <xdr:rowOff>31375</xdr:rowOff>
    </xdr:from>
    <xdr:to>
      <xdr:col>20</xdr:col>
      <xdr:colOff>765735</xdr:colOff>
      <xdr:row>18</xdr:row>
      <xdr:rowOff>106379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afico 3">
              <a:extLst>
                <a:ext uri="{FF2B5EF4-FFF2-40B4-BE49-F238E27FC236}">
                  <a16:creationId xmlns:a16="http://schemas.microsoft.com/office/drawing/2014/main" id="{F3E78E39-D4F4-64C2-D931-150A8A223F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41569" y="412375"/>
              <a:ext cx="4891366" cy="31230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  <xdr:twoCellAnchor>
    <xdr:from>
      <xdr:col>15</xdr:col>
      <xdr:colOff>14195</xdr:colOff>
      <xdr:row>19</xdr:row>
      <xdr:rowOff>18676</xdr:rowOff>
    </xdr:from>
    <xdr:to>
      <xdr:col>20</xdr:col>
      <xdr:colOff>779123</xdr:colOff>
      <xdr:row>35</xdr:row>
      <xdr:rowOff>93381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fico 4">
              <a:extLst>
                <a:ext uri="{FF2B5EF4-FFF2-40B4-BE49-F238E27FC236}">
                  <a16:creationId xmlns:a16="http://schemas.microsoft.com/office/drawing/2014/main" id="{8FB6E467-BB64-BA10-08CD-F93817A774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53895" y="3638176"/>
              <a:ext cx="4892428" cy="31227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  <xdr:twoCellAnchor>
    <xdr:from>
      <xdr:col>15</xdr:col>
      <xdr:colOff>29883</xdr:colOff>
      <xdr:row>36</xdr:row>
      <xdr:rowOff>88649</xdr:rowOff>
    </xdr:from>
    <xdr:to>
      <xdr:col>20</xdr:col>
      <xdr:colOff>127299</xdr:colOff>
      <xdr:row>52</xdr:row>
      <xdr:rowOff>163653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afico 5">
              <a:extLst>
                <a:ext uri="{FF2B5EF4-FFF2-40B4-BE49-F238E27FC236}">
                  <a16:creationId xmlns:a16="http://schemas.microsoft.com/office/drawing/2014/main" id="{E2368EBE-D586-41C5-1699-DF0977BF84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9583" y="6946649"/>
              <a:ext cx="4224916" cy="31230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347133</xdr:colOff>
      <xdr:row>3</xdr:row>
      <xdr:rowOff>177799</xdr:rowOff>
    </xdr:from>
    <xdr:to>
      <xdr:col>27</xdr:col>
      <xdr:colOff>254000</xdr:colOff>
      <xdr:row>32</xdr:row>
      <xdr:rowOff>41869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45F584C-6DC9-9873-7908-350634D19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E3D46-DA7B-4D4A-83D8-DC7EE919E4DC}">
  <sheetPr codeName="Foglio2"/>
  <dimension ref="A1:U240"/>
  <sheetViews>
    <sheetView tabSelected="1" workbookViewId="0">
      <selection activeCell="O245" sqref="O245"/>
    </sheetView>
  </sheetViews>
  <sheetFormatPr baseColWidth="10" defaultRowHeight="15" x14ac:dyDescent="0.2"/>
  <cols>
    <col min="4" max="5" width="10.83203125" style="5"/>
    <col min="6" max="6" width="10.83203125" style="4"/>
    <col min="7" max="7" width="8.6640625" style="5" bestFit="1" customWidth="1"/>
    <col min="10" max="10" width="10.83203125" style="4"/>
    <col min="11" max="11" width="11.6640625" bestFit="1" customWidth="1"/>
    <col min="15" max="15" width="12.33203125" bestFit="1" customWidth="1"/>
    <col min="16" max="16" width="10.83203125" style="10"/>
  </cols>
  <sheetData>
    <row r="1" spans="1:16" x14ac:dyDescent="0.2">
      <c r="B1" s="16" t="s">
        <v>0</v>
      </c>
      <c r="C1" s="17"/>
      <c r="D1" s="18"/>
      <c r="E1" s="18"/>
      <c r="F1" s="19"/>
      <c r="G1" s="20"/>
      <c r="H1" s="30" t="s">
        <v>5</v>
      </c>
      <c r="I1" s="31"/>
      <c r="J1" s="32"/>
      <c r="K1" s="31"/>
      <c r="L1" s="33"/>
      <c r="M1" s="34"/>
    </row>
    <row r="2" spans="1:16" x14ac:dyDescent="0.2">
      <c r="A2" s="44" t="s">
        <v>1</v>
      </c>
      <c r="B2" s="45" t="s">
        <v>2</v>
      </c>
      <c r="C2" s="46" t="s">
        <v>3</v>
      </c>
      <c r="D2" s="47" t="s">
        <v>4</v>
      </c>
      <c r="E2" s="47" t="s">
        <v>6</v>
      </c>
      <c r="F2" s="48" t="s">
        <v>8</v>
      </c>
      <c r="G2" s="49" t="s">
        <v>13</v>
      </c>
      <c r="H2" s="50" t="s">
        <v>2</v>
      </c>
      <c r="I2" s="51" t="s">
        <v>3</v>
      </c>
      <c r="J2" s="52" t="s">
        <v>4</v>
      </c>
      <c r="K2" s="52" t="s">
        <v>7</v>
      </c>
      <c r="L2" s="52" t="s">
        <v>9</v>
      </c>
      <c r="M2" s="53" t="s">
        <v>10</v>
      </c>
      <c r="N2" s="54" t="s">
        <v>11</v>
      </c>
      <c r="O2" s="55" t="s">
        <v>12</v>
      </c>
      <c r="P2" s="56" t="s">
        <v>18</v>
      </c>
    </row>
    <row r="3" spans="1:16" x14ac:dyDescent="0.2">
      <c r="A3" s="14">
        <v>45932</v>
      </c>
      <c r="B3" s="21">
        <v>111.29</v>
      </c>
      <c r="C3" s="22"/>
      <c r="D3" s="2"/>
      <c r="E3" s="2">
        <f t="shared" ref="E3:E66" si="0">G3/B3</f>
        <v>449.27666457004221</v>
      </c>
      <c r="F3" s="12">
        <f t="shared" ref="F3:F66" si="1">E3/N3</f>
        <v>0.82251247946669215</v>
      </c>
      <c r="G3" s="23">
        <f t="shared" ref="G3:G66" si="2">O3/2</f>
        <v>50000</v>
      </c>
      <c r="H3" s="21">
        <v>515.74</v>
      </c>
      <c r="I3" s="22"/>
      <c r="J3" s="1"/>
      <c r="K3" s="3">
        <f t="shared" ref="K3:K66" si="3">M3/H3</f>
        <v>96.948074611238212</v>
      </c>
      <c r="L3" s="6">
        <f t="shared" ref="L3:L66" si="4">K3/N3</f>
        <v>0.1774875205333078</v>
      </c>
      <c r="M3" s="35">
        <f t="shared" ref="M3:M66" si="5">O3/2</f>
        <v>50000</v>
      </c>
      <c r="N3" s="39">
        <f t="shared" ref="N3:N66" si="6">K3+E3</f>
        <v>546.22473918128048</v>
      </c>
      <c r="O3" s="3">
        <v>100000</v>
      </c>
      <c r="P3" s="40"/>
    </row>
    <row r="4" spans="1:16" x14ac:dyDescent="0.2">
      <c r="A4" s="14">
        <v>45933</v>
      </c>
      <c r="B4" s="21">
        <v>113.26</v>
      </c>
      <c r="C4" s="22">
        <v>1.97</v>
      </c>
      <c r="D4" s="11">
        <v>1.7701500584059698E-2</v>
      </c>
      <c r="E4" s="2">
        <f t="shared" si="0"/>
        <v>446.05845589496317</v>
      </c>
      <c r="F4" s="12">
        <f t="shared" si="1"/>
        <v>0.82039612438749776</v>
      </c>
      <c r="G4" s="23">
        <f t="shared" si="2"/>
        <v>50520.580714663534</v>
      </c>
      <c r="H4" s="21">
        <v>517.35</v>
      </c>
      <c r="I4" s="22">
        <v>1.6100000000000101</v>
      </c>
      <c r="J4" s="11">
        <v>3.1217280024818999E-3</v>
      </c>
      <c r="K4" s="3">
        <f t="shared" si="3"/>
        <v>97.652615665726358</v>
      </c>
      <c r="L4" s="6">
        <f t="shared" si="4"/>
        <v>0.17960387561250218</v>
      </c>
      <c r="M4" s="35">
        <f t="shared" si="5"/>
        <v>50520.580714663534</v>
      </c>
      <c r="N4" s="39">
        <f t="shared" si="6"/>
        <v>543.71107156068956</v>
      </c>
      <c r="O4" s="3">
        <f>E3*B4+K3*H4</f>
        <v>101041.16142932707</v>
      </c>
      <c r="P4" s="41">
        <f>(O4-O3)/O3</f>
        <v>1.0411614293270687E-2</v>
      </c>
    </row>
    <row r="5" spans="1:16" x14ac:dyDescent="0.2">
      <c r="A5" s="14">
        <v>45936</v>
      </c>
      <c r="B5" s="21">
        <v>114.2</v>
      </c>
      <c r="C5" s="22">
        <v>0.93999999999999795</v>
      </c>
      <c r="D5" s="11">
        <v>8.2994879039378199E-3</v>
      </c>
      <c r="E5" s="2">
        <f t="shared" si="0"/>
        <v>449.01978426286246</v>
      </c>
      <c r="F5" s="12">
        <f t="shared" si="1"/>
        <v>0.8223314715994835</v>
      </c>
      <c r="G5" s="23">
        <f t="shared" si="2"/>
        <v>51278.059362818894</v>
      </c>
      <c r="H5" s="21">
        <v>528.57000000000005</v>
      </c>
      <c r="I5" s="22">
        <v>11.22</v>
      </c>
      <c r="J5" s="11">
        <v>2.1687445636416398E-2</v>
      </c>
      <c r="K5" s="3">
        <f t="shared" si="3"/>
        <v>97.012806937243681</v>
      </c>
      <c r="L5" s="6">
        <f t="shared" si="4"/>
        <v>0.1776685284005165</v>
      </c>
      <c r="M5" s="35">
        <f t="shared" si="5"/>
        <v>51278.059362818894</v>
      </c>
      <c r="N5" s="39">
        <f t="shared" si="6"/>
        <v>546.03259120010614</v>
      </c>
      <c r="O5" s="3">
        <f t="shared" ref="O5:O68" si="7">E4*B5+K4*H5</f>
        <v>102556.11872563779</v>
      </c>
      <c r="P5" s="41">
        <f t="shared" ref="P5:P68" si="8">(O5-O4)/O4</f>
        <v>1.4993466770177146E-2</v>
      </c>
    </row>
    <row r="6" spans="1:16" x14ac:dyDescent="0.2">
      <c r="A6" s="14">
        <v>45937</v>
      </c>
      <c r="B6" s="21">
        <v>114.26</v>
      </c>
      <c r="C6" s="22">
        <v>6.0000000000002301E-2</v>
      </c>
      <c r="D6" s="11">
        <v>5.2539404553417104E-4</v>
      </c>
      <c r="E6" s="2">
        <f t="shared" si="0"/>
        <v>446.95331318419221</v>
      </c>
      <c r="F6" s="12">
        <f t="shared" si="1"/>
        <v>0.82097643519679109</v>
      </c>
      <c r="G6" s="23">
        <f t="shared" si="2"/>
        <v>51068.885564425807</v>
      </c>
      <c r="H6" s="21">
        <v>523.98</v>
      </c>
      <c r="I6" s="22">
        <v>-4.5900000000000301</v>
      </c>
      <c r="J6" s="11">
        <v>-8.6838072535331805E-3</v>
      </c>
      <c r="K6" s="3">
        <f t="shared" si="3"/>
        <v>97.463425253684889</v>
      </c>
      <c r="L6" s="6">
        <f t="shared" si="4"/>
        <v>0.17902356480320883</v>
      </c>
      <c r="M6" s="35">
        <f t="shared" si="5"/>
        <v>51068.885564425807</v>
      </c>
      <c r="N6" s="39">
        <f t="shared" si="6"/>
        <v>544.41673843787714</v>
      </c>
      <c r="O6" s="3">
        <f t="shared" si="7"/>
        <v>102137.77112885161</v>
      </c>
      <c r="P6" s="41">
        <f t="shared" si="8"/>
        <v>-4.0792066039994574E-3</v>
      </c>
    </row>
    <row r="7" spans="1:16" x14ac:dyDescent="0.2">
      <c r="A7" s="14">
        <v>45938</v>
      </c>
      <c r="B7" s="21">
        <v>114.02</v>
      </c>
      <c r="C7" s="22">
        <v>-0.24000000000000901</v>
      </c>
      <c r="D7" s="11">
        <v>-2.10047260633651E-3</v>
      </c>
      <c r="E7" s="2">
        <f t="shared" si="0"/>
        <v>447.79554250858672</v>
      </c>
      <c r="F7" s="12">
        <f t="shared" si="1"/>
        <v>0.82152863649881835</v>
      </c>
      <c r="G7" s="23">
        <f t="shared" si="2"/>
        <v>51057.647756829057</v>
      </c>
      <c r="H7" s="21">
        <v>524.85</v>
      </c>
      <c r="I7" s="22">
        <v>0.87000000000000499</v>
      </c>
      <c r="J7" s="11">
        <v>1.66036871636323E-3</v>
      </c>
      <c r="K7" s="3">
        <f t="shared" si="3"/>
        <v>97.280456810191595</v>
      </c>
      <c r="L7" s="6">
        <f t="shared" si="4"/>
        <v>0.17847136350118178</v>
      </c>
      <c r="M7" s="35">
        <f t="shared" si="5"/>
        <v>51057.647756829057</v>
      </c>
      <c r="N7" s="39">
        <f t="shared" si="6"/>
        <v>545.07599931877826</v>
      </c>
      <c r="O7" s="3">
        <f t="shared" si="7"/>
        <v>102115.29551365811</v>
      </c>
      <c r="P7" s="41">
        <f t="shared" si="8"/>
        <v>-2.2005194498659841E-4</v>
      </c>
    </row>
    <row r="8" spans="1:16" x14ac:dyDescent="0.2">
      <c r="A8" s="14">
        <v>45939</v>
      </c>
      <c r="B8" s="21">
        <v>112.91</v>
      </c>
      <c r="C8" s="22">
        <v>-1.1100000000000001</v>
      </c>
      <c r="D8" s="11">
        <v>-9.7351341869847292E-3</v>
      </c>
      <c r="E8" s="2">
        <f t="shared" si="0"/>
        <v>448.94121575718987</v>
      </c>
      <c r="F8" s="12">
        <f t="shared" si="1"/>
        <v>0.82227573940281118</v>
      </c>
      <c r="G8" s="23">
        <f t="shared" si="2"/>
        <v>50689.952671144303</v>
      </c>
      <c r="H8" s="21">
        <v>522.4</v>
      </c>
      <c r="I8" s="22">
        <v>-2.4500000000000499</v>
      </c>
      <c r="J8" s="11">
        <v>-4.6680003810613399E-3</v>
      </c>
      <c r="K8" s="3">
        <f t="shared" si="3"/>
        <v>97.032834362833668</v>
      </c>
      <c r="L8" s="6">
        <f t="shared" si="4"/>
        <v>0.17772426059718877</v>
      </c>
      <c r="M8" s="35">
        <f t="shared" si="5"/>
        <v>50689.952671144303</v>
      </c>
      <c r="N8" s="39">
        <f t="shared" si="6"/>
        <v>545.97405012002355</v>
      </c>
      <c r="O8" s="3">
        <f t="shared" si="7"/>
        <v>101379.90534228861</v>
      </c>
      <c r="P8" s="41">
        <f t="shared" si="8"/>
        <v>-7.2015672840230758E-3</v>
      </c>
    </row>
    <row r="9" spans="1:16" x14ac:dyDescent="0.2">
      <c r="A9" s="14">
        <v>45940</v>
      </c>
      <c r="B9" s="21">
        <v>110.73</v>
      </c>
      <c r="C9" s="22">
        <v>-2.1799999999999899</v>
      </c>
      <c r="D9" s="11">
        <v>-1.9307412983792301E-2</v>
      </c>
      <c r="E9" s="2">
        <f t="shared" si="0"/>
        <v>448.34804419230164</v>
      </c>
      <c r="F9" s="12">
        <f t="shared" si="1"/>
        <v>0.82188872267528834</v>
      </c>
      <c r="G9" s="23">
        <f t="shared" si="2"/>
        <v>49645.578933413562</v>
      </c>
      <c r="H9" s="21">
        <v>510.96</v>
      </c>
      <c r="I9" s="22">
        <v>-11.44</v>
      </c>
      <c r="J9" s="11">
        <v>-2.1898928024502301E-2</v>
      </c>
      <c r="K9" s="3">
        <f t="shared" si="3"/>
        <v>97.16138040827768</v>
      </c>
      <c r="L9" s="6">
        <f t="shared" si="4"/>
        <v>0.17811127732471169</v>
      </c>
      <c r="M9" s="35">
        <f t="shared" si="5"/>
        <v>49645.578933413562</v>
      </c>
      <c r="N9" s="39">
        <f t="shared" si="6"/>
        <v>545.50942460057934</v>
      </c>
      <c r="O9" s="3">
        <f t="shared" si="7"/>
        <v>99291.157866827125</v>
      </c>
      <c r="P9" s="41">
        <f t="shared" si="8"/>
        <v>-2.0603170504147256E-2</v>
      </c>
    </row>
    <row r="10" spans="1:16" x14ac:dyDescent="0.2">
      <c r="A10" s="14">
        <v>45943</v>
      </c>
      <c r="B10" s="21">
        <v>112.24</v>
      </c>
      <c r="C10" s="22">
        <v>1.50999999999999</v>
      </c>
      <c r="D10" s="11">
        <v>1.3636774135283899E-2</v>
      </c>
      <c r="E10" s="2">
        <f t="shared" si="0"/>
        <v>446.66960120731949</v>
      </c>
      <c r="F10" s="12">
        <f t="shared" si="1"/>
        <v>0.82078589790672052</v>
      </c>
      <c r="G10" s="23">
        <f t="shared" si="2"/>
        <v>50134.196039509538</v>
      </c>
      <c r="H10" s="21">
        <v>514.04999999999995</v>
      </c>
      <c r="I10" s="22">
        <v>3.0899999999999799</v>
      </c>
      <c r="J10" s="11">
        <v>6.0474401127289298E-3</v>
      </c>
      <c r="K10" s="3">
        <f t="shared" si="3"/>
        <v>97.527859234528819</v>
      </c>
      <c r="L10" s="6">
        <f t="shared" si="4"/>
        <v>0.17921410209327948</v>
      </c>
      <c r="M10" s="35">
        <f t="shared" si="5"/>
        <v>50134.196039509538</v>
      </c>
      <c r="N10" s="39">
        <f t="shared" si="6"/>
        <v>544.19746044184831</v>
      </c>
      <c r="O10" s="3">
        <f t="shared" si="7"/>
        <v>100268.39207901908</v>
      </c>
      <c r="P10" s="41">
        <f t="shared" si="8"/>
        <v>9.8421071240064675E-3</v>
      </c>
    </row>
    <row r="11" spans="1:16" x14ac:dyDescent="0.2">
      <c r="A11" s="14">
        <v>45944</v>
      </c>
      <c r="B11" s="21">
        <v>112.29</v>
      </c>
      <c r="C11" s="22">
        <v>5.0000000000011403E-2</v>
      </c>
      <c r="D11" s="11">
        <v>4.4547398431941699E-4</v>
      </c>
      <c r="E11" s="2">
        <f t="shared" si="0"/>
        <v>446.3617071272904</v>
      </c>
      <c r="F11" s="12">
        <f t="shared" si="1"/>
        <v>0.82058287795992724</v>
      </c>
      <c r="G11" s="23">
        <f t="shared" si="2"/>
        <v>50121.956093323439</v>
      </c>
      <c r="H11" s="21">
        <v>513.57000000000005</v>
      </c>
      <c r="I11" s="22">
        <v>-0.479999999999905</v>
      </c>
      <c r="J11" s="11">
        <v>-9.3376130726564497E-4</v>
      </c>
      <c r="K11" s="3">
        <f t="shared" si="3"/>
        <v>97.59517902783152</v>
      </c>
      <c r="L11" s="6">
        <f t="shared" si="4"/>
        <v>0.17941712204007285</v>
      </c>
      <c r="M11" s="35">
        <f t="shared" si="5"/>
        <v>50121.956093323439</v>
      </c>
      <c r="N11" s="39">
        <f t="shared" si="6"/>
        <v>543.95688615512188</v>
      </c>
      <c r="O11" s="3">
        <f t="shared" si="7"/>
        <v>100243.91218664688</v>
      </c>
      <c r="P11" s="41">
        <f t="shared" si="8"/>
        <v>-2.4414366147315245E-4</v>
      </c>
    </row>
    <row r="12" spans="1:16" x14ac:dyDescent="0.2">
      <c r="A12" s="14">
        <v>45945</v>
      </c>
      <c r="B12" s="21">
        <v>111.61</v>
      </c>
      <c r="C12" s="22">
        <v>-0.68000000000000704</v>
      </c>
      <c r="D12" s="11">
        <v>-6.0557485083267103E-3</v>
      </c>
      <c r="E12" s="2">
        <f t="shared" si="0"/>
        <v>447.66025849268169</v>
      </c>
      <c r="F12" s="12">
        <f t="shared" si="1"/>
        <v>0.82143542813259951</v>
      </c>
      <c r="G12" s="23">
        <f t="shared" si="2"/>
        <v>49963.361450368204</v>
      </c>
      <c r="H12" s="21">
        <v>513.42999999999995</v>
      </c>
      <c r="I12" s="22">
        <v>-0.14000000000009999</v>
      </c>
      <c r="J12" s="11">
        <v>-2.7260159277235797E-4</v>
      </c>
      <c r="K12" s="3">
        <f t="shared" si="3"/>
        <v>97.312898448412071</v>
      </c>
      <c r="L12" s="6">
        <f t="shared" si="4"/>
        <v>0.17856457186740052</v>
      </c>
      <c r="M12" s="35">
        <f t="shared" si="5"/>
        <v>49963.361450368204</v>
      </c>
      <c r="N12" s="39">
        <f t="shared" si="6"/>
        <v>544.97315694109375</v>
      </c>
      <c r="O12" s="3">
        <f t="shared" si="7"/>
        <v>99926.722900736408</v>
      </c>
      <c r="P12" s="41">
        <f t="shared" si="8"/>
        <v>-3.1641750505495701E-3</v>
      </c>
    </row>
    <row r="13" spans="1:16" x14ac:dyDescent="0.2">
      <c r="A13" s="14">
        <v>45946</v>
      </c>
      <c r="B13" s="21">
        <v>110.64</v>
      </c>
      <c r="C13" s="22">
        <v>-0.96999999999999897</v>
      </c>
      <c r="D13" s="11">
        <v>-8.6909775109757104E-3</v>
      </c>
      <c r="E13" s="2">
        <f t="shared" si="0"/>
        <v>448.82222964037595</v>
      </c>
      <c r="F13" s="12">
        <f t="shared" si="1"/>
        <v>0.822193652069104</v>
      </c>
      <c r="G13" s="23">
        <f t="shared" si="2"/>
        <v>49657.691487411197</v>
      </c>
      <c r="H13" s="21">
        <v>511.61</v>
      </c>
      <c r="I13" s="22">
        <v>-1.8199999999999401</v>
      </c>
      <c r="J13" s="11">
        <v>-3.5447870206258602E-3</v>
      </c>
      <c r="K13" s="3">
        <f t="shared" si="3"/>
        <v>97.061612336371837</v>
      </c>
      <c r="L13" s="6">
        <f t="shared" si="4"/>
        <v>0.17780634793089595</v>
      </c>
      <c r="M13" s="35">
        <f t="shared" si="5"/>
        <v>49657.691487411197</v>
      </c>
      <c r="N13" s="39">
        <f t="shared" si="6"/>
        <v>545.88384197674782</v>
      </c>
      <c r="O13" s="3">
        <f t="shared" si="7"/>
        <v>99315.382974822394</v>
      </c>
      <c r="P13" s="41">
        <f t="shared" si="8"/>
        <v>-6.1178822658008733E-3</v>
      </c>
    </row>
    <row r="14" spans="1:16" x14ac:dyDescent="0.2">
      <c r="A14" s="14">
        <v>45947</v>
      </c>
      <c r="B14" s="21">
        <v>112.24</v>
      </c>
      <c r="C14" s="22">
        <v>1.5999999999999901</v>
      </c>
      <c r="D14" s="11">
        <v>1.44613159797541E-2</v>
      </c>
      <c r="E14" s="2">
        <f t="shared" si="0"/>
        <v>446.47500854663957</v>
      </c>
      <c r="F14" s="12">
        <f t="shared" si="1"/>
        <v>0.82065130548720078</v>
      </c>
      <c r="G14" s="23">
        <f t="shared" si="2"/>
        <v>50112.354959274824</v>
      </c>
      <c r="H14" s="21">
        <v>513.58000000000004</v>
      </c>
      <c r="I14" s="22">
        <v>1.9700000000000299</v>
      </c>
      <c r="J14" s="11">
        <v>3.8505893160806601E-3</v>
      </c>
      <c r="K14" s="3">
        <f t="shared" si="3"/>
        <v>97.574584211368858</v>
      </c>
      <c r="L14" s="6">
        <f t="shared" si="4"/>
        <v>0.17934869451279919</v>
      </c>
      <c r="M14" s="35">
        <f t="shared" si="5"/>
        <v>50112.354959274824</v>
      </c>
      <c r="N14" s="39">
        <f t="shared" si="6"/>
        <v>544.04959275800843</v>
      </c>
      <c r="O14" s="3">
        <f t="shared" si="7"/>
        <v>100224.70991854965</v>
      </c>
      <c r="P14" s="41">
        <f t="shared" si="8"/>
        <v>9.1559526479173797E-3</v>
      </c>
    </row>
    <row r="15" spans="1:16" x14ac:dyDescent="0.2">
      <c r="A15" s="14">
        <v>45950</v>
      </c>
      <c r="B15" s="21">
        <v>112.7</v>
      </c>
      <c r="C15" s="22">
        <v>0.46000000000000801</v>
      </c>
      <c r="D15" s="11">
        <v>4.0983606557377797E-3</v>
      </c>
      <c r="E15" s="2">
        <f t="shared" si="0"/>
        <v>446.95342873912864</v>
      </c>
      <c r="F15" s="12">
        <f t="shared" si="1"/>
        <v>0.82096617897027757</v>
      </c>
      <c r="G15" s="23">
        <f t="shared" si="2"/>
        <v>50371.651418899797</v>
      </c>
      <c r="H15" s="21">
        <v>516.79</v>
      </c>
      <c r="I15" s="22">
        <v>3.20999999999992</v>
      </c>
      <c r="J15" s="11">
        <v>6.2502433895399402E-3</v>
      </c>
      <c r="K15" s="3">
        <f t="shared" si="3"/>
        <v>97.470251782928855</v>
      </c>
      <c r="L15" s="6">
        <f t="shared" si="4"/>
        <v>0.17903382102972251</v>
      </c>
      <c r="M15" s="35">
        <f t="shared" si="5"/>
        <v>50371.651418899797</v>
      </c>
      <c r="N15" s="39">
        <f t="shared" si="6"/>
        <v>544.42368052205745</v>
      </c>
      <c r="O15" s="3">
        <f t="shared" si="7"/>
        <v>100743.30283779959</v>
      </c>
      <c r="P15" s="41">
        <f t="shared" si="8"/>
        <v>5.1743020226388764E-3</v>
      </c>
    </row>
    <row r="16" spans="1:16" x14ac:dyDescent="0.2">
      <c r="A16" s="14">
        <v>45951</v>
      </c>
      <c r="B16" s="21">
        <v>112.71</v>
      </c>
      <c r="C16" s="22">
        <v>9.9999999999909103E-3</v>
      </c>
      <c r="D16" s="11">
        <v>8.8731144631684994E-5</v>
      </c>
      <c r="E16" s="2">
        <f t="shared" si="0"/>
        <v>447.30978391951976</v>
      </c>
      <c r="F16" s="12">
        <f t="shared" si="1"/>
        <v>0.82120024747370601</v>
      </c>
      <c r="G16" s="23">
        <f t="shared" si="2"/>
        <v>50416.285745569068</v>
      </c>
      <c r="H16" s="21">
        <v>517.66</v>
      </c>
      <c r="I16" s="22">
        <v>0.87000000000000499</v>
      </c>
      <c r="J16" s="11">
        <v>1.6834691073743799E-3</v>
      </c>
      <c r="K16" s="3">
        <f t="shared" si="3"/>
        <v>97.392662646464998</v>
      </c>
      <c r="L16" s="6">
        <f t="shared" si="4"/>
        <v>0.1787997525262941</v>
      </c>
      <c r="M16" s="35">
        <f t="shared" si="5"/>
        <v>50416.285745569068</v>
      </c>
      <c r="N16" s="39">
        <f t="shared" si="6"/>
        <v>544.7024465659847</v>
      </c>
      <c r="O16" s="3">
        <f t="shared" si="7"/>
        <v>100832.57149113814</v>
      </c>
      <c r="P16" s="41">
        <f t="shared" si="8"/>
        <v>8.8610012600309534E-4</v>
      </c>
    </row>
    <row r="17" spans="1:16" x14ac:dyDescent="0.2">
      <c r="A17" s="14">
        <v>45952</v>
      </c>
      <c r="B17" s="21">
        <v>114.71</v>
      </c>
      <c r="C17" s="22">
        <v>2</v>
      </c>
      <c r="D17" s="11">
        <v>1.77446544228551E-2</v>
      </c>
      <c r="E17" s="2">
        <f t="shared" si="0"/>
        <v>444.63290875860434</v>
      </c>
      <c r="F17" s="12">
        <f t="shared" si="1"/>
        <v>0.81942542306178667</v>
      </c>
      <c r="G17" s="23">
        <f t="shared" si="2"/>
        <v>51003.840963699498</v>
      </c>
      <c r="H17" s="21">
        <v>520.54</v>
      </c>
      <c r="I17" s="22">
        <v>2.88</v>
      </c>
      <c r="J17" s="11">
        <v>5.5634972762044496E-3</v>
      </c>
      <c r="K17" s="3">
        <f t="shared" si="3"/>
        <v>97.982558427209241</v>
      </c>
      <c r="L17" s="6">
        <f t="shared" si="4"/>
        <v>0.18057457693821327</v>
      </c>
      <c r="M17" s="35">
        <f t="shared" si="5"/>
        <v>51003.840963699498</v>
      </c>
      <c r="N17" s="39">
        <f t="shared" si="6"/>
        <v>542.6154671858136</v>
      </c>
      <c r="O17" s="3">
        <f t="shared" si="7"/>
        <v>102007.681927399</v>
      </c>
      <c r="P17" s="41">
        <f t="shared" si="8"/>
        <v>1.1654075849529804E-2</v>
      </c>
    </row>
    <row r="18" spans="1:16" x14ac:dyDescent="0.2">
      <c r="A18" s="14">
        <v>45953</v>
      </c>
      <c r="B18" s="21">
        <v>115.98</v>
      </c>
      <c r="C18" s="22">
        <v>1.27000000000001</v>
      </c>
      <c r="D18" s="11">
        <v>1.10713974370152E-2</v>
      </c>
      <c r="E18" s="2">
        <f t="shared" si="0"/>
        <v>442.20695539183896</v>
      </c>
      <c r="F18" s="12">
        <f t="shared" si="1"/>
        <v>0.8177962107644452</v>
      </c>
      <c r="G18" s="23">
        <f t="shared" si="2"/>
        <v>51287.162686345488</v>
      </c>
      <c r="H18" s="21">
        <v>520.55999999999995</v>
      </c>
      <c r="I18" s="22">
        <v>1.99999999999818E-2</v>
      </c>
      <c r="J18" s="11">
        <v>3.8421639067087698E-5</v>
      </c>
      <c r="K18" s="3">
        <f t="shared" si="3"/>
        <v>98.52305725823247</v>
      </c>
      <c r="L18" s="6">
        <f t="shared" si="4"/>
        <v>0.18220378923555475</v>
      </c>
      <c r="M18" s="35">
        <f t="shared" si="5"/>
        <v>51287.162686345488</v>
      </c>
      <c r="N18" s="39">
        <f t="shared" si="6"/>
        <v>540.73001265007144</v>
      </c>
      <c r="O18" s="3">
        <f t="shared" si="7"/>
        <v>102574.32537269098</v>
      </c>
      <c r="P18" s="41">
        <f t="shared" si="8"/>
        <v>5.5549095380411683E-3</v>
      </c>
    </row>
    <row r="19" spans="1:16" x14ac:dyDescent="0.2">
      <c r="A19" s="14">
        <v>45954</v>
      </c>
      <c r="B19" s="21">
        <v>115.39</v>
      </c>
      <c r="C19" s="22">
        <v>-0.59000000000000297</v>
      </c>
      <c r="D19" s="11">
        <v>-5.0870839799965796E-3</v>
      </c>
      <c r="E19" s="2">
        <f t="shared" si="0"/>
        <v>444.63956405948261</v>
      </c>
      <c r="F19" s="12">
        <f t="shared" si="1"/>
        <v>0.81942097026604066</v>
      </c>
      <c r="G19" s="23">
        <f t="shared" si="2"/>
        <v>51306.959296823698</v>
      </c>
      <c r="H19" s="21">
        <v>523.61</v>
      </c>
      <c r="I19" s="22">
        <v>3.05000000000007</v>
      </c>
      <c r="J19" s="11">
        <v>5.8590748424774599E-3</v>
      </c>
      <c r="K19" s="3">
        <f t="shared" si="3"/>
        <v>97.98697369573479</v>
      </c>
      <c r="L19" s="6">
        <f t="shared" si="4"/>
        <v>0.18057902973395928</v>
      </c>
      <c r="M19" s="35">
        <f t="shared" si="5"/>
        <v>51306.959296823698</v>
      </c>
      <c r="N19" s="39">
        <f t="shared" si="6"/>
        <v>542.62653775521744</v>
      </c>
      <c r="O19" s="3">
        <f t="shared" si="7"/>
        <v>102613.9185936474</v>
      </c>
      <c r="P19" s="41">
        <f t="shared" si="8"/>
        <v>3.8599543124035E-4</v>
      </c>
    </row>
    <row r="20" spans="1:16" x14ac:dyDescent="0.2">
      <c r="A20" s="14">
        <v>45957</v>
      </c>
      <c r="B20" s="21">
        <v>115.94</v>
      </c>
      <c r="C20" s="22">
        <v>0.54999999999999705</v>
      </c>
      <c r="D20" s="11">
        <v>4.7664442326024502E-3</v>
      </c>
      <c r="E20" s="2">
        <f t="shared" si="0"/>
        <v>446.92749403059071</v>
      </c>
      <c r="F20" s="12">
        <f t="shared" si="1"/>
        <v>0.82093102276588514</v>
      </c>
      <c r="G20" s="23">
        <f t="shared" si="2"/>
        <v>51816.773657906684</v>
      </c>
      <c r="H20" s="21">
        <v>531.52</v>
      </c>
      <c r="I20" s="22">
        <v>7.9099999999999699</v>
      </c>
      <c r="J20" s="11">
        <v>1.51066633563148E-2</v>
      </c>
      <c r="K20" s="3">
        <f t="shared" si="3"/>
        <v>97.487909500878018</v>
      </c>
      <c r="L20" s="6">
        <f t="shared" si="4"/>
        <v>0.17906897723411483</v>
      </c>
      <c r="M20" s="35">
        <f t="shared" si="5"/>
        <v>51816.773657906684</v>
      </c>
      <c r="N20" s="39">
        <f t="shared" si="6"/>
        <v>544.41540353146877</v>
      </c>
      <c r="O20" s="3">
        <f t="shared" si="7"/>
        <v>103633.54731581337</v>
      </c>
      <c r="P20" s="41">
        <f t="shared" si="8"/>
        <v>9.9365537944586021E-3</v>
      </c>
    </row>
    <row r="21" spans="1:16" x14ac:dyDescent="0.2">
      <c r="A21" s="14">
        <v>45958</v>
      </c>
      <c r="B21" s="21">
        <v>115.03</v>
      </c>
      <c r="C21" s="22">
        <v>-0.90999999999999703</v>
      </c>
      <c r="D21" s="11">
        <v>-7.8488873555286904E-3</v>
      </c>
      <c r="E21" s="2">
        <f t="shared" si="0"/>
        <v>453.1658729960871</v>
      </c>
      <c r="F21" s="12">
        <f t="shared" si="1"/>
        <v>0.82494293106072147</v>
      </c>
      <c r="G21" s="23">
        <f t="shared" si="2"/>
        <v>52127.670370739899</v>
      </c>
      <c r="H21" s="21">
        <v>542.07000000000005</v>
      </c>
      <c r="I21" s="22">
        <v>10.5500000000001</v>
      </c>
      <c r="J21" s="11">
        <v>1.98487357013848E-2</v>
      </c>
      <c r="K21" s="3">
        <f t="shared" si="3"/>
        <v>96.164093882229039</v>
      </c>
      <c r="L21" s="6">
        <f t="shared" si="4"/>
        <v>0.17505706893927864</v>
      </c>
      <c r="M21" s="35">
        <f t="shared" si="5"/>
        <v>52127.670370739899</v>
      </c>
      <c r="N21" s="39">
        <f t="shared" si="6"/>
        <v>549.3299668783161</v>
      </c>
      <c r="O21" s="3">
        <f t="shared" si="7"/>
        <v>104255.3407414798</v>
      </c>
      <c r="P21" s="41">
        <f t="shared" si="8"/>
        <v>5.9999241729280384E-3</v>
      </c>
    </row>
    <row r="22" spans="1:16" x14ac:dyDescent="0.2">
      <c r="A22" s="14">
        <v>45959</v>
      </c>
      <c r="B22" s="21">
        <v>116.45</v>
      </c>
      <c r="C22" s="22">
        <v>1.42</v>
      </c>
      <c r="D22" s="11">
        <v>1.23446057550204E-2</v>
      </c>
      <c r="E22" s="2">
        <f t="shared" si="0"/>
        <v>450.18819644618065</v>
      </c>
      <c r="F22" s="12">
        <f t="shared" si="1"/>
        <v>0.82302431610942239</v>
      </c>
      <c r="G22" s="23">
        <f t="shared" si="2"/>
        <v>52424.415476157737</v>
      </c>
      <c r="H22" s="21">
        <v>541.54999999999995</v>
      </c>
      <c r="I22" s="22">
        <v>-0.52000000000009605</v>
      </c>
      <c r="J22" s="11">
        <v>-9.5928570110888898E-4</v>
      </c>
      <c r="K22" s="3">
        <f t="shared" si="3"/>
        <v>96.804386439216586</v>
      </c>
      <c r="L22" s="6">
        <f t="shared" si="4"/>
        <v>0.17697568389057752</v>
      </c>
      <c r="M22" s="35">
        <f t="shared" si="5"/>
        <v>52424.415476157737</v>
      </c>
      <c r="N22" s="39">
        <f t="shared" si="6"/>
        <v>546.99258288539727</v>
      </c>
      <c r="O22" s="3">
        <f t="shared" si="7"/>
        <v>104848.83095231547</v>
      </c>
      <c r="P22" s="41">
        <f t="shared" si="8"/>
        <v>5.6926600269557801E-3</v>
      </c>
    </row>
    <row r="23" spans="1:16" x14ac:dyDescent="0.2">
      <c r="A23" s="14">
        <v>45960</v>
      </c>
      <c r="B23" s="21">
        <v>114.69</v>
      </c>
      <c r="C23" s="22">
        <v>-1.76000000000001</v>
      </c>
      <c r="D23" s="11">
        <v>-1.5113782739373201E-2</v>
      </c>
      <c r="E23" s="2">
        <f t="shared" si="0"/>
        <v>446.978631374553</v>
      </c>
      <c r="F23" s="12">
        <f t="shared" si="1"/>
        <v>0.82092278866422042</v>
      </c>
      <c r="G23" s="23">
        <f t="shared" si="2"/>
        <v>51263.979232347483</v>
      </c>
      <c r="H23" s="21">
        <v>525.76</v>
      </c>
      <c r="I23" s="22">
        <v>-15.79</v>
      </c>
      <c r="J23" s="11">
        <v>-2.9157049210599102E-2</v>
      </c>
      <c r="K23" s="3">
        <f t="shared" si="3"/>
        <v>97.504525320198354</v>
      </c>
      <c r="L23" s="6">
        <f t="shared" si="4"/>
        <v>0.17907721133577953</v>
      </c>
      <c r="M23" s="35">
        <f t="shared" si="5"/>
        <v>51263.979232347483</v>
      </c>
      <c r="N23" s="39">
        <f t="shared" si="6"/>
        <v>544.48315669475141</v>
      </c>
      <c r="O23" s="3">
        <f t="shared" si="7"/>
        <v>102527.95846469497</v>
      </c>
      <c r="P23" s="41">
        <f t="shared" si="8"/>
        <v>-2.2135415974986174E-2</v>
      </c>
    </row>
    <row r="24" spans="1:16" x14ac:dyDescent="0.2">
      <c r="A24" s="14">
        <v>45961</v>
      </c>
      <c r="B24" s="21">
        <v>114.36</v>
      </c>
      <c r="C24" s="22">
        <v>-0.32999999999999802</v>
      </c>
      <c r="D24" s="11">
        <v>-2.8773214752811798E-3</v>
      </c>
      <c r="E24" s="2">
        <f t="shared" si="0"/>
        <v>444.23441124539079</v>
      </c>
      <c r="F24" s="12">
        <f t="shared" si="1"/>
        <v>0.81909929291171679</v>
      </c>
      <c r="G24" s="23">
        <f t="shared" si="2"/>
        <v>50802.647270022891</v>
      </c>
      <c r="H24" s="21">
        <v>517.80999999999995</v>
      </c>
      <c r="I24" s="22">
        <v>-7.9500000000000499</v>
      </c>
      <c r="J24" s="11">
        <v>-1.5120967741935601E-2</v>
      </c>
      <c r="K24" s="3">
        <f t="shared" si="3"/>
        <v>98.110595141119134</v>
      </c>
      <c r="L24" s="6">
        <f t="shared" si="4"/>
        <v>0.18090070708828324</v>
      </c>
      <c r="M24" s="35">
        <f t="shared" si="5"/>
        <v>50802.647270022891</v>
      </c>
      <c r="N24" s="39">
        <f t="shared" si="6"/>
        <v>542.34500638650991</v>
      </c>
      <c r="O24" s="3">
        <f t="shared" si="7"/>
        <v>101605.29454004578</v>
      </c>
      <c r="P24" s="41">
        <f t="shared" si="8"/>
        <v>-8.9991446086083761E-3</v>
      </c>
    </row>
    <row r="25" spans="1:16" x14ac:dyDescent="0.2">
      <c r="A25" s="14">
        <v>45964</v>
      </c>
      <c r="B25" s="21">
        <v>113.76</v>
      </c>
      <c r="C25" s="22">
        <v>-0.59999999999999398</v>
      </c>
      <c r="D25" s="11">
        <v>-5.2465897166841099E-3</v>
      </c>
      <c r="E25" s="2">
        <f t="shared" si="0"/>
        <v>445.06956588031147</v>
      </c>
      <c r="F25" s="12">
        <f t="shared" si="1"/>
        <v>0.81965471868609197</v>
      </c>
      <c r="G25" s="23">
        <f t="shared" si="2"/>
        <v>50631.113814544238</v>
      </c>
      <c r="H25" s="21">
        <v>517.03</v>
      </c>
      <c r="I25" s="22">
        <v>-0.77999999999997305</v>
      </c>
      <c r="J25" s="11">
        <v>-1.5063440258009199E-3</v>
      </c>
      <c r="K25" s="3">
        <f t="shared" si="3"/>
        <v>97.926839476518268</v>
      </c>
      <c r="L25" s="6">
        <f t="shared" si="4"/>
        <v>0.18034528131390798</v>
      </c>
      <c r="M25" s="35">
        <f t="shared" si="5"/>
        <v>50631.113814544238</v>
      </c>
      <c r="N25" s="39">
        <f t="shared" si="6"/>
        <v>542.99640535682977</v>
      </c>
      <c r="O25" s="3">
        <f t="shared" si="7"/>
        <v>101262.22762908848</v>
      </c>
      <c r="P25" s="41">
        <f t="shared" si="8"/>
        <v>-3.3764668712425523E-3</v>
      </c>
    </row>
    <row r="26" spans="1:16" x14ac:dyDescent="0.2">
      <c r="A26" s="14">
        <v>45965</v>
      </c>
      <c r="B26" s="21">
        <v>114.14</v>
      </c>
      <c r="C26" s="22">
        <v>0.37999999999999501</v>
      </c>
      <c r="D26" s="11">
        <v>3.3403656821377899E-3</v>
      </c>
      <c r="E26" s="2">
        <f t="shared" si="0"/>
        <v>443.17045557007356</v>
      </c>
      <c r="F26" s="12">
        <f t="shared" si="1"/>
        <v>0.81838433019873669</v>
      </c>
      <c r="G26" s="23">
        <f t="shared" si="2"/>
        <v>50583.475798768195</v>
      </c>
      <c r="H26" s="21">
        <v>514.33000000000004</v>
      </c>
      <c r="I26" s="22">
        <v>-2.69999999999993</v>
      </c>
      <c r="J26" s="11">
        <v>-5.2221341121403602E-3</v>
      </c>
      <c r="K26" s="3">
        <f t="shared" si="3"/>
        <v>98.348289617110012</v>
      </c>
      <c r="L26" s="6">
        <f t="shared" si="4"/>
        <v>0.1816156698012634</v>
      </c>
      <c r="M26" s="35">
        <f t="shared" si="5"/>
        <v>50583.475798768195</v>
      </c>
      <c r="N26" s="39">
        <f t="shared" si="6"/>
        <v>541.51874518718353</v>
      </c>
      <c r="O26" s="3">
        <f t="shared" si="7"/>
        <v>101166.95159753639</v>
      </c>
      <c r="P26" s="41">
        <f t="shared" si="8"/>
        <v>-9.4088421500138379E-4</v>
      </c>
    </row>
    <row r="27" spans="1:16" x14ac:dyDescent="0.2">
      <c r="A27" s="14">
        <v>45966</v>
      </c>
      <c r="B27" s="21">
        <v>113.68</v>
      </c>
      <c r="C27" s="22">
        <v>-0.45999999999999402</v>
      </c>
      <c r="D27" s="11">
        <v>-4.0301384264937196E-3</v>
      </c>
      <c r="E27" s="2">
        <f t="shared" si="0"/>
        <v>440.96558740068383</v>
      </c>
      <c r="F27" s="12">
        <f t="shared" si="1"/>
        <v>0.8168932414148572</v>
      </c>
      <c r="G27" s="23">
        <f t="shared" si="2"/>
        <v>50128.96797570974</v>
      </c>
      <c r="H27" s="21">
        <v>507.16</v>
      </c>
      <c r="I27" s="22">
        <v>-7.1700000000000204</v>
      </c>
      <c r="J27" s="11">
        <v>-1.39404662376296E-2</v>
      </c>
      <c r="K27" s="3">
        <f t="shared" si="3"/>
        <v>98.842511191162032</v>
      </c>
      <c r="L27" s="6">
        <f t="shared" si="4"/>
        <v>0.18310675858514269</v>
      </c>
      <c r="M27" s="35">
        <f t="shared" si="5"/>
        <v>50128.96797570974</v>
      </c>
      <c r="N27" s="39">
        <f t="shared" si="6"/>
        <v>539.80809859184592</v>
      </c>
      <c r="O27" s="3">
        <f t="shared" si="7"/>
        <v>100257.93595141948</v>
      </c>
      <c r="P27" s="41">
        <f t="shared" si="8"/>
        <v>-8.9853023320616322E-3</v>
      </c>
    </row>
    <row r="28" spans="1:16" x14ac:dyDescent="0.2">
      <c r="A28" s="14">
        <v>45967</v>
      </c>
      <c r="B28" s="21">
        <v>114.5</v>
      </c>
      <c r="C28" s="22">
        <v>0.81999999999999296</v>
      </c>
      <c r="D28" s="11">
        <v>7.2132301196339999E-3</v>
      </c>
      <c r="E28" s="2">
        <f t="shared" si="0"/>
        <v>435.04441952185567</v>
      </c>
      <c r="F28" s="12">
        <f t="shared" si="1"/>
        <v>0.81278613472858074</v>
      </c>
      <c r="G28" s="23">
        <f t="shared" si="2"/>
        <v>49812.586035252476</v>
      </c>
      <c r="H28" s="21">
        <v>497.1</v>
      </c>
      <c r="I28" s="22">
        <v>-10.06</v>
      </c>
      <c r="J28" s="11">
        <v>-1.9835949207350701E-2</v>
      </c>
      <c r="K28" s="3">
        <f t="shared" si="3"/>
        <v>100.2063690107674</v>
      </c>
      <c r="L28" s="6">
        <f t="shared" si="4"/>
        <v>0.18721386527141923</v>
      </c>
      <c r="M28" s="35">
        <f t="shared" si="5"/>
        <v>49812.586035252476</v>
      </c>
      <c r="N28" s="39">
        <f t="shared" si="6"/>
        <v>535.25078853262312</v>
      </c>
      <c r="O28" s="3">
        <f t="shared" si="7"/>
        <v>99625.172070504952</v>
      </c>
      <c r="P28" s="41">
        <f t="shared" si="8"/>
        <v>-6.3113595438583272E-3</v>
      </c>
    </row>
    <row r="29" spans="1:16" x14ac:dyDescent="0.2">
      <c r="A29" s="14">
        <v>45968</v>
      </c>
      <c r="B29" s="21">
        <v>117.22</v>
      </c>
      <c r="C29" s="22">
        <v>2.72</v>
      </c>
      <c r="D29" s="11">
        <v>2.3755458515283798E-2</v>
      </c>
      <c r="E29" s="2">
        <f t="shared" si="0"/>
        <v>429.87730382307365</v>
      </c>
      <c r="F29" s="12">
        <f t="shared" si="1"/>
        <v>0.80910038433978237</v>
      </c>
      <c r="G29" s="23">
        <f t="shared" si="2"/>
        <v>50390.21755414069</v>
      </c>
      <c r="H29" s="21">
        <v>496.82</v>
      </c>
      <c r="I29" s="22">
        <v>-0.28000000000003</v>
      </c>
      <c r="J29" s="11">
        <v>-5.6326694830019996E-4</v>
      </c>
      <c r="K29" s="3">
        <f t="shared" si="3"/>
        <v>101.4255012965273</v>
      </c>
      <c r="L29" s="6">
        <f t="shared" si="4"/>
        <v>0.19089961566021757</v>
      </c>
      <c r="M29" s="35">
        <f t="shared" si="5"/>
        <v>50390.21755414069</v>
      </c>
      <c r="N29" s="39">
        <f t="shared" si="6"/>
        <v>531.30280511960098</v>
      </c>
      <c r="O29" s="3">
        <f t="shared" si="7"/>
        <v>100780.43510828138</v>
      </c>
      <c r="P29" s="41">
        <f t="shared" si="8"/>
        <v>1.1596095783491814E-2</v>
      </c>
    </row>
    <row r="30" spans="1:16" x14ac:dyDescent="0.2">
      <c r="A30" s="14">
        <v>45971</v>
      </c>
      <c r="B30" s="21">
        <v>118.22</v>
      </c>
      <c r="C30" s="22">
        <v>1</v>
      </c>
      <c r="D30" s="11">
        <v>8.5309674117044904E-3</v>
      </c>
      <c r="E30" s="2">
        <f t="shared" si="0"/>
        <v>431.99711772122561</v>
      </c>
      <c r="F30" s="12">
        <f t="shared" si="1"/>
        <v>0.81061164333087687</v>
      </c>
      <c r="G30" s="23">
        <f t="shared" si="2"/>
        <v>51070.699257003289</v>
      </c>
      <c r="H30" s="21">
        <v>506</v>
      </c>
      <c r="I30" s="22">
        <v>9.1800000000000104</v>
      </c>
      <c r="J30" s="11">
        <v>1.8477517008172E-2</v>
      </c>
      <c r="K30" s="3">
        <f t="shared" si="3"/>
        <v>100.93023568577725</v>
      </c>
      <c r="L30" s="6">
        <f t="shared" si="4"/>
        <v>0.18938835666912304</v>
      </c>
      <c r="M30" s="35">
        <f t="shared" si="5"/>
        <v>51070.699257003289</v>
      </c>
      <c r="N30" s="39">
        <f t="shared" si="6"/>
        <v>532.9273534070029</v>
      </c>
      <c r="O30" s="3">
        <f t="shared" si="7"/>
        <v>102141.39851400658</v>
      </c>
      <c r="P30" s="41">
        <f t="shared" si="8"/>
        <v>1.3504242209938257E-2</v>
      </c>
    </row>
    <row r="31" spans="1:16" x14ac:dyDescent="0.2">
      <c r="A31" s="14">
        <v>45972</v>
      </c>
      <c r="B31" s="21">
        <v>119.78</v>
      </c>
      <c r="C31" s="22">
        <v>1.56</v>
      </c>
      <c r="D31" s="11">
        <v>1.3195736761969201E-2</v>
      </c>
      <c r="E31" s="2">
        <f t="shared" si="0"/>
        <v>430.31310339493064</v>
      </c>
      <c r="F31" s="12">
        <f t="shared" si="1"/>
        <v>0.80940712217165767</v>
      </c>
      <c r="G31" s="23">
        <f t="shared" si="2"/>
        <v>51542.903524644789</v>
      </c>
      <c r="H31" s="21">
        <v>508.68</v>
      </c>
      <c r="I31" s="22">
        <v>2.6800000000000099</v>
      </c>
      <c r="J31" s="11">
        <v>5.2964426877470496E-3</v>
      </c>
      <c r="K31" s="3">
        <f t="shared" si="3"/>
        <v>101.32677424833842</v>
      </c>
      <c r="L31" s="6">
        <f t="shared" si="4"/>
        <v>0.19059287782834228</v>
      </c>
      <c r="M31" s="35">
        <f t="shared" si="5"/>
        <v>51542.903524644789</v>
      </c>
      <c r="N31" s="39">
        <f t="shared" si="6"/>
        <v>531.63987764326907</v>
      </c>
      <c r="O31" s="3">
        <f t="shared" si="7"/>
        <v>103085.80704928958</v>
      </c>
      <c r="P31" s="41">
        <f t="shared" si="8"/>
        <v>9.2460897248581794E-3</v>
      </c>
    </row>
    <row r="32" spans="1:16" x14ac:dyDescent="0.2">
      <c r="A32" s="14">
        <v>45973</v>
      </c>
      <c r="B32" s="21">
        <v>118.12</v>
      </c>
      <c r="C32" s="22">
        <v>-1.66</v>
      </c>
      <c r="D32" s="11">
        <v>-1.38587410252129E-2</v>
      </c>
      <c r="E32" s="2">
        <f t="shared" si="0"/>
        <v>434.39193685364427</v>
      </c>
      <c r="F32" s="12">
        <f t="shared" si="1"/>
        <v>0.81228744874932457</v>
      </c>
      <c r="G32" s="23">
        <f t="shared" si="2"/>
        <v>51310.375581152461</v>
      </c>
      <c r="H32" s="21">
        <v>511.14</v>
      </c>
      <c r="I32" s="22">
        <v>2.45999999999998</v>
      </c>
      <c r="J32" s="11">
        <v>4.8360462373200803E-3</v>
      </c>
      <c r="K32" s="3">
        <f t="shared" si="3"/>
        <v>100.38419137839431</v>
      </c>
      <c r="L32" s="6">
        <f t="shared" si="4"/>
        <v>0.1877125512506754</v>
      </c>
      <c r="M32" s="35">
        <f t="shared" si="5"/>
        <v>51310.375581152461</v>
      </c>
      <c r="N32" s="39">
        <f t="shared" si="6"/>
        <v>534.77612823203856</v>
      </c>
      <c r="O32" s="3">
        <f t="shared" si="7"/>
        <v>102620.75116230492</v>
      </c>
      <c r="P32" s="41">
        <f t="shared" si="8"/>
        <v>-4.5113473939462382E-3</v>
      </c>
    </row>
    <row r="33" spans="1:16" x14ac:dyDescent="0.2">
      <c r="A33" s="14">
        <v>45974</v>
      </c>
      <c r="B33" s="21">
        <v>118.79</v>
      </c>
      <c r="C33" s="22">
        <v>0.67000000000000204</v>
      </c>
      <c r="D33" s="11">
        <v>5.6721977649847799E-3</v>
      </c>
      <c r="E33" s="2">
        <f t="shared" si="0"/>
        <v>429.85006253757246</v>
      </c>
      <c r="F33" s="12">
        <f t="shared" si="1"/>
        <v>0.80904385288065839</v>
      </c>
      <c r="G33" s="23">
        <f t="shared" si="2"/>
        <v>51061.888928838234</v>
      </c>
      <c r="H33" s="21">
        <v>503.29</v>
      </c>
      <c r="I33" s="22">
        <v>-7.8499999999999703</v>
      </c>
      <c r="J33" s="11">
        <v>-1.5357827601048601E-2</v>
      </c>
      <c r="K33" s="3">
        <f t="shared" si="3"/>
        <v>101.45619608742123</v>
      </c>
      <c r="L33" s="6">
        <f t="shared" si="4"/>
        <v>0.19095614711934156</v>
      </c>
      <c r="M33" s="35">
        <f t="shared" si="5"/>
        <v>51061.888928838234</v>
      </c>
      <c r="N33" s="39">
        <f t="shared" si="6"/>
        <v>531.30625862499369</v>
      </c>
      <c r="O33" s="3">
        <f t="shared" si="7"/>
        <v>102123.77785767647</v>
      </c>
      <c r="P33" s="41">
        <f t="shared" si="8"/>
        <v>-4.84281491803193E-3</v>
      </c>
    </row>
    <row r="34" spans="1:16" x14ac:dyDescent="0.2">
      <c r="A34" s="14">
        <v>45975</v>
      </c>
      <c r="B34" s="21">
        <v>119.29</v>
      </c>
      <c r="C34" s="22">
        <v>0.5</v>
      </c>
      <c r="D34" s="11">
        <v>4.2091085108174097E-3</v>
      </c>
      <c r="E34" s="2">
        <f t="shared" si="0"/>
        <v>431.87918551424087</v>
      </c>
      <c r="F34" s="12">
        <f t="shared" si="1"/>
        <v>0.81049136575214065</v>
      </c>
      <c r="G34" s="23">
        <f t="shared" si="2"/>
        <v>51518.868039993795</v>
      </c>
      <c r="H34" s="21">
        <v>510.18</v>
      </c>
      <c r="I34" s="22">
        <v>6.8899999999999899</v>
      </c>
      <c r="J34" s="11">
        <v>1.3689920324266301E-2</v>
      </c>
      <c r="K34" s="3">
        <f t="shared" si="3"/>
        <v>100.98174769687913</v>
      </c>
      <c r="L34" s="6">
        <f t="shared" si="4"/>
        <v>0.1895086342478593</v>
      </c>
      <c r="M34" s="35">
        <f t="shared" si="5"/>
        <v>51518.868039993795</v>
      </c>
      <c r="N34" s="39">
        <f t="shared" si="6"/>
        <v>532.86093321112003</v>
      </c>
      <c r="O34" s="3">
        <f t="shared" si="7"/>
        <v>103037.73607998759</v>
      </c>
      <c r="P34" s="41">
        <f t="shared" si="8"/>
        <v>8.9495144175418921E-3</v>
      </c>
    </row>
    <row r="35" spans="1:16" x14ac:dyDescent="0.2">
      <c r="A35" s="14">
        <v>45978</v>
      </c>
      <c r="B35" s="21">
        <v>117.68</v>
      </c>
      <c r="C35" s="22">
        <v>-1.61</v>
      </c>
      <c r="D35" s="11">
        <v>-1.34965210830749E-2</v>
      </c>
      <c r="E35" s="2">
        <f t="shared" si="0"/>
        <v>433.67934096705068</v>
      </c>
      <c r="F35" s="12">
        <f t="shared" si="1"/>
        <v>0.81176320040948857</v>
      </c>
      <c r="G35" s="23">
        <f t="shared" si="2"/>
        <v>51035.384845002525</v>
      </c>
      <c r="H35" s="21">
        <v>507.49</v>
      </c>
      <c r="I35" s="22">
        <v>-2.69</v>
      </c>
      <c r="J35" s="11">
        <v>-5.2726488690266098E-3</v>
      </c>
      <c r="K35" s="3">
        <f t="shared" si="3"/>
        <v>100.56431623283714</v>
      </c>
      <c r="L35" s="6">
        <f t="shared" si="4"/>
        <v>0.18823679959051137</v>
      </c>
      <c r="M35" s="35">
        <f t="shared" si="5"/>
        <v>51035.384845002525</v>
      </c>
      <c r="N35" s="39">
        <f t="shared" si="6"/>
        <v>534.24365719988782</v>
      </c>
      <c r="O35" s="3">
        <f t="shared" si="7"/>
        <v>102070.76969000505</v>
      </c>
      <c r="P35" s="41">
        <f t="shared" si="8"/>
        <v>-9.3845849760508006E-3</v>
      </c>
    </row>
    <row r="36" spans="1:16" x14ac:dyDescent="0.2">
      <c r="A36" s="14">
        <v>45979</v>
      </c>
      <c r="B36" s="21">
        <v>119.03</v>
      </c>
      <c r="C36" s="22">
        <v>1.3499999999999901</v>
      </c>
      <c r="D36" s="11">
        <v>1.1471787899388099E-2</v>
      </c>
      <c r="E36" s="2">
        <f t="shared" si="0"/>
        <v>425.43268784306764</v>
      </c>
      <c r="F36" s="12">
        <f t="shared" si="1"/>
        <v>0.80576678306843774</v>
      </c>
      <c r="G36" s="23">
        <f t="shared" si="2"/>
        <v>50639.252833960345</v>
      </c>
      <c r="H36" s="21">
        <v>493.79</v>
      </c>
      <c r="I36" s="22">
        <v>-13.7</v>
      </c>
      <c r="J36" s="11">
        <v>-2.6995605824745299E-2</v>
      </c>
      <c r="K36" s="3">
        <f t="shared" si="3"/>
        <v>102.55220404212386</v>
      </c>
      <c r="L36" s="6">
        <f t="shared" si="4"/>
        <v>0.19423321693156229</v>
      </c>
      <c r="M36" s="35">
        <f t="shared" si="5"/>
        <v>50639.252833960345</v>
      </c>
      <c r="N36" s="39">
        <f t="shared" si="6"/>
        <v>527.98489188519147</v>
      </c>
      <c r="O36" s="3">
        <f t="shared" si="7"/>
        <v>101278.50566792069</v>
      </c>
      <c r="P36" s="41">
        <f t="shared" si="8"/>
        <v>-7.7619089626786691E-3</v>
      </c>
    </row>
    <row r="37" spans="1:16" x14ac:dyDescent="0.2">
      <c r="A37" s="14">
        <v>45980</v>
      </c>
      <c r="B37" s="21">
        <v>117.35</v>
      </c>
      <c r="C37" s="22">
        <v>-1.6800000000000099</v>
      </c>
      <c r="D37" s="11">
        <v>-1.4114088885155101E-2</v>
      </c>
      <c r="E37" s="2">
        <f t="shared" si="0"/>
        <v>425.56350895348686</v>
      </c>
      <c r="F37" s="12">
        <f t="shared" si="1"/>
        <v>0.80586298741045881</v>
      </c>
      <c r="G37" s="23">
        <f t="shared" si="2"/>
        <v>49939.877775691682</v>
      </c>
      <c r="H37" s="21">
        <v>487.12</v>
      </c>
      <c r="I37" s="22">
        <v>-6.6700000000000204</v>
      </c>
      <c r="J37" s="11">
        <v>-1.3507766459426101E-2</v>
      </c>
      <c r="K37" s="3">
        <f t="shared" si="3"/>
        <v>102.52068848680342</v>
      </c>
      <c r="L37" s="6">
        <f t="shared" si="4"/>
        <v>0.19413701258954125</v>
      </c>
      <c r="M37" s="35">
        <f t="shared" si="5"/>
        <v>49939.877775691682</v>
      </c>
      <c r="N37" s="39">
        <f t="shared" si="6"/>
        <v>528.08419744029027</v>
      </c>
      <c r="O37" s="3">
        <f t="shared" si="7"/>
        <v>99879.755551383365</v>
      </c>
      <c r="P37" s="41">
        <f t="shared" si="8"/>
        <v>-1.3810927672290588E-2</v>
      </c>
    </row>
    <row r="38" spans="1:16" x14ac:dyDescent="0.2">
      <c r="A38" s="14">
        <v>45981</v>
      </c>
      <c r="B38" s="21">
        <v>117.02</v>
      </c>
      <c r="C38" s="22">
        <v>-0.32999999999999802</v>
      </c>
      <c r="D38" s="11">
        <v>-2.8121005538985799E-3</v>
      </c>
      <c r="E38" s="2">
        <f t="shared" si="0"/>
        <v>422.35692535668431</v>
      </c>
      <c r="F38" s="12">
        <f t="shared" si="1"/>
        <v>0.80347636241498022</v>
      </c>
      <c r="G38" s="23">
        <f t="shared" si="2"/>
        <v>49424.207405239198</v>
      </c>
      <c r="H38" s="21">
        <v>478.43</v>
      </c>
      <c r="I38" s="22">
        <v>-8.69</v>
      </c>
      <c r="J38" s="11">
        <v>-1.78395467235999E-2</v>
      </c>
      <c r="K38" s="3">
        <f t="shared" si="3"/>
        <v>103.30499217281357</v>
      </c>
      <c r="L38" s="6">
        <f t="shared" si="4"/>
        <v>0.1965236375850197</v>
      </c>
      <c r="M38" s="35">
        <f t="shared" si="5"/>
        <v>49424.207405239198</v>
      </c>
      <c r="N38" s="39">
        <f t="shared" si="6"/>
        <v>525.66191752949794</v>
      </c>
      <c r="O38" s="3">
        <f t="shared" si="7"/>
        <v>98848.414810478396</v>
      </c>
      <c r="P38" s="41">
        <f t="shared" si="8"/>
        <v>-1.0325823638749227E-2</v>
      </c>
    </row>
    <row r="39" spans="1:16" x14ac:dyDescent="0.2">
      <c r="A39" s="14">
        <v>45982</v>
      </c>
      <c r="B39" s="21">
        <v>117.08</v>
      </c>
      <c r="C39" s="22">
        <v>6.0000000000002301E-2</v>
      </c>
      <c r="D39" s="11">
        <v>5.1273286617674102E-4</v>
      </c>
      <c r="E39" s="2">
        <f t="shared" si="0"/>
        <v>419.46490316616564</v>
      </c>
      <c r="F39" s="12">
        <f t="shared" si="1"/>
        <v>0.80128988458927353</v>
      </c>
      <c r="G39" s="23">
        <f t="shared" si="2"/>
        <v>49110.95086269467</v>
      </c>
      <c r="H39" s="21">
        <v>472.12</v>
      </c>
      <c r="I39" s="22">
        <v>-6.31</v>
      </c>
      <c r="J39" s="11">
        <v>-1.3188972263445E-2</v>
      </c>
      <c r="K39" s="3">
        <f t="shared" si="3"/>
        <v>104.0221783925584</v>
      </c>
      <c r="L39" s="6">
        <f t="shared" si="4"/>
        <v>0.19871011541072639</v>
      </c>
      <c r="M39" s="35">
        <f t="shared" si="5"/>
        <v>49110.95086269467</v>
      </c>
      <c r="N39" s="39">
        <f t="shared" si="6"/>
        <v>523.48708155872407</v>
      </c>
      <c r="O39" s="3">
        <f t="shared" si="7"/>
        <v>98221.90172538934</v>
      </c>
      <c r="P39" s="41">
        <f t="shared" si="8"/>
        <v>-6.3381196986341867E-3</v>
      </c>
    </row>
    <row r="40" spans="1:16" x14ac:dyDescent="0.2">
      <c r="A40" s="14">
        <v>45985</v>
      </c>
      <c r="B40" s="21">
        <v>115.97</v>
      </c>
      <c r="C40" s="22">
        <v>-1.1100000000000001</v>
      </c>
      <c r="D40" s="11">
        <v>-9.4806969593440298E-3</v>
      </c>
      <c r="E40" s="2">
        <f t="shared" si="0"/>
        <v>422.31550132902004</v>
      </c>
      <c r="F40" s="12">
        <f t="shared" si="1"/>
        <v>0.80343068291608055</v>
      </c>
      <c r="G40" s="23">
        <f t="shared" si="2"/>
        <v>48975.928689126456</v>
      </c>
      <c r="H40" s="21">
        <v>474</v>
      </c>
      <c r="I40" s="22">
        <v>1.88</v>
      </c>
      <c r="J40" s="11">
        <v>3.9820384647970804E-3</v>
      </c>
      <c r="K40" s="3">
        <f t="shared" si="3"/>
        <v>103.32474406988703</v>
      </c>
      <c r="L40" s="6">
        <f t="shared" si="4"/>
        <v>0.19656931708391953</v>
      </c>
      <c r="M40" s="35">
        <f t="shared" si="5"/>
        <v>48975.928689126456</v>
      </c>
      <c r="N40" s="39">
        <f t="shared" si="6"/>
        <v>525.64024539890704</v>
      </c>
      <c r="O40" s="3">
        <f t="shared" si="7"/>
        <v>97951.857378252913</v>
      </c>
      <c r="P40" s="41">
        <f t="shared" si="8"/>
        <v>-2.749329247273404E-3</v>
      </c>
    </row>
    <row r="41" spans="1:16" x14ac:dyDescent="0.2">
      <c r="A41" s="14">
        <v>45986</v>
      </c>
      <c r="B41" s="21">
        <v>114.51</v>
      </c>
      <c r="C41" s="22">
        <v>-1.45999999999999</v>
      </c>
      <c r="D41" s="11">
        <v>-1.2589462792101399E-2</v>
      </c>
      <c r="E41" s="2">
        <f t="shared" si="0"/>
        <v>426.35672749577111</v>
      </c>
      <c r="F41" s="12">
        <f t="shared" si="1"/>
        <v>0.8064074387151311</v>
      </c>
      <c r="G41" s="23">
        <f t="shared" si="2"/>
        <v>48822.108865540751</v>
      </c>
      <c r="H41" s="21">
        <v>476.99</v>
      </c>
      <c r="I41" s="22">
        <v>2.99000000000001</v>
      </c>
      <c r="J41" s="11">
        <v>6.3080168776371501E-3</v>
      </c>
      <c r="K41" s="3">
        <f t="shared" si="3"/>
        <v>102.35457528573083</v>
      </c>
      <c r="L41" s="6">
        <f t="shared" si="4"/>
        <v>0.19359256128486899</v>
      </c>
      <c r="M41" s="35">
        <f t="shared" si="5"/>
        <v>48822.108865540751</v>
      </c>
      <c r="N41" s="39">
        <f t="shared" si="6"/>
        <v>528.7113027815019</v>
      </c>
      <c r="O41" s="3">
        <f t="shared" si="7"/>
        <v>97644.217731081502</v>
      </c>
      <c r="P41" s="41">
        <f>(O41-O40)/O40</f>
        <v>-3.140722957232174E-3</v>
      </c>
    </row>
    <row r="42" spans="1:16" x14ac:dyDescent="0.2">
      <c r="A42" s="14">
        <v>45987</v>
      </c>
      <c r="B42" s="21">
        <v>114.77</v>
      </c>
      <c r="C42" s="22">
        <v>0.25999999999999102</v>
      </c>
      <c r="D42" s="11">
        <v>2.2705440572874901E-3</v>
      </c>
      <c r="E42" s="2">
        <f t="shared" si="0"/>
        <v>429.6685018555022</v>
      </c>
      <c r="F42" s="12">
        <f t="shared" si="1"/>
        <v>0.80880270544921451</v>
      </c>
      <c r="G42" s="23">
        <f t="shared" si="2"/>
        <v>49313.053957955985</v>
      </c>
      <c r="H42" s="21">
        <v>485.5</v>
      </c>
      <c r="I42" s="22">
        <v>8.5099999999999891</v>
      </c>
      <c r="J42" s="11">
        <v>1.7841044885637002E-2</v>
      </c>
      <c r="K42" s="3">
        <f t="shared" si="3"/>
        <v>101.5716868341009</v>
      </c>
      <c r="L42" s="6">
        <f t="shared" si="4"/>
        <v>0.19119729455078549</v>
      </c>
      <c r="M42" s="35">
        <f t="shared" si="5"/>
        <v>49313.053957955985</v>
      </c>
      <c r="N42" s="39">
        <f t="shared" si="6"/>
        <v>531.24018868960309</v>
      </c>
      <c r="O42" s="3">
        <f t="shared" si="7"/>
        <v>98626.107915911969</v>
      </c>
      <c r="P42" s="41">
        <f t="shared" si="8"/>
        <v>1.0055794471462261E-2</v>
      </c>
    </row>
    <row r="43" spans="1:16" x14ac:dyDescent="0.2">
      <c r="A43" s="14">
        <v>45989</v>
      </c>
      <c r="B43" s="21">
        <v>115.92</v>
      </c>
      <c r="C43" s="22">
        <v>1.1500000000000099</v>
      </c>
      <c r="D43" s="11">
        <v>1.00200400801604E-2</v>
      </c>
      <c r="E43" s="2">
        <f t="shared" si="0"/>
        <v>430.38931320883285</v>
      </c>
      <c r="F43" s="12">
        <f t="shared" si="1"/>
        <v>0.80932015199118323</v>
      </c>
      <c r="G43" s="23">
        <f t="shared" si="2"/>
        <v>49890.729187167904</v>
      </c>
      <c r="H43" s="21">
        <v>492.01</v>
      </c>
      <c r="I43" s="22">
        <v>6.50999999999999</v>
      </c>
      <c r="J43" s="11">
        <v>1.34088568486097E-2</v>
      </c>
      <c r="K43" s="3">
        <f t="shared" si="3"/>
        <v>101.40186009871324</v>
      </c>
      <c r="L43" s="6">
        <f t="shared" si="4"/>
        <v>0.19067984800881682</v>
      </c>
      <c r="M43" s="35">
        <f t="shared" si="5"/>
        <v>49890.729187167904</v>
      </c>
      <c r="N43" s="39">
        <f t="shared" si="6"/>
        <v>531.79117330754605</v>
      </c>
      <c r="O43" s="3">
        <f t="shared" si="7"/>
        <v>99781.458374335809</v>
      </c>
      <c r="P43" s="41">
        <f t="shared" si="8"/>
        <v>1.1714448464385158E-2</v>
      </c>
    </row>
    <row r="44" spans="1:16" x14ac:dyDescent="0.2">
      <c r="A44" s="14">
        <v>45992</v>
      </c>
      <c r="B44" s="21">
        <v>116.63</v>
      </c>
      <c r="C44" s="22">
        <v>0.70999999999999397</v>
      </c>
      <c r="D44" s="11">
        <v>6.1249137336093296E-3</v>
      </c>
      <c r="E44" s="2">
        <f t="shared" si="0"/>
        <v>426.78833483663658</v>
      </c>
      <c r="F44" s="12">
        <f t="shared" si="1"/>
        <v>0.80670235510549082</v>
      </c>
      <c r="G44" s="23">
        <f t="shared" si="2"/>
        <v>49776.323491996925</v>
      </c>
      <c r="H44" s="21">
        <v>486.74</v>
      </c>
      <c r="I44" s="22">
        <v>-5.26999999999998</v>
      </c>
      <c r="J44" s="11">
        <v>-1.07111644072275E-2</v>
      </c>
      <c r="K44" s="3">
        <f t="shared" si="3"/>
        <v>102.26470701400527</v>
      </c>
      <c r="L44" s="6">
        <f t="shared" si="4"/>
        <v>0.19329764489450915</v>
      </c>
      <c r="M44" s="35">
        <f t="shared" si="5"/>
        <v>49776.323491996925</v>
      </c>
      <c r="N44" s="39">
        <f t="shared" si="6"/>
        <v>529.05304185064188</v>
      </c>
      <c r="O44" s="3">
        <f t="shared" si="7"/>
        <v>99552.646983993851</v>
      </c>
      <c r="P44" s="41">
        <f t="shared" si="8"/>
        <v>-2.2931253368091604E-3</v>
      </c>
    </row>
    <row r="45" spans="1:16" x14ac:dyDescent="0.2">
      <c r="A45" s="14">
        <v>45993</v>
      </c>
      <c r="B45" s="21">
        <v>115.38</v>
      </c>
      <c r="C45" s="22">
        <v>-1.25</v>
      </c>
      <c r="D45" s="11">
        <v>-1.07176541198662E-2</v>
      </c>
      <c r="E45" s="2">
        <f t="shared" si="0"/>
        <v>430.5449146746131</v>
      </c>
      <c r="F45" s="12">
        <f t="shared" si="1"/>
        <v>0.80940896626912029</v>
      </c>
      <c r="G45" s="23">
        <f t="shared" si="2"/>
        <v>49676.272255156859</v>
      </c>
      <c r="H45" s="21">
        <v>490</v>
      </c>
      <c r="I45" s="22">
        <v>3.25999999999999</v>
      </c>
      <c r="J45" s="11">
        <v>6.6976209064387397E-3</v>
      </c>
      <c r="K45" s="3">
        <f t="shared" si="3"/>
        <v>101.38014745950379</v>
      </c>
      <c r="L45" s="6">
        <f t="shared" si="4"/>
        <v>0.19059103373087979</v>
      </c>
      <c r="M45" s="35">
        <f t="shared" si="5"/>
        <v>49676.272255156859</v>
      </c>
      <c r="N45" s="39">
        <f t="shared" si="6"/>
        <v>531.92506213411684</v>
      </c>
      <c r="O45" s="3">
        <f t="shared" si="7"/>
        <v>99352.544510313717</v>
      </c>
      <c r="P45" s="41">
        <f t="shared" si="8"/>
        <v>-2.0100166067136952E-3</v>
      </c>
    </row>
    <row r="46" spans="1:16" x14ac:dyDescent="0.2">
      <c r="A46" s="14">
        <v>45994</v>
      </c>
      <c r="B46" s="21">
        <v>117.8</v>
      </c>
      <c r="C46" s="22">
        <v>2.42</v>
      </c>
      <c r="D46" s="11">
        <v>2.0974172300225399E-2</v>
      </c>
      <c r="E46" s="2">
        <f t="shared" si="0"/>
        <v>420.84265192910937</v>
      </c>
      <c r="F46" s="12">
        <f t="shared" si="1"/>
        <v>0.80219300455056841</v>
      </c>
      <c r="G46" s="23">
        <f t="shared" si="2"/>
        <v>49575.264397249084</v>
      </c>
      <c r="H46" s="21">
        <v>477.73</v>
      </c>
      <c r="I46" s="22">
        <v>-12.27</v>
      </c>
      <c r="J46" s="11">
        <v>-2.5040816326530602E-2</v>
      </c>
      <c r="K46" s="3">
        <f t="shared" si="3"/>
        <v>103.77255855242309</v>
      </c>
      <c r="L46" s="6">
        <f t="shared" si="4"/>
        <v>0.19780699544943159</v>
      </c>
      <c r="M46" s="35">
        <f t="shared" si="5"/>
        <v>49575.264397249084</v>
      </c>
      <c r="N46" s="39">
        <f t="shared" si="6"/>
        <v>524.61521048153247</v>
      </c>
      <c r="O46" s="3">
        <f t="shared" si="7"/>
        <v>99150.528794498168</v>
      </c>
      <c r="P46" s="41">
        <f t="shared" si="8"/>
        <v>-2.0333220131526454E-3</v>
      </c>
    </row>
    <row r="47" spans="1:16" x14ac:dyDescent="0.2">
      <c r="A47" s="14">
        <v>45995</v>
      </c>
      <c r="B47" s="21">
        <v>117.14</v>
      </c>
      <c r="C47" s="22">
        <v>-0.65999999999999703</v>
      </c>
      <c r="D47" s="11">
        <v>-5.6027164685907996E-3</v>
      </c>
      <c r="E47" s="2">
        <f t="shared" si="0"/>
        <v>423.40577642702317</v>
      </c>
      <c r="F47" s="12">
        <f t="shared" si="1"/>
        <v>0.80410716077460787</v>
      </c>
      <c r="G47" s="23">
        <f t="shared" si="2"/>
        <v>49597.752650661496</v>
      </c>
      <c r="H47" s="21">
        <v>480.84</v>
      </c>
      <c r="I47" s="22">
        <v>3.1099999999999599</v>
      </c>
      <c r="J47" s="11">
        <v>6.5099533209133998E-3</v>
      </c>
      <c r="K47" s="3">
        <f t="shared" si="3"/>
        <v>103.14814210685779</v>
      </c>
      <c r="L47" s="6">
        <f t="shared" si="4"/>
        <v>0.19589283922539216</v>
      </c>
      <c r="M47" s="35">
        <f t="shared" si="5"/>
        <v>49597.752650661496</v>
      </c>
      <c r="N47" s="39">
        <f t="shared" si="6"/>
        <v>526.55391853388096</v>
      </c>
      <c r="O47" s="3">
        <f t="shared" si="7"/>
        <v>99195.505301322992</v>
      </c>
      <c r="P47" s="41">
        <f t="shared" si="8"/>
        <v>4.536184261613255E-4</v>
      </c>
    </row>
    <row r="48" spans="1:16" x14ac:dyDescent="0.2">
      <c r="A48" s="14">
        <v>45996</v>
      </c>
      <c r="B48" s="21">
        <v>116.54</v>
      </c>
      <c r="C48" s="22">
        <v>-0.59999999999999398</v>
      </c>
      <c r="D48" s="11">
        <v>-5.12207614819869E-3</v>
      </c>
      <c r="E48" s="2">
        <f t="shared" si="0"/>
        <v>425.52241944892171</v>
      </c>
      <c r="F48" s="12">
        <f t="shared" si="1"/>
        <v>0.80566950141737537</v>
      </c>
      <c r="G48" s="23">
        <f t="shared" si="2"/>
        <v>49590.382762577341</v>
      </c>
      <c r="H48" s="21">
        <v>483.16</v>
      </c>
      <c r="I48" s="22">
        <v>2.32000000000005</v>
      </c>
      <c r="J48" s="11">
        <v>4.8248897762250397E-3</v>
      </c>
      <c r="K48" s="3">
        <f t="shared" si="3"/>
        <v>102.6375998894307</v>
      </c>
      <c r="L48" s="6">
        <f t="shared" si="4"/>
        <v>0.19433049858262466</v>
      </c>
      <c r="M48" s="35">
        <f t="shared" si="5"/>
        <v>49590.382762577341</v>
      </c>
      <c r="N48" s="39">
        <f t="shared" si="6"/>
        <v>528.16001933835241</v>
      </c>
      <c r="O48" s="3">
        <f t="shared" si="7"/>
        <v>99180.765525154682</v>
      </c>
      <c r="P48" s="41">
        <f t="shared" si="8"/>
        <v>-1.485931859869565E-4</v>
      </c>
    </row>
    <row r="49" spans="1:16" x14ac:dyDescent="0.2">
      <c r="A49" s="14">
        <v>45999</v>
      </c>
      <c r="B49" s="21">
        <v>115.98</v>
      </c>
      <c r="C49" s="22">
        <v>-0.56000000000000205</v>
      </c>
      <c r="D49" s="11">
        <v>-4.8052170928436803E-3</v>
      </c>
      <c r="E49" s="2">
        <f t="shared" si="0"/>
        <v>430.02761038711077</v>
      </c>
      <c r="F49" s="12">
        <f t="shared" si="1"/>
        <v>0.80892915980230651</v>
      </c>
      <c r="G49" s="23">
        <f t="shared" si="2"/>
        <v>49874.602252697106</v>
      </c>
      <c r="H49" s="21">
        <v>491.02</v>
      </c>
      <c r="I49" s="22">
        <v>7.8599999999999604</v>
      </c>
      <c r="J49" s="11">
        <v>1.62679029721002E-2</v>
      </c>
      <c r="K49" s="3">
        <f t="shared" si="3"/>
        <v>101.57346391734981</v>
      </c>
      <c r="L49" s="6">
        <f t="shared" si="4"/>
        <v>0.19107084019769358</v>
      </c>
      <c r="M49" s="35">
        <f t="shared" si="5"/>
        <v>49874.602252697106</v>
      </c>
      <c r="N49" s="39">
        <f t="shared" si="6"/>
        <v>531.60107430446055</v>
      </c>
      <c r="O49" s="3">
        <f t="shared" si="7"/>
        <v>99749.204505394213</v>
      </c>
      <c r="P49" s="41">
        <f t="shared" si="8"/>
        <v>5.7313429396283564E-3</v>
      </c>
    </row>
    <row r="50" spans="1:16" x14ac:dyDescent="0.2">
      <c r="A50" s="14">
        <v>46000</v>
      </c>
      <c r="B50" s="21">
        <v>118.25</v>
      </c>
      <c r="C50" s="22">
        <v>2.27</v>
      </c>
      <c r="D50" s="11">
        <v>1.9572340058630799E-2</v>
      </c>
      <c r="E50" s="2">
        <f t="shared" si="0"/>
        <v>426.32955875217885</v>
      </c>
      <c r="F50" s="12">
        <f t="shared" si="1"/>
        <v>0.80623330656922332</v>
      </c>
      <c r="G50" s="23">
        <f t="shared" si="2"/>
        <v>50413.470322445151</v>
      </c>
      <c r="H50" s="21">
        <v>492.02</v>
      </c>
      <c r="I50" s="22">
        <v>1</v>
      </c>
      <c r="J50" s="11">
        <v>2.0365769215103299E-3</v>
      </c>
      <c r="K50" s="3">
        <f t="shared" si="3"/>
        <v>102.46223796277621</v>
      </c>
      <c r="L50" s="6">
        <f t="shared" si="4"/>
        <v>0.19376669343077654</v>
      </c>
      <c r="M50" s="35">
        <f t="shared" si="5"/>
        <v>50413.470322445151</v>
      </c>
      <c r="N50" s="39">
        <f t="shared" si="6"/>
        <v>528.79179671495513</v>
      </c>
      <c r="O50" s="3">
        <f t="shared" si="7"/>
        <v>100826.9406448903</v>
      </c>
      <c r="P50" s="41">
        <f t="shared" si="8"/>
        <v>1.0804458490070548E-2</v>
      </c>
    </row>
    <row r="51" spans="1:16" x14ac:dyDescent="0.2">
      <c r="A51" s="14">
        <v>46001</v>
      </c>
      <c r="B51" s="21">
        <v>119.54</v>
      </c>
      <c r="C51" s="22">
        <v>1.29000000000001</v>
      </c>
      <c r="D51" s="11">
        <v>1.0909090909091E-2</v>
      </c>
      <c r="E51" s="2">
        <f t="shared" si="0"/>
        <v>418.26068283713255</v>
      </c>
      <c r="F51" s="12">
        <f t="shared" si="1"/>
        <v>0.80013375689684008</v>
      </c>
      <c r="G51" s="23">
        <f t="shared" si="2"/>
        <v>49998.882026350824</v>
      </c>
      <c r="H51" s="21">
        <v>478.56</v>
      </c>
      <c r="I51" s="22">
        <v>-13.46</v>
      </c>
      <c r="J51" s="11">
        <v>-2.73566115198569E-2</v>
      </c>
      <c r="K51" s="3">
        <f t="shared" si="3"/>
        <v>104.47777086750006</v>
      </c>
      <c r="L51" s="6">
        <f t="shared" si="4"/>
        <v>0.19986624310316004</v>
      </c>
      <c r="M51" s="35">
        <f t="shared" si="5"/>
        <v>49998.882026350824</v>
      </c>
      <c r="N51" s="39">
        <f t="shared" si="6"/>
        <v>522.73845370463255</v>
      </c>
      <c r="O51" s="3">
        <f t="shared" si="7"/>
        <v>99997.764052701648</v>
      </c>
      <c r="P51" s="41">
        <f t="shared" si="8"/>
        <v>-8.2237603053829777E-3</v>
      </c>
    </row>
    <row r="52" spans="1:16" x14ac:dyDescent="0.2">
      <c r="A52" s="14">
        <v>46002</v>
      </c>
      <c r="B52" s="21">
        <v>119.54</v>
      </c>
      <c r="C52" s="22">
        <v>0</v>
      </c>
      <c r="D52" s="11">
        <v>0</v>
      </c>
      <c r="E52" s="2">
        <f t="shared" si="0"/>
        <v>420.40634895290731</v>
      </c>
      <c r="F52" s="12">
        <f t="shared" si="1"/>
        <v>0.8017611648231372</v>
      </c>
      <c r="G52" s="23">
        <f t="shared" si="2"/>
        <v>50255.374953830542</v>
      </c>
      <c r="H52" s="21">
        <v>483.47</v>
      </c>
      <c r="I52" s="22">
        <v>4.9100000000000303</v>
      </c>
      <c r="J52" s="11">
        <v>1.0259946506185299E-2</v>
      </c>
      <c r="K52" s="3">
        <f t="shared" si="3"/>
        <v>103.94724585564883</v>
      </c>
      <c r="L52" s="6">
        <f t="shared" si="4"/>
        <v>0.19823883517686272</v>
      </c>
      <c r="M52" s="35">
        <f t="shared" si="5"/>
        <v>50255.374953830542</v>
      </c>
      <c r="N52" s="39">
        <f t="shared" si="6"/>
        <v>524.35359480855618</v>
      </c>
      <c r="O52" s="3">
        <f t="shared" si="7"/>
        <v>100510.74990766108</v>
      </c>
      <c r="P52" s="41">
        <f t="shared" si="8"/>
        <v>5.1299732530927138E-3</v>
      </c>
    </row>
    <row r="53" spans="1:16" x14ac:dyDescent="0.2">
      <c r="A53" s="14">
        <v>46003</v>
      </c>
      <c r="B53" s="21">
        <v>118.82</v>
      </c>
      <c r="C53" s="22">
        <v>-0.72000000000001296</v>
      </c>
      <c r="D53" s="11">
        <v>-6.0230885059395396E-3</v>
      </c>
      <c r="E53" s="2">
        <f t="shared" si="0"/>
        <v>419.51926418905947</v>
      </c>
      <c r="F53" s="12">
        <f t="shared" si="1"/>
        <v>0.80108813928182809</v>
      </c>
      <c r="G53" s="23">
        <f t="shared" si="2"/>
        <v>49847.27897094404</v>
      </c>
      <c r="H53" s="21">
        <v>478.53</v>
      </c>
      <c r="I53" s="22">
        <v>-4.9400000000000501</v>
      </c>
      <c r="J53" s="11">
        <v>-1.0217800484001199E-2</v>
      </c>
      <c r="K53" s="3">
        <f t="shared" si="3"/>
        <v>104.16751085813647</v>
      </c>
      <c r="L53" s="6">
        <f t="shared" si="4"/>
        <v>0.19891186071817191</v>
      </c>
      <c r="M53" s="35">
        <f t="shared" si="5"/>
        <v>49847.27897094404</v>
      </c>
      <c r="N53" s="39">
        <f t="shared" si="6"/>
        <v>523.68677504719597</v>
      </c>
      <c r="O53" s="3">
        <f t="shared" si="7"/>
        <v>99694.557941888081</v>
      </c>
      <c r="P53" s="41">
        <f t="shared" si="8"/>
        <v>-8.1204444949703018E-3</v>
      </c>
    </row>
    <row r="54" spans="1:16" x14ac:dyDescent="0.2">
      <c r="A54" s="14">
        <v>46006</v>
      </c>
      <c r="B54" s="21">
        <v>117.76</v>
      </c>
      <c r="C54" s="22">
        <v>-1.0599999999999901</v>
      </c>
      <c r="D54" s="11">
        <v>-8.9210570611007196E-3</v>
      </c>
      <c r="E54" s="2">
        <f t="shared" si="0"/>
        <v>419.76649990049253</v>
      </c>
      <c r="F54" s="12">
        <f t="shared" si="1"/>
        <v>0.80127577711026365</v>
      </c>
      <c r="G54" s="23">
        <f t="shared" si="2"/>
        <v>49431.703028282005</v>
      </c>
      <c r="H54" s="21">
        <v>474.82</v>
      </c>
      <c r="I54" s="22">
        <v>-3.70999999999998</v>
      </c>
      <c r="J54" s="11">
        <v>-7.7529099533989098E-3</v>
      </c>
      <c r="K54" s="3">
        <f t="shared" si="3"/>
        <v>104.10619398568301</v>
      </c>
      <c r="L54" s="6">
        <f t="shared" si="4"/>
        <v>0.19872422288973643</v>
      </c>
      <c r="M54" s="35">
        <f t="shared" si="5"/>
        <v>49431.703028282005</v>
      </c>
      <c r="N54" s="39">
        <f t="shared" si="6"/>
        <v>523.87269388617551</v>
      </c>
      <c r="O54" s="3">
        <f t="shared" si="7"/>
        <v>98863.40605656401</v>
      </c>
      <c r="P54" s="41">
        <f t="shared" si="8"/>
        <v>-8.3369835072496998E-3</v>
      </c>
    </row>
    <row r="55" spans="1:16" x14ac:dyDescent="0.2">
      <c r="A55" s="14">
        <v>46007</v>
      </c>
      <c r="B55" s="21">
        <v>114.68</v>
      </c>
      <c r="C55" s="22">
        <v>-3.08</v>
      </c>
      <c r="D55" s="11">
        <v>-2.61548913043478E-2</v>
      </c>
      <c r="E55" s="2">
        <f t="shared" si="0"/>
        <v>426.11602703796649</v>
      </c>
      <c r="F55" s="12">
        <f t="shared" si="1"/>
        <v>0.80597898726039219</v>
      </c>
      <c r="G55" s="23">
        <f t="shared" si="2"/>
        <v>48866.985980714002</v>
      </c>
      <c r="H55" s="21">
        <v>476.39</v>
      </c>
      <c r="I55" s="22">
        <v>1.5699999999999901</v>
      </c>
      <c r="J55" s="11">
        <v>3.3065161534897298E-3</v>
      </c>
      <c r="K55" s="3">
        <f t="shared" si="3"/>
        <v>102.5776905071769</v>
      </c>
      <c r="L55" s="6">
        <f t="shared" si="4"/>
        <v>0.19402101273960784</v>
      </c>
      <c r="M55" s="35">
        <f t="shared" si="5"/>
        <v>48866.985980714002</v>
      </c>
      <c r="N55" s="39">
        <f t="shared" si="6"/>
        <v>528.69371754514339</v>
      </c>
      <c r="O55" s="3">
        <f t="shared" si="7"/>
        <v>97733.971961428004</v>
      </c>
      <c r="P55" s="41">
        <f t="shared" si="8"/>
        <v>-1.1424187575429158E-2</v>
      </c>
    </row>
    <row r="56" spans="1:16" x14ac:dyDescent="0.2">
      <c r="A56" s="14">
        <v>46008</v>
      </c>
      <c r="B56" s="21">
        <v>117.41</v>
      </c>
      <c r="C56" s="22">
        <v>2.7299999999999902</v>
      </c>
      <c r="D56" s="11">
        <v>2.3805371468433801E-2</v>
      </c>
      <c r="E56" s="2">
        <f t="shared" si="0"/>
        <v>421.04408797719407</v>
      </c>
      <c r="F56" s="12">
        <f t="shared" si="1"/>
        <v>0.80218354590332419</v>
      </c>
      <c r="G56" s="23">
        <f t="shared" si="2"/>
        <v>49434.786369402354</v>
      </c>
      <c r="H56" s="21">
        <v>476.12</v>
      </c>
      <c r="I56" s="22">
        <v>-0.26999999999998198</v>
      </c>
      <c r="J56" s="11">
        <v>-5.6676252650135798E-4</v>
      </c>
      <c r="K56" s="3">
        <f t="shared" si="3"/>
        <v>103.82841798160622</v>
      </c>
      <c r="L56" s="6">
        <f t="shared" si="4"/>
        <v>0.19781645409667584</v>
      </c>
      <c r="M56" s="35">
        <f t="shared" si="5"/>
        <v>49434.786369402354</v>
      </c>
      <c r="N56" s="39">
        <f t="shared" si="6"/>
        <v>524.87250595880028</v>
      </c>
      <c r="O56" s="3">
        <f t="shared" si="7"/>
        <v>98869.572738804709</v>
      </c>
      <c r="P56" s="41">
        <f t="shared" si="8"/>
        <v>1.1619304470966194E-2</v>
      </c>
    </row>
    <row r="57" spans="1:16" x14ac:dyDescent="0.2">
      <c r="A57" s="14">
        <v>46009</v>
      </c>
      <c r="B57" s="21">
        <v>116.54</v>
      </c>
      <c r="C57" s="22">
        <v>-0.86999999999999</v>
      </c>
      <c r="D57" s="11">
        <v>-7.40993101098706E-3</v>
      </c>
      <c r="E57" s="2">
        <f t="shared" si="0"/>
        <v>426.11702311481025</v>
      </c>
      <c r="F57" s="12">
        <f t="shared" si="1"/>
        <v>0.80593485645773666</v>
      </c>
      <c r="G57" s="23">
        <f t="shared" si="2"/>
        <v>49659.677873799992</v>
      </c>
      <c r="H57" s="21">
        <v>483.98</v>
      </c>
      <c r="I57" s="22">
        <v>7.8600000000000101</v>
      </c>
      <c r="J57" s="11">
        <v>1.6508443249601001E-2</v>
      </c>
      <c r="K57" s="3">
        <f t="shared" si="3"/>
        <v>102.60688018885075</v>
      </c>
      <c r="L57" s="6">
        <f t="shared" si="4"/>
        <v>0.19406514354226337</v>
      </c>
      <c r="M57" s="35">
        <f t="shared" si="5"/>
        <v>49659.677873799992</v>
      </c>
      <c r="N57" s="39">
        <f t="shared" si="6"/>
        <v>528.72390330366102</v>
      </c>
      <c r="O57" s="3">
        <f t="shared" si="7"/>
        <v>99319.355747599984</v>
      </c>
      <c r="P57" s="41">
        <f t="shared" si="8"/>
        <v>4.5492561193069938E-3</v>
      </c>
    </row>
    <row r="58" spans="1:16" x14ac:dyDescent="0.2">
      <c r="A58" s="14">
        <v>46010</v>
      </c>
      <c r="B58" s="21">
        <v>116.69</v>
      </c>
      <c r="C58" s="22">
        <v>0.149999999999991</v>
      </c>
      <c r="D58" s="11">
        <v>1.2871117212973401E-3</v>
      </c>
      <c r="E58" s="2">
        <f t="shared" si="0"/>
        <v>426.69607785000244</v>
      </c>
      <c r="F58" s="12">
        <f t="shared" si="1"/>
        <v>0.80635900499493862</v>
      </c>
      <c r="G58" s="23">
        <f t="shared" si="2"/>
        <v>49791.165324316782</v>
      </c>
      <c r="H58" s="21">
        <v>485.92</v>
      </c>
      <c r="I58" s="22">
        <v>1.94</v>
      </c>
      <c r="J58" s="11">
        <v>4.0084301004173701E-3</v>
      </c>
      <c r="K58" s="3">
        <f t="shared" si="3"/>
        <v>102.46782458906154</v>
      </c>
      <c r="L58" s="6">
        <f t="shared" si="4"/>
        <v>0.19364099500506129</v>
      </c>
      <c r="M58" s="35">
        <f t="shared" si="5"/>
        <v>49791.165324316782</v>
      </c>
      <c r="N58" s="39">
        <f t="shared" si="6"/>
        <v>529.16390243906403</v>
      </c>
      <c r="O58" s="3">
        <f t="shared" si="7"/>
        <v>99582.330648633564</v>
      </c>
      <c r="P58" s="41">
        <f t="shared" si="8"/>
        <v>2.6477709108572692E-3</v>
      </c>
    </row>
    <row r="59" spans="1:16" x14ac:dyDescent="0.2">
      <c r="A59" s="14">
        <v>46013</v>
      </c>
      <c r="B59" s="21">
        <v>118.15</v>
      </c>
      <c r="C59" s="22">
        <v>1.46000000000001</v>
      </c>
      <c r="D59" s="11">
        <v>1.25117833576143E-2</v>
      </c>
      <c r="E59" s="2">
        <f t="shared" si="0"/>
        <v>423.62606473849132</v>
      </c>
      <c r="F59" s="12">
        <f t="shared" si="1"/>
        <v>0.8040857611885851</v>
      </c>
      <c r="G59" s="23">
        <f t="shared" si="2"/>
        <v>50051.419548852755</v>
      </c>
      <c r="H59" s="21">
        <v>484.92</v>
      </c>
      <c r="I59" s="22">
        <v>-1</v>
      </c>
      <c r="J59" s="11">
        <v>-2.057951926243E-3</v>
      </c>
      <c r="K59" s="3">
        <f t="shared" si="3"/>
        <v>103.21582848480729</v>
      </c>
      <c r="L59" s="6">
        <f t="shared" si="4"/>
        <v>0.19591423881141493</v>
      </c>
      <c r="M59" s="35">
        <f t="shared" si="5"/>
        <v>50051.419548852755</v>
      </c>
      <c r="N59" s="39">
        <f t="shared" si="6"/>
        <v>526.8418932232986</v>
      </c>
      <c r="O59" s="3">
        <f t="shared" si="7"/>
        <v>100102.83909770551</v>
      </c>
      <c r="P59" s="41">
        <f t="shared" si="8"/>
        <v>5.2269157156856292E-3</v>
      </c>
    </row>
    <row r="60" spans="1:16" x14ac:dyDescent="0.2">
      <c r="A60" s="14">
        <v>46014</v>
      </c>
      <c r="B60" s="21">
        <v>119.42</v>
      </c>
      <c r="C60" s="22">
        <v>1.27</v>
      </c>
      <c r="D60" s="11">
        <v>1.0749047820566999E-2</v>
      </c>
      <c r="E60" s="2">
        <f t="shared" si="0"/>
        <v>422.20754793543404</v>
      </c>
      <c r="F60" s="12">
        <f t="shared" si="1"/>
        <v>0.80302505484355147</v>
      </c>
      <c r="G60" s="23">
        <f t="shared" si="2"/>
        <v>50420.025374449535</v>
      </c>
      <c r="H60" s="21">
        <v>486.85</v>
      </c>
      <c r="I60" s="22">
        <v>1.9300000000000099</v>
      </c>
      <c r="J60" s="11">
        <v>3.9800379444032098E-3</v>
      </c>
      <c r="K60" s="3">
        <f t="shared" si="3"/>
        <v>103.56377811327829</v>
      </c>
      <c r="L60" s="6">
        <f t="shared" si="4"/>
        <v>0.19697494515644845</v>
      </c>
      <c r="M60" s="35">
        <f t="shared" si="5"/>
        <v>50420.025374449535</v>
      </c>
      <c r="N60" s="39">
        <f t="shared" si="6"/>
        <v>525.77132604871235</v>
      </c>
      <c r="O60" s="3">
        <f t="shared" si="7"/>
        <v>100840.05074889907</v>
      </c>
      <c r="P60" s="41">
        <f t="shared" si="8"/>
        <v>7.3645428824851179E-3</v>
      </c>
    </row>
    <row r="61" spans="1:16" x14ac:dyDescent="0.2">
      <c r="A61" s="14">
        <v>46015</v>
      </c>
      <c r="B61" s="21">
        <v>119.22</v>
      </c>
      <c r="C61" s="22">
        <v>-0.20000000000000301</v>
      </c>
      <c r="D61" s="11">
        <v>-1.67476134650815E-3</v>
      </c>
      <c r="E61" s="2">
        <f t="shared" si="0"/>
        <v>423.06986604472621</v>
      </c>
      <c r="F61" s="12">
        <f t="shared" si="1"/>
        <v>0.803669060009222</v>
      </c>
      <c r="G61" s="23">
        <f t="shared" si="2"/>
        <v>50438.389429852257</v>
      </c>
      <c r="H61" s="21">
        <v>488.02</v>
      </c>
      <c r="I61" s="22">
        <v>1.16999999999996</v>
      </c>
      <c r="J61" s="11">
        <v>2.40320427236307E-3</v>
      </c>
      <c r="K61" s="3">
        <f t="shared" si="3"/>
        <v>103.35311960545113</v>
      </c>
      <c r="L61" s="6">
        <f t="shared" si="4"/>
        <v>0.19633093999077794</v>
      </c>
      <c r="M61" s="35">
        <f t="shared" si="5"/>
        <v>50438.389429852257</v>
      </c>
      <c r="N61" s="39">
        <f t="shared" si="6"/>
        <v>526.42298565017734</v>
      </c>
      <c r="O61" s="3">
        <f t="shared" si="7"/>
        <v>100876.77885970451</v>
      </c>
      <c r="P61" s="41">
        <f t="shared" si="8"/>
        <v>3.6422146292747545E-4</v>
      </c>
    </row>
    <row r="62" spans="1:16" x14ac:dyDescent="0.2">
      <c r="A62" s="14">
        <v>46017</v>
      </c>
      <c r="B62" s="21">
        <v>119.11</v>
      </c>
      <c r="C62" s="22">
        <v>-0.109999999999999</v>
      </c>
      <c r="D62" s="11">
        <v>-9.2266398255325805E-4</v>
      </c>
      <c r="E62" s="2">
        <f t="shared" si="0"/>
        <v>423.13072667014484</v>
      </c>
      <c r="F62" s="12">
        <f t="shared" si="1"/>
        <v>0.80371444579941331</v>
      </c>
      <c r="G62" s="23">
        <f t="shared" si="2"/>
        <v>50399.100853680953</v>
      </c>
      <c r="H62" s="21">
        <v>487.71</v>
      </c>
      <c r="I62" s="22">
        <v>-0.310000000000002</v>
      </c>
      <c r="J62" s="11">
        <v>-6.3521986803820004E-4</v>
      </c>
      <c r="K62" s="3">
        <f t="shared" si="3"/>
        <v>103.33825604084591</v>
      </c>
      <c r="L62" s="6">
        <f t="shared" si="4"/>
        <v>0.19628555420058669</v>
      </c>
      <c r="M62" s="35">
        <f t="shared" si="5"/>
        <v>50399.100853680953</v>
      </c>
      <c r="N62" s="39">
        <f t="shared" si="6"/>
        <v>526.46898271099076</v>
      </c>
      <c r="O62" s="3">
        <f t="shared" si="7"/>
        <v>100798.20170736191</v>
      </c>
      <c r="P62" s="41">
        <f t="shared" si="8"/>
        <v>-7.7894192529571495E-4</v>
      </c>
    </row>
    <row r="63" spans="1:16" x14ac:dyDescent="0.2">
      <c r="A63" s="14">
        <v>46020</v>
      </c>
      <c r="B63" s="21">
        <v>120.53</v>
      </c>
      <c r="C63" s="22">
        <v>1.42</v>
      </c>
      <c r="D63" s="11">
        <v>1.1921753001427299E-2</v>
      </c>
      <c r="E63" s="2">
        <f t="shared" si="0"/>
        <v>420.37671535322573</v>
      </c>
      <c r="F63" s="12">
        <f t="shared" si="1"/>
        <v>0.80163915540707331</v>
      </c>
      <c r="G63" s="23">
        <f t="shared" si="2"/>
        <v>50668.005501524298</v>
      </c>
      <c r="H63" s="21">
        <v>487.1</v>
      </c>
      <c r="I63" s="22">
        <v>-0.60999999999995702</v>
      </c>
      <c r="J63" s="11">
        <v>-1.25074326956584E-3</v>
      </c>
      <c r="K63" s="3">
        <f t="shared" si="3"/>
        <v>104.01971977319708</v>
      </c>
      <c r="L63" s="6">
        <f t="shared" si="4"/>
        <v>0.19836084459292661</v>
      </c>
      <c r="M63" s="35">
        <f t="shared" si="5"/>
        <v>50668.005501524298</v>
      </c>
      <c r="N63" s="39">
        <f t="shared" si="6"/>
        <v>524.39643512642283</v>
      </c>
      <c r="O63" s="3">
        <f t="shared" si="7"/>
        <v>101336.0110030486</v>
      </c>
      <c r="P63" s="41">
        <f t="shared" si="8"/>
        <v>5.3355048659306584E-3</v>
      </c>
    </row>
    <row r="64" spans="1:16" x14ac:dyDescent="0.2">
      <c r="A64" s="14">
        <v>46021</v>
      </c>
      <c r="B64" s="21">
        <v>120.99</v>
      </c>
      <c r="C64" s="22">
        <v>0.45999999999999402</v>
      </c>
      <c r="D64" s="11">
        <v>3.8164772255869402E-3</v>
      </c>
      <c r="E64" s="2">
        <f t="shared" si="0"/>
        <v>419.74093638162202</v>
      </c>
      <c r="F64" s="12">
        <f t="shared" si="1"/>
        <v>0.80115700034512793</v>
      </c>
      <c r="G64" s="23">
        <f t="shared" si="2"/>
        <v>50784.455892812446</v>
      </c>
      <c r="H64" s="21">
        <v>487.48</v>
      </c>
      <c r="I64" s="22">
        <v>0.37999999999999501</v>
      </c>
      <c r="J64" s="11">
        <v>7.80127283925263E-4</v>
      </c>
      <c r="K64" s="3">
        <f t="shared" si="3"/>
        <v>104.17751680645861</v>
      </c>
      <c r="L64" s="6">
        <f t="shared" si="4"/>
        <v>0.19884299965487204</v>
      </c>
      <c r="M64" s="35">
        <f t="shared" si="5"/>
        <v>50784.455892812446</v>
      </c>
      <c r="N64" s="39">
        <f t="shared" si="6"/>
        <v>523.91845318808066</v>
      </c>
      <c r="O64" s="3">
        <f t="shared" si="7"/>
        <v>101568.91178562489</v>
      </c>
      <c r="P64" s="41">
        <f t="shared" si="8"/>
        <v>2.2983022547561093E-3</v>
      </c>
    </row>
    <row r="65" spans="1:16" x14ac:dyDescent="0.2">
      <c r="A65" s="14">
        <v>46022</v>
      </c>
      <c r="B65" s="21">
        <v>120.34</v>
      </c>
      <c r="C65" s="22">
        <v>-0.64999999999999103</v>
      </c>
      <c r="D65" s="11">
        <v>-5.3723448218860404E-3</v>
      </c>
      <c r="E65" s="2">
        <f t="shared" si="0"/>
        <v>419.2037350926704</v>
      </c>
      <c r="F65" s="12">
        <f t="shared" si="1"/>
        <v>0.80074839393337305</v>
      </c>
      <c r="G65" s="23">
        <f t="shared" si="2"/>
        <v>50446.977481051959</v>
      </c>
      <c r="H65" s="21">
        <v>483.62</v>
      </c>
      <c r="I65" s="22">
        <v>-3.8600000000000101</v>
      </c>
      <c r="J65" s="11">
        <v>-7.9182735701977796E-3</v>
      </c>
      <c r="K65" s="3">
        <f t="shared" si="3"/>
        <v>104.31118953114421</v>
      </c>
      <c r="L65" s="6">
        <f t="shared" si="4"/>
        <v>0.19925160606662692</v>
      </c>
      <c r="M65" s="35">
        <f t="shared" si="5"/>
        <v>50446.977481051959</v>
      </c>
      <c r="N65" s="39">
        <f t="shared" si="6"/>
        <v>523.51492462381464</v>
      </c>
      <c r="O65" s="3">
        <f t="shared" si="7"/>
        <v>100893.95496210392</v>
      </c>
      <c r="P65" s="41">
        <f t="shared" si="8"/>
        <v>-6.6453091960418211E-3</v>
      </c>
    </row>
    <row r="66" spans="1:16" x14ac:dyDescent="0.2">
      <c r="A66" s="14">
        <v>46024</v>
      </c>
      <c r="B66" s="21">
        <v>122.65</v>
      </c>
      <c r="C66" s="22">
        <v>2.31</v>
      </c>
      <c r="D66" s="11">
        <v>1.9195612431444301E-2</v>
      </c>
      <c r="E66" s="2">
        <f t="shared" si="0"/>
        <v>410.71452134519103</v>
      </c>
      <c r="F66" s="12">
        <f t="shared" si="1"/>
        <v>0.79406974596618485</v>
      </c>
      <c r="G66" s="23">
        <f t="shared" si="2"/>
        <v>50374.13604298768</v>
      </c>
      <c r="H66" s="21">
        <v>472.94</v>
      </c>
      <c r="I66" s="22">
        <v>-10.68</v>
      </c>
      <c r="J66" s="11">
        <v>-2.2083453951449498E-2</v>
      </c>
      <c r="K66" s="3">
        <f t="shared" si="3"/>
        <v>106.51274166487859</v>
      </c>
      <c r="L66" s="6">
        <f t="shared" si="4"/>
        <v>0.20593025403381524</v>
      </c>
      <c r="M66" s="35">
        <f t="shared" si="5"/>
        <v>50374.13604298768</v>
      </c>
      <c r="N66" s="39">
        <f t="shared" si="6"/>
        <v>517.22726301006958</v>
      </c>
      <c r="O66" s="3">
        <f t="shared" si="7"/>
        <v>100748.27208597536</v>
      </c>
      <c r="P66" s="41">
        <f t="shared" si="8"/>
        <v>-1.4439207600026858E-3</v>
      </c>
    </row>
    <row r="67" spans="1:16" x14ac:dyDescent="0.2">
      <c r="A67" s="14">
        <v>46027</v>
      </c>
      <c r="B67" s="21">
        <v>125.36</v>
      </c>
      <c r="C67" s="22">
        <v>2.7099999999999902</v>
      </c>
      <c r="D67" s="11">
        <v>2.2095393395841802E-2</v>
      </c>
      <c r="E67" s="2">
        <f t="shared" ref="E67:E127" si="9">G67/B67</f>
        <v>406.2369268190451</v>
      </c>
      <c r="F67" s="12">
        <f t="shared" ref="F67:F127" si="10">E67/N67</f>
        <v>0.79044148375988366</v>
      </c>
      <c r="G67" s="23">
        <f t="shared" ref="G67:G127" si="11">O67/2</f>
        <v>50925.861146035495</v>
      </c>
      <c r="H67" s="21">
        <v>472.85</v>
      </c>
      <c r="I67" s="22">
        <v>-8.9999999999975003E-2</v>
      </c>
      <c r="J67" s="11">
        <v>-1.90298980843183E-4</v>
      </c>
      <c r="K67" s="3">
        <f t="shared" ref="K67:K127" si="12">M67/H67</f>
        <v>107.69982266265305</v>
      </c>
      <c r="L67" s="6">
        <f t="shared" ref="L67:L127" si="13">K67/N67</f>
        <v>0.20955851624011634</v>
      </c>
      <c r="M67" s="35">
        <f t="shared" ref="M67:M127" si="14">O67/2</f>
        <v>50925.861146035495</v>
      </c>
      <c r="N67" s="39">
        <f t="shared" ref="N67:N127" si="15">K67+E67</f>
        <v>513.93674948169814</v>
      </c>
      <c r="O67" s="3">
        <f t="shared" si="7"/>
        <v>101851.72229207099</v>
      </c>
      <c r="P67" s="41">
        <f t="shared" si="8"/>
        <v>1.0952547207499301E-2</v>
      </c>
    </row>
    <row r="68" spans="1:16" x14ac:dyDescent="0.2">
      <c r="A68" s="14">
        <v>46028</v>
      </c>
      <c r="B68" s="21">
        <v>121.05</v>
      </c>
      <c r="C68" s="22">
        <v>-4.3099999999999996</v>
      </c>
      <c r="D68" s="11">
        <v>-3.4380982769623501E-2</v>
      </c>
      <c r="E68" s="2">
        <f t="shared" si="9"/>
        <v>415.98687374535939</v>
      </c>
      <c r="F68" s="12">
        <f t="shared" si="10"/>
        <v>0.79810194142371071</v>
      </c>
      <c r="G68" s="23">
        <f t="shared" si="11"/>
        <v>50355.211066875752</v>
      </c>
      <c r="H68" s="21">
        <v>478.51</v>
      </c>
      <c r="I68" s="22">
        <v>5.6599999999999699</v>
      </c>
      <c r="J68" s="11">
        <v>1.19699693348841E-2</v>
      </c>
      <c r="K68" s="3">
        <f t="shared" si="12"/>
        <v>105.23335158486918</v>
      </c>
      <c r="L68" s="6">
        <f t="shared" si="13"/>
        <v>0.20189805857628929</v>
      </c>
      <c r="M68" s="35">
        <f t="shared" si="14"/>
        <v>50355.211066875752</v>
      </c>
      <c r="N68" s="39">
        <f t="shared" si="15"/>
        <v>521.22022533022857</v>
      </c>
      <c r="O68" s="3">
        <f t="shared" si="7"/>
        <v>100710.4221337515</v>
      </c>
      <c r="P68" s="41">
        <f t="shared" si="8"/>
        <v>-1.1205506717369806E-2</v>
      </c>
    </row>
    <row r="69" spans="1:16" x14ac:dyDescent="0.2">
      <c r="A69" s="14">
        <v>46029</v>
      </c>
      <c r="B69" s="21">
        <v>118.49</v>
      </c>
      <c r="C69" s="22">
        <v>-2.56</v>
      </c>
      <c r="D69" s="11">
        <v>-2.11482858323007E-2</v>
      </c>
      <c r="E69" s="2">
        <f t="shared" si="9"/>
        <v>422.68315115547449</v>
      </c>
      <c r="F69" s="12">
        <f t="shared" si="10"/>
        <v>0.80315967838394575</v>
      </c>
      <c r="G69" s="23">
        <f t="shared" si="11"/>
        <v>50083.726580412171</v>
      </c>
      <c r="H69" s="21">
        <v>483.47</v>
      </c>
      <c r="I69" s="22">
        <v>4.9600000000000399</v>
      </c>
      <c r="J69" s="11">
        <v>1.03655096027252E-2</v>
      </c>
      <c r="K69" s="3">
        <f t="shared" si="12"/>
        <v>103.59221167892976</v>
      </c>
      <c r="L69" s="6">
        <f t="shared" si="13"/>
        <v>0.19684032161605419</v>
      </c>
      <c r="M69" s="35">
        <f t="shared" si="14"/>
        <v>50083.726580412171</v>
      </c>
      <c r="N69" s="39">
        <f t="shared" si="15"/>
        <v>526.27536283440429</v>
      </c>
      <c r="O69" s="3">
        <f t="shared" ref="O69:O127" si="16">E68*B69+K68*H69</f>
        <v>100167.45316082434</v>
      </c>
      <c r="P69" s="41">
        <f t="shared" ref="P69:P127" si="17">(O69-O68)/O68</f>
        <v>-5.391388114787731E-3</v>
      </c>
    </row>
    <row r="70" spans="1:16" x14ac:dyDescent="0.2">
      <c r="A70" s="14">
        <v>46030</v>
      </c>
      <c r="B70" s="21">
        <v>122.91</v>
      </c>
      <c r="C70" s="22">
        <v>4.42</v>
      </c>
      <c r="D70" s="11">
        <v>3.7302725968436201E-2</v>
      </c>
      <c r="E70" s="2">
        <f t="shared" si="9"/>
        <v>412.82425528570695</v>
      </c>
      <c r="F70" s="12">
        <f t="shared" si="10"/>
        <v>0.79549765398822003</v>
      </c>
      <c r="G70" s="23">
        <f t="shared" si="11"/>
        <v>50740.229217166241</v>
      </c>
      <c r="H70" s="21">
        <v>478.11</v>
      </c>
      <c r="I70" s="22">
        <v>-5.3600000000000101</v>
      </c>
      <c r="J70" s="11">
        <v>-1.1086520363207701E-2</v>
      </c>
      <c r="K70" s="3">
        <f t="shared" si="12"/>
        <v>106.12668469006346</v>
      </c>
      <c r="L70" s="6">
        <f t="shared" si="13"/>
        <v>0.20450234601177997</v>
      </c>
      <c r="M70" s="35">
        <f t="shared" si="14"/>
        <v>50740.229217166241</v>
      </c>
      <c r="N70" s="39">
        <f t="shared" si="15"/>
        <v>518.95093997577044</v>
      </c>
      <c r="O70" s="3">
        <f t="shared" si="16"/>
        <v>101480.45843433248</v>
      </c>
      <c r="P70" s="41">
        <f t="shared" si="17"/>
        <v>1.3108102802614326E-2</v>
      </c>
    </row>
    <row r="71" spans="1:16" x14ac:dyDescent="0.2">
      <c r="A71" s="14">
        <v>46031</v>
      </c>
      <c r="B71" s="21">
        <v>124.61</v>
      </c>
      <c r="C71" s="22">
        <v>1.7</v>
      </c>
      <c r="D71" s="11">
        <v>1.3831258644536701E-2</v>
      </c>
      <c r="E71" s="2">
        <f t="shared" si="9"/>
        <v>410.50649181207586</v>
      </c>
      <c r="F71" s="12">
        <f t="shared" si="10"/>
        <v>0.79365447349682883</v>
      </c>
      <c r="G71" s="23">
        <f t="shared" si="11"/>
        <v>51153.213944702773</v>
      </c>
      <c r="H71" s="21">
        <v>479.28</v>
      </c>
      <c r="I71" s="22">
        <v>1.16999999999996</v>
      </c>
      <c r="J71" s="11">
        <v>2.4471355964107802E-3</v>
      </c>
      <c r="K71" s="3">
        <f t="shared" si="12"/>
        <v>106.72928965260969</v>
      </c>
      <c r="L71" s="6">
        <f t="shared" si="13"/>
        <v>0.20634552650317109</v>
      </c>
      <c r="M71" s="35">
        <f t="shared" si="14"/>
        <v>51153.213944702773</v>
      </c>
      <c r="N71" s="39">
        <f t="shared" si="15"/>
        <v>517.2357814646856</v>
      </c>
      <c r="O71" s="3">
        <f t="shared" si="16"/>
        <v>102306.42788940555</v>
      </c>
      <c r="P71" s="41">
        <f t="shared" si="17"/>
        <v>8.1391971204736388E-3</v>
      </c>
    </row>
    <row r="72" spans="1:16" x14ac:dyDescent="0.2">
      <c r="A72" s="14">
        <v>46034</v>
      </c>
      <c r="B72" s="21">
        <v>124.03</v>
      </c>
      <c r="C72" s="22">
        <v>-0.57999999999999796</v>
      </c>
      <c r="D72" s="11">
        <v>-4.6545221089799999E-3</v>
      </c>
      <c r="E72" s="2">
        <f t="shared" si="9"/>
        <v>410.56277761785083</v>
      </c>
      <c r="F72" s="12">
        <f t="shared" si="10"/>
        <v>0.79369937293125525</v>
      </c>
      <c r="G72" s="23">
        <f t="shared" si="11"/>
        <v>50922.101307942037</v>
      </c>
      <c r="H72" s="21">
        <v>477.18</v>
      </c>
      <c r="I72" s="22">
        <v>-2.0999999999999699</v>
      </c>
      <c r="J72" s="11">
        <v>-4.3815723585377397E-3</v>
      </c>
      <c r="K72" s="3">
        <f t="shared" si="12"/>
        <v>106.71465968385523</v>
      </c>
      <c r="L72" s="6">
        <f t="shared" si="13"/>
        <v>0.20630062706874469</v>
      </c>
      <c r="M72" s="35">
        <f t="shared" si="14"/>
        <v>50922.101307942037</v>
      </c>
      <c r="N72" s="39">
        <f t="shared" si="15"/>
        <v>517.27743730170607</v>
      </c>
      <c r="O72" s="3">
        <f t="shared" si="16"/>
        <v>101844.20261588407</v>
      </c>
      <c r="P72" s="41">
        <f t="shared" si="17"/>
        <v>-4.5180472337587865E-3</v>
      </c>
    </row>
    <row r="73" spans="1:16" x14ac:dyDescent="0.2">
      <c r="A73" s="14">
        <v>46035</v>
      </c>
      <c r="B73" s="21">
        <v>126.54</v>
      </c>
      <c r="C73" s="22">
        <v>2.51000000000001</v>
      </c>
      <c r="D73" s="11">
        <v>2.0237039425945399E-2</v>
      </c>
      <c r="E73" s="2">
        <f t="shared" si="9"/>
        <v>403.74586199289939</v>
      </c>
      <c r="F73" s="12">
        <f t="shared" si="10"/>
        <v>0.78811473351082528</v>
      </c>
      <c r="G73" s="23">
        <f t="shared" si="11"/>
        <v>51090.001376581495</v>
      </c>
      <c r="H73" s="21">
        <v>470.67</v>
      </c>
      <c r="I73" s="22">
        <v>-6.50999999999999</v>
      </c>
      <c r="J73" s="11">
        <v>-1.3642650572111101E-2</v>
      </c>
      <c r="K73" s="3">
        <f t="shared" si="12"/>
        <v>108.54739281573394</v>
      </c>
      <c r="L73" s="6">
        <f t="shared" si="13"/>
        <v>0.21188526648917466</v>
      </c>
      <c r="M73" s="35">
        <f t="shared" si="14"/>
        <v>51090.001376581495</v>
      </c>
      <c r="N73" s="39">
        <f t="shared" si="15"/>
        <v>512.29325480863338</v>
      </c>
      <c r="O73" s="3">
        <f t="shared" si="16"/>
        <v>102180.00275316299</v>
      </c>
      <c r="P73" s="41">
        <f t="shared" si="17"/>
        <v>3.297194426917159E-3</v>
      </c>
    </row>
    <row r="74" spans="1:16" x14ac:dyDescent="0.2">
      <c r="A74" s="14">
        <v>46036</v>
      </c>
      <c r="B74" s="21">
        <v>130.19999999999999</v>
      </c>
      <c r="C74" s="22">
        <v>3.6599999999999802</v>
      </c>
      <c r="D74" s="11">
        <v>2.8923660502607699E-2</v>
      </c>
      <c r="E74" s="2">
        <f t="shared" si="9"/>
        <v>393.36487151753977</v>
      </c>
      <c r="F74" s="12">
        <f t="shared" si="10"/>
        <v>0.77916482920044783</v>
      </c>
      <c r="G74" s="23">
        <f t="shared" si="11"/>
        <v>51216.106271583674</v>
      </c>
      <c r="H74" s="21">
        <v>459.38</v>
      </c>
      <c r="I74" s="22">
        <v>-11.29</v>
      </c>
      <c r="J74" s="11">
        <v>-2.3987082244460101E-2</v>
      </c>
      <c r="K74" s="3">
        <f t="shared" si="12"/>
        <v>111.48963009182741</v>
      </c>
      <c r="L74" s="6">
        <f t="shared" si="13"/>
        <v>0.22083517079955223</v>
      </c>
      <c r="M74" s="35">
        <f t="shared" si="14"/>
        <v>51216.106271583674</v>
      </c>
      <c r="N74" s="39">
        <f t="shared" si="15"/>
        <v>504.85450160936716</v>
      </c>
      <c r="O74" s="3">
        <f t="shared" si="16"/>
        <v>102432.21254316735</v>
      </c>
      <c r="P74" s="41">
        <f t="shared" si="17"/>
        <v>2.4682891290737602E-3</v>
      </c>
    </row>
    <row r="75" spans="1:16" x14ac:dyDescent="0.2">
      <c r="A75" s="14">
        <v>46037</v>
      </c>
      <c r="B75" s="21">
        <v>129.13</v>
      </c>
      <c r="C75" s="22">
        <v>-1.0699999999999901</v>
      </c>
      <c r="D75" s="11">
        <v>-8.2181259600613895E-3</v>
      </c>
      <c r="E75" s="2">
        <f t="shared" si="9"/>
        <v>393.82041484083413</v>
      </c>
      <c r="F75" s="12">
        <f t="shared" si="10"/>
        <v>0.77956264190238822</v>
      </c>
      <c r="G75" s="23">
        <f t="shared" si="11"/>
        <v>50854.030168396908</v>
      </c>
      <c r="H75" s="21">
        <v>456.66</v>
      </c>
      <c r="I75" s="22">
        <v>-2.71999999999997</v>
      </c>
      <c r="J75" s="11">
        <v>-5.9210239888544802E-3</v>
      </c>
      <c r="K75" s="3">
        <f t="shared" si="12"/>
        <v>111.36081585511519</v>
      </c>
      <c r="L75" s="6">
        <f t="shared" si="13"/>
        <v>0.22043735809761172</v>
      </c>
      <c r="M75" s="35">
        <f t="shared" si="14"/>
        <v>50854.030168396908</v>
      </c>
      <c r="N75" s="39">
        <f t="shared" si="15"/>
        <v>505.18123069594935</v>
      </c>
      <c r="O75" s="3">
        <f t="shared" si="16"/>
        <v>101708.06033679382</v>
      </c>
      <c r="P75" s="41">
        <f t="shared" si="17"/>
        <v>-7.069574974457934E-3</v>
      </c>
    </row>
    <row r="76" spans="1:16" x14ac:dyDescent="0.2">
      <c r="A76" s="14">
        <v>46038</v>
      </c>
      <c r="B76" s="21">
        <v>129.88999999999999</v>
      </c>
      <c r="C76" s="22">
        <v>0.75999999999999102</v>
      </c>
      <c r="D76" s="11">
        <v>5.88554170216054E-3</v>
      </c>
      <c r="E76" s="2">
        <f t="shared" si="9"/>
        <v>394.04002795753803</v>
      </c>
      <c r="F76" s="12">
        <f t="shared" si="10"/>
        <v>0.77975413310724884</v>
      </c>
      <c r="G76" s="23">
        <f t="shared" si="11"/>
        <v>51181.859231404611</v>
      </c>
      <c r="H76" s="21">
        <v>459.86</v>
      </c>
      <c r="I76" s="22">
        <v>3.19999999999999</v>
      </c>
      <c r="J76" s="11">
        <v>7.0074015679060797E-3</v>
      </c>
      <c r="K76" s="3">
        <f t="shared" si="12"/>
        <v>111.29878491585397</v>
      </c>
      <c r="L76" s="6">
        <f t="shared" si="13"/>
        <v>0.22024586689275114</v>
      </c>
      <c r="M76" s="35">
        <f t="shared" si="14"/>
        <v>51181.859231404611</v>
      </c>
      <c r="N76" s="39">
        <f t="shared" si="15"/>
        <v>505.33881287339199</v>
      </c>
      <c r="O76" s="3">
        <f t="shared" si="16"/>
        <v>102363.71846280922</v>
      </c>
      <c r="P76" s="41">
        <f t="shared" si="17"/>
        <v>6.446471635033384E-3</v>
      </c>
    </row>
    <row r="77" spans="1:16" x14ac:dyDescent="0.2">
      <c r="A77" s="14">
        <v>46042</v>
      </c>
      <c r="B77" s="21">
        <v>130.46</v>
      </c>
      <c r="C77" s="22">
        <v>0.57000000000002204</v>
      </c>
      <c r="D77" s="11">
        <v>4.3883285857265501E-3</v>
      </c>
      <c r="E77" s="2">
        <f t="shared" si="9"/>
        <v>390.90137117620094</v>
      </c>
      <c r="F77" s="12">
        <f t="shared" si="10"/>
        <v>0.77698382850695746</v>
      </c>
      <c r="G77" s="23">
        <f t="shared" si="11"/>
        <v>50996.992883647181</v>
      </c>
      <c r="H77" s="21">
        <v>454.52</v>
      </c>
      <c r="I77" s="22">
        <v>-5.3400000000000301</v>
      </c>
      <c r="J77" s="11">
        <v>-1.1612229809072399E-2</v>
      </c>
      <c r="K77" s="3">
        <f t="shared" si="12"/>
        <v>112.19966752540523</v>
      </c>
      <c r="L77" s="6">
        <f t="shared" si="13"/>
        <v>0.22301617149304254</v>
      </c>
      <c r="M77" s="35">
        <f t="shared" si="14"/>
        <v>50996.992883647181</v>
      </c>
      <c r="N77" s="39">
        <f t="shared" si="15"/>
        <v>503.10103870160617</v>
      </c>
      <c r="O77" s="3">
        <f t="shared" si="16"/>
        <v>101993.98576729436</v>
      </c>
      <c r="P77" s="41">
        <f t="shared" si="17"/>
        <v>-3.6119506116729372E-3</v>
      </c>
    </row>
    <row r="78" spans="1:16" x14ac:dyDescent="0.2">
      <c r="A78" s="14">
        <v>46043</v>
      </c>
      <c r="B78" s="21">
        <v>133.61000000000001</v>
      </c>
      <c r="C78" s="22">
        <v>3.1500000000000101</v>
      </c>
      <c r="D78" s="11">
        <v>2.4145331902498901E-2</v>
      </c>
      <c r="E78" s="2">
        <f t="shared" si="9"/>
        <v>381.92248539615269</v>
      </c>
      <c r="F78" s="12">
        <f t="shared" si="10"/>
        <v>0.76872879595651866</v>
      </c>
      <c r="G78" s="23">
        <f t="shared" si="11"/>
        <v>51028.663273779966</v>
      </c>
      <c r="H78" s="21">
        <v>444.11</v>
      </c>
      <c r="I78" s="22">
        <v>-10.41</v>
      </c>
      <c r="J78" s="11">
        <v>-2.29032825838246E-2</v>
      </c>
      <c r="K78" s="3">
        <f t="shared" si="12"/>
        <v>114.90095533489443</v>
      </c>
      <c r="L78" s="6">
        <f t="shared" si="13"/>
        <v>0.23127120404348128</v>
      </c>
      <c r="M78" s="35">
        <f t="shared" si="14"/>
        <v>51028.663273779966</v>
      </c>
      <c r="N78" s="39">
        <f t="shared" si="15"/>
        <v>496.82344073104713</v>
      </c>
      <c r="O78" s="3">
        <f t="shared" si="16"/>
        <v>102057.32654755993</v>
      </c>
      <c r="P78" s="41">
        <f t="shared" si="17"/>
        <v>6.2102465933713998E-4</v>
      </c>
    </row>
    <row r="79" spans="1:16" x14ac:dyDescent="0.2">
      <c r="A79" s="14">
        <v>46044</v>
      </c>
      <c r="B79" s="21">
        <v>133.63999999999999</v>
      </c>
      <c r="C79" s="22">
        <v>2.9999999999972701E-2</v>
      </c>
      <c r="D79" s="11">
        <v>2.2453409175939501E-4</v>
      </c>
      <c r="E79" s="2">
        <f t="shared" si="9"/>
        <v>384.90174325847846</v>
      </c>
      <c r="F79" s="12">
        <f t="shared" si="10"/>
        <v>0.7714696125038476</v>
      </c>
      <c r="G79" s="23">
        <f t="shared" si="11"/>
        <v>51438.268969063058</v>
      </c>
      <c r="H79" s="21">
        <v>451.14</v>
      </c>
      <c r="I79" s="22">
        <v>7.0299999999999701</v>
      </c>
      <c r="J79" s="11">
        <v>1.5829411632253199E-2</v>
      </c>
      <c r="K79" s="3">
        <f t="shared" si="12"/>
        <v>114.01841771747807</v>
      </c>
      <c r="L79" s="6">
        <f t="shared" si="13"/>
        <v>0.22853038749615237</v>
      </c>
      <c r="M79" s="35">
        <f t="shared" si="14"/>
        <v>51438.268969063058</v>
      </c>
      <c r="N79" s="39">
        <f t="shared" si="15"/>
        <v>498.92016097595655</v>
      </c>
      <c r="O79" s="3">
        <f t="shared" si="16"/>
        <v>102876.53793812612</v>
      </c>
      <c r="P79" s="41">
        <f t="shared" si="17"/>
        <v>8.0269728620063381E-3</v>
      </c>
    </row>
    <row r="80" spans="1:16" x14ac:dyDescent="0.2">
      <c r="A80" s="14">
        <v>46045</v>
      </c>
      <c r="B80" s="21">
        <v>134.97</v>
      </c>
      <c r="C80" s="22">
        <v>1.3300000000000101</v>
      </c>
      <c r="D80" s="11">
        <v>9.9521101466627706E-3</v>
      </c>
      <c r="E80" s="2">
        <f t="shared" si="9"/>
        <v>389.26083582668645</v>
      </c>
      <c r="F80" s="12">
        <f t="shared" si="10"/>
        <v>0.77539439526060039</v>
      </c>
      <c r="G80" s="23">
        <f t="shared" si="11"/>
        <v>52538.535011527871</v>
      </c>
      <c r="H80" s="21">
        <v>465.95</v>
      </c>
      <c r="I80" s="22">
        <v>14.81</v>
      </c>
      <c r="J80" s="11">
        <v>3.2827946978764899E-2</v>
      </c>
      <c r="K80" s="3">
        <f t="shared" si="12"/>
        <v>112.75573561868842</v>
      </c>
      <c r="L80" s="6">
        <f t="shared" si="13"/>
        <v>0.22460560473939958</v>
      </c>
      <c r="M80" s="35">
        <f t="shared" si="14"/>
        <v>52538.535011527871</v>
      </c>
      <c r="N80" s="39">
        <f t="shared" si="15"/>
        <v>502.01657144537489</v>
      </c>
      <c r="O80" s="3">
        <f t="shared" si="16"/>
        <v>105077.07002305574</v>
      </c>
      <c r="P80" s="41">
        <f t="shared" si="17"/>
        <v>2.1390028562713784E-2</v>
      </c>
    </row>
    <row r="81" spans="1:16" x14ac:dyDescent="0.2">
      <c r="A81" s="14">
        <v>46048</v>
      </c>
      <c r="B81" s="21">
        <v>134.84</v>
      </c>
      <c r="C81" s="22">
        <v>-0.12999999999999501</v>
      </c>
      <c r="D81" s="11">
        <v>-9.6317700229677297E-4</v>
      </c>
      <c r="E81" s="2">
        <f t="shared" si="9"/>
        <v>391.25889368743395</v>
      </c>
      <c r="F81" s="12">
        <f t="shared" si="10"/>
        <v>0.77716816499206776</v>
      </c>
      <c r="G81" s="23">
        <f t="shared" si="11"/>
        <v>52757.349224813595</v>
      </c>
      <c r="H81" s="21">
        <v>470.28</v>
      </c>
      <c r="I81" s="22">
        <v>4.3299999999999796</v>
      </c>
      <c r="J81" s="11">
        <v>9.2928425796759001E-3</v>
      </c>
      <c r="K81" s="3">
        <f t="shared" si="12"/>
        <v>112.18284686742706</v>
      </c>
      <c r="L81" s="6">
        <f t="shared" si="13"/>
        <v>0.22283183500793233</v>
      </c>
      <c r="M81" s="35">
        <f t="shared" si="14"/>
        <v>52757.349224813595</v>
      </c>
      <c r="N81" s="39">
        <f t="shared" si="15"/>
        <v>503.44174055486098</v>
      </c>
      <c r="O81" s="3">
        <f t="shared" si="16"/>
        <v>105514.69844962719</v>
      </c>
      <c r="P81" s="41">
        <f t="shared" si="17"/>
        <v>4.164832788689541E-3</v>
      </c>
    </row>
    <row r="82" spans="1:16" x14ac:dyDescent="0.2">
      <c r="A82" s="14">
        <v>46049</v>
      </c>
      <c r="B82" s="21">
        <v>136.83000000000001</v>
      </c>
      <c r="C82" s="22">
        <v>1.99000000000001</v>
      </c>
      <c r="D82" s="11">
        <v>1.4758231978641401E-2</v>
      </c>
      <c r="E82" s="2">
        <f t="shared" si="9"/>
        <v>392.6360701995165</v>
      </c>
      <c r="F82" s="12">
        <f t="shared" si="10"/>
        <v>0.77838065467031625</v>
      </c>
      <c r="G82" s="23">
        <f t="shared" si="11"/>
        <v>53724.393485399843</v>
      </c>
      <c r="H82" s="21">
        <v>480.58</v>
      </c>
      <c r="I82" s="22">
        <v>10.3</v>
      </c>
      <c r="J82" s="11">
        <v>2.19018457089394E-2</v>
      </c>
      <c r="K82" s="3">
        <f t="shared" si="12"/>
        <v>111.79073928461411</v>
      </c>
      <c r="L82" s="6">
        <f t="shared" si="13"/>
        <v>0.22161934532968369</v>
      </c>
      <c r="M82" s="35">
        <f t="shared" si="14"/>
        <v>53724.393485399843</v>
      </c>
      <c r="N82" s="39">
        <f t="shared" si="15"/>
        <v>504.42680948413062</v>
      </c>
      <c r="O82" s="3">
        <f t="shared" si="16"/>
        <v>107448.78697079969</v>
      </c>
      <c r="P82" s="41">
        <f t="shared" si="17"/>
        <v>1.8330038843790392E-2</v>
      </c>
    </row>
    <row r="83" spans="1:16" x14ac:dyDescent="0.2">
      <c r="A83" s="14">
        <v>46050</v>
      </c>
      <c r="B83" s="21">
        <v>137.58000000000001</v>
      </c>
      <c r="C83" s="22">
        <v>0.75</v>
      </c>
      <c r="D83" s="11">
        <v>5.4812541109405801E-3</v>
      </c>
      <c r="E83" s="2">
        <f t="shared" si="9"/>
        <v>391.99245638791308</v>
      </c>
      <c r="F83" s="12">
        <f t="shared" si="10"/>
        <v>0.77781366579997091</v>
      </c>
      <c r="G83" s="23">
        <f t="shared" si="11"/>
        <v>53930.322149849089</v>
      </c>
      <c r="H83" s="21">
        <v>481.63</v>
      </c>
      <c r="I83" s="22">
        <v>1.05000000000001</v>
      </c>
      <c r="J83" s="11">
        <v>2.1848599608806302E-3</v>
      </c>
      <c r="K83" s="3">
        <f t="shared" si="12"/>
        <v>111.97459076438156</v>
      </c>
      <c r="L83" s="6">
        <f t="shared" si="13"/>
        <v>0.22218633420002909</v>
      </c>
      <c r="M83" s="35">
        <f t="shared" si="14"/>
        <v>53930.322149849089</v>
      </c>
      <c r="N83" s="39">
        <f t="shared" si="15"/>
        <v>503.96704715229464</v>
      </c>
      <c r="O83" s="3">
        <f t="shared" si="16"/>
        <v>107860.64429969818</v>
      </c>
      <c r="P83" s="41">
        <f t="shared" si="17"/>
        <v>3.8330570359106815E-3</v>
      </c>
    </row>
    <row r="84" spans="1:16" x14ac:dyDescent="0.2">
      <c r="A84" s="14">
        <v>46051</v>
      </c>
      <c r="B84" s="21">
        <v>140.51</v>
      </c>
      <c r="C84" s="22">
        <v>2.9299999999999802</v>
      </c>
      <c r="D84" s="11">
        <v>2.1296700101758801E-2</v>
      </c>
      <c r="E84" s="2">
        <f t="shared" si="9"/>
        <v>368.72765334647028</v>
      </c>
      <c r="F84" s="12">
        <f t="shared" si="10"/>
        <v>0.75521332380968975</v>
      </c>
      <c r="G84" s="23">
        <f t="shared" si="11"/>
        <v>51809.922571712537</v>
      </c>
      <c r="H84" s="21">
        <v>433.5</v>
      </c>
      <c r="I84" s="22">
        <v>-48.13</v>
      </c>
      <c r="J84" s="11">
        <v>-9.9931482673421501E-2</v>
      </c>
      <c r="K84" s="3">
        <f t="shared" si="12"/>
        <v>119.51539232228959</v>
      </c>
      <c r="L84" s="6">
        <f t="shared" si="13"/>
        <v>0.24478667619031025</v>
      </c>
      <c r="M84" s="35">
        <f t="shared" si="14"/>
        <v>51809.922571712537</v>
      </c>
      <c r="N84" s="39">
        <f t="shared" si="15"/>
        <v>488.24304566875986</v>
      </c>
      <c r="O84" s="3">
        <f t="shared" si="16"/>
        <v>103619.84514342507</v>
      </c>
      <c r="P84" s="41">
        <f t="shared" si="17"/>
        <v>-3.931739128583131E-2</v>
      </c>
    </row>
    <row r="85" spans="1:16" x14ac:dyDescent="0.2">
      <c r="A85" s="14">
        <v>46052</v>
      </c>
      <c r="B85" s="21">
        <v>141.4</v>
      </c>
      <c r="C85" s="22">
        <v>0.890000000000015</v>
      </c>
      <c r="D85" s="11">
        <v>6.3340687495552998E-3</v>
      </c>
      <c r="E85" s="2">
        <f t="shared" si="9"/>
        <v>366.21063771410496</v>
      </c>
      <c r="F85" s="12">
        <f t="shared" si="10"/>
        <v>0.75266315660585281</v>
      </c>
      <c r="G85" s="23">
        <f t="shared" si="11"/>
        <v>51782.184172774447</v>
      </c>
      <c r="H85" s="21">
        <v>430.29</v>
      </c>
      <c r="I85" s="22">
        <v>-3.20999999999998</v>
      </c>
      <c r="J85" s="11">
        <v>-7.4048442906573904E-3</v>
      </c>
      <c r="K85" s="3">
        <f t="shared" si="12"/>
        <v>120.34252288636604</v>
      </c>
      <c r="L85" s="6">
        <f t="shared" si="13"/>
        <v>0.24733684339414719</v>
      </c>
      <c r="M85" s="35">
        <f t="shared" si="14"/>
        <v>51782.184172774447</v>
      </c>
      <c r="N85" s="39">
        <f t="shared" si="15"/>
        <v>486.55316060047102</v>
      </c>
      <c r="O85" s="3">
        <f t="shared" si="16"/>
        <v>103564.36834554889</v>
      </c>
      <c r="P85" s="41">
        <f t="shared" si="17"/>
        <v>-5.3538777055102762E-4</v>
      </c>
    </row>
    <row r="86" spans="1:16" x14ac:dyDescent="0.2">
      <c r="A86" s="14">
        <v>46055</v>
      </c>
      <c r="B86" s="21">
        <v>138.4</v>
      </c>
      <c r="C86" s="22">
        <v>-3</v>
      </c>
      <c r="D86" s="11">
        <v>-2.12164073550212E-2</v>
      </c>
      <c r="E86" s="2">
        <f t="shared" si="9"/>
        <v>367.17112057092817</v>
      </c>
      <c r="F86" s="12">
        <f t="shared" si="10"/>
        <v>0.75363582960998277</v>
      </c>
      <c r="G86" s="23">
        <f t="shared" si="11"/>
        <v>50816.483087016459</v>
      </c>
      <c r="H86" s="21">
        <v>423.37</v>
      </c>
      <c r="I86" s="22">
        <v>-6.9200000000000204</v>
      </c>
      <c r="J86" s="11">
        <v>-1.60821771363499E-2</v>
      </c>
      <c r="K86" s="3">
        <f t="shared" si="12"/>
        <v>120.0285402532453</v>
      </c>
      <c r="L86" s="6">
        <f t="shared" si="13"/>
        <v>0.24636417039001729</v>
      </c>
      <c r="M86" s="35">
        <f t="shared" si="14"/>
        <v>50816.483087016459</v>
      </c>
      <c r="N86" s="39">
        <f t="shared" si="15"/>
        <v>487.19966082417346</v>
      </c>
      <c r="O86" s="3">
        <f t="shared" si="16"/>
        <v>101632.96617403292</v>
      </c>
      <c r="P86" s="41">
        <f t="shared" si="17"/>
        <v>-1.8649292245685636E-2</v>
      </c>
    </row>
    <row r="87" spans="1:16" x14ac:dyDescent="0.2">
      <c r="A87" s="14">
        <v>46056</v>
      </c>
      <c r="B87" s="21">
        <v>143.72999999999999</v>
      </c>
      <c r="C87" s="22">
        <v>5.3299999999999796</v>
      </c>
      <c r="D87" s="11">
        <v>3.8511560693641499E-2</v>
      </c>
      <c r="E87" s="2">
        <f t="shared" si="9"/>
        <v>355.28574826826861</v>
      </c>
      <c r="F87" s="12">
        <f t="shared" si="10"/>
        <v>0.7409990269218294</v>
      </c>
      <c r="G87" s="23">
        <f t="shared" si="11"/>
        <v>51065.220598598244</v>
      </c>
      <c r="H87" s="21">
        <v>411.21</v>
      </c>
      <c r="I87" s="22">
        <v>-12.16</v>
      </c>
      <c r="J87" s="11">
        <v>-2.8721921723315402E-2</v>
      </c>
      <c r="K87" s="3">
        <f t="shared" si="12"/>
        <v>124.18282774883453</v>
      </c>
      <c r="L87" s="6">
        <f t="shared" si="13"/>
        <v>0.2590009730781706</v>
      </c>
      <c r="M87" s="35">
        <f t="shared" si="14"/>
        <v>51065.220598598244</v>
      </c>
      <c r="N87" s="39">
        <f t="shared" si="15"/>
        <v>479.46857601710315</v>
      </c>
      <c r="O87" s="3">
        <f t="shared" si="16"/>
        <v>102130.44119719649</v>
      </c>
      <c r="P87" s="41">
        <f t="shared" si="17"/>
        <v>4.8948194851630147E-3</v>
      </c>
    </row>
    <row r="88" spans="1:16" x14ac:dyDescent="0.2">
      <c r="A88" s="14">
        <v>46057</v>
      </c>
      <c r="B88" s="21">
        <v>147.59</v>
      </c>
      <c r="C88" s="22">
        <v>3.8600000000000101</v>
      </c>
      <c r="D88" s="11">
        <v>2.6855910387532302E-2</v>
      </c>
      <c r="E88" s="2">
        <f t="shared" si="9"/>
        <v>351.89345149469318</v>
      </c>
      <c r="F88" s="12">
        <f t="shared" si="10"/>
        <v>0.73728149809533983</v>
      </c>
      <c r="G88" s="23">
        <f t="shared" si="11"/>
        <v>51935.954506101771</v>
      </c>
      <c r="H88" s="21">
        <v>414.19</v>
      </c>
      <c r="I88" s="22">
        <v>2.98000000000002</v>
      </c>
      <c r="J88" s="11">
        <v>7.2469054740887098E-3</v>
      </c>
      <c r="K88" s="3">
        <f t="shared" si="12"/>
        <v>125.39161859557636</v>
      </c>
      <c r="L88" s="6">
        <f t="shared" si="13"/>
        <v>0.26271850190466023</v>
      </c>
      <c r="M88" s="35">
        <f t="shared" si="14"/>
        <v>51935.954506101771</v>
      </c>
      <c r="N88" s="39">
        <f t="shared" si="15"/>
        <v>477.28507009026953</v>
      </c>
      <c r="O88" s="3">
        <f t="shared" si="16"/>
        <v>103871.90901220354</v>
      </c>
      <c r="P88" s="41">
        <f t="shared" si="17"/>
        <v>1.7051407930810523E-2</v>
      </c>
    </row>
    <row r="89" spans="1:16" x14ac:dyDescent="0.2">
      <c r="A89" s="14">
        <v>46058</v>
      </c>
      <c r="B89" s="21">
        <v>146.08000000000001</v>
      </c>
      <c r="C89" s="22">
        <v>-1.50999999999999</v>
      </c>
      <c r="D89" s="11">
        <v>-1.0231045463784699E-2</v>
      </c>
      <c r="E89" s="2">
        <f t="shared" si="9"/>
        <v>344.90523646928165</v>
      </c>
      <c r="F89" s="12">
        <f t="shared" si="10"/>
        <v>0.72935618341824915</v>
      </c>
      <c r="G89" s="23">
        <f t="shared" si="11"/>
        <v>50383.756943432665</v>
      </c>
      <c r="H89" s="21">
        <v>393.67</v>
      </c>
      <c r="I89" s="22">
        <v>-20.52</v>
      </c>
      <c r="J89" s="11">
        <v>-4.9542480504116401E-2</v>
      </c>
      <c r="K89" s="3">
        <f t="shared" si="12"/>
        <v>127.98475104385059</v>
      </c>
      <c r="L89" s="6">
        <f t="shared" si="13"/>
        <v>0.2706438165817508</v>
      </c>
      <c r="M89" s="35">
        <f t="shared" si="14"/>
        <v>50383.756943432665</v>
      </c>
      <c r="N89" s="39">
        <f t="shared" si="15"/>
        <v>472.88998751313227</v>
      </c>
      <c r="O89" s="3">
        <f t="shared" si="16"/>
        <v>100767.51388686533</v>
      </c>
      <c r="P89" s="41">
        <f t="shared" si="17"/>
        <v>-2.9886762983950616E-2</v>
      </c>
    </row>
    <row r="90" spans="1:16" x14ac:dyDescent="0.2">
      <c r="A90" s="14">
        <v>46059</v>
      </c>
      <c r="B90" s="21">
        <v>149.05000000000001</v>
      </c>
      <c r="C90" s="22">
        <v>2.97</v>
      </c>
      <c r="D90" s="11">
        <v>2.0331325301204801E-2</v>
      </c>
      <c r="E90" s="2">
        <f t="shared" si="9"/>
        <v>344.67604337295086</v>
      </c>
      <c r="F90" s="12">
        <f t="shared" si="10"/>
        <v>0.72909358585216011</v>
      </c>
      <c r="G90" s="23">
        <f t="shared" si="11"/>
        <v>51373.96426473833</v>
      </c>
      <c r="H90" s="21">
        <v>401.14</v>
      </c>
      <c r="I90" s="22">
        <v>7.4699999999999704</v>
      </c>
      <c r="J90" s="11">
        <v>1.8975283867198298E-2</v>
      </c>
      <c r="K90" s="3">
        <f t="shared" si="12"/>
        <v>128.06991141431504</v>
      </c>
      <c r="L90" s="6">
        <f t="shared" si="13"/>
        <v>0.27090641414783989</v>
      </c>
      <c r="M90" s="35">
        <f t="shared" si="14"/>
        <v>51373.96426473833</v>
      </c>
      <c r="N90" s="39">
        <f t="shared" si="15"/>
        <v>472.74595478726587</v>
      </c>
      <c r="O90" s="3">
        <f t="shared" si="16"/>
        <v>102747.92852947666</v>
      </c>
      <c r="P90" s="41">
        <f t="shared" si="17"/>
        <v>1.9653304584201604E-2</v>
      </c>
    </row>
    <row r="91" spans="1:16" x14ac:dyDescent="0.2">
      <c r="A91" s="14">
        <v>46062</v>
      </c>
      <c r="B91" s="21">
        <v>151.21</v>
      </c>
      <c r="C91" s="22">
        <v>2.16</v>
      </c>
      <c r="D91" s="11">
        <v>1.4491781281449199E-2</v>
      </c>
      <c r="E91" s="2">
        <f t="shared" si="9"/>
        <v>347.4908401540394</v>
      </c>
      <c r="F91" s="12">
        <f t="shared" si="10"/>
        <v>0.73228165223703545</v>
      </c>
      <c r="G91" s="23">
        <f t="shared" si="11"/>
        <v>52544.089939692305</v>
      </c>
      <c r="H91" s="21">
        <v>413.6</v>
      </c>
      <c r="I91" s="22">
        <v>12.46</v>
      </c>
      <c r="J91" s="11">
        <v>3.1061474796829101E-2</v>
      </c>
      <c r="K91" s="3">
        <f t="shared" si="12"/>
        <v>127.04083641124831</v>
      </c>
      <c r="L91" s="6">
        <f t="shared" si="13"/>
        <v>0.26771834776296455</v>
      </c>
      <c r="M91" s="35">
        <f t="shared" si="14"/>
        <v>52544.089939692305</v>
      </c>
      <c r="N91" s="39">
        <f t="shared" si="15"/>
        <v>474.53167656528774</v>
      </c>
      <c r="O91" s="3">
        <f t="shared" si="16"/>
        <v>105088.17987938461</v>
      </c>
      <c r="P91" s="41">
        <f t="shared" si="17"/>
        <v>2.277662803913922E-2</v>
      </c>
    </row>
    <row r="92" spans="1:16" x14ac:dyDescent="0.2">
      <c r="A92" s="14">
        <v>46063</v>
      </c>
      <c r="B92" s="21">
        <v>151.59</v>
      </c>
      <c r="C92" s="22">
        <v>0.37999999999999501</v>
      </c>
      <c r="D92" s="11">
        <v>2.5130613054691799E-3</v>
      </c>
      <c r="E92" s="2">
        <f t="shared" si="9"/>
        <v>346.91702263548854</v>
      </c>
      <c r="F92" s="12">
        <f t="shared" si="10"/>
        <v>0.73163261693162907</v>
      </c>
      <c r="G92" s="23">
        <f t="shared" si="11"/>
        <v>52589.151461313711</v>
      </c>
      <c r="H92" s="21">
        <v>413.27</v>
      </c>
      <c r="I92" s="22">
        <v>-0.33000000000004098</v>
      </c>
      <c r="J92" s="11">
        <v>-7.9787234042563097E-4</v>
      </c>
      <c r="K92" s="3">
        <f t="shared" si="12"/>
        <v>127.2513162371179</v>
      </c>
      <c r="L92" s="6">
        <f t="shared" si="13"/>
        <v>0.26836738306837093</v>
      </c>
      <c r="M92" s="35">
        <f t="shared" si="14"/>
        <v>52589.151461313711</v>
      </c>
      <c r="N92" s="39">
        <f t="shared" si="15"/>
        <v>474.16833887260645</v>
      </c>
      <c r="O92" s="3">
        <f t="shared" si="16"/>
        <v>105178.30292262742</v>
      </c>
      <c r="P92" s="41">
        <f t="shared" si="17"/>
        <v>8.5759448252174461E-4</v>
      </c>
    </row>
    <row r="93" spans="1:16" x14ac:dyDescent="0.2">
      <c r="A93" s="14">
        <v>46064</v>
      </c>
      <c r="B93" s="21">
        <v>155.56</v>
      </c>
      <c r="C93" s="22">
        <v>3.97</v>
      </c>
      <c r="D93" s="11">
        <v>2.61890626030741E-2</v>
      </c>
      <c r="E93" s="2">
        <f t="shared" si="9"/>
        <v>338.85004753143471</v>
      </c>
      <c r="F93" s="12">
        <f t="shared" si="10"/>
        <v>0.72217955815905555</v>
      </c>
      <c r="G93" s="23">
        <f t="shared" si="11"/>
        <v>52711.513393989982</v>
      </c>
      <c r="H93" s="21">
        <v>404.37</v>
      </c>
      <c r="I93" s="22">
        <v>-8.8999999999999808</v>
      </c>
      <c r="J93" s="11">
        <v>-2.1535557867737701E-2</v>
      </c>
      <c r="K93" s="3">
        <f t="shared" si="12"/>
        <v>130.35465883717879</v>
      </c>
      <c r="L93" s="6">
        <f t="shared" si="13"/>
        <v>0.2778204418409444</v>
      </c>
      <c r="M93" s="35">
        <f t="shared" si="14"/>
        <v>52711.513393989982</v>
      </c>
      <c r="N93" s="39">
        <f t="shared" si="15"/>
        <v>469.20470636861353</v>
      </c>
      <c r="O93" s="3">
        <f t="shared" si="16"/>
        <v>105423.02678797996</v>
      </c>
      <c r="P93" s="41">
        <f t="shared" si="17"/>
        <v>2.326752367668156E-3</v>
      </c>
    </row>
    <row r="94" spans="1:16" x14ac:dyDescent="0.2">
      <c r="A94" s="14">
        <v>46065</v>
      </c>
      <c r="B94" s="21">
        <v>149.93</v>
      </c>
      <c r="C94" s="22">
        <v>-5.63</v>
      </c>
      <c r="D94" s="11">
        <v>-3.61918230907688E-2</v>
      </c>
      <c r="E94" s="2">
        <f t="shared" si="9"/>
        <v>344.11226483532289</v>
      </c>
      <c r="F94" s="12">
        <f t="shared" si="10"/>
        <v>0.72827446218533076</v>
      </c>
      <c r="G94" s="23">
        <f t="shared" si="11"/>
        <v>51592.751866759965</v>
      </c>
      <c r="H94" s="21">
        <v>401.84</v>
      </c>
      <c r="I94" s="22">
        <v>-2.53000000000003</v>
      </c>
      <c r="J94" s="11">
        <v>-6.2566461409106298E-3</v>
      </c>
      <c r="K94" s="3">
        <f t="shared" si="12"/>
        <v>128.39127977991234</v>
      </c>
      <c r="L94" s="6">
        <f t="shared" si="13"/>
        <v>0.27172553781466918</v>
      </c>
      <c r="M94" s="35">
        <f t="shared" si="14"/>
        <v>51592.751866759965</v>
      </c>
      <c r="N94" s="39">
        <f t="shared" si="15"/>
        <v>472.50354461523523</v>
      </c>
      <c r="O94" s="3">
        <f t="shared" si="16"/>
        <v>103185.50373351993</v>
      </c>
      <c r="P94" s="41">
        <f t="shared" si="17"/>
        <v>-2.1224234615839645E-2</v>
      </c>
    </row>
    <row r="95" spans="1:16" x14ac:dyDescent="0.2">
      <c r="A95" s="14">
        <v>46066</v>
      </c>
      <c r="B95" s="21">
        <v>148.44999999999999</v>
      </c>
      <c r="C95" s="22">
        <v>-1.48000000000002</v>
      </c>
      <c r="D95" s="11">
        <v>-9.8712732608551897E-3</v>
      </c>
      <c r="E95" s="2">
        <f t="shared" si="9"/>
        <v>345.60274205482688</v>
      </c>
      <c r="F95" s="12">
        <f t="shared" si="10"/>
        <v>0.72997799079615122</v>
      </c>
      <c r="G95" s="23">
        <f t="shared" si="11"/>
        <v>51304.727058039047</v>
      </c>
      <c r="H95" s="21">
        <v>401.32</v>
      </c>
      <c r="I95" s="22">
        <v>-0.51999999999998203</v>
      </c>
      <c r="J95" s="11">
        <v>-1.2940473820425599E-3</v>
      </c>
      <c r="K95" s="3">
        <f t="shared" si="12"/>
        <v>127.83994582387882</v>
      </c>
      <c r="L95" s="6">
        <f t="shared" si="13"/>
        <v>0.27002200920384889</v>
      </c>
      <c r="M95" s="35">
        <f t="shared" si="14"/>
        <v>51304.727058039047</v>
      </c>
      <c r="N95" s="39">
        <f t="shared" si="15"/>
        <v>473.44268787870567</v>
      </c>
      <c r="O95" s="3">
        <f t="shared" si="16"/>
        <v>102609.45411607809</v>
      </c>
      <c r="P95" s="41">
        <f t="shared" si="17"/>
        <v>-5.5826603214488776E-3</v>
      </c>
    </row>
    <row r="96" spans="1:16" x14ac:dyDescent="0.2">
      <c r="A96" s="14">
        <v>46070</v>
      </c>
      <c r="B96" s="21">
        <v>146.19</v>
      </c>
      <c r="C96" s="22">
        <v>-2.25999999999999</v>
      </c>
      <c r="D96" s="11">
        <v>-1.52239811384304E-2</v>
      </c>
      <c r="E96" s="2">
        <f t="shared" si="9"/>
        <v>346.32405007408067</v>
      </c>
      <c r="F96" s="12">
        <f t="shared" si="10"/>
        <v>0.73079826903600043</v>
      </c>
      <c r="G96" s="23">
        <f t="shared" si="11"/>
        <v>50629.112880329849</v>
      </c>
      <c r="H96" s="21">
        <v>396.86</v>
      </c>
      <c r="I96" s="22">
        <v>-4.4599999999999804</v>
      </c>
      <c r="J96" s="11">
        <v>-1.11133260241204E-2</v>
      </c>
      <c r="K96" s="3">
        <f t="shared" si="12"/>
        <v>127.57423998470455</v>
      </c>
      <c r="L96" s="6">
        <f t="shared" si="13"/>
        <v>0.26920173096399963</v>
      </c>
      <c r="M96" s="35">
        <f t="shared" si="14"/>
        <v>50629.112880329849</v>
      </c>
      <c r="N96" s="39">
        <f t="shared" si="15"/>
        <v>473.89829005878522</v>
      </c>
      <c r="O96" s="3">
        <f t="shared" si="16"/>
        <v>101258.2257606597</v>
      </c>
      <c r="P96" s="41">
        <f t="shared" si="17"/>
        <v>-1.3168653581275306E-2</v>
      </c>
    </row>
    <row r="97" spans="1:16" x14ac:dyDescent="0.2">
      <c r="A97" s="14">
        <v>46071</v>
      </c>
      <c r="B97" s="21">
        <v>150.68</v>
      </c>
      <c r="C97" s="22">
        <v>4.49000000000001</v>
      </c>
      <c r="D97" s="11">
        <v>3.0713455092687698E-2</v>
      </c>
      <c r="E97" s="2">
        <f t="shared" si="9"/>
        <v>342.32404487340858</v>
      </c>
      <c r="F97" s="12">
        <f t="shared" si="10"/>
        <v>0.72617576506505777</v>
      </c>
      <c r="G97" s="23">
        <f t="shared" si="11"/>
        <v>51581.387081525208</v>
      </c>
      <c r="H97" s="21">
        <v>399.6</v>
      </c>
      <c r="I97" s="22">
        <v>2.74000000000001</v>
      </c>
      <c r="J97" s="11">
        <v>6.9041979539384403E-3</v>
      </c>
      <c r="K97" s="3">
        <f t="shared" si="12"/>
        <v>129.08255025406709</v>
      </c>
      <c r="L97" s="6">
        <f t="shared" si="13"/>
        <v>0.27382423493494223</v>
      </c>
      <c r="M97" s="35">
        <f t="shared" si="14"/>
        <v>51581.387081525208</v>
      </c>
      <c r="N97" s="39">
        <f t="shared" si="15"/>
        <v>471.40659512747567</v>
      </c>
      <c r="O97" s="3">
        <f t="shared" si="16"/>
        <v>103162.77416305042</v>
      </c>
      <c r="P97" s="41">
        <f t="shared" si="17"/>
        <v>1.8808826523313074E-2</v>
      </c>
    </row>
    <row r="98" spans="1:16" x14ac:dyDescent="0.2">
      <c r="A98" s="14">
        <v>46072</v>
      </c>
      <c r="B98" s="21">
        <v>150.97</v>
      </c>
      <c r="C98" s="22">
        <v>0.28999999999999199</v>
      </c>
      <c r="D98" s="11">
        <v>1.92460844173077E-3</v>
      </c>
      <c r="E98" s="2">
        <f t="shared" si="9"/>
        <v>341.50789570369631</v>
      </c>
      <c r="F98" s="12">
        <f t="shared" si="10"/>
        <v>0.72522432338969478</v>
      </c>
      <c r="G98" s="23">
        <f t="shared" si="11"/>
        <v>51557.447014387028</v>
      </c>
      <c r="H98" s="21">
        <v>398.46</v>
      </c>
      <c r="I98" s="22">
        <v>-1.1400000000000401</v>
      </c>
      <c r="J98" s="11">
        <v>-2.85285285285296E-3</v>
      </c>
      <c r="K98" s="3">
        <f t="shared" si="12"/>
        <v>129.39177587307893</v>
      </c>
      <c r="L98" s="6">
        <f t="shared" si="13"/>
        <v>0.27477567661030522</v>
      </c>
      <c r="M98" s="35">
        <f t="shared" si="14"/>
        <v>51557.447014387028</v>
      </c>
      <c r="N98" s="39">
        <f t="shared" si="15"/>
        <v>470.89967157677523</v>
      </c>
      <c r="O98" s="3">
        <f t="shared" si="16"/>
        <v>103114.89402877406</v>
      </c>
      <c r="P98" s="41">
        <f t="shared" si="17"/>
        <v>-4.6412220556115005E-4</v>
      </c>
    </row>
    <row r="99" spans="1:16" x14ac:dyDescent="0.2">
      <c r="A99" s="14">
        <v>46073</v>
      </c>
      <c r="B99" s="21">
        <v>147.28</v>
      </c>
      <c r="C99" s="22">
        <v>-3.69</v>
      </c>
      <c r="D99" s="11">
        <v>-2.44419421077035E-2</v>
      </c>
      <c r="E99" s="2">
        <f t="shared" si="9"/>
        <v>345.24571567525646</v>
      </c>
      <c r="F99" s="12">
        <f t="shared" si="10"/>
        <v>0.72951828249251627</v>
      </c>
      <c r="G99" s="23">
        <f t="shared" si="11"/>
        <v>50847.789004651771</v>
      </c>
      <c r="H99" s="21">
        <v>397.23</v>
      </c>
      <c r="I99" s="22">
        <v>-1.22999999999996</v>
      </c>
      <c r="J99" s="11">
        <v>-3.0868845053454801E-3</v>
      </c>
      <c r="K99" s="3">
        <f t="shared" si="12"/>
        <v>128.00591346235623</v>
      </c>
      <c r="L99" s="6">
        <f t="shared" si="13"/>
        <v>0.27048171750748379</v>
      </c>
      <c r="M99" s="35">
        <f t="shared" si="14"/>
        <v>50847.789004651771</v>
      </c>
      <c r="N99" s="39">
        <f t="shared" si="15"/>
        <v>473.25162913761267</v>
      </c>
      <c r="O99" s="3">
        <f t="shared" si="16"/>
        <v>101695.57800930354</v>
      </c>
      <c r="P99" s="41">
        <f t="shared" si="17"/>
        <v>-1.3764413306524413E-2</v>
      </c>
    </row>
    <row r="100" spans="1:16" x14ac:dyDescent="0.2">
      <c r="A100" s="14">
        <v>46076</v>
      </c>
      <c r="B100" s="21">
        <v>150.76</v>
      </c>
      <c r="C100" s="22">
        <v>3.4799999999999902</v>
      </c>
      <c r="D100" s="11">
        <v>2.3628462791960798E-2</v>
      </c>
      <c r="E100" s="2">
        <f t="shared" si="9"/>
        <v>335.84398263489572</v>
      </c>
      <c r="F100" s="12">
        <f t="shared" si="10"/>
        <v>0.71832670067073967</v>
      </c>
      <c r="G100" s="23">
        <f t="shared" si="11"/>
        <v>50631.83882203688</v>
      </c>
      <c r="H100" s="21">
        <v>384.47</v>
      </c>
      <c r="I100" s="22">
        <v>-12.76</v>
      </c>
      <c r="J100" s="11">
        <v>-3.2122447952067999E-2</v>
      </c>
      <c r="K100" s="3">
        <f t="shared" si="12"/>
        <v>131.69256072525002</v>
      </c>
      <c r="L100" s="6">
        <f t="shared" si="13"/>
        <v>0.28167329932926027</v>
      </c>
      <c r="M100" s="35">
        <f t="shared" si="14"/>
        <v>50631.83882203688</v>
      </c>
      <c r="N100" s="39">
        <f t="shared" si="15"/>
        <v>467.53654336014574</v>
      </c>
      <c r="O100" s="3">
        <f t="shared" si="16"/>
        <v>101263.67764407376</v>
      </c>
      <c r="P100" s="41">
        <f t="shared" si="17"/>
        <v>-4.2469925800536898E-3</v>
      </c>
    </row>
    <row r="101" spans="1:16" x14ac:dyDescent="0.2">
      <c r="A101" s="14">
        <v>46077</v>
      </c>
      <c r="B101" s="21">
        <v>149.26</v>
      </c>
      <c r="C101" s="22">
        <v>-1.5</v>
      </c>
      <c r="D101" s="11">
        <v>-9.9495887503316498E-3</v>
      </c>
      <c r="E101" s="2">
        <f t="shared" si="9"/>
        <v>339.52994429253249</v>
      </c>
      <c r="F101" s="12">
        <f t="shared" si="10"/>
        <v>0.72269906736521383</v>
      </c>
      <c r="G101" s="23">
        <f t="shared" si="11"/>
        <v>50678.239485103397</v>
      </c>
      <c r="H101" s="21">
        <v>389</v>
      </c>
      <c r="I101" s="22">
        <v>4.5299999999999701</v>
      </c>
      <c r="J101" s="11">
        <v>1.17824537675241E-2</v>
      </c>
      <c r="K101" s="3">
        <f t="shared" si="12"/>
        <v>130.27825060437891</v>
      </c>
      <c r="L101" s="6">
        <f t="shared" si="13"/>
        <v>0.27730093263478617</v>
      </c>
      <c r="M101" s="35">
        <f t="shared" si="14"/>
        <v>50678.239485103397</v>
      </c>
      <c r="N101" s="39">
        <f t="shared" si="15"/>
        <v>469.8081948969114</v>
      </c>
      <c r="O101" s="3">
        <f t="shared" si="16"/>
        <v>101356.47897020679</v>
      </c>
      <c r="P101" s="41">
        <f t="shared" si="17"/>
        <v>9.1643250859618872E-4</v>
      </c>
    </row>
    <row r="102" spans="1:16" x14ac:dyDescent="0.2">
      <c r="A102" s="14">
        <v>46078</v>
      </c>
      <c r="B102" s="21">
        <v>149.06</v>
      </c>
      <c r="C102" s="22">
        <v>-0.19999999999998899</v>
      </c>
      <c r="D102" s="11">
        <v>-1.3399437223635801E-3</v>
      </c>
      <c r="E102" s="2">
        <f t="shared" si="9"/>
        <v>344.82691764510628</v>
      </c>
      <c r="F102" s="12">
        <f t="shared" si="10"/>
        <v>0.72881417603609511</v>
      </c>
      <c r="G102" s="23">
        <f t="shared" si="11"/>
        <v>51399.900344179543</v>
      </c>
      <c r="H102" s="21">
        <v>400.6</v>
      </c>
      <c r="I102" s="22">
        <v>11.6</v>
      </c>
      <c r="J102" s="11">
        <v>2.9820051413881801E-2</v>
      </c>
      <c r="K102" s="3">
        <f t="shared" si="12"/>
        <v>128.3072899255605</v>
      </c>
      <c r="L102" s="6">
        <f t="shared" si="13"/>
        <v>0.27118582396390495</v>
      </c>
      <c r="M102" s="35">
        <f t="shared" si="14"/>
        <v>51399.900344179543</v>
      </c>
      <c r="N102" s="39">
        <f t="shared" si="15"/>
        <v>473.13420757066677</v>
      </c>
      <c r="O102" s="3">
        <f t="shared" si="16"/>
        <v>102799.80068835909</v>
      </c>
      <c r="P102" s="41">
        <f t="shared" si="17"/>
        <v>1.4240053845759078E-2</v>
      </c>
    </row>
    <row r="103" spans="1:16" x14ac:dyDescent="0.2">
      <c r="A103" s="14">
        <v>46079</v>
      </c>
      <c r="B103" s="21">
        <v>148.54</v>
      </c>
      <c r="C103" s="22">
        <v>-0.52000000000001001</v>
      </c>
      <c r="D103" s="11">
        <v>-3.48852810948618E-3</v>
      </c>
      <c r="E103" s="2">
        <f t="shared" si="9"/>
        <v>345.91421454120189</v>
      </c>
      <c r="F103" s="12">
        <f t="shared" si="10"/>
        <v>0.73005488314614919</v>
      </c>
      <c r="G103" s="23">
        <f t="shared" si="11"/>
        <v>51382.097427950124</v>
      </c>
      <c r="H103" s="21">
        <v>401.72</v>
      </c>
      <c r="I103" s="22">
        <v>1.1200000000000001</v>
      </c>
      <c r="J103" s="11">
        <v>2.79580629056416E-3</v>
      </c>
      <c r="K103" s="3">
        <f t="shared" si="12"/>
        <v>127.90525099061566</v>
      </c>
      <c r="L103" s="6">
        <f t="shared" si="13"/>
        <v>0.26994511685385092</v>
      </c>
      <c r="M103" s="35">
        <f t="shared" si="14"/>
        <v>51382.097427950124</v>
      </c>
      <c r="N103" s="39">
        <f t="shared" si="15"/>
        <v>473.81946553181751</v>
      </c>
      <c r="O103" s="3">
        <f t="shared" si="16"/>
        <v>102764.19485590025</v>
      </c>
      <c r="P103" s="41">
        <f t="shared" si="17"/>
        <v>-3.4636090946107734E-4</v>
      </c>
    </row>
    <row r="104" spans="1:16" x14ac:dyDescent="0.2">
      <c r="A104" s="14">
        <v>46080</v>
      </c>
      <c r="B104" s="21">
        <v>152.5</v>
      </c>
      <c r="C104" s="22">
        <v>3.9600000000000102</v>
      </c>
      <c r="D104" s="11">
        <v>2.6659485660428198E-2</v>
      </c>
      <c r="E104" s="2">
        <f t="shared" si="9"/>
        <v>337.65713439864817</v>
      </c>
      <c r="F104" s="12">
        <f t="shared" si="10"/>
        <v>0.72030665395055393</v>
      </c>
      <c r="G104" s="23">
        <f t="shared" si="11"/>
        <v>51492.712995793845</v>
      </c>
      <c r="H104" s="21">
        <v>392.74</v>
      </c>
      <c r="I104" s="22">
        <v>-8.98000000000002</v>
      </c>
      <c r="J104" s="11">
        <v>-2.2353878323210199E-2</v>
      </c>
      <c r="K104" s="3">
        <f t="shared" si="12"/>
        <v>131.11145540508693</v>
      </c>
      <c r="L104" s="6">
        <f t="shared" si="13"/>
        <v>0.27969334604944607</v>
      </c>
      <c r="M104" s="35">
        <f t="shared" si="14"/>
        <v>51492.712995793845</v>
      </c>
      <c r="N104" s="39">
        <f t="shared" si="15"/>
        <v>468.7685898037351</v>
      </c>
      <c r="O104" s="3">
        <f t="shared" si="16"/>
        <v>102985.42599158769</v>
      </c>
      <c r="P104" s="41">
        <f t="shared" si="17"/>
        <v>2.1528036686090913E-3</v>
      </c>
    </row>
    <row r="105" spans="1:16" x14ac:dyDescent="0.2">
      <c r="A105" s="14">
        <v>46083</v>
      </c>
      <c r="B105" s="21">
        <v>154.22</v>
      </c>
      <c r="C105" s="22">
        <v>1.72</v>
      </c>
      <c r="D105" s="11">
        <v>1.12786885245902E-2</v>
      </c>
      <c r="E105" s="2">
        <f t="shared" si="9"/>
        <v>338.24391719185877</v>
      </c>
      <c r="F105" s="12">
        <f t="shared" si="10"/>
        <v>0.72100511967002545</v>
      </c>
      <c r="G105" s="23">
        <f t="shared" si="11"/>
        <v>52163.976909328456</v>
      </c>
      <c r="H105" s="21">
        <v>398.55</v>
      </c>
      <c r="I105" s="22">
        <v>5.81</v>
      </c>
      <c r="J105" s="11">
        <v>1.4793502062433199E-2</v>
      </c>
      <c r="K105" s="3">
        <f t="shared" si="12"/>
        <v>130.88439821685725</v>
      </c>
      <c r="L105" s="6">
        <f t="shared" si="13"/>
        <v>0.27899488032997444</v>
      </c>
      <c r="M105" s="35">
        <f t="shared" si="14"/>
        <v>52163.976909328456</v>
      </c>
      <c r="N105" s="39">
        <f t="shared" si="15"/>
        <v>469.12831540871605</v>
      </c>
      <c r="O105" s="3">
        <f t="shared" si="16"/>
        <v>104327.95381865691</v>
      </c>
      <c r="P105" s="41">
        <f t="shared" si="17"/>
        <v>1.3036095293511581E-2</v>
      </c>
    </row>
    <row r="106" spans="1:16" x14ac:dyDescent="0.2">
      <c r="A106" s="14">
        <v>46084</v>
      </c>
      <c r="B106" s="21">
        <v>151.83000000000001</v>
      </c>
      <c r="C106" s="22">
        <v>-2.3899999999999899</v>
      </c>
      <c r="D106" s="11">
        <v>-1.54973414602515E-2</v>
      </c>
      <c r="E106" s="2">
        <f t="shared" si="9"/>
        <v>343.22501784553469</v>
      </c>
      <c r="F106" s="12">
        <f t="shared" si="10"/>
        <v>0.72680653519504823</v>
      </c>
      <c r="G106" s="23">
        <f t="shared" si="11"/>
        <v>52111.854459487535</v>
      </c>
      <c r="H106" s="21">
        <v>403.93</v>
      </c>
      <c r="I106" s="22">
        <v>5.38</v>
      </c>
      <c r="J106" s="11">
        <v>1.34989336344248E-2</v>
      </c>
      <c r="K106" s="3">
        <f t="shared" si="12"/>
        <v>129.01209234146395</v>
      </c>
      <c r="L106" s="6">
        <f t="shared" si="13"/>
        <v>0.27319346480495182</v>
      </c>
      <c r="M106" s="35">
        <f t="shared" si="14"/>
        <v>52111.854459487535</v>
      </c>
      <c r="N106" s="39">
        <f t="shared" si="15"/>
        <v>472.23711018699862</v>
      </c>
      <c r="O106" s="3">
        <f t="shared" si="16"/>
        <v>104223.70891897507</v>
      </c>
      <c r="P106" s="41">
        <f t="shared" si="17"/>
        <v>-9.9920391291331932E-4</v>
      </c>
    </row>
    <row r="107" spans="1:16" x14ac:dyDescent="0.2">
      <c r="A107" s="14">
        <v>46085</v>
      </c>
      <c r="B107" s="21">
        <v>149.82</v>
      </c>
      <c r="C107" s="22">
        <v>-2.0100000000000202</v>
      </c>
      <c r="D107" s="11">
        <v>-1.3238490416913801E-2</v>
      </c>
      <c r="E107" s="2">
        <f t="shared" si="9"/>
        <v>346.07419566940064</v>
      </c>
      <c r="F107" s="12">
        <f t="shared" si="10"/>
        <v>0.73006378148535189</v>
      </c>
      <c r="G107" s="23">
        <f t="shared" si="11"/>
        <v>51848.835995189598</v>
      </c>
      <c r="H107" s="21">
        <v>405.2</v>
      </c>
      <c r="I107" s="22">
        <v>1.26999999999998</v>
      </c>
      <c r="J107" s="11">
        <v>3.1441091278191298E-3</v>
      </c>
      <c r="K107" s="3">
        <f t="shared" si="12"/>
        <v>127.95862782623297</v>
      </c>
      <c r="L107" s="6">
        <f t="shared" si="13"/>
        <v>0.26993621851464811</v>
      </c>
      <c r="M107" s="35">
        <f t="shared" si="14"/>
        <v>51848.835995189598</v>
      </c>
      <c r="N107" s="39">
        <f t="shared" si="15"/>
        <v>474.03282349563358</v>
      </c>
      <c r="O107" s="3">
        <f t="shared" si="16"/>
        <v>103697.6719903792</v>
      </c>
      <c r="P107" s="41">
        <f t="shared" si="17"/>
        <v>-5.0471906445473114E-3</v>
      </c>
    </row>
    <row r="108" spans="1:16" x14ac:dyDescent="0.2">
      <c r="A108" s="14">
        <v>46086</v>
      </c>
      <c r="B108" s="21">
        <v>150.76</v>
      </c>
      <c r="C108" s="22">
        <v>0.93999999999999795</v>
      </c>
      <c r="D108" s="11">
        <v>6.2741957015084596E-3</v>
      </c>
      <c r="E108" s="2">
        <f t="shared" si="9"/>
        <v>347.32089086891813</v>
      </c>
      <c r="F108" s="12">
        <f t="shared" si="10"/>
        <v>0.73147620404673697</v>
      </c>
      <c r="G108" s="23">
        <f t="shared" si="11"/>
        <v>52362.097507398095</v>
      </c>
      <c r="H108" s="21">
        <v>410.68</v>
      </c>
      <c r="I108" s="22">
        <v>5.48000000000002</v>
      </c>
      <c r="J108" s="11">
        <v>1.3524185587364301E-2</v>
      </c>
      <c r="K108" s="3">
        <f t="shared" si="12"/>
        <v>127.50096792490039</v>
      </c>
      <c r="L108" s="6">
        <f t="shared" si="13"/>
        <v>0.26852379595326303</v>
      </c>
      <c r="M108" s="35">
        <f t="shared" si="14"/>
        <v>52362.097507398095</v>
      </c>
      <c r="N108" s="39">
        <f t="shared" si="15"/>
        <v>474.82185879381854</v>
      </c>
      <c r="O108" s="3">
        <f t="shared" si="16"/>
        <v>104724.19501479619</v>
      </c>
      <c r="P108" s="41">
        <f t="shared" si="17"/>
        <v>9.8991906444363814E-3</v>
      </c>
    </row>
    <row r="109" spans="1:16" x14ac:dyDescent="0.2">
      <c r="A109" s="14">
        <v>46087</v>
      </c>
      <c r="B109" s="21">
        <v>151.21</v>
      </c>
      <c r="C109" s="22">
        <v>0.450000000000017</v>
      </c>
      <c r="D109" s="11">
        <v>2.9848766250996101E-3</v>
      </c>
      <c r="E109" s="2">
        <f t="shared" si="9"/>
        <v>346.07892252779703</v>
      </c>
      <c r="F109" s="12">
        <f t="shared" si="10"/>
        <v>0.73006408768766629</v>
      </c>
      <c r="G109" s="23">
        <f t="shared" si="11"/>
        <v>52330.593875428189</v>
      </c>
      <c r="H109" s="21">
        <v>408.96</v>
      </c>
      <c r="I109" s="22">
        <v>-1.7200000000000299</v>
      </c>
      <c r="J109" s="11">
        <v>-4.1881757085809601E-3</v>
      </c>
      <c r="K109" s="3">
        <f t="shared" si="12"/>
        <v>127.96017672982245</v>
      </c>
      <c r="L109" s="6">
        <f t="shared" si="13"/>
        <v>0.26993591231233377</v>
      </c>
      <c r="M109" s="35">
        <f t="shared" si="14"/>
        <v>52330.593875428189</v>
      </c>
      <c r="N109" s="39">
        <f t="shared" si="15"/>
        <v>474.03909925761945</v>
      </c>
      <c r="O109" s="3">
        <f t="shared" si="16"/>
        <v>104661.18775085638</v>
      </c>
      <c r="P109" s="41">
        <f t="shared" si="17"/>
        <v>-6.0164954174067424E-4</v>
      </c>
    </row>
    <row r="110" spans="1:16" x14ac:dyDescent="0.2">
      <c r="A110" s="14">
        <v>46090</v>
      </c>
      <c r="B110" s="21">
        <v>150.44</v>
      </c>
      <c r="C110" s="22">
        <v>-0.77000000000001001</v>
      </c>
      <c r="D110" s="11">
        <v>-5.0922558031876904E-3</v>
      </c>
      <c r="E110" s="2">
        <f t="shared" si="9"/>
        <v>347.1559726802659</v>
      </c>
      <c r="F110" s="12">
        <f t="shared" si="10"/>
        <v>0.73128516566937574</v>
      </c>
      <c r="G110" s="23">
        <f t="shared" si="11"/>
        <v>52226.144530019199</v>
      </c>
      <c r="H110" s="21">
        <v>409.41</v>
      </c>
      <c r="I110" s="22">
        <v>0.45000000000004498</v>
      </c>
      <c r="J110" s="11">
        <v>1.10035211267617E-3</v>
      </c>
      <c r="K110" s="3">
        <f t="shared" si="12"/>
        <v>127.56440861244033</v>
      </c>
      <c r="L110" s="6">
        <f t="shared" si="13"/>
        <v>0.26871483433062426</v>
      </c>
      <c r="M110" s="35">
        <f t="shared" si="14"/>
        <v>52226.144530019199</v>
      </c>
      <c r="N110" s="39">
        <f t="shared" si="15"/>
        <v>474.72038129270624</v>
      </c>
      <c r="O110" s="3">
        <f t="shared" si="16"/>
        <v>104452.2890600384</v>
      </c>
      <c r="P110" s="41">
        <f t="shared" si="17"/>
        <v>-1.9959518452557427E-3</v>
      </c>
    </row>
    <row r="111" spans="1:16" x14ac:dyDescent="0.2">
      <c r="A111" s="14">
        <v>46091</v>
      </c>
      <c r="B111" s="21">
        <v>148.13</v>
      </c>
      <c r="C111" s="22">
        <v>-2.31</v>
      </c>
      <c r="D111" s="11">
        <v>-1.5354958787556499E-2</v>
      </c>
      <c r="E111" s="2">
        <f t="shared" si="9"/>
        <v>348.29119243810021</v>
      </c>
      <c r="F111" s="12">
        <f t="shared" si="10"/>
        <v>0.73256422755420758</v>
      </c>
      <c r="G111" s="23">
        <f t="shared" si="11"/>
        <v>51592.374335855784</v>
      </c>
      <c r="H111" s="21">
        <v>405.76</v>
      </c>
      <c r="I111" s="22">
        <v>-3.6500000000000301</v>
      </c>
      <c r="J111" s="11">
        <v>-8.9152683129382106E-3</v>
      </c>
      <c r="K111" s="3">
        <f t="shared" si="12"/>
        <v>127.14997618260988</v>
      </c>
      <c r="L111" s="6">
        <f t="shared" si="13"/>
        <v>0.26743577244579247</v>
      </c>
      <c r="M111" s="35">
        <f t="shared" si="14"/>
        <v>51592.374335855784</v>
      </c>
      <c r="N111" s="39">
        <f t="shared" si="15"/>
        <v>475.44116862071007</v>
      </c>
      <c r="O111" s="3">
        <f t="shared" si="16"/>
        <v>103184.74867171157</v>
      </c>
      <c r="P111" s="41">
        <f t="shared" si="17"/>
        <v>-1.2135113550247397E-2</v>
      </c>
    </row>
    <row r="112" spans="1:16" x14ac:dyDescent="0.2">
      <c r="A112" s="14">
        <v>46092</v>
      </c>
      <c r="B112" s="21">
        <v>151.58000000000001</v>
      </c>
      <c r="C112" s="22">
        <v>3.4500000000000202</v>
      </c>
      <c r="D112" s="11">
        <v>2.3290353068250998E-2</v>
      </c>
      <c r="E112" s="2">
        <f t="shared" si="9"/>
        <v>343.95850807026756</v>
      </c>
      <c r="F112" s="12">
        <f t="shared" si="10"/>
        <v>0.72759946806598852</v>
      </c>
      <c r="G112" s="23">
        <f t="shared" si="11"/>
        <v>52137.230653291161</v>
      </c>
      <c r="H112" s="21">
        <v>404.88</v>
      </c>
      <c r="I112" s="22">
        <v>-0.87999999999999501</v>
      </c>
      <c r="J112" s="11">
        <v>-2.1687697160883198E-3</v>
      </c>
      <c r="K112" s="3">
        <f t="shared" si="12"/>
        <v>128.7720575313455</v>
      </c>
      <c r="L112" s="6">
        <f t="shared" si="13"/>
        <v>0.27240053193401143</v>
      </c>
      <c r="M112" s="35">
        <f t="shared" si="14"/>
        <v>52137.230653291161</v>
      </c>
      <c r="N112" s="39">
        <f t="shared" si="15"/>
        <v>472.73056560161308</v>
      </c>
      <c r="O112" s="3">
        <f t="shared" si="16"/>
        <v>104274.46130658232</v>
      </c>
      <c r="P112" s="41">
        <f t="shared" si="17"/>
        <v>1.0560791676081309E-2</v>
      </c>
    </row>
    <row r="113" spans="1:16" x14ac:dyDescent="0.2">
      <c r="A113" s="14">
        <v>46093</v>
      </c>
      <c r="B113" s="21">
        <v>153.53</v>
      </c>
      <c r="C113" s="22">
        <v>1.94999999999999</v>
      </c>
      <c r="D113" s="11">
        <v>1.2864493996569399E-2</v>
      </c>
      <c r="E113" s="2">
        <f t="shared" si="9"/>
        <v>340.5076818327841</v>
      </c>
      <c r="F113" s="12">
        <f t="shared" si="10"/>
        <v>0.72356362195934387</v>
      </c>
      <c r="G113" s="23">
        <f t="shared" si="11"/>
        <v>52278.14439178734</v>
      </c>
      <c r="H113" s="21">
        <v>401.86</v>
      </c>
      <c r="I113" s="22">
        <v>-3.01999999999998</v>
      </c>
      <c r="J113" s="11">
        <v>-7.4590001975893602E-3</v>
      </c>
      <c r="K113" s="3">
        <f t="shared" si="12"/>
        <v>130.09044043146204</v>
      </c>
      <c r="L113" s="6">
        <f t="shared" si="13"/>
        <v>0.27643637804065607</v>
      </c>
      <c r="M113" s="35">
        <f t="shared" si="14"/>
        <v>52278.14439178734</v>
      </c>
      <c r="N113" s="39">
        <f t="shared" si="15"/>
        <v>470.59812226424617</v>
      </c>
      <c r="O113" s="3">
        <f t="shared" si="16"/>
        <v>104556.28878357468</v>
      </c>
      <c r="P113" s="41">
        <f t="shared" si="17"/>
        <v>2.7027468994900365E-3</v>
      </c>
    </row>
    <row r="114" spans="1:16" x14ac:dyDescent="0.2">
      <c r="A114" s="14">
        <v>46094</v>
      </c>
      <c r="B114" s="21">
        <v>156.12</v>
      </c>
      <c r="C114" s="22">
        <v>2.59</v>
      </c>
      <c r="D114" s="11">
        <v>1.6869667166026201E-2</v>
      </c>
      <c r="E114" s="2">
        <f t="shared" si="9"/>
        <v>335.0542307212371</v>
      </c>
      <c r="F114" s="12">
        <f t="shared" si="10"/>
        <v>0.71700473108923812</v>
      </c>
      <c r="G114" s="23">
        <f t="shared" si="11"/>
        <v>52308.666500199535</v>
      </c>
      <c r="H114" s="21">
        <v>395.55</v>
      </c>
      <c r="I114" s="22">
        <v>-6.31</v>
      </c>
      <c r="J114" s="11">
        <v>-1.5701985766187199E-2</v>
      </c>
      <c r="K114" s="3">
        <f t="shared" si="12"/>
        <v>132.24286815876511</v>
      </c>
      <c r="L114" s="6">
        <f t="shared" si="13"/>
        <v>0.28299526891076188</v>
      </c>
      <c r="M114" s="35">
        <f t="shared" si="14"/>
        <v>52308.666500199535</v>
      </c>
      <c r="N114" s="39">
        <f t="shared" si="15"/>
        <v>467.29709888000218</v>
      </c>
      <c r="O114" s="3">
        <f t="shared" si="16"/>
        <v>104617.33300039907</v>
      </c>
      <c r="P114" s="41">
        <f t="shared" si="17"/>
        <v>5.8384069991952172E-4</v>
      </c>
    </row>
    <row r="115" spans="1:16" x14ac:dyDescent="0.2">
      <c r="A115" s="14">
        <v>46097</v>
      </c>
      <c r="B115" s="21">
        <v>157.22999999999999</v>
      </c>
      <c r="C115" s="22">
        <v>1.1099999999999901</v>
      </c>
      <c r="D115" s="11">
        <v>7.1099154496540203E-3</v>
      </c>
      <c r="E115" s="2">
        <f t="shared" si="9"/>
        <v>335.72190999299823</v>
      </c>
      <c r="F115" s="12">
        <f t="shared" si="10"/>
        <v>0.71781112028428873</v>
      </c>
      <c r="G115" s="23">
        <f t="shared" si="11"/>
        <v>52785.555908199109</v>
      </c>
      <c r="H115" s="21">
        <v>399.95</v>
      </c>
      <c r="I115" s="22">
        <v>4.3999999999999799</v>
      </c>
      <c r="J115" s="11">
        <v>1.1123751738086199E-2</v>
      </c>
      <c r="K115" s="3">
        <f t="shared" si="12"/>
        <v>131.98038731891265</v>
      </c>
      <c r="L115" s="6">
        <f t="shared" si="13"/>
        <v>0.28218887971571127</v>
      </c>
      <c r="M115" s="35">
        <f t="shared" si="14"/>
        <v>52785.555908199109</v>
      </c>
      <c r="N115" s="39">
        <f t="shared" si="15"/>
        <v>467.70229731191091</v>
      </c>
      <c r="O115" s="3">
        <f t="shared" si="16"/>
        <v>105571.11181639822</v>
      </c>
      <c r="P115" s="41">
        <f t="shared" si="17"/>
        <v>9.1168335938702303E-3</v>
      </c>
    </row>
    <row r="116" spans="1:16" x14ac:dyDescent="0.2">
      <c r="A116" s="14">
        <v>46098</v>
      </c>
      <c r="B116" s="21">
        <v>158.81</v>
      </c>
      <c r="C116" s="22">
        <v>1.5800000000000101</v>
      </c>
      <c r="D116" s="11">
        <v>1.0048972842333E-2</v>
      </c>
      <c r="E116" s="2">
        <f t="shared" si="9"/>
        <v>333.82747630827703</v>
      </c>
      <c r="F116" s="12">
        <f t="shared" si="10"/>
        <v>0.71550643115617496</v>
      </c>
      <c r="G116" s="23">
        <f t="shared" si="11"/>
        <v>53015.141512517475</v>
      </c>
      <c r="H116" s="21">
        <v>399.41</v>
      </c>
      <c r="I116" s="22">
        <v>-0.53999999999996395</v>
      </c>
      <c r="J116" s="11">
        <v>-1.3501687710963E-3</v>
      </c>
      <c r="K116" s="3">
        <f t="shared" si="12"/>
        <v>132.73363589423769</v>
      </c>
      <c r="L116" s="6">
        <f t="shared" si="13"/>
        <v>0.28449356884382504</v>
      </c>
      <c r="M116" s="35">
        <f t="shared" si="14"/>
        <v>53015.141512517475</v>
      </c>
      <c r="N116" s="39">
        <f t="shared" si="15"/>
        <v>466.56111220251472</v>
      </c>
      <c r="O116" s="3">
        <f t="shared" si="16"/>
        <v>106030.28302503495</v>
      </c>
      <c r="P116" s="41">
        <f t="shared" si="17"/>
        <v>4.349402035618336E-3</v>
      </c>
    </row>
    <row r="117" spans="1:16" x14ac:dyDescent="0.2">
      <c r="A117" s="14">
        <v>46099</v>
      </c>
      <c r="B117" s="21">
        <v>157.59</v>
      </c>
      <c r="C117" s="22">
        <v>-1.22</v>
      </c>
      <c r="D117" s="11">
        <v>-7.68213588564951E-3</v>
      </c>
      <c r="E117" s="2">
        <f t="shared" si="9"/>
        <v>331.91060092145688</v>
      </c>
      <c r="F117" s="12">
        <f t="shared" si="10"/>
        <v>0.71314936837889986</v>
      </c>
      <c r="G117" s="23">
        <f t="shared" si="11"/>
        <v>52305.791599212389</v>
      </c>
      <c r="H117" s="21">
        <v>391.79</v>
      </c>
      <c r="I117" s="22">
        <v>-7.62</v>
      </c>
      <c r="J117" s="11">
        <v>-1.90781402568789E-2</v>
      </c>
      <c r="K117" s="3">
        <f t="shared" si="12"/>
        <v>133.50466218946983</v>
      </c>
      <c r="L117" s="6">
        <f t="shared" si="13"/>
        <v>0.28685063162110008</v>
      </c>
      <c r="M117" s="35">
        <f t="shared" si="14"/>
        <v>52305.791599212389</v>
      </c>
      <c r="N117" s="39">
        <f t="shared" si="15"/>
        <v>465.41526311092673</v>
      </c>
      <c r="O117" s="3">
        <f t="shared" si="16"/>
        <v>104611.58319842478</v>
      </c>
      <c r="P117" s="41">
        <f t="shared" si="17"/>
        <v>-1.3380138071264052E-2</v>
      </c>
    </row>
    <row r="118" spans="1:16" x14ac:dyDescent="0.2">
      <c r="A118" s="14">
        <v>46100</v>
      </c>
      <c r="B118" s="21">
        <v>158.16</v>
      </c>
      <c r="C118" s="22">
        <v>0.56999999999999296</v>
      </c>
      <c r="D118" s="11">
        <v>3.6169807728916401E-3</v>
      </c>
      <c r="E118" s="2">
        <f t="shared" si="9"/>
        <v>330.14341276771989</v>
      </c>
      <c r="F118" s="12">
        <f t="shared" si="10"/>
        <v>0.71095434774662813</v>
      </c>
      <c r="G118" s="23">
        <f t="shared" si="11"/>
        <v>52215.482163342582</v>
      </c>
      <c r="H118" s="21">
        <v>389.02</v>
      </c>
      <c r="I118" s="22">
        <v>-2.77000000000004</v>
      </c>
      <c r="J118" s="11">
        <v>-7.0701140917329101E-3</v>
      </c>
      <c r="K118" s="3">
        <f t="shared" si="12"/>
        <v>134.22313033608191</v>
      </c>
      <c r="L118" s="6">
        <f t="shared" si="13"/>
        <v>0.28904565225337187</v>
      </c>
      <c r="M118" s="35">
        <f t="shared" si="14"/>
        <v>52215.482163342582</v>
      </c>
      <c r="N118" s="39">
        <f t="shared" si="15"/>
        <v>464.3665431038018</v>
      </c>
      <c r="O118" s="3">
        <f t="shared" si="16"/>
        <v>104430.96432668516</v>
      </c>
      <c r="P118" s="41">
        <f t="shared" si="17"/>
        <v>-1.7265666594206953E-3</v>
      </c>
    </row>
    <row r="119" spans="1:16" x14ac:dyDescent="0.2">
      <c r="A119" s="14">
        <v>46101</v>
      </c>
      <c r="B119" s="21">
        <v>159.66999999999999</v>
      </c>
      <c r="C119" s="22">
        <v>1.50999999999999</v>
      </c>
      <c r="D119" s="11">
        <v>9.5472938796155194E-3</v>
      </c>
      <c r="E119" s="2">
        <f t="shared" si="9"/>
        <v>325.57708241392072</v>
      </c>
      <c r="F119" s="12">
        <f t="shared" si="10"/>
        <v>0.7051556671714001</v>
      </c>
      <c r="G119" s="23">
        <f t="shared" si="11"/>
        <v>51984.892749030718</v>
      </c>
      <c r="H119" s="21">
        <v>381.87</v>
      </c>
      <c r="I119" s="22">
        <v>-7.1499999999999799</v>
      </c>
      <c r="J119" s="11">
        <v>-1.83795177625828E-2</v>
      </c>
      <c r="K119" s="3">
        <f t="shared" si="12"/>
        <v>136.1324344646888</v>
      </c>
      <c r="L119" s="6">
        <f t="shared" si="13"/>
        <v>0.2948443328285999</v>
      </c>
      <c r="M119" s="35">
        <f t="shared" si="14"/>
        <v>51984.892749030718</v>
      </c>
      <c r="N119" s="39">
        <f t="shared" si="15"/>
        <v>461.70951687860952</v>
      </c>
      <c r="O119" s="3">
        <f t="shared" si="16"/>
        <v>103969.78549806144</v>
      </c>
      <c r="P119" s="41">
        <f t="shared" si="17"/>
        <v>-4.4161119414836544E-3</v>
      </c>
    </row>
    <row r="120" spans="1:16" x14ac:dyDescent="0.2">
      <c r="A120" s="14">
        <v>46104</v>
      </c>
      <c r="B120" s="21">
        <v>161.13</v>
      </c>
      <c r="C120" s="22">
        <v>1.46000000000001</v>
      </c>
      <c r="D120" s="11">
        <v>9.1438592096198899E-3</v>
      </c>
      <c r="E120" s="2">
        <f t="shared" si="9"/>
        <v>324.57940076128239</v>
      </c>
      <c r="F120" s="12">
        <f t="shared" si="10"/>
        <v>0.70387591200632205</v>
      </c>
      <c r="G120" s="23">
        <f t="shared" si="11"/>
        <v>52299.478844665427</v>
      </c>
      <c r="H120" s="21">
        <v>383</v>
      </c>
      <c r="I120" s="22">
        <v>1.1299999999999999</v>
      </c>
      <c r="J120" s="11">
        <v>2.9591222143661301E-3</v>
      </c>
      <c r="K120" s="3">
        <f t="shared" si="12"/>
        <v>136.55216408528833</v>
      </c>
      <c r="L120" s="6">
        <f t="shared" si="13"/>
        <v>0.29612408799367795</v>
      </c>
      <c r="M120" s="35">
        <f t="shared" si="14"/>
        <v>52299.478844665427</v>
      </c>
      <c r="N120" s="39">
        <f t="shared" si="15"/>
        <v>461.13156484657071</v>
      </c>
      <c r="O120" s="3">
        <f t="shared" si="16"/>
        <v>104598.95768933085</v>
      </c>
      <c r="P120" s="41">
        <f t="shared" si="17"/>
        <v>6.0514907119929616E-3</v>
      </c>
    </row>
    <row r="121" spans="1:16" x14ac:dyDescent="0.2">
      <c r="A121" s="14">
        <v>46105</v>
      </c>
      <c r="B121" s="21">
        <v>165.38</v>
      </c>
      <c r="C121" s="22">
        <v>4.25</v>
      </c>
      <c r="D121" s="11">
        <v>2.6376217960652901E-2</v>
      </c>
      <c r="E121" s="2">
        <f t="shared" si="9"/>
        <v>316.17304069129051</v>
      </c>
      <c r="F121" s="12">
        <f t="shared" si="10"/>
        <v>0.69267077975172819</v>
      </c>
      <c r="G121" s="23">
        <f t="shared" si="11"/>
        <v>52288.697469525621</v>
      </c>
      <c r="H121" s="21">
        <v>372.74</v>
      </c>
      <c r="I121" s="22">
        <v>-10.26</v>
      </c>
      <c r="J121" s="11">
        <v>-2.67885117493472E-2</v>
      </c>
      <c r="K121" s="3">
        <f t="shared" si="12"/>
        <v>140.28195919280361</v>
      </c>
      <c r="L121" s="6">
        <f t="shared" si="13"/>
        <v>0.3073292202482717</v>
      </c>
      <c r="M121" s="35">
        <f t="shared" si="14"/>
        <v>52288.697469525621</v>
      </c>
      <c r="N121" s="39">
        <f t="shared" si="15"/>
        <v>456.45499988409415</v>
      </c>
      <c r="O121" s="3">
        <f t="shared" si="16"/>
        <v>104577.39493905124</v>
      </c>
      <c r="P121" s="41">
        <f t="shared" si="17"/>
        <v>-2.0614689434722525E-4</v>
      </c>
    </row>
    <row r="122" spans="1:16" x14ac:dyDescent="0.2">
      <c r="A122" s="14">
        <v>46106</v>
      </c>
      <c r="B122" s="21">
        <v>163.26</v>
      </c>
      <c r="C122" s="22">
        <v>-2.12</v>
      </c>
      <c r="D122" s="11">
        <v>-1.28189623896481E-2</v>
      </c>
      <c r="E122" s="2">
        <f t="shared" si="9"/>
        <v>317.49549418766981</v>
      </c>
      <c r="F122" s="12">
        <f t="shared" si="10"/>
        <v>0.6944413250982594</v>
      </c>
      <c r="G122" s="23">
        <f t="shared" si="11"/>
        <v>51834.31438107897</v>
      </c>
      <c r="H122" s="21">
        <v>371.04</v>
      </c>
      <c r="I122" s="22">
        <v>-1.69999999999999</v>
      </c>
      <c r="J122" s="11">
        <v>-4.5608198744432797E-3</v>
      </c>
      <c r="K122" s="3">
        <f t="shared" si="12"/>
        <v>139.70007110036374</v>
      </c>
      <c r="L122" s="6">
        <f t="shared" si="13"/>
        <v>0.30555867490174055</v>
      </c>
      <c r="M122" s="35">
        <f t="shared" si="14"/>
        <v>51834.31438107897</v>
      </c>
      <c r="N122" s="39">
        <f t="shared" si="15"/>
        <v>457.19556528803355</v>
      </c>
      <c r="O122" s="3">
        <f t="shared" si="16"/>
        <v>103668.62876215794</v>
      </c>
      <c r="P122" s="41">
        <f t="shared" si="17"/>
        <v>-8.6898911320457076E-3</v>
      </c>
    </row>
    <row r="123" spans="1:16" x14ac:dyDescent="0.2">
      <c r="A123" s="14">
        <v>46107</v>
      </c>
      <c r="B123" s="21">
        <v>165.43</v>
      </c>
      <c r="C123" s="22">
        <v>2.1700000000000199</v>
      </c>
      <c r="D123" s="11">
        <v>1.32916819796644E-2</v>
      </c>
      <c r="E123" s="2">
        <f t="shared" si="9"/>
        <v>313.27242526768526</v>
      </c>
      <c r="F123" s="12">
        <f t="shared" si="10"/>
        <v>0.68869025216409485</v>
      </c>
      <c r="G123" s="23">
        <f t="shared" si="11"/>
        <v>51824.657312033174</v>
      </c>
      <c r="H123" s="21">
        <v>365.97</v>
      </c>
      <c r="I123" s="22">
        <v>-5.0699999999999896</v>
      </c>
      <c r="J123" s="11">
        <v>-1.36642949547218E-2</v>
      </c>
      <c r="K123" s="3">
        <f t="shared" si="12"/>
        <v>141.60903164749342</v>
      </c>
      <c r="L123" s="6">
        <f t="shared" si="13"/>
        <v>0.31130974783590515</v>
      </c>
      <c r="M123" s="35">
        <f t="shared" si="14"/>
        <v>51824.657312033174</v>
      </c>
      <c r="N123" s="39">
        <f t="shared" si="15"/>
        <v>454.88145691517866</v>
      </c>
      <c r="O123" s="3">
        <f t="shared" si="16"/>
        <v>103649.31462406635</v>
      </c>
      <c r="P123" s="41">
        <f t="shared" si="17"/>
        <v>-1.8630648752867004E-4</v>
      </c>
    </row>
    <row r="124" spans="1:16" x14ac:dyDescent="0.2">
      <c r="A124" s="14">
        <v>46108</v>
      </c>
      <c r="B124" s="21">
        <v>170.99</v>
      </c>
      <c r="C124" s="22">
        <v>5.56</v>
      </c>
      <c r="D124" s="11">
        <v>3.3609381611557798E-2</v>
      </c>
      <c r="E124" s="2">
        <f t="shared" si="9"/>
        <v>304.36957195566328</v>
      </c>
      <c r="F124" s="12">
        <f t="shared" si="10"/>
        <v>0.67600803395482789</v>
      </c>
      <c r="G124" s="23">
        <f t="shared" si="11"/>
        <v>52044.153108698869</v>
      </c>
      <c r="H124" s="21">
        <v>356.77</v>
      </c>
      <c r="I124" s="22">
        <v>-9.2000000000000508</v>
      </c>
      <c r="J124" s="11">
        <v>-2.5138672568789901E-2</v>
      </c>
      <c r="K124" s="3">
        <f t="shared" si="12"/>
        <v>145.8759231681444</v>
      </c>
      <c r="L124" s="6">
        <f t="shared" si="13"/>
        <v>0.32399196604517211</v>
      </c>
      <c r="M124" s="35">
        <f t="shared" si="14"/>
        <v>52044.153108698869</v>
      </c>
      <c r="N124" s="39">
        <f t="shared" si="15"/>
        <v>450.2454951238077</v>
      </c>
      <c r="O124" s="3">
        <f t="shared" si="16"/>
        <v>104088.30621739774</v>
      </c>
      <c r="P124" s="41">
        <f t="shared" si="17"/>
        <v>4.2353545213839753E-3</v>
      </c>
    </row>
    <row r="125" spans="1:16" x14ac:dyDescent="0.2">
      <c r="A125" s="14">
        <v>46111</v>
      </c>
      <c r="B125" s="21">
        <v>171.47</v>
      </c>
      <c r="C125" s="22">
        <v>0.47999999999998999</v>
      </c>
      <c r="D125" s="11">
        <v>2.8071817065324898E-3</v>
      </c>
      <c r="E125" s="2">
        <f t="shared" si="9"/>
        <v>304.87511484129789</v>
      </c>
      <c r="F125" s="12">
        <f t="shared" si="10"/>
        <v>0.67673397055219342</v>
      </c>
      <c r="G125" s="23">
        <f t="shared" si="11"/>
        <v>52276.93594183735</v>
      </c>
      <c r="H125" s="21">
        <v>358.96</v>
      </c>
      <c r="I125" s="22">
        <v>2.19</v>
      </c>
      <c r="J125" s="11">
        <v>6.1384084984724002E-3</v>
      </c>
      <c r="K125" s="3">
        <f t="shared" si="12"/>
        <v>145.63443264385268</v>
      </c>
      <c r="L125" s="6">
        <f t="shared" si="13"/>
        <v>0.32326602944780652</v>
      </c>
      <c r="M125" s="35">
        <f t="shared" si="14"/>
        <v>52276.93594183735</v>
      </c>
      <c r="N125" s="39">
        <f t="shared" si="15"/>
        <v>450.50954748515056</v>
      </c>
      <c r="O125" s="3">
        <f t="shared" si="16"/>
        <v>104553.8718836747</v>
      </c>
      <c r="P125" s="41">
        <f t="shared" si="17"/>
        <v>4.4727951025025428E-3</v>
      </c>
    </row>
    <row r="126" spans="1:16" x14ac:dyDescent="0.2">
      <c r="A126" s="14">
        <v>46112</v>
      </c>
      <c r="B126" s="21">
        <v>169.66</v>
      </c>
      <c r="C126" s="22">
        <v>-1.81</v>
      </c>
      <c r="D126" s="11">
        <v>-1.05557823525981E-2</v>
      </c>
      <c r="E126" s="2">
        <f t="shared" si="9"/>
        <v>311.31265447291509</v>
      </c>
      <c r="F126" s="12">
        <f t="shared" si="10"/>
        <v>0.68571587351573637</v>
      </c>
      <c r="G126" s="23">
        <f t="shared" si="11"/>
        <v>52817.304957874774</v>
      </c>
      <c r="H126" s="21">
        <v>370.17</v>
      </c>
      <c r="I126" s="22">
        <v>11.21</v>
      </c>
      <c r="J126" s="11">
        <v>3.1229106307109501E-2</v>
      </c>
      <c r="K126" s="3">
        <f t="shared" si="12"/>
        <v>142.68391538448489</v>
      </c>
      <c r="L126" s="6">
        <f t="shared" si="13"/>
        <v>0.31428412648426352</v>
      </c>
      <c r="M126" s="35">
        <f t="shared" si="14"/>
        <v>52817.304957874774</v>
      </c>
      <c r="N126" s="39">
        <f t="shared" si="15"/>
        <v>453.9965698574</v>
      </c>
      <c r="O126" s="3">
        <f t="shared" si="16"/>
        <v>105634.60991574955</v>
      </c>
      <c r="P126" s="41">
        <f t="shared" si="17"/>
        <v>1.0336661977255746E-2</v>
      </c>
    </row>
    <row r="127" spans="1:16" x14ac:dyDescent="0.2">
      <c r="A127" s="15">
        <v>46113</v>
      </c>
      <c r="B127" s="24">
        <v>160.78</v>
      </c>
      <c r="C127" s="25">
        <v>-8.8800000000000008</v>
      </c>
      <c r="D127" s="26">
        <v>-5.2339974065778602E-2</v>
      </c>
      <c r="E127" s="27">
        <f t="shared" si="9"/>
        <v>319.55469091840553</v>
      </c>
      <c r="F127" s="28">
        <f t="shared" si="10"/>
        <v>0.69672734131849479</v>
      </c>
      <c r="G127" s="29">
        <f t="shared" si="11"/>
        <v>51378.003205861241</v>
      </c>
      <c r="H127" s="24">
        <v>369.37</v>
      </c>
      <c r="I127" s="25">
        <v>-0.80000000000001104</v>
      </c>
      <c r="J127" s="26">
        <v>-2.16116919253319E-3</v>
      </c>
      <c r="K127" s="36">
        <f t="shared" si="12"/>
        <v>139.09630778314764</v>
      </c>
      <c r="L127" s="37">
        <f t="shared" si="13"/>
        <v>0.30327265868150527</v>
      </c>
      <c r="M127" s="38">
        <f t="shared" si="14"/>
        <v>51378.003205861241</v>
      </c>
      <c r="N127" s="42">
        <f t="shared" si="15"/>
        <v>458.65099870155314</v>
      </c>
      <c r="O127" s="36">
        <f t="shared" si="16"/>
        <v>102756.00641172248</v>
      </c>
      <c r="P127" s="43">
        <f t="shared" si="17"/>
        <v>-2.7250571629155809E-2</v>
      </c>
    </row>
    <row r="128" spans="1:16" x14ac:dyDescent="0.2">
      <c r="C128" s="61" t="s">
        <v>28</v>
      </c>
      <c r="I128" s="61" t="s">
        <v>15</v>
      </c>
      <c r="O128" s="61" t="s">
        <v>19</v>
      </c>
      <c r="P128" s="13"/>
    </row>
    <row r="129" spans="1:21" x14ac:dyDescent="0.2">
      <c r="C129" s="57" t="s">
        <v>14</v>
      </c>
      <c r="D129" s="66">
        <f>STDEV(D4:D127)</f>
        <v>1.5359891946215317E-2</v>
      </c>
      <c r="I129" s="57" t="s">
        <v>14</v>
      </c>
      <c r="J129" s="66">
        <f>STDEV(J4:J127)</f>
        <v>1.688041024345199E-2</v>
      </c>
      <c r="L129" s="62" t="s">
        <v>20</v>
      </c>
      <c r="M129" s="63">
        <f>CORREL(D4:D127,J4:J127)</f>
        <v>-0.18431301625893881</v>
      </c>
      <c r="O129" s="57" t="s">
        <v>14</v>
      </c>
      <c r="P129" s="66">
        <f>STDEV(P4:P127)</f>
        <v>1.0311361476691379E-2</v>
      </c>
    </row>
    <row r="130" spans="1:21" x14ac:dyDescent="0.2">
      <c r="C130" s="59" t="s">
        <v>16</v>
      </c>
      <c r="D130" s="67">
        <f>_xlfn.VAR.S(D4:D127)</f>
        <v>2.3592628059941013E-4</v>
      </c>
      <c r="E130" s="4"/>
      <c r="I130" s="59" t="s">
        <v>16</v>
      </c>
      <c r="J130" s="67">
        <f>_xlfn.VAR.S(J4:J127)</f>
        <v>2.849482499872389E-4</v>
      </c>
      <c r="O130" s="59" t="s">
        <v>16</v>
      </c>
      <c r="P130" s="67">
        <f>_xlfn.VAR.S(P4:P127)</f>
        <v>1.06324175502995E-4</v>
      </c>
      <c r="Q130" s="7"/>
    </row>
    <row r="131" spans="1:21" x14ac:dyDescent="0.2">
      <c r="C131" s="60" t="s">
        <v>17</v>
      </c>
      <c r="D131" s="68">
        <f>AVERAGE(D4:D127)</f>
        <v>3.0883995714037654E-3</v>
      </c>
      <c r="I131" s="60" t="s">
        <v>17</v>
      </c>
      <c r="J131" s="68">
        <f>AVERAGE(J4:J127)</f>
        <v>-2.5438817435686641E-3</v>
      </c>
      <c r="O131" s="60" t="s">
        <v>17</v>
      </c>
      <c r="P131" s="68">
        <f>AVERAGE(P4:P127)</f>
        <v>2.7225891391755177E-4</v>
      </c>
    </row>
    <row r="133" spans="1:21" x14ac:dyDescent="0.2">
      <c r="A133" s="8" t="s">
        <v>22</v>
      </c>
      <c r="B133" s="9">
        <v>95</v>
      </c>
      <c r="C133" s="5">
        <v>99</v>
      </c>
      <c r="D133" s="5">
        <v>99.5</v>
      </c>
      <c r="G133" s="8" t="s">
        <v>22</v>
      </c>
      <c r="H133" s="9">
        <v>95</v>
      </c>
      <c r="I133" s="5">
        <v>99</v>
      </c>
      <c r="J133" s="5">
        <v>99.5</v>
      </c>
      <c r="M133" s="8" t="s">
        <v>22</v>
      </c>
      <c r="N133" s="9">
        <v>95</v>
      </c>
      <c r="O133" s="5">
        <v>99</v>
      </c>
      <c r="P133" s="5">
        <v>99.5</v>
      </c>
    </row>
    <row r="134" spans="1:21" x14ac:dyDescent="0.2">
      <c r="A134" s="8" t="s">
        <v>27</v>
      </c>
      <c r="B134">
        <v>1.64</v>
      </c>
      <c r="C134">
        <v>2.33</v>
      </c>
      <c r="D134" s="5">
        <v>2.58</v>
      </c>
      <c r="G134" s="8" t="s">
        <v>27</v>
      </c>
      <c r="H134">
        <v>1.64</v>
      </c>
      <c r="I134">
        <v>2.33</v>
      </c>
      <c r="J134" s="5">
        <v>2.58</v>
      </c>
      <c r="M134" s="8" t="s">
        <v>27</v>
      </c>
      <c r="N134">
        <v>1.64</v>
      </c>
      <c r="O134">
        <v>2.33</v>
      </c>
      <c r="P134" s="5">
        <v>2.58</v>
      </c>
    </row>
    <row r="135" spans="1:21" x14ac:dyDescent="0.2">
      <c r="A135" s="5"/>
      <c r="B135" s="3"/>
      <c r="C135" s="3"/>
      <c r="D135" s="3"/>
      <c r="H135" s="3"/>
      <c r="I135" s="3"/>
      <c r="J135" s="3"/>
      <c r="M135" s="5"/>
      <c r="N135" s="3"/>
      <c r="O135" s="3"/>
      <c r="P135" s="3"/>
    </row>
    <row r="136" spans="1:21" x14ac:dyDescent="0.2">
      <c r="A136" s="5"/>
      <c r="D136" s="4"/>
    </row>
    <row r="138" spans="1:21" x14ac:dyDescent="0.2">
      <c r="A138" s="57" t="s">
        <v>21</v>
      </c>
      <c r="B138" s="64"/>
      <c r="C138" s="64"/>
      <c r="D138" s="58" t="s">
        <v>24</v>
      </c>
      <c r="G138" s="57" t="s">
        <v>21</v>
      </c>
      <c r="H138" s="64"/>
      <c r="I138" s="64"/>
      <c r="J138" s="58" t="s">
        <v>24</v>
      </c>
      <c r="M138" s="57" t="s">
        <v>25</v>
      </c>
      <c r="N138" s="64"/>
      <c r="O138" s="64"/>
      <c r="P138" s="58" t="s">
        <v>24</v>
      </c>
      <c r="R138" s="57" t="s">
        <v>26</v>
      </c>
      <c r="S138" s="64"/>
      <c r="T138" s="64"/>
      <c r="U138" s="65"/>
    </row>
    <row r="139" spans="1:21" x14ac:dyDescent="0.2">
      <c r="A139" s="59"/>
      <c r="B139" s="117" t="s">
        <v>22</v>
      </c>
      <c r="C139" s="117"/>
      <c r="D139" s="118"/>
      <c r="G139" s="59"/>
      <c r="H139" s="117" t="s">
        <v>22</v>
      </c>
      <c r="I139" s="117"/>
      <c r="J139" s="118"/>
      <c r="M139" s="59"/>
      <c r="N139" s="117" t="s">
        <v>22</v>
      </c>
      <c r="O139" s="117"/>
      <c r="P139" s="118"/>
      <c r="R139" s="59"/>
      <c r="S139" s="117" t="s">
        <v>22</v>
      </c>
      <c r="T139" s="117"/>
      <c r="U139" s="118"/>
    </row>
    <row r="140" spans="1:21" x14ac:dyDescent="0.2">
      <c r="A140" s="59" t="s">
        <v>23</v>
      </c>
      <c r="B140">
        <v>95</v>
      </c>
      <c r="C140" s="74">
        <v>99</v>
      </c>
      <c r="D140" s="75">
        <v>99.5</v>
      </c>
      <c r="E140" s="73"/>
      <c r="F140" s="73"/>
      <c r="G140" s="59" t="s">
        <v>23</v>
      </c>
      <c r="H140">
        <v>95</v>
      </c>
      <c r="I140" s="74">
        <v>99</v>
      </c>
      <c r="J140" s="75">
        <v>99.5</v>
      </c>
      <c r="M140" s="59" t="s">
        <v>23</v>
      </c>
      <c r="N140">
        <v>95</v>
      </c>
      <c r="O140" s="74">
        <v>99</v>
      </c>
      <c r="P140" s="75">
        <v>99.5</v>
      </c>
      <c r="R140" s="59" t="s">
        <v>23</v>
      </c>
      <c r="S140">
        <v>95</v>
      </c>
      <c r="T140" s="74">
        <v>99</v>
      </c>
      <c r="U140" s="75">
        <v>99.5</v>
      </c>
    </row>
    <row r="141" spans="1:21" x14ac:dyDescent="0.2">
      <c r="A141" s="59">
        <v>1</v>
      </c>
      <c r="B141" s="69">
        <f>$G$127*(-$D$131*$A141+B$134*$D$129*SQRT($A141))</f>
        <v>1135.5475442725426</v>
      </c>
      <c r="C141" s="69">
        <f t="shared" ref="C141:D156" si="18">$G$127*(-$D$131*$A141+C$134*$D$129*SQRT($A141))</f>
        <v>1680.0683428540324</v>
      </c>
      <c r="D141" s="70">
        <f t="shared" si="18"/>
        <v>1877.3584872676156</v>
      </c>
      <c r="E141" s="73"/>
      <c r="F141" s="73"/>
      <c r="G141" s="59">
        <v>1</v>
      </c>
      <c r="H141" s="69">
        <f>$M$127*(-$J$131*$G141+H$134*$J$129*SQRT($G141))</f>
        <v>1553.0416698075026</v>
      </c>
      <c r="I141" s="69">
        <f t="shared" ref="I141:J156" si="19">$M$127*(-$J$131*$G141+I$134*$J$129*SQRT($G141))</f>
        <v>2151.4660922144899</v>
      </c>
      <c r="J141" s="70">
        <f t="shared" si="19"/>
        <v>2368.2865351155724</v>
      </c>
      <c r="M141" s="59">
        <v>1</v>
      </c>
      <c r="N141" s="69">
        <f>$O$127*(-$P$131*$M141+N$134*$P$129*SQRT($M141))</f>
        <v>1709.6928559563189</v>
      </c>
      <c r="O141" s="69">
        <f t="shared" ref="O141:P156" si="20">$O$127*(-$P$131*$M141+O$134*$P$129*SQRT($M141))</f>
        <v>2440.7853409049358</v>
      </c>
      <c r="P141" s="70">
        <f t="shared" si="20"/>
        <v>2705.6739224080575</v>
      </c>
      <c r="R141" s="59">
        <v>1</v>
      </c>
      <c r="S141" s="69">
        <f>B141+H141-N141</f>
        <v>978.89635812372626</v>
      </c>
      <c r="T141" s="69">
        <f t="shared" ref="T141:U156" si="21">C141+I141-O141</f>
        <v>1390.7490941635865</v>
      </c>
      <c r="U141" s="70">
        <f t="shared" si="21"/>
        <v>1539.9710999751305</v>
      </c>
    </row>
    <row r="142" spans="1:21" x14ac:dyDescent="0.2">
      <c r="A142" s="59">
        <v>2</v>
      </c>
      <c r="B142" s="69">
        <f t="shared" ref="B142:D173" si="22">$G$127*(-$D$131*$A142+B$134*$D$129*SQRT($A142))</f>
        <v>1512.9566044055412</v>
      </c>
      <c r="C142" s="69">
        <f t="shared" si="18"/>
        <v>2283.0253027537119</v>
      </c>
      <c r="D142" s="70">
        <f t="shared" si="18"/>
        <v>2562.0357007059479</v>
      </c>
      <c r="E142" s="73"/>
      <c r="F142" s="73"/>
      <c r="G142" s="59">
        <v>2</v>
      </c>
      <c r="H142" s="69">
        <f t="shared" ref="H142:J173" si="23">$M$127*(-$J$131*$G142+H$134*$J$129*SQRT($G142))</f>
        <v>2272.8946245877696</v>
      </c>
      <c r="I142" s="69">
        <f t="shared" si="19"/>
        <v>3119.194558811017</v>
      </c>
      <c r="J142" s="70">
        <f t="shared" si="19"/>
        <v>3425.8249697614692</v>
      </c>
      <c r="M142" s="59">
        <v>2</v>
      </c>
      <c r="N142" s="69">
        <f t="shared" ref="N142:P173" si="24">$O$127*(-$P$131*$M142+N$134*$P$129*SQRT($M142))</f>
        <v>2401.4827231771064</v>
      </c>
      <c r="O142" s="69">
        <f t="shared" si="20"/>
        <v>3435.4036307404886</v>
      </c>
      <c r="P142" s="70">
        <f t="shared" si="20"/>
        <v>3810.0126552199745</v>
      </c>
      <c r="R142" s="59">
        <v>2</v>
      </c>
      <c r="S142" s="69">
        <f t="shared" ref="S142:U205" si="25">B142+H142-N142</f>
        <v>1384.3685058162041</v>
      </c>
      <c r="T142" s="69">
        <f t="shared" si="21"/>
        <v>1966.8162308242399</v>
      </c>
      <c r="U142" s="70">
        <f t="shared" si="21"/>
        <v>2177.8480152474422</v>
      </c>
    </row>
    <row r="143" spans="1:21" x14ac:dyDescent="0.2">
      <c r="A143" s="59">
        <v>3</v>
      </c>
      <c r="B143" s="69">
        <f t="shared" si="22"/>
        <v>1765.6331847157528</v>
      </c>
      <c r="C143" s="69">
        <f t="shared" si="18"/>
        <v>2708.7708736368718</v>
      </c>
      <c r="D143" s="70">
        <f t="shared" si="18"/>
        <v>3050.4874275937987</v>
      </c>
      <c r="E143" s="73"/>
      <c r="F143" s="73"/>
      <c r="G143" s="59">
        <v>3</v>
      </c>
      <c r="H143" s="69">
        <f t="shared" si="23"/>
        <v>2855.6674854803623</v>
      </c>
      <c r="I143" s="69">
        <f t="shared" si="19"/>
        <v>3892.1689895793229</v>
      </c>
      <c r="J143" s="70">
        <f t="shared" si="19"/>
        <v>4267.7130128035842</v>
      </c>
      <c r="M143" s="59">
        <v>3</v>
      </c>
      <c r="N143" s="69">
        <f t="shared" si="24"/>
        <v>2925.8024425816811</v>
      </c>
      <c r="O143" s="69">
        <f t="shared" si="20"/>
        <v>4192.0917715444702</v>
      </c>
      <c r="P143" s="70">
        <f t="shared" si="20"/>
        <v>4650.8922530527261</v>
      </c>
      <c r="R143" s="59">
        <v>3</v>
      </c>
      <c r="S143" s="69">
        <f t="shared" si="25"/>
        <v>1695.4982276144337</v>
      </c>
      <c r="T143" s="69">
        <f t="shared" si="21"/>
        <v>2408.8480916717244</v>
      </c>
      <c r="U143" s="70">
        <f t="shared" si="21"/>
        <v>2667.3081873446563</v>
      </c>
    </row>
    <row r="144" spans="1:21" x14ac:dyDescent="0.2">
      <c r="A144" s="59">
        <v>4</v>
      </c>
      <c r="B144" s="69">
        <f t="shared" si="22"/>
        <v>1953.743482383959</v>
      </c>
      <c r="C144" s="69">
        <f t="shared" si="18"/>
        <v>3042.7850795469385</v>
      </c>
      <c r="D144" s="70">
        <f t="shared" si="18"/>
        <v>3437.3653683741045</v>
      </c>
      <c r="E144" s="73"/>
      <c r="F144" s="74"/>
      <c r="G144" s="59">
        <v>4</v>
      </c>
      <c r="H144" s="69">
        <f t="shared" si="23"/>
        <v>3367.4824683678107</v>
      </c>
      <c r="I144" s="69">
        <f t="shared" si="19"/>
        <v>4564.3313131817849</v>
      </c>
      <c r="J144" s="70">
        <f t="shared" si="19"/>
        <v>4997.97219898395</v>
      </c>
      <c r="M144" s="59">
        <v>4</v>
      </c>
      <c r="N144" s="69">
        <f t="shared" si="24"/>
        <v>3363.4332345043163</v>
      </c>
      <c r="O144" s="69">
        <f t="shared" si="20"/>
        <v>4825.6182044015495</v>
      </c>
      <c r="P144" s="70">
        <f t="shared" si="20"/>
        <v>5355.3953674077929</v>
      </c>
      <c r="R144" s="59">
        <v>4</v>
      </c>
      <c r="S144" s="69">
        <f t="shared" si="25"/>
        <v>1957.7927162474539</v>
      </c>
      <c r="T144" s="69">
        <f t="shared" si="21"/>
        <v>2781.4981883271739</v>
      </c>
      <c r="U144" s="70">
        <f t="shared" si="21"/>
        <v>3079.9421999502611</v>
      </c>
    </row>
    <row r="145" spans="1:21" x14ac:dyDescent="0.2">
      <c r="A145" s="59">
        <v>5</v>
      </c>
      <c r="B145" s="69">
        <f t="shared" si="22"/>
        <v>2100.5923673460516</v>
      </c>
      <c r="C145" s="69">
        <f t="shared" si="18"/>
        <v>3318.1778881367331</v>
      </c>
      <c r="D145" s="70">
        <f t="shared" si="18"/>
        <v>3759.3320623362551</v>
      </c>
      <c r="E145" s="73"/>
      <c r="F145" s="74"/>
      <c r="G145" s="59">
        <v>5</v>
      </c>
      <c r="H145" s="69">
        <f t="shared" si="23"/>
        <v>3833.9514568861264</v>
      </c>
      <c r="I145" s="69">
        <f t="shared" si="19"/>
        <v>5172.0691447841982</v>
      </c>
      <c r="J145" s="70">
        <f t="shared" si="19"/>
        <v>5656.89439402263</v>
      </c>
      <c r="M145" s="59">
        <v>5</v>
      </c>
      <c r="N145" s="69">
        <f t="shared" si="24"/>
        <v>3745.6650245405467</v>
      </c>
      <c r="O145" s="69">
        <f t="shared" si="20"/>
        <v>5380.4375187248952</v>
      </c>
      <c r="P145" s="70">
        <f t="shared" si="20"/>
        <v>5972.7463934293692</v>
      </c>
      <c r="R145" s="59">
        <v>5</v>
      </c>
      <c r="S145" s="69">
        <f t="shared" si="25"/>
        <v>2188.8787996916312</v>
      </c>
      <c r="T145" s="69">
        <f t="shared" si="21"/>
        <v>3109.8095141960366</v>
      </c>
      <c r="U145" s="70">
        <f t="shared" si="21"/>
        <v>3443.480062929516</v>
      </c>
    </row>
    <row r="146" spans="1:21" x14ac:dyDescent="0.2">
      <c r="A146" s="59">
        <v>6</v>
      </c>
      <c r="B146" s="69">
        <f t="shared" si="22"/>
        <v>2218.1319957285637</v>
      </c>
      <c r="C146" s="69">
        <f t="shared" si="18"/>
        <v>3551.9301065860277</v>
      </c>
      <c r="D146" s="70">
        <f t="shared" si="18"/>
        <v>4035.1902916793115</v>
      </c>
      <c r="E146" s="73"/>
      <c r="F146" s="74"/>
      <c r="G146" s="59">
        <v>6</v>
      </c>
      <c r="H146" s="69">
        <f t="shared" si="23"/>
        <v>4268.2097842405246</v>
      </c>
      <c r="I146" s="69">
        <f t="shared" si="19"/>
        <v>5734.0442687573877</v>
      </c>
      <c r="J146" s="70">
        <f t="shared" si="19"/>
        <v>6265.1437196692941</v>
      </c>
      <c r="M146" s="59">
        <v>6</v>
      </c>
      <c r="N146" s="69">
        <f t="shared" si="24"/>
        <v>4088.5451914972118</v>
      </c>
      <c r="O146" s="69">
        <f t="shared" si="20"/>
        <v>5879.3487344047135</v>
      </c>
      <c r="P146" s="70">
        <f t="shared" si="20"/>
        <v>6528.1905977769948</v>
      </c>
      <c r="R146" s="59">
        <v>6</v>
      </c>
      <c r="S146" s="69">
        <f t="shared" si="25"/>
        <v>2397.7965884718769</v>
      </c>
      <c r="T146" s="69">
        <f t="shared" si="21"/>
        <v>3406.6256409387024</v>
      </c>
      <c r="U146" s="70">
        <f t="shared" si="21"/>
        <v>3772.1434135716099</v>
      </c>
    </row>
    <row r="147" spans="1:21" x14ac:dyDescent="0.2">
      <c r="A147" s="59">
        <v>7</v>
      </c>
      <c r="B147" s="69">
        <f t="shared" si="22"/>
        <v>2313.4624965059411</v>
      </c>
      <c r="C147" s="69">
        <f t="shared" si="18"/>
        <v>3754.1291132548549</v>
      </c>
      <c r="D147" s="70">
        <f t="shared" si="18"/>
        <v>4276.1097714972157</v>
      </c>
      <c r="E147" s="73"/>
      <c r="F147" s="74"/>
      <c r="G147" s="59">
        <v>7</v>
      </c>
      <c r="H147" s="69">
        <f t="shared" si="23"/>
        <v>4678.0604408615227</v>
      </c>
      <c r="I147" s="69">
        <f t="shared" si="19"/>
        <v>6261.342641017879</v>
      </c>
      <c r="J147" s="70">
        <f t="shared" si="19"/>
        <v>6834.995612089022</v>
      </c>
      <c r="M147" s="59">
        <v>7</v>
      </c>
      <c r="N147" s="69">
        <f t="shared" si="24"/>
        <v>4401.6066144652596</v>
      </c>
      <c r="O147" s="69">
        <f t="shared" si="20"/>
        <v>6335.8955150275315</v>
      </c>
      <c r="P147" s="70">
        <f t="shared" si="20"/>
        <v>7036.7248268254552</v>
      </c>
      <c r="R147" s="59">
        <v>7</v>
      </c>
      <c r="S147" s="69">
        <f t="shared" si="25"/>
        <v>2589.9163229022042</v>
      </c>
      <c r="T147" s="69">
        <f t="shared" si="21"/>
        <v>3679.5762392452025</v>
      </c>
      <c r="U147" s="70">
        <f t="shared" si="21"/>
        <v>4074.3805567607815</v>
      </c>
    </row>
    <row r="148" spans="1:21" x14ac:dyDescent="0.2">
      <c r="A148" s="59">
        <v>8</v>
      </c>
      <c r="B148" s="69">
        <f t="shared" si="22"/>
        <v>2391.2099964888298</v>
      </c>
      <c r="C148" s="69">
        <f t="shared" si="18"/>
        <v>3931.3473931851718</v>
      </c>
      <c r="D148" s="70">
        <f t="shared" si="18"/>
        <v>4489.3681890896441</v>
      </c>
      <c r="E148" s="73"/>
      <c r="F148" s="74"/>
      <c r="G148" s="59">
        <v>8</v>
      </c>
      <c r="H148" s="69">
        <f t="shared" si="23"/>
        <v>5068.5875066811504</v>
      </c>
      <c r="I148" s="69">
        <f t="shared" si="19"/>
        <v>6761.1873751276453</v>
      </c>
      <c r="J148" s="70">
        <f t="shared" si="19"/>
        <v>7374.4481970285487</v>
      </c>
      <c r="M148" s="59">
        <v>8</v>
      </c>
      <c r="N148" s="69">
        <f t="shared" si="24"/>
        <v>4691.0604915375707</v>
      </c>
      <c r="O148" s="69">
        <f t="shared" si="20"/>
        <v>6758.902306664334</v>
      </c>
      <c r="P148" s="70">
        <f t="shared" si="20"/>
        <v>7508.1203556233058</v>
      </c>
      <c r="R148" s="59">
        <v>8</v>
      </c>
      <c r="S148" s="69">
        <f t="shared" si="25"/>
        <v>2768.73701163241</v>
      </c>
      <c r="T148" s="69">
        <f t="shared" si="21"/>
        <v>3933.6324616484826</v>
      </c>
      <c r="U148" s="70">
        <f t="shared" si="21"/>
        <v>4355.6960304948871</v>
      </c>
    </row>
    <row r="149" spans="1:21" x14ac:dyDescent="0.2">
      <c r="A149" s="59">
        <v>9</v>
      </c>
      <c r="B149" s="69">
        <f t="shared" si="22"/>
        <v>2454.5878143342493</v>
      </c>
      <c r="C149" s="69">
        <f t="shared" si="18"/>
        <v>4088.1502100787179</v>
      </c>
      <c r="D149" s="70">
        <f t="shared" si="18"/>
        <v>4680.0206433194671</v>
      </c>
      <c r="E149" s="73"/>
      <c r="F149" s="74"/>
      <c r="G149" s="59">
        <v>9</v>
      </c>
      <c r="H149" s="69">
        <f>$M$127*(-$J$131*$G149+H$134*$J$129*SQRT($G149))</f>
        <v>5443.3223956809243</v>
      </c>
      <c r="I149" s="69">
        <f t="shared" si="19"/>
        <v>7238.5956629018856</v>
      </c>
      <c r="J149" s="70">
        <f>$M$127*(-$J$131*$G149+J$134*$J$129*SQRT($G149))</f>
        <v>7889.0569916051327</v>
      </c>
      <c r="M149" s="59">
        <v>9</v>
      </c>
      <c r="N149" s="69">
        <f t="shared" si="24"/>
        <v>4961.221135643993</v>
      </c>
      <c r="O149" s="69">
        <f t="shared" si="20"/>
        <v>7154.4985904898431</v>
      </c>
      <c r="P149" s="70">
        <f t="shared" si="20"/>
        <v>7949.1643349992082</v>
      </c>
      <c r="R149" s="59">
        <v>9</v>
      </c>
      <c r="S149" s="69">
        <f t="shared" si="25"/>
        <v>2936.6890743711811</v>
      </c>
      <c r="T149" s="69">
        <f t="shared" si="21"/>
        <v>4172.2472824907609</v>
      </c>
      <c r="U149" s="70">
        <f t="shared" si="21"/>
        <v>4619.9132999253925</v>
      </c>
    </row>
    <row r="150" spans="1:21" x14ac:dyDescent="0.2">
      <c r="A150" s="59">
        <v>10</v>
      </c>
      <c r="B150" s="69">
        <f t="shared" si="22"/>
        <v>2505.9355477974364</v>
      </c>
      <c r="C150" s="69">
        <f t="shared" si="18"/>
        <v>4227.8615046487266</v>
      </c>
      <c r="D150" s="70">
        <f t="shared" si="18"/>
        <v>4851.7477208991941</v>
      </c>
      <c r="E150" s="73"/>
      <c r="F150" s="74"/>
      <c r="G150" s="59">
        <v>10</v>
      </c>
      <c r="H150" s="69">
        <f>$M$127*(-$J$131*$G150+H$134*$J$129*SQRT($G150))</f>
        <v>5804.8363088856522</v>
      </c>
      <c r="I150" s="69">
        <f t="shared" si="19"/>
        <v>7697.220491162434</v>
      </c>
      <c r="J150" s="70">
        <f t="shared" si="19"/>
        <v>8382.8669340163397</v>
      </c>
      <c r="M150" s="59">
        <v>10</v>
      </c>
      <c r="N150" s="69">
        <f t="shared" si="24"/>
        <v>5215.2297717682413</v>
      </c>
      <c r="O150" s="69">
        <f t="shared" si="20"/>
        <v>7527.1472044382399</v>
      </c>
      <c r="P150" s="70">
        <f t="shared" si="20"/>
        <v>8364.7984481592521</v>
      </c>
      <c r="R150" s="59">
        <v>10</v>
      </c>
      <c r="S150" s="69">
        <f>B150+H150-N150</f>
        <v>3095.5420849148468</v>
      </c>
      <c r="T150" s="69">
        <f t="shared" si="21"/>
        <v>4397.9347913729207</v>
      </c>
      <c r="U150" s="70">
        <f t="shared" si="21"/>
        <v>4869.8162067562826</v>
      </c>
    </row>
    <row r="151" spans="1:21" x14ac:dyDescent="0.2">
      <c r="A151" s="59">
        <v>11</v>
      </c>
      <c r="B151" s="69">
        <f t="shared" si="22"/>
        <v>2547.0194042018638</v>
      </c>
      <c r="C151" s="69">
        <f t="shared" si="18"/>
        <v>4352.9905836413518</v>
      </c>
      <c r="D151" s="70">
        <f t="shared" si="18"/>
        <v>5007.3279674962396</v>
      </c>
      <c r="E151" s="73"/>
      <c r="F151" s="74"/>
      <c r="G151" s="59">
        <v>11</v>
      </c>
      <c r="H151" s="69">
        <f t="shared" si="23"/>
        <v>6155.0702953795098</v>
      </c>
      <c r="I151" s="69">
        <f t="shared" si="19"/>
        <v>8139.8195698886348</v>
      </c>
      <c r="J151" s="70">
        <f t="shared" si="19"/>
        <v>8858.931625870202</v>
      </c>
      <c r="M151" s="59">
        <v>11</v>
      </c>
      <c r="N151" s="69">
        <f t="shared" si="24"/>
        <v>5455.4577710396043</v>
      </c>
      <c r="O151" s="69">
        <f t="shared" si="20"/>
        <v>7880.2172306627181</v>
      </c>
      <c r="P151" s="70">
        <f t="shared" si="20"/>
        <v>8758.753266758049</v>
      </c>
      <c r="R151" s="59">
        <v>11</v>
      </c>
      <c r="S151" s="69">
        <f t="shared" si="25"/>
        <v>3246.6319285417703</v>
      </c>
      <c r="T151" s="69">
        <f t="shared" si="21"/>
        <v>4612.5929228672685</v>
      </c>
      <c r="U151" s="70">
        <f t="shared" si="21"/>
        <v>5107.5063266083926</v>
      </c>
    </row>
    <row r="152" spans="1:21" x14ac:dyDescent="0.2">
      <c r="A152" s="59">
        <v>12</v>
      </c>
      <c r="B152" s="69">
        <f t="shared" si="22"/>
        <v>2579.2115509481268</v>
      </c>
      <c r="C152" s="69">
        <f t="shared" si="18"/>
        <v>4465.4869287903648</v>
      </c>
      <c r="D152" s="70">
        <f t="shared" si="18"/>
        <v>5148.9200367042185</v>
      </c>
      <c r="E152" s="4"/>
      <c r="F152" s="5"/>
      <c r="G152" s="59">
        <v>12</v>
      </c>
      <c r="H152" s="69">
        <f t="shared" si="23"/>
        <v>6495.5323572191401</v>
      </c>
      <c r="I152" s="69">
        <f t="shared" si="19"/>
        <v>8568.5353654170613</v>
      </c>
      <c r="J152" s="70">
        <f t="shared" si="19"/>
        <v>9319.6234118655848</v>
      </c>
      <c r="M152" s="59">
        <v>12</v>
      </c>
      <c r="N152" s="69">
        <f t="shared" si="24"/>
        <v>5683.747452938399</v>
      </c>
      <c r="O152" s="69">
        <f t="shared" si="20"/>
        <v>8216.3261108639781</v>
      </c>
      <c r="P152" s="70">
        <f t="shared" si="20"/>
        <v>9133.9270738804898</v>
      </c>
      <c r="R152" s="59">
        <v>12</v>
      </c>
      <c r="S152" s="69">
        <f t="shared" si="25"/>
        <v>3390.9964552288684</v>
      </c>
      <c r="T152" s="69">
        <f t="shared" si="21"/>
        <v>4817.696183343447</v>
      </c>
      <c r="U152" s="70">
        <f t="shared" si="21"/>
        <v>5334.6163746893126</v>
      </c>
    </row>
    <row r="153" spans="1:21" x14ac:dyDescent="0.2">
      <c r="A153" s="59">
        <v>13</v>
      </c>
      <c r="B153" s="69">
        <f t="shared" si="22"/>
        <v>2603.6032007369436</v>
      </c>
      <c r="C153" s="69">
        <f t="shared" si="18"/>
        <v>4566.9008605791032</v>
      </c>
      <c r="D153" s="70">
        <f t="shared" si="18"/>
        <v>5278.2405924059722</v>
      </c>
      <c r="E153" s="4"/>
      <c r="F153" s="5"/>
      <c r="G153" s="59">
        <v>13</v>
      </c>
      <c r="H153" s="69">
        <f t="shared" si="23"/>
        <v>6827.4217292764733</v>
      </c>
      <c r="I153" s="69">
        <f t="shared" si="19"/>
        <v>8985.0716687547883</v>
      </c>
      <c r="J153" s="70">
        <f t="shared" si="19"/>
        <v>9766.828893203452</v>
      </c>
      <c r="M153" s="59">
        <v>13</v>
      </c>
      <c r="N153" s="69">
        <f t="shared" si="24"/>
        <v>5901.5639174333592</v>
      </c>
      <c r="O153" s="69">
        <f t="shared" si="20"/>
        <v>8537.5553590219824</v>
      </c>
      <c r="P153" s="70">
        <f t="shared" si="20"/>
        <v>9492.6247219164106</v>
      </c>
      <c r="R153" s="59">
        <v>13</v>
      </c>
      <c r="S153" s="69">
        <f t="shared" si="25"/>
        <v>3529.4610125800573</v>
      </c>
      <c r="T153" s="69">
        <f t="shared" si="21"/>
        <v>5014.41717031191</v>
      </c>
      <c r="U153" s="70">
        <f t="shared" si="21"/>
        <v>5552.4447636930126</v>
      </c>
    </row>
    <row r="154" spans="1:21" x14ac:dyDescent="0.2">
      <c r="A154" s="59">
        <v>14</v>
      </c>
      <c r="B154" s="69">
        <f t="shared" si="22"/>
        <v>2621.0791046311606</v>
      </c>
      <c r="C154" s="69">
        <f t="shared" si="18"/>
        <v>4658.4893728956367</v>
      </c>
      <c r="D154" s="70">
        <f t="shared" si="18"/>
        <v>5396.6814990784178</v>
      </c>
      <c r="E154" s="4"/>
      <c r="F154" s="5"/>
      <c r="G154" s="59">
        <v>14</v>
      </c>
      <c r="H154" s="69">
        <f t="shared" si="23"/>
        <v>7151.7107465755125</v>
      </c>
      <c r="I154" s="69">
        <f t="shared" si="19"/>
        <v>9390.8099071005472</v>
      </c>
      <c r="J154" s="70">
        <f t="shared" si="19"/>
        <v>10202.077718884979</v>
      </c>
      <c r="M154" s="59">
        <v>14</v>
      </c>
      <c r="N154" s="69">
        <f t="shared" si="24"/>
        <v>6110.0950619469222</v>
      </c>
      <c r="O154" s="69">
        <f t="shared" si="20"/>
        <v>8845.5926586698297</v>
      </c>
      <c r="P154" s="70">
        <f t="shared" si="20"/>
        <v>9836.7149763230573</v>
      </c>
      <c r="R154" s="59">
        <v>14</v>
      </c>
      <c r="S154" s="69">
        <f t="shared" si="25"/>
        <v>3662.6947892597509</v>
      </c>
      <c r="T154" s="69">
        <f t="shared" si="21"/>
        <v>5203.7066213263533</v>
      </c>
      <c r="U154" s="70">
        <f t="shared" si="21"/>
        <v>5762.0442416403403</v>
      </c>
    </row>
    <row r="155" spans="1:21" x14ac:dyDescent="0.2">
      <c r="A155" s="59">
        <v>15</v>
      </c>
      <c r="B155" s="69">
        <f t="shared" si="22"/>
        <v>2632.3684243629486</v>
      </c>
      <c r="C155" s="69">
        <f t="shared" si="18"/>
        <v>4741.2884089326208</v>
      </c>
      <c r="D155" s="70">
        <f t="shared" si="18"/>
        <v>5505.3898526172852</v>
      </c>
      <c r="E155" s="4"/>
      <c r="F155" s="5"/>
      <c r="G155" s="59">
        <v>15</v>
      </c>
      <c r="H155" s="69">
        <f t="shared" si="23"/>
        <v>7469.2007525902854</v>
      </c>
      <c r="I155" s="69">
        <f t="shared" si="19"/>
        <v>9786.8885745363386</v>
      </c>
      <c r="J155" s="70">
        <f t="shared" si="19"/>
        <v>10626.630539009548</v>
      </c>
      <c r="M155" s="59">
        <v>15</v>
      </c>
      <c r="N155" s="69">
        <f t="shared" si="24"/>
        <v>6310.3198842769489</v>
      </c>
      <c r="O155" s="69">
        <f t="shared" si="20"/>
        <v>9141.8289030203377</v>
      </c>
      <c r="P155" s="70">
        <f t="shared" si="20"/>
        <v>10167.737967782434</v>
      </c>
      <c r="R155" s="59">
        <v>15</v>
      </c>
      <c r="S155" s="69">
        <f t="shared" si="25"/>
        <v>3791.2492926762861</v>
      </c>
      <c r="T155" s="69">
        <f t="shared" si="21"/>
        <v>5386.3480804486207</v>
      </c>
      <c r="U155" s="70">
        <f t="shared" si="21"/>
        <v>5964.2824238443991</v>
      </c>
    </row>
    <row r="156" spans="1:21" x14ac:dyDescent="0.2">
      <c r="A156" s="59">
        <v>16</v>
      </c>
      <c r="B156" s="69">
        <f t="shared" si="22"/>
        <v>2638.0805401234129</v>
      </c>
      <c r="C156" s="69">
        <f t="shared" si="18"/>
        <v>4816.163734449372</v>
      </c>
      <c r="D156" s="70">
        <f t="shared" si="18"/>
        <v>5605.324312103704</v>
      </c>
      <c r="E156" s="4"/>
      <c r="F156" s="5"/>
      <c r="G156" s="59">
        <v>16</v>
      </c>
      <c r="H156" s="69">
        <f t="shared" si="23"/>
        <v>7780.561451746843</v>
      </c>
      <c r="I156" s="69">
        <f t="shared" si="19"/>
        <v>10174.259141374792</v>
      </c>
      <c r="J156" s="70">
        <f t="shared" si="19"/>
        <v>11041.540912979122</v>
      </c>
      <c r="M156" s="59">
        <v>16</v>
      </c>
      <c r="N156" s="69">
        <f t="shared" si="24"/>
        <v>6503.0565593753481</v>
      </c>
      <c r="O156" s="69">
        <f t="shared" si="20"/>
        <v>9427.4264991698146</v>
      </c>
      <c r="P156" s="70">
        <f t="shared" si="20"/>
        <v>10486.980825182301</v>
      </c>
      <c r="R156" s="59">
        <v>16</v>
      </c>
      <c r="S156" s="69">
        <f t="shared" si="25"/>
        <v>3915.5854324949078</v>
      </c>
      <c r="T156" s="69">
        <f t="shared" si="21"/>
        <v>5562.9963766543497</v>
      </c>
      <c r="U156" s="70">
        <f t="shared" si="21"/>
        <v>6159.8843999005258</v>
      </c>
    </row>
    <row r="157" spans="1:21" x14ac:dyDescent="0.2">
      <c r="A157" s="59">
        <v>17</v>
      </c>
      <c r="B157" s="69">
        <f t="shared" si="22"/>
        <v>2638.7309119077368</v>
      </c>
      <c r="C157" s="69">
        <f t="shared" si="22"/>
        <v>4883.8476798048969</v>
      </c>
      <c r="D157" s="70">
        <f t="shared" si="22"/>
        <v>5697.2957841154621</v>
      </c>
      <c r="E157" s="4"/>
      <c r="F157" s="5"/>
      <c r="G157" s="59">
        <v>17</v>
      </c>
      <c r="H157" s="69">
        <f t="shared" si="23"/>
        <v>8086.3593308546815</v>
      </c>
      <c r="I157" s="69">
        <f t="shared" si="23"/>
        <v>10553.72643338793</v>
      </c>
      <c r="J157" s="70">
        <f t="shared" si="23"/>
        <v>11447.700021262295</v>
      </c>
      <c r="M157" s="59">
        <v>17</v>
      </c>
      <c r="N157" s="69">
        <f t="shared" si="24"/>
        <v>6688.9971616858411</v>
      </c>
      <c r="O157" s="69">
        <f t="shared" si="24"/>
        <v>9703.3686992242765</v>
      </c>
      <c r="P157" s="70">
        <f t="shared" si="24"/>
        <v>10795.53229978168</v>
      </c>
      <c r="R157" s="59">
        <v>17</v>
      </c>
      <c r="S157" s="69">
        <f t="shared" si="25"/>
        <v>4036.0930810765776</v>
      </c>
      <c r="T157" s="69">
        <f t="shared" si="25"/>
        <v>5734.2054139685497</v>
      </c>
      <c r="U157" s="70">
        <f t="shared" si="25"/>
        <v>6349.4635055960789</v>
      </c>
    </row>
    <row r="158" spans="1:21" x14ac:dyDescent="0.2">
      <c r="A158" s="59">
        <v>18</v>
      </c>
      <c r="B158" s="69">
        <f t="shared" si="22"/>
        <v>2634.7601762498648</v>
      </c>
      <c r="C158" s="69">
        <f t="shared" si="22"/>
        <v>4944.9662712943773</v>
      </c>
      <c r="D158" s="70">
        <f t="shared" si="22"/>
        <v>5781.9974651510856</v>
      </c>
      <c r="E158" s="4"/>
      <c r="F158" s="5"/>
      <c r="G158" s="59">
        <v>18</v>
      </c>
      <c r="H158" s="69">
        <f t="shared" si="23"/>
        <v>8387.0786462801407</v>
      </c>
      <c r="I158" s="69">
        <f t="shared" si="23"/>
        <v>10925.978448949883</v>
      </c>
      <c r="J158" s="70">
        <f t="shared" si="23"/>
        <v>11845.869681801238</v>
      </c>
      <c r="M158" s="59">
        <v>18</v>
      </c>
      <c r="N158" s="69">
        <f t="shared" si="24"/>
        <v>6868.7333050813922</v>
      </c>
      <c r="O158" s="69">
        <f t="shared" si="24"/>
        <v>9970.4960277715363</v>
      </c>
      <c r="P158" s="70">
        <f t="shared" si="24"/>
        <v>11094.323101209993</v>
      </c>
      <c r="R158" s="59">
        <v>18</v>
      </c>
      <c r="S158" s="69">
        <f t="shared" si="25"/>
        <v>4153.1055174486137</v>
      </c>
      <c r="T158" s="69">
        <f t="shared" si="25"/>
        <v>5900.4486924727244</v>
      </c>
      <c r="U158" s="70">
        <f t="shared" si="25"/>
        <v>6533.5440457423319</v>
      </c>
    </row>
    <row r="159" spans="1:21" x14ac:dyDescent="0.2">
      <c r="A159" s="59">
        <v>19</v>
      </c>
      <c r="B159" s="69">
        <f t="shared" si="22"/>
        <v>2626.5485229524279</v>
      </c>
      <c r="C159" s="69">
        <f t="shared" si="22"/>
        <v>5000.059656625207</v>
      </c>
      <c r="D159" s="70">
        <f t="shared" si="22"/>
        <v>5860.0274586805617</v>
      </c>
      <c r="E159" s="4"/>
      <c r="F159" s="5"/>
      <c r="G159" s="59">
        <v>19</v>
      </c>
      <c r="H159" s="69">
        <f t="shared" si="23"/>
        <v>8683.1372238686909</v>
      </c>
      <c r="I159" s="69">
        <f t="shared" si="23"/>
        <v>11291.608806487446</v>
      </c>
      <c r="J159" s="70">
        <f t="shared" si="23"/>
        <v>12236.707205986997</v>
      </c>
      <c r="M159" s="59">
        <v>19</v>
      </c>
      <c r="N159" s="69">
        <f t="shared" si="24"/>
        <v>7042.7754455597933</v>
      </c>
      <c r="O159" s="69">
        <f t="shared" si="24"/>
        <v>10229.533705832844</v>
      </c>
      <c r="P159" s="70">
        <f t="shared" si="24"/>
        <v>11384.156263902791</v>
      </c>
      <c r="R159" s="59">
        <v>19</v>
      </c>
      <c r="S159" s="69">
        <f t="shared" si="25"/>
        <v>4266.910301261325</v>
      </c>
      <c r="T159" s="69">
        <f t="shared" si="25"/>
        <v>6062.1347572798077</v>
      </c>
      <c r="U159" s="70">
        <f t="shared" si="25"/>
        <v>6712.5784007647671</v>
      </c>
    </row>
    <row r="160" spans="1:21" x14ac:dyDescent="0.2">
      <c r="A160" s="59">
        <v>20</v>
      </c>
      <c r="B160" s="69">
        <f t="shared" si="22"/>
        <v>2614.4267038864714</v>
      </c>
      <c r="C160" s="69">
        <f t="shared" si="22"/>
        <v>5049.5977454678359</v>
      </c>
      <c r="D160" s="70">
        <f t="shared" si="22"/>
        <v>5931.9060938668799</v>
      </c>
      <c r="E160" s="4"/>
      <c r="F160" s="5"/>
      <c r="G160" s="59">
        <v>20</v>
      </c>
      <c r="H160" s="69">
        <f t="shared" si="23"/>
        <v>8974.8985575362804</v>
      </c>
      <c r="I160" s="69">
        <f t="shared" si="23"/>
        <v>11651.133933332423</v>
      </c>
      <c r="J160" s="70">
        <f t="shared" si="23"/>
        <v>12620.784431809287</v>
      </c>
      <c r="M160" s="59">
        <v>20</v>
      </c>
      <c r="N160" s="69">
        <f t="shared" si="24"/>
        <v>7211.5676620394879</v>
      </c>
      <c r="O160" s="69">
        <f t="shared" si="24"/>
        <v>10481.112650408184</v>
      </c>
      <c r="P160" s="70">
        <f t="shared" si="24"/>
        <v>11665.730399817134</v>
      </c>
      <c r="R160" s="59">
        <v>20</v>
      </c>
      <c r="S160" s="69">
        <f t="shared" si="25"/>
        <v>4377.7575993832634</v>
      </c>
      <c r="T160" s="69">
        <f t="shared" si="25"/>
        <v>6219.6190283920732</v>
      </c>
      <c r="U160" s="70">
        <f t="shared" si="25"/>
        <v>6886.9601258590337</v>
      </c>
    </row>
    <row r="161" spans="1:21" x14ac:dyDescent="0.2">
      <c r="A161" s="59">
        <v>21</v>
      </c>
      <c r="B161" s="69">
        <f t="shared" si="22"/>
        <v>2598.6845907329061</v>
      </c>
      <c r="C161" s="69">
        <f t="shared" si="22"/>
        <v>5093.9923677103843</v>
      </c>
      <c r="D161" s="70">
        <f t="shared" si="22"/>
        <v>5998.0893883543986</v>
      </c>
      <c r="E161" s="4"/>
      <c r="F161" s="5"/>
      <c r="G161" s="59">
        <v>21</v>
      </c>
      <c r="H161" s="69">
        <f t="shared" si="23"/>
        <v>9262.6812141653336</v>
      </c>
      <c r="I161" s="69">
        <f t="shared" si="23"/>
        <v>12005.00642755558</v>
      </c>
      <c r="J161" s="70">
        <f t="shared" si="23"/>
        <v>12998.602519363638</v>
      </c>
      <c r="M161" s="59">
        <v>21</v>
      </c>
      <c r="N161" s="69">
        <f t="shared" si="24"/>
        <v>7375.4991462796606</v>
      </c>
      <c r="O161" s="69">
        <f t="shared" si="24"/>
        <v>10725.785798570059</v>
      </c>
      <c r="P161" s="70">
        <f t="shared" si="24"/>
        <v>11939.657774037594</v>
      </c>
      <c r="R161" s="59">
        <v>21</v>
      </c>
      <c r="S161" s="69">
        <f t="shared" si="25"/>
        <v>4485.8666586185791</v>
      </c>
      <c r="T161" s="69">
        <f t="shared" si="25"/>
        <v>6373.2129966959055</v>
      </c>
      <c r="U161" s="70">
        <f t="shared" si="25"/>
        <v>7057.0341336804413</v>
      </c>
    </row>
    <row r="162" spans="1:21" x14ac:dyDescent="0.2">
      <c r="A162" s="59">
        <v>22</v>
      </c>
      <c r="B162" s="69">
        <f t="shared" si="22"/>
        <v>2579.577917384051</v>
      </c>
      <c r="C162" s="69">
        <f t="shared" si="22"/>
        <v>5133.60685260231</v>
      </c>
      <c r="D162" s="70">
        <f t="shared" si="22"/>
        <v>6058.9796552176203</v>
      </c>
      <c r="E162" s="4"/>
      <c r="F162" s="5"/>
      <c r="G162" s="59">
        <v>22</v>
      </c>
      <c r="H162" s="69">
        <f t="shared" si="23"/>
        <v>9546.7662434553295</v>
      </c>
      <c r="I162" s="69">
        <f t="shared" si="23"/>
        <v>12353.625585376296</v>
      </c>
      <c r="J162" s="70">
        <f t="shared" si="23"/>
        <v>13370.60360781143</v>
      </c>
      <c r="M162" s="59">
        <v>22</v>
      </c>
      <c r="N162" s="69">
        <f t="shared" si="24"/>
        <v>7534.9132554620928</v>
      </c>
      <c r="O162" s="69">
        <f t="shared" si="24"/>
        <v>10964.040968753558</v>
      </c>
      <c r="P162" s="70">
        <f t="shared" si="24"/>
        <v>12206.478546033071</v>
      </c>
      <c r="R162" s="59">
        <v>22</v>
      </c>
      <c r="S162" s="69">
        <f t="shared" si="25"/>
        <v>4591.4309053772877</v>
      </c>
      <c r="T162" s="69">
        <f t="shared" si="25"/>
        <v>6523.1914692250502</v>
      </c>
      <c r="U162" s="70">
        <f t="shared" si="25"/>
        <v>7223.1047169959784</v>
      </c>
    </row>
    <row r="163" spans="1:21" x14ac:dyDescent="0.2">
      <c r="A163" s="59">
        <v>23</v>
      </c>
      <c r="B163" s="69">
        <f t="shared" si="22"/>
        <v>2557.3336565903792</v>
      </c>
      <c r="C163" s="69">
        <f t="shared" si="22"/>
        <v>5168.7636675269023</v>
      </c>
      <c r="D163" s="70">
        <f t="shared" si="22"/>
        <v>6114.9339613444836</v>
      </c>
      <c r="E163" s="4"/>
      <c r="F163" s="5"/>
      <c r="G163" s="59">
        <v>23</v>
      </c>
      <c r="H163" s="69">
        <f t="shared" si="23"/>
        <v>9827.4030868187147</v>
      </c>
      <c r="I163" s="69">
        <f t="shared" si="23"/>
        <v>12697.345796118349</v>
      </c>
      <c r="J163" s="70">
        <f t="shared" si="23"/>
        <v>13737.180111081985</v>
      </c>
      <c r="M163" s="59">
        <v>23</v>
      </c>
      <c r="N163" s="69">
        <f t="shared" si="24"/>
        <v>7690.114731063306</v>
      </c>
      <c r="O163" s="69">
        <f t="shared" si="24"/>
        <v>11196.311116836914</v>
      </c>
      <c r="P163" s="70">
        <f t="shared" si="24"/>
        <v>12466.672126175175</v>
      </c>
      <c r="R163" s="59">
        <v>23</v>
      </c>
      <c r="S163" s="69">
        <f t="shared" si="25"/>
        <v>4694.6220123457879</v>
      </c>
      <c r="T163" s="69">
        <f t="shared" si="25"/>
        <v>6669.7983468083366</v>
      </c>
      <c r="U163" s="70">
        <f t="shared" si="25"/>
        <v>7385.4419462512942</v>
      </c>
    </row>
    <row r="164" spans="1:21" x14ac:dyDescent="0.2">
      <c r="A164" s="59">
        <v>24</v>
      </c>
      <c r="B164" s="69">
        <f t="shared" si="22"/>
        <v>2532.1543544903698</v>
      </c>
      <c r="C164" s="69">
        <f t="shared" si="22"/>
        <v>5199.750576205297</v>
      </c>
      <c r="D164" s="70">
        <f t="shared" si="22"/>
        <v>6166.2709463918645</v>
      </c>
      <c r="E164" s="4"/>
      <c r="F164" s="5"/>
      <c r="G164" s="59">
        <v>24</v>
      </c>
      <c r="H164" s="69">
        <f t="shared" si="23"/>
        <v>10104.814340997882</v>
      </c>
      <c r="I164" s="69">
        <f t="shared" si="23"/>
        <v>13036.483310031608</v>
      </c>
      <c r="J164" s="70">
        <f t="shared" si="23"/>
        <v>14098.682211855421</v>
      </c>
      <c r="M164" s="59">
        <v>24</v>
      </c>
      <c r="N164" s="69">
        <f t="shared" si="24"/>
        <v>7841.3755185444961</v>
      </c>
      <c r="O164" s="69">
        <f t="shared" si="24"/>
        <v>11422.9826043595</v>
      </c>
      <c r="P164" s="70">
        <f t="shared" si="24"/>
        <v>12720.666331104065</v>
      </c>
      <c r="R164" s="59">
        <v>24</v>
      </c>
      <c r="S164" s="69">
        <f t="shared" si="25"/>
        <v>4795.5931769437566</v>
      </c>
      <c r="T164" s="69">
        <f t="shared" si="25"/>
        <v>6813.2512818774067</v>
      </c>
      <c r="U164" s="70">
        <f t="shared" si="25"/>
        <v>7544.2868271432199</v>
      </c>
    </row>
    <row r="165" spans="1:21" x14ac:dyDescent="0.2">
      <c r="A165" s="59">
        <v>25</v>
      </c>
      <c r="B165" s="69">
        <f t="shared" si="22"/>
        <v>2504.2216597514507</v>
      </c>
      <c r="C165" s="69">
        <f t="shared" si="22"/>
        <v>5226.8256526588984</v>
      </c>
      <c r="D165" s="70">
        <f t="shared" si="22"/>
        <v>6213.2763747268136</v>
      </c>
      <c r="E165" s="4"/>
      <c r="F165" s="5"/>
      <c r="G165" s="59">
        <v>25</v>
      </c>
      <c r="H165" s="69">
        <f t="shared" si="23"/>
        <v>10379.199636565567</v>
      </c>
      <c r="I165" s="69">
        <f t="shared" si="23"/>
        <v>13371.321748600501</v>
      </c>
      <c r="J165" s="70">
        <f t="shared" si="23"/>
        <v>14455.423963105915</v>
      </c>
      <c r="M165" s="59">
        <v>25</v>
      </c>
      <c r="N165" s="69">
        <f t="shared" si="24"/>
        <v>7988.9395056983822</v>
      </c>
      <c r="O165" s="69">
        <f t="shared" si="24"/>
        <v>11644.401930441467</v>
      </c>
      <c r="P165" s="70">
        <f t="shared" si="24"/>
        <v>12968.844837957076</v>
      </c>
      <c r="R165" s="59">
        <v>25</v>
      </c>
      <c r="S165" s="69">
        <f t="shared" si="25"/>
        <v>4894.4817906186354</v>
      </c>
      <c r="T165" s="69">
        <f t="shared" si="25"/>
        <v>6953.7454708179339</v>
      </c>
      <c r="U165" s="70">
        <f t="shared" si="25"/>
        <v>7699.8554998756517</v>
      </c>
    </row>
    <row r="166" spans="1:21" x14ac:dyDescent="0.2">
      <c r="A166" s="59">
        <v>26</v>
      </c>
      <c r="B166" s="69">
        <f t="shared" si="22"/>
        <v>2473.6992230062178</v>
      </c>
      <c r="C166" s="69">
        <f t="shared" si="22"/>
        <v>5250.2214005303586</v>
      </c>
      <c r="D166" s="70">
        <f t="shared" si="22"/>
        <v>6256.2076967347575</v>
      </c>
      <c r="E166" s="4"/>
      <c r="F166" s="5"/>
      <c r="G166" s="59">
        <v>26</v>
      </c>
      <c r="H166" s="69">
        <f t="shared" si="23"/>
        <v>10650.738824384294</v>
      </c>
      <c r="I166" s="69">
        <f t="shared" si="23"/>
        <v>13702.116631648014</v>
      </c>
      <c r="J166" s="70">
        <f t="shared" si="23"/>
        <v>14807.688300946462</v>
      </c>
      <c r="M166" s="59">
        <v>26</v>
      </c>
      <c r="N166" s="69">
        <f t="shared" si="24"/>
        <v>8133.0264155327168</v>
      </c>
      <c r="O166" s="69">
        <f t="shared" si="24"/>
        <v>11860.881262526753</v>
      </c>
      <c r="P166" s="70">
        <f t="shared" si="24"/>
        <v>13211.553308539085</v>
      </c>
      <c r="R166" s="59">
        <v>26</v>
      </c>
      <c r="S166" s="69">
        <f t="shared" si="25"/>
        <v>4991.4116318577944</v>
      </c>
      <c r="T166" s="69">
        <f t="shared" si="25"/>
        <v>7091.4567696516206</v>
      </c>
      <c r="U166" s="70">
        <f t="shared" si="25"/>
        <v>7852.3426891421332</v>
      </c>
    </row>
    <row r="167" spans="1:21" x14ac:dyDescent="0.2">
      <c r="A167" s="59">
        <v>27</v>
      </c>
      <c r="B167" s="69">
        <f t="shared" si="22"/>
        <v>2440.7350986971232</v>
      </c>
      <c r="C167" s="69">
        <f t="shared" si="22"/>
        <v>5270.1481654604804</v>
      </c>
      <c r="D167" s="70">
        <f t="shared" si="22"/>
        <v>6295.297827331261</v>
      </c>
      <c r="E167" s="4"/>
      <c r="F167" s="5"/>
      <c r="G167" s="59">
        <v>27</v>
      </c>
      <c r="H167" s="69">
        <f t="shared" si="23"/>
        <v>10919.594615216336</v>
      </c>
      <c r="I167" s="69">
        <f t="shared" si="23"/>
        <v>14029.09912751322</v>
      </c>
      <c r="J167" s="70">
        <f t="shared" si="23"/>
        <v>15155.731197186002</v>
      </c>
      <c r="M167" s="59">
        <v>27</v>
      </c>
      <c r="N167" s="69">
        <f t="shared" si="24"/>
        <v>8273.8350310701535</v>
      </c>
      <c r="O167" s="69">
        <f t="shared" si="24"/>
        <v>12072.703017958522</v>
      </c>
      <c r="P167" s="70">
        <f t="shared" si="24"/>
        <v>13449.104462483288</v>
      </c>
      <c r="R167" s="59">
        <v>27</v>
      </c>
      <c r="S167" s="69">
        <f t="shared" si="25"/>
        <v>5086.4946828433058</v>
      </c>
      <c r="T167" s="69">
        <f t="shared" si="25"/>
        <v>7226.5442750151797</v>
      </c>
      <c r="U167" s="70">
        <f t="shared" si="25"/>
        <v>8001.9245620339734</v>
      </c>
    </row>
    <row r="168" spans="1:21" x14ac:dyDescent="0.2">
      <c r="A168" s="59">
        <v>28</v>
      </c>
      <c r="B168" s="69">
        <f t="shared" si="22"/>
        <v>2405.4637498839979</v>
      </c>
      <c r="C168" s="69">
        <f t="shared" si="22"/>
        <v>5286.7969833818261</v>
      </c>
      <c r="D168" s="70">
        <f t="shared" si="22"/>
        <v>6330.7582998665466</v>
      </c>
      <c r="E168" s="4"/>
      <c r="F168" s="5"/>
      <c r="G168" s="59">
        <v>28</v>
      </c>
      <c r="H168" s="69">
        <f t="shared" si="23"/>
        <v>11185.914782992682</v>
      </c>
      <c r="I168" s="69">
        <f t="shared" si="23"/>
        <v>14352.479183305395</v>
      </c>
      <c r="J168" s="70">
        <f t="shared" si="23"/>
        <v>15499.785125447683</v>
      </c>
      <c r="M168" s="59">
        <v>28</v>
      </c>
      <c r="N168" s="69">
        <f t="shared" si="24"/>
        <v>8411.5458870722705</v>
      </c>
      <c r="O168" s="69">
        <f t="shared" si="24"/>
        <v>12280.123688196816</v>
      </c>
      <c r="P168" s="70">
        <f t="shared" si="24"/>
        <v>13681.782311792662</v>
      </c>
      <c r="R168" s="59">
        <v>28</v>
      </c>
      <c r="S168" s="69">
        <f t="shared" si="25"/>
        <v>5179.8326458044103</v>
      </c>
      <c r="T168" s="69">
        <f t="shared" si="25"/>
        <v>7359.152478490405</v>
      </c>
      <c r="U168" s="70">
        <f t="shared" si="25"/>
        <v>8148.7611135215684</v>
      </c>
    </row>
    <row r="169" spans="1:21" x14ac:dyDescent="0.2">
      <c r="A169" s="59">
        <v>29</v>
      </c>
      <c r="B169" s="69">
        <f t="shared" si="22"/>
        <v>2368.0077334014281</v>
      </c>
      <c r="C169" s="69">
        <f t="shared" si="22"/>
        <v>5300.3419746752415</v>
      </c>
      <c r="D169" s="70">
        <f t="shared" si="22"/>
        <v>6362.7819171657538</v>
      </c>
      <c r="E169" s="4"/>
      <c r="F169" s="5"/>
      <c r="G169" s="59">
        <v>29</v>
      </c>
      <c r="H169" s="69">
        <f t="shared" si="23"/>
        <v>11449.834016788833</v>
      </c>
      <c r="I169" s="69">
        <f t="shared" si="23"/>
        <v>14672.448156064733</v>
      </c>
      <c r="J169" s="70">
        <f t="shared" si="23"/>
        <v>15840.061974642957</v>
      </c>
      <c r="M169" s="59">
        <v>29</v>
      </c>
      <c r="N169" s="69">
        <f t="shared" si="24"/>
        <v>8546.3235325902315</v>
      </c>
      <c r="O169" s="69">
        <f t="shared" si="24"/>
        <v>12483.377053296035</v>
      </c>
      <c r="P169" s="70">
        <f t="shared" si="24"/>
        <v>13909.845720218424</v>
      </c>
      <c r="R169" s="59">
        <v>29</v>
      </c>
      <c r="S169" s="69">
        <f t="shared" si="25"/>
        <v>5271.5182176000289</v>
      </c>
      <c r="T169" s="69">
        <f t="shared" si="25"/>
        <v>7489.4130774439382</v>
      </c>
      <c r="U169" s="70">
        <f t="shared" si="25"/>
        <v>8292.9981715902886</v>
      </c>
    </row>
    <row r="170" spans="1:21" x14ac:dyDescent="0.2">
      <c r="A170" s="59">
        <v>30</v>
      </c>
      <c r="B170" s="69">
        <f t="shared" si="22"/>
        <v>2328.4791255345058</v>
      </c>
      <c r="C170" s="69">
        <f t="shared" si="22"/>
        <v>5310.9423696725962</v>
      </c>
      <c r="D170" s="70">
        <f t="shared" si="22"/>
        <v>6391.5449943603089</v>
      </c>
      <c r="E170" s="4"/>
      <c r="F170" s="5"/>
      <c r="G170" s="59">
        <v>30</v>
      </c>
      <c r="H170" s="69">
        <f t="shared" si="23"/>
        <v>11711.475487632129</v>
      </c>
      <c r="I170" s="69">
        <f t="shared" si="23"/>
        <v>14989.181038775199</v>
      </c>
      <c r="J170" s="70">
        <f t="shared" si="23"/>
        <v>16176.755513827035</v>
      </c>
      <c r="M170" s="59">
        <v>30</v>
      </c>
      <c r="N170" s="69">
        <f t="shared" si="24"/>
        <v>8678.3184451264278</v>
      </c>
      <c r="O170" s="69">
        <f t="shared" si="24"/>
        <v>12682.676901415065</v>
      </c>
      <c r="P170" s="70">
        <f t="shared" si="24"/>
        <v>14133.531414563116</v>
      </c>
      <c r="R170" s="59">
        <v>30</v>
      </c>
      <c r="S170" s="69">
        <f t="shared" si="25"/>
        <v>5361.6361680402078</v>
      </c>
      <c r="T170" s="69">
        <f t="shared" si="25"/>
        <v>7617.4465070327296</v>
      </c>
      <c r="U170" s="70">
        <f t="shared" si="25"/>
        <v>8434.7690936242252</v>
      </c>
    </row>
    <row r="171" spans="1:21" x14ac:dyDescent="0.2">
      <c r="A171" s="59">
        <v>31</v>
      </c>
      <c r="B171" s="69">
        <f t="shared" si="22"/>
        <v>2286.9807354377454</v>
      </c>
      <c r="C171" s="69">
        <f t="shared" si="22"/>
        <v>5318.7442325995071</v>
      </c>
      <c r="D171" s="70">
        <f t="shared" si="22"/>
        <v>6417.2092678030449</v>
      </c>
      <c r="E171" s="4"/>
      <c r="F171" s="5"/>
      <c r="G171" s="59">
        <v>31</v>
      </c>
      <c r="H171" s="69">
        <f t="shared" si="23"/>
        <v>11970.952182040382</v>
      </c>
      <c r="I171" s="69">
        <f t="shared" si="23"/>
        <v>15302.838354965146</v>
      </c>
      <c r="J171" s="70">
        <f t="shared" si="23"/>
        <v>16510.043490082815</v>
      </c>
      <c r="M171" s="59">
        <v>31</v>
      </c>
      <c r="N171" s="69">
        <f t="shared" si="24"/>
        <v>8807.6686598127453</v>
      </c>
      <c r="O171" s="69">
        <f t="shared" si="24"/>
        <v>12878.219343442497</v>
      </c>
      <c r="P171" s="70">
        <f t="shared" si="24"/>
        <v>14353.056547656175</v>
      </c>
      <c r="R171" s="59">
        <v>31</v>
      </c>
      <c r="S171" s="69">
        <f t="shared" si="25"/>
        <v>5450.2642576653816</v>
      </c>
      <c r="T171" s="69">
        <f t="shared" si="25"/>
        <v>7743.363244122158</v>
      </c>
      <c r="U171" s="70">
        <f t="shared" si="25"/>
        <v>8574.1962102296857</v>
      </c>
    </row>
    <row r="172" spans="1:21" x14ac:dyDescent="0.2">
      <c r="A172" s="59">
        <v>32</v>
      </c>
      <c r="B172" s="69">
        <f t="shared" si="22"/>
        <v>2243.6071436886491</v>
      </c>
      <c r="C172" s="69">
        <f t="shared" si="22"/>
        <v>5323.8819370813326</v>
      </c>
      <c r="D172" s="70">
        <f t="shared" si="22"/>
        <v>6439.9235288902764</v>
      </c>
      <c r="E172" s="4"/>
      <c r="F172" s="5"/>
      <c r="G172" s="59">
        <v>32</v>
      </c>
      <c r="H172" s="69">
        <f t="shared" si="23"/>
        <v>12228.368043384744</v>
      </c>
      <c r="I172" s="69">
        <f t="shared" si="23"/>
        <v>15613.567780277734</v>
      </c>
      <c r="J172" s="70">
        <f t="shared" si="23"/>
        <v>16840.089424079542</v>
      </c>
      <c r="M172" s="59">
        <v>32</v>
      </c>
      <c r="N172" s="69">
        <f t="shared" si="24"/>
        <v>8934.5011638085725</v>
      </c>
      <c r="O172" s="69">
        <f t="shared" si="24"/>
        <v>13070.184794062099</v>
      </c>
      <c r="P172" s="70">
        <f t="shared" si="24"/>
        <v>14568.620891980043</v>
      </c>
      <c r="R172" s="59">
        <v>32</v>
      </c>
      <c r="S172" s="69">
        <f t="shared" si="25"/>
        <v>5537.4740232648201</v>
      </c>
      <c r="T172" s="69">
        <f t="shared" si="25"/>
        <v>7867.2649232969652</v>
      </c>
      <c r="U172" s="70">
        <f t="shared" si="25"/>
        <v>8711.3920609897741</v>
      </c>
    </row>
    <row r="173" spans="1:21" x14ac:dyDescent="0.2">
      <c r="A173" s="59">
        <v>33</v>
      </c>
      <c r="B173" s="69">
        <f t="shared" si="22"/>
        <v>2198.4455958234803</v>
      </c>
      <c r="C173" s="69">
        <f t="shared" si="22"/>
        <v>5326.4794356177626</v>
      </c>
      <c r="D173" s="70">
        <f t="shared" si="22"/>
        <v>6459.8250297461263</v>
      </c>
      <c r="E173" s="4"/>
      <c r="F173" s="5"/>
      <c r="G173" s="59">
        <v>33</v>
      </c>
      <c r="H173" s="69">
        <f t="shared" si="23"/>
        <v>12483.818953879041</v>
      </c>
      <c r="I173" s="69">
        <f t="shared" si="23"/>
        <v>15921.505537614315</v>
      </c>
      <c r="J173" s="70">
        <f t="shared" si="23"/>
        <v>17167.044154909705</v>
      </c>
      <c r="M173" s="59">
        <v>33</v>
      </c>
      <c r="N173" s="69">
        <f t="shared" si="24"/>
        <v>9058.9330959928448</v>
      </c>
      <c r="O173" s="69">
        <f t="shared" si="24"/>
        <v>13258.739676193334</v>
      </c>
      <c r="P173" s="70">
        <f t="shared" si="24"/>
        <v>14780.40872699061</v>
      </c>
      <c r="R173" s="59">
        <v>33</v>
      </c>
      <c r="S173" s="69">
        <f t="shared" si="25"/>
        <v>5623.3314537096776</v>
      </c>
      <c r="T173" s="69">
        <f t="shared" si="25"/>
        <v>7989.2452970387458</v>
      </c>
      <c r="U173" s="70">
        <f t="shared" si="25"/>
        <v>8846.4604576652218</v>
      </c>
    </row>
    <row r="174" spans="1:21" x14ac:dyDescent="0.2">
      <c r="A174" s="59">
        <v>34</v>
      </c>
      <c r="B174" s="69">
        <f t="shared" ref="B174:D205" si="26">$G$127*(-$D$131*$A174+B$134*$D$129*SQRT($A174))</f>
        <v>2151.5767748624739</v>
      </c>
      <c r="C174" s="69">
        <f t="shared" si="26"/>
        <v>5326.6513571338874</v>
      </c>
      <c r="D174" s="70">
        <f t="shared" si="26"/>
        <v>6477.0406985365717</v>
      </c>
      <c r="E174" s="4"/>
      <c r="F174" s="5"/>
      <c r="G174" s="59">
        <v>34</v>
      </c>
      <c r="H174" s="69">
        <f t="shared" ref="H174:J205" si="27">$M$127*(-$J$131*$G174+H$134*$J$129*SQRT($G174))</f>
        <v>12737.39358357942</v>
      </c>
      <c r="I174" s="69">
        <f t="shared" si="27"/>
        <v>16226.777603335144</v>
      </c>
      <c r="J174" s="70">
        <f t="shared" si="27"/>
        <v>17491.04717571041</v>
      </c>
      <c r="M174" s="59">
        <v>34</v>
      </c>
      <c r="N174" s="69">
        <f t="shared" ref="N174:P205" si="28">$O$127*(-$P$131*$M174+N$134*$P$129*SQRT($M174))</f>
        <v>9181.0727841831813</v>
      </c>
      <c r="O174" s="69">
        <f t="shared" si="28"/>
        <v>13444.037894601477</v>
      </c>
      <c r="P174" s="70">
        <f t="shared" si="28"/>
        <v>14988.590470839988</v>
      </c>
      <c r="R174" s="59">
        <v>34</v>
      </c>
      <c r="S174" s="69">
        <f t="shared" si="25"/>
        <v>5707.8975742587118</v>
      </c>
      <c r="T174" s="69">
        <f t="shared" si="25"/>
        <v>8109.3910658675541</v>
      </c>
      <c r="U174" s="70">
        <f t="shared" si="25"/>
        <v>8979.497403406991</v>
      </c>
    </row>
    <row r="175" spans="1:21" x14ac:dyDescent="0.2">
      <c r="A175" s="59">
        <v>35</v>
      </c>
      <c r="B175" s="69">
        <f t="shared" si="26"/>
        <v>2103.075472271511</v>
      </c>
      <c r="C175" s="69">
        <f t="shared" si="26"/>
        <v>5324.5039602367206</v>
      </c>
      <c r="D175" s="70">
        <f t="shared" si="26"/>
        <v>6491.6881950067236</v>
      </c>
      <c r="E175" s="4"/>
      <c r="F175" s="5"/>
      <c r="G175" s="59">
        <v>35</v>
      </c>
      <c r="H175" s="69">
        <f t="shared" si="27"/>
        <v>12989.174127766366</v>
      </c>
      <c r="I175" s="69">
        <f t="shared" si="27"/>
        <v>16529.50075488141</v>
      </c>
      <c r="J175" s="70">
        <f t="shared" si="27"/>
        <v>17812.227793691207</v>
      </c>
      <c r="M175" s="59">
        <v>35</v>
      </c>
      <c r="N175" s="69">
        <f t="shared" si="28"/>
        <v>9301.0206459922556</v>
      </c>
      <c r="O175" s="69">
        <f t="shared" si="28"/>
        <v>13626.222115772827</v>
      </c>
      <c r="P175" s="70">
        <f t="shared" si="28"/>
        <v>15193.324097577382</v>
      </c>
      <c r="R175" s="59">
        <v>35</v>
      </c>
      <c r="S175" s="69">
        <f t="shared" si="25"/>
        <v>5791.2289540456222</v>
      </c>
      <c r="T175" s="69">
        <f t="shared" si="25"/>
        <v>8227.7825993453043</v>
      </c>
      <c r="U175" s="70">
        <f t="shared" si="25"/>
        <v>9110.5918911205499</v>
      </c>
    </row>
    <row r="176" spans="1:21" x14ac:dyDescent="0.2">
      <c r="A176" s="59">
        <v>36</v>
      </c>
      <c r="B176" s="69">
        <f t="shared" si="26"/>
        <v>2053.0111732183618</v>
      </c>
      <c r="C176" s="69">
        <f t="shared" si="26"/>
        <v>5320.1359647072986</v>
      </c>
      <c r="D176" s="70">
        <f t="shared" si="26"/>
        <v>6503.876831188798</v>
      </c>
      <c r="E176" s="4"/>
      <c r="F176" s="5"/>
      <c r="G176" s="59">
        <v>36</v>
      </c>
      <c r="H176" s="69">
        <f t="shared" si="27"/>
        <v>13239.236950137096</v>
      </c>
      <c r="I176" s="69">
        <f t="shared" si="27"/>
        <v>16829.78348457902</v>
      </c>
      <c r="J176" s="70">
        <f t="shared" si="27"/>
        <v>18130.706141985513</v>
      </c>
      <c r="M176" s="59">
        <v>36</v>
      </c>
      <c r="N176" s="69">
        <f t="shared" si="28"/>
        <v>9418.8699746130969</v>
      </c>
      <c r="O176" s="69">
        <f t="shared" si="28"/>
        <v>13805.424884304797</v>
      </c>
      <c r="P176" s="70">
        <f t="shared" si="28"/>
        <v>15394.756373323527</v>
      </c>
      <c r="R176" s="59">
        <v>36</v>
      </c>
      <c r="S176" s="69">
        <f t="shared" si="25"/>
        <v>5873.3781487423603</v>
      </c>
      <c r="T176" s="69">
        <f t="shared" si="25"/>
        <v>8344.4945649815199</v>
      </c>
      <c r="U176" s="70">
        <f t="shared" si="25"/>
        <v>9239.8265998507832</v>
      </c>
    </row>
    <row r="177" spans="1:21" x14ac:dyDescent="0.2">
      <c r="A177" s="59">
        <v>37</v>
      </c>
      <c r="B177" s="69">
        <f t="shared" si="26"/>
        <v>2001.4485691357729</v>
      </c>
      <c r="C177" s="69">
        <f t="shared" si="26"/>
        <v>5313.6392797153212</v>
      </c>
      <c r="D177" s="70">
        <f t="shared" si="26"/>
        <v>6513.7083777513899</v>
      </c>
      <c r="E177" s="4"/>
      <c r="F177" s="5"/>
      <c r="G177" s="59">
        <v>37</v>
      </c>
      <c r="H177" s="69">
        <f t="shared" si="27"/>
        <v>13487.653146108672</v>
      </c>
      <c r="I177" s="69">
        <f t="shared" si="27"/>
        <v>17127.726799941251</v>
      </c>
      <c r="J177" s="70">
        <f t="shared" si="27"/>
        <v>18446.594065822617</v>
      </c>
      <c r="M177" s="59">
        <v>37</v>
      </c>
      <c r="N177" s="69">
        <f t="shared" si="28"/>
        <v>9534.7076270040525</v>
      </c>
      <c r="O177" s="69">
        <f t="shared" si="28"/>
        <v>13981.769600632115</v>
      </c>
      <c r="P177" s="70">
        <f t="shared" si="28"/>
        <v>15593.02393890315</v>
      </c>
      <c r="R177" s="59">
        <v>37</v>
      </c>
      <c r="S177" s="69">
        <f t="shared" si="25"/>
        <v>5954.3940882403931</v>
      </c>
      <c r="T177" s="69">
        <f t="shared" si="25"/>
        <v>8459.5964790244561</v>
      </c>
      <c r="U177" s="70">
        <f t="shared" si="25"/>
        <v>9367.2785046708577</v>
      </c>
    </row>
    <row r="178" spans="1:21" x14ac:dyDescent="0.2">
      <c r="A178" s="59">
        <v>38</v>
      </c>
      <c r="B178" s="69">
        <f t="shared" si="26"/>
        <v>1948.4480083314663</v>
      </c>
      <c r="C178" s="69">
        <f t="shared" si="26"/>
        <v>5305.0996440150511</v>
      </c>
      <c r="D178" s="70">
        <f t="shared" si="26"/>
        <v>6521.2777728859137</v>
      </c>
      <c r="E178" s="4"/>
      <c r="F178" s="5"/>
      <c r="G178" s="59">
        <v>38</v>
      </c>
      <c r="H178" s="69">
        <f t="shared" si="27"/>
        <v>13734.489038035152</v>
      </c>
      <c r="I178" s="69">
        <f t="shared" si="27"/>
        <v>17423.424927239408</v>
      </c>
      <c r="J178" s="70">
        <f t="shared" si="27"/>
        <v>18759.995901588776</v>
      </c>
      <c r="M178" s="59">
        <v>38</v>
      </c>
      <c r="N178" s="69">
        <f t="shared" si="28"/>
        <v>9648.6146288933815</v>
      </c>
      <c r="O178" s="69">
        <f t="shared" si="28"/>
        <v>14155.371380576022</v>
      </c>
      <c r="P178" s="70">
        <f t="shared" si="28"/>
        <v>15788.254261620454</v>
      </c>
      <c r="R178" s="59">
        <v>38</v>
      </c>
      <c r="S178" s="69">
        <f t="shared" si="25"/>
        <v>6034.3224174732368</v>
      </c>
      <c r="T178" s="69">
        <f t="shared" si="25"/>
        <v>8573.1531906784385</v>
      </c>
      <c r="U178" s="70">
        <f t="shared" si="25"/>
        <v>9493.0194128542371</v>
      </c>
    </row>
    <row r="179" spans="1:21" x14ac:dyDescent="0.2">
      <c r="A179" s="59">
        <v>39</v>
      </c>
      <c r="B179" s="69">
        <f t="shared" si="26"/>
        <v>1894.0658935586589</v>
      </c>
      <c r="C179" s="69">
        <f t="shared" si="26"/>
        <v>5294.5971907863577</v>
      </c>
      <c r="D179" s="70">
        <f t="shared" si="26"/>
        <v>6526.6737477529168</v>
      </c>
      <c r="E179" s="4"/>
      <c r="F179" s="5"/>
      <c r="G179" s="59">
        <v>39</v>
      </c>
      <c r="H179" s="69">
        <f t="shared" si="27"/>
        <v>13979.806612134689</v>
      </c>
      <c r="I179" s="69">
        <f t="shared" si="27"/>
        <v>17716.965932259041</v>
      </c>
      <c r="J179" s="70">
        <f t="shared" si="27"/>
        <v>19071.009164188155</v>
      </c>
      <c r="M179" s="59">
        <v>39</v>
      </c>
      <c r="N179" s="69">
        <f t="shared" si="28"/>
        <v>9760.6667085711888</v>
      </c>
      <c r="O179" s="69">
        <f t="shared" si="28"/>
        <v>14326.337813719412</v>
      </c>
      <c r="P179" s="70">
        <f t="shared" si="28"/>
        <v>15980.566475005</v>
      </c>
      <c r="R179" s="59">
        <v>39</v>
      </c>
      <c r="S179" s="69">
        <f t="shared" si="25"/>
        <v>6113.2057971221584</v>
      </c>
      <c r="T179" s="69">
        <f t="shared" si="25"/>
        <v>8685.225309325986</v>
      </c>
      <c r="U179" s="70">
        <f t="shared" si="25"/>
        <v>9617.1164369360722</v>
      </c>
    </row>
    <row r="180" spans="1:21" x14ac:dyDescent="0.2">
      <c r="A180" s="59">
        <v>40</v>
      </c>
      <c r="B180" s="69">
        <f t="shared" si="26"/>
        <v>1838.3550339836097</v>
      </c>
      <c r="C180" s="69">
        <f t="shared" si="26"/>
        <v>5282.2069476861907</v>
      </c>
      <c r="D180" s="70">
        <f t="shared" si="26"/>
        <v>6529.9793801871256</v>
      </c>
      <c r="E180" s="4"/>
      <c r="F180" s="5"/>
      <c r="G180" s="59">
        <v>40</v>
      </c>
      <c r="H180" s="69">
        <f t="shared" si="27"/>
        <v>14223.663905299358</v>
      </c>
      <c r="I180" s="69">
        <f t="shared" si="27"/>
        <v>18008.432269852925</v>
      </c>
      <c r="J180" s="70">
        <f t="shared" si="27"/>
        <v>19379.725155560733</v>
      </c>
      <c r="M180" s="59">
        <v>40</v>
      </c>
      <c r="N180" s="69">
        <f t="shared" si="28"/>
        <v>9870.9347694532735</v>
      </c>
      <c r="O180" s="69">
        <f t="shared" si="28"/>
        <v>14494.769634793269</v>
      </c>
      <c r="P180" s="70">
        <f t="shared" si="28"/>
        <v>16170.072122235295</v>
      </c>
      <c r="R180" s="59">
        <v>40</v>
      </c>
      <c r="S180" s="69">
        <f t="shared" si="25"/>
        <v>6191.0841698296936</v>
      </c>
      <c r="T180" s="69">
        <f t="shared" si="25"/>
        <v>8795.8695827458469</v>
      </c>
      <c r="U180" s="70">
        <f t="shared" si="25"/>
        <v>9739.6324135125615</v>
      </c>
    </row>
    <row r="181" spans="1:21" x14ac:dyDescent="0.2">
      <c r="A181" s="59">
        <v>41</v>
      </c>
      <c r="B181" s="69">
        <f t="shared" si="26"/>
        <v>1781.3649577850545</v>
      </c>
      <c r="C181" s="69">
        <f t="shared" si="26"/>
        <v>5267.9992809684809</v>
      </c>
      <c r="D181" s="70">
        <f t="shared" si="26"/>
        <v>6531.2725864697213</v>
      </c>
      <c r="E181" s="4"/>
      <c r="F181" s="5"/>
      <c r="G181" s="59">
        <v>41</v>
      </c>
      <c r="H181" s="69">
        <f t="shared" si="27"/>
        <v>14466.115348639656</v>
      </c>
      <c r="I181" s="69">
        <f t="shared" si="27"/>
        <v>18297.901272025589</v>
      </c>
      <c r="J181" s="70">
        <f t="shared" si="27"/>
        <v>19686.229505136434</v>
      </c>
      <c r="M181" s="59">
        <v>41</v>
      </c>
      <c r="N181" s="69">
        <f t="shared" si="28"/>
        <v>9979.4853097879259</v>
      </c>
      <c r="O181" s="69">
        <f t="shared" si="28"/>
        <v>14660.761319967429</v>
      </c>
      <c r="P181" s="70">
        <f t="shared" si="28"/>
        <v>16356.875816409272</v>
      </c>
      <c r="R181" s="59">
        <v>41</v>
      </c>
      <c r="S181" s="69">
        <f t="shared" si="25"/>
        <v>6267.994996636784</v>
      </c>
      <c r="T181" s="69">
        <f t="shared" si="25"/>
        <v>8905.1392330266408</v>
      </c>
      <c r="U181" s="70">
        <f t="shared" si="25"/>
        <v>9860.6262751968825</v>
      </c>
    </row>
    <row r="182" spans="1:21" x14ac:dyDescent="0.2">
      <c r="A182" s="59">
        <v>42</v>
      </c>
      <c r="B182" s="69">
        <f t="shared" si="26"/>
        <v>1723.1421906372746</v>
      </c>
      <c r="C182" s="69">
        <f t="shared" si="26"/>
        <v>5252.0402911338833</v>
      </c>
      <c r="D182" s="70">
        <f t="shared" si="26"/>
        <v>6530.6265594297565</v>
      </c>
      <c r="E182" s="4"/>
      <c r="F182" s="5"/>
      <c r="G182" s="59">
        <v>42</v>
      </c>
      <c r="H182" s="69">
        <f t="shared" si="27"/>
        <v>14707.212073535367</v>
      </c>
      <c r="I182" s="69">
        <f t="shared" si="27"/>
        <v>18585.445582749544</v>
      </c>
      <c r="J182" s="70">
        <f t="shared" si="27"/>
        <v>19990.602651305406</v>
      </c>
      <c r="M182" s="59">
        <v>42</v>
      </c>
      <c r="N182" s="69">
        <f t="shared" si="28"/>
        <v>10086.380796556967</v>
      </c>
      <c r="O182" s="69">
        <f t="shared" si="28"/>
        <v>14824.401618063604</v>
      </c>
      <c r="P182" s="70">
        <f t="shared" si="28"/>
        <v>16541.075828754412</v>
      </c>
      <c r="R182" s="59">
        <v>42</v>
      </c>
      <c r="S182" s="69">
        <f t="shared" si="25"/>
        <v>6343.973467615675</v>
      </c>
      <c r="T182" s="69">
        <f t="shared" si="25"/>
        <v>9013.0842558198219</v>
      </c>
      <c r="U182" s="70">
        <f t="shared" si="25"/>
        <v>9980.1533819807482</v>
      </c>
    </row>
    <row r="183" spans="1:21" x14ac:dyDescent="0.2">
      <c r="A183" s="59">
        <v>43</v>
      </c>
      <c r="B183" s="69">
        <f t="shared" si="26"/>
        <v>1663.7305045201304</v>
      </c>
      <c r="C183" s="69">
        <f t="shared" si="26"/>
        <v>5234.3921664220798</v>
      </c>
      <c r="D183" s="70">
        <f t="shared" si="26"/>
        <v>6528.1101598648165</v>
      </c>
      <c r="E183" s="4"/>
      <c r="F183" s="5"/>
      <c r="G183" s="59">
        <v>43</v>
      </c>
      <c r="H183" s="69">
        <f t="shared" si="27"/>
        <v>14947.002185076029</v>
      </c>
      <c r="I183" s="69">
        <f t="shared" si="27"/>
        <v>18871.133546450779</v>
      </c>
      <c r="J183" s="70">
        <f t="shared" si="27"/>
        <v>20292.920271586558</v>
      </c>
      <c r="M183" s="59">
        <v>43</v>
      </c>
      <c r="N183" s="69">
        <f t="shared" si="28"/>
        <v>10191.679999536704</v>
      </c>
      <c r="O183" s="69">
        <f t="shared" si="28"/>
        <v>14985.774025166445</v>
      </c>
      <c r="P183" s="70">
        <f t="shared" si="28"/>
        <v>16722.764614162727</v>
      </c>
      <c r="R183" s="59">
        <v>43</v>
      </c>
      <c r="S183" s="69">
        <f t="shared" si="25"/>
        <v>6419.0526900594559</v>
      </c>
      <c r="T183" s="69">
        <f t="shared" si="25"/>
        <v>9119.7516877064136</v>
      </c>
      <c r="U183" s="70">
        <f t="shared" si="25"/>
        <v>10098.265817288648</v>
      </c>
    </row>
    <row r="184" spans="1:21" x14ac:dyDescent="0.2">
      <c r="A184" s="59">
        <v>44</v>
      </c>
      <c r="B184" s="69">
        <f t="shared" si="26"/>
        <v>1603.1711406313391</v>
      </c>
      <c r="C184" s="69">
        <f t="shared" si="26"/>
        <v>5215.1134995103148</v>
      </c>
      <c r="D184" s="70">
        <f t="shared" si="26"/>
        <v>6523.7882672200894</v>
      </c>
      <c r="E184" s="4"/>
      <c r="F184" s="5"/>
      <c r="G184" s="59">
        <v>44</v>
      </c>
      <c r="H184" s="69">
        <f t="shared" si="27"/>
        <v>15185.531007039879</v>
      </c>
      <c r="I184" s="69">
        <f t="shared" si="27"/>
        <v>19155.029556058129</v>
      </c>
      <c r="J184" s="70">
        <f t="shared" si="27"/>
        <v>20593.253668021265</v>
      </c>
      <c r="M184" s="59">
        <v>44</v>
      </c>
      <c r="N184" s="69">
        <f t="shared" si="28"/>
        <v>10295.438290587676</v>
      </c>
      <c r="O184" s="69">
        <f t="shared" si="28"/>
        <v>15144.957209833901</v>
      </c>
      <c r="P184" s="70">
        <f t="shared" si="28"/>
        <v>16902.029282024563</v>
      </c>
      <c r="R184" s="59">
        <v>44</v>
      </c>
      <c r="S184" s="69">
        <f t="shared" si="25"/>
        <v>6493.2638570835425</v>
      </c>
      <c r="T184" s="69">
        <f t="shared" si="25"/>
        <v>9225.1858457345406</v>
      </c>
      <c r="U184" s="70">
        <f t="shared" si="25"/>
        <v>10215.012653216792</v>
      </c>
    </row>
    <row r="185" spans="1:21" x14ac:dyDescent="0.2">
      <c r="A185" s="59">
        <v>45</v>
      </c>
      <c r="B185" s="69">
        <f t="shared" si="26"/>
        <v>1541.5030096212599</v>
      </c>
      <c r="C185" s="69">
        <f t="shared" si="26"/>
        <v>5194.2595719933061</v>
      </c>
      <c r="D185" s="70">
        <f t="shared" si="26"/>
        <v>6517.7220945918725</v>
      </c>
      <c r="E185" s="4"/>
      <c r="F185" s="5"/>
      <c r="G185" s="59">
        <v>45</v>
      </c>
      <c r="H185" s="69">
        <f t="shared" si="27"/>
        <v>15422.841301950461</v>
      </c>
      <c r="I185" s="69">
        <f t="shared" si="27"/>
        <v>19437.194365644675</v>
      </c>
      <c r="J185" s="70">
        <f t="shared" si="27"/>
        <v>20891.670113359971</v>
      </c>
      <c r="M185" s="59">
        <v>45</v>
      </c>
      <c r="N185" s="69">
        <f t="shared" si="28"/>
        <v>10397.707912496822</v>
      </c>
      <c r="O185" s="69">
        <f t="shared" si="28"/>
        <v>15302.025395049868</v>
      </c>
      <c r="P185" s="70">
        <f t="shared" si="28"/>
        <v>17078.952019163287</v>
      </c>
      <c r="R185" s="59">
        <v>45</v>
      </c>
      <c r="S185" s="69">
        <f t="shared" si="25"/>
        <v>6566.6363990748978</v>
      </c>
      <c r="T185" s="69">
        <f t="shared" si="25"/>
        <v>9329.4285425881117</v>
      </c>
      <c r="U185" s="70">
        <f t="shared" si="25"/>
        <v>10330.440188788558</v>
      </c>
    </row>
    <row r="186" spans="1:21" x14ac:dyDescent="0.2">
      <c r="A186" s="59">
        <v>46</v>
      </c>
      <c r="B186" s="69">
        <f t="shared" si="26"/>
        <v>1478.7628719078125</v>
      </c>
      <c r="C186" s="69">
        <f t="shared" si="26"/>
        <v>5171.8826105623648</v>
      </c>
      <c r="D186" s="70">
        <f t="shared" si="26"/>
        <v>6509.9694723937255</v>
      </c>
      <c r="E186" s="4"/>
      <c r="F186" s="5"/>
      <c r="G186" s="59">
        <v>46</v>
      </c>
      <c r="H186" s="69">
        <f t="shared" si="27"/>
        <v>15658.973469241395</v>
      </c>
      <c r="I186" s="69">
        <f t="shared" si="27"/>
        <v>19717.685371966727</v>
      </c>
      <c r="J186" s="70">
        <f t="shared" si="27"/>
        <v>21188.23316280924</v>
      </c>
      <c r="M186" s="59">
        <v>46</v>
      </c>
      <c r="N186" s="69">
        <f t="shared" si="28"/>
        <v>10498.538221074523</v>
      </c>
      <c r="O186" s="69">
        <f t="shared" si="28"/>
        <v>15457.048702179085</v>
      </c>
      <c r="P186" s="70">
        <f t="shared" si="28"/>
        <v>17253.610470695228</v>
      </c>
      <c r="R186" s="59">
        <v>46</v>
      </c>
      <c r="S186" s="69">
        <f t="shared" si="25"/>
        <v>6639.198120074685</v>
      </c>
      <c r="T186" s="69">
        <f t="shared" si="25"/>
        <v>9432.5192803500086</v>
      </c>
      <c r="U186" s="70">
        <f t="shared" si="25"/>
        <v>10444.592164507736</v>
      </c>
    </row>
    <row r="187" spans="1:21" x14ac:dyDescent="0.2">
      <c r="A187" s="59">
        <v>47</v>
      </c>
      <c r="B187" s="69">
        <f t="shared" si="26"/>
        <v>1414.98550044129</v>
      </c>
      <c r="C187" s="69">
        <f t="shared" si="26"/>
        <v>5148.0320182505302</v>
      </c>
      <c r="D187" s="70">
        <f t="shared" si="26"/>
        <v>6500.5851044132987</v>
      </c>
      <c r="E187" s="4"/>
      <c r="F187" s="5"/>
      <c r="G187" s="59">
        <v>47</v>
      </c>
      <c r="H187" s="69">
        <f t="shared" si="27"/>
        <v>15893.965724133754</v>
      </c>
      <c r="I187" s="69">
        <f t="shared" si="27"/>
        <v>19996.556868600554</v>
      </c>
      <c r="J187" s="70">
        <f t="shared" si="27"/>
        <v>21483.002935436351</v>
      </c>
      <c r="M187" s="59">
        <v>47</v>
      </c>
      <c r="N187" s="69">
        <f t="shared" si="28"/>
        <v>10597.975903688288</v>
      </c>
      <c r="O187" s="69">
        <f t="shared" si="28"/>
        <v>15610.093461444902</v>
      </c>
      <c r="P187" s="70">
        <f t="shared" si="28"/>
        <v>17426.078083820485</v>
      </c>
      <c r="R187" s="59">
        <v>47</v>
      </c>
      <c r="S187" s="69">
        <f t="shared" si="25"/>
        <v>6710.9753208867569</v>
      </c>
      <c r="T187" s="69">
        <f t="shared" si="25"/>
        <v>9534.4954254061831</v>
      </c>
      <c r="U187" s="70">
        <f t="shared" si="25"/>
        <v>10557.509956029164</v>
      </c>
    </row>
    <row r="188" spans="1:21" x14ac:dyDescent="0.2">
      <c r="A188" s="59">
        <v>48</v>
      </c>
      <c r="B188" s="69">
        <f t="shared" si="26"/>
        <v>1350.2038279627377</v>
      </c>
      <c r="C188" s="69">
        <f t="shared" si="26"/>
        <v>5122.7545836472145</v>
      </c>
      <c r="D188" s="70">
        <f t="shared" si="26"/>
        <v>6489.620799474922</v>
      </c>
      <c r="E188" s="4"/>
      <c r="F188" s="5"/>
      <c r="G188" s="59">
        <v>48</v>
      </c>
      <c r="H188" s="69">
        <f t="shared" si="27"/>
        <v>16127.854259471946</v>
      </c>
      <c r="I188" s="69">
        <f t="shared" si="27"/>
        <v>20273.860275867792</v>
      </c>
      <c r="J188" s="70">
        <f t="shared" si="27"/>
        <v>21776.036368764835</v>
      </c>
      <c r="M188" s="59">
        <v>48</v>
      </c>
      <c r="N188" s="69">
        <f t="shared" si="28"/>
        <v>10696.065176976947</v>
      </c>
      <c r="O188" s="69">
        <f t="shared" si="28"/>
        <v>15761.222492828099</v>
      </c>
      <c r="P188" s="70">
        <f t="shared" si="28"/>
        <v>17596.424418861126</v>
      </c>
      <c r="R188" s="59">
        <v>48</v>
      </c>
      <c r="S188" s="69">
        <f t="shared" si="25"/>
        <v>6781.9929104577386</v>
      </c>
      <c r="T188" s="69">
        <f t="shared" si="25"/>
        <v>9635.3923666869086</v>
      </c>
      <c r="U188" s="70">
        <f t="shared" si="25"/>
        <v>10669.232749378629</v>
      </c>
    </row>
    <row r="189" spans="1:21" x14ac:dyDescent="0.2">
      <c r="A189" s="59">
        <v>49</v>
      </c>
      <c r="B189" s="69">
        <f t="shared" si="26"/>
        <v>1284.4490805241471</v>
      </c>
      <c r="C189" s="69">
        <f t="shared" si="26"/>
        <v>5096.0946705945744</v>
      </c>
      <c r="D189" s="70">
        <f t="shared" si="26"/>
        <v>6477.1256814896569</v>
      </c>
      <c r="E189" s="4"/>
      <c r="F189" s="5"/>
      <c r="G189" s="59">
        <v>49</v>
      </c>
      <c r="H189" s="69">
        <f t="shared" si="27"/>
        <v>16360.673392461435</v>
      </c>
      <c r="I189" s="69">
        <f t="shared" si="27"/>
        <v>20549.644349310343</v>
      </c>
      <c r="J189" s="70">
        <f t="shared" si="27"/>
        <v>22067.38744961792</v>
      </c>
      <c r="M189" s="59">
        <v>49</v>
      </c>
      <c r="N189" s="69">
        <f t="shared" si="28"/>
        <v>10792.847966119489</v>
      </c>
      <c r="O189" s="69">
        <f t="shared" si="28"/>
        <v>15910.495360759805</v>
      </c>
      <c r="P189" s="70">
        <f t="shared" si="28"/>
        <v>17764.715431281656</v>
      </c>
      <c r="R189" s="59">
        <v>49</v>
      </c>
      <c r="S189" s="69">
        <f t="shared" si="25"/>
        <v>6852.2745068660934</v>
      </c>
      <c r="T189" s="69">
        <f t="shared" si="25"/>
        <v>9735.2436591451133</v>
      </c>
      <c r="U189" s="70">
        <f t="shared" si="25"/>
        <v>10779.797699825918</v>
      </c>
    </row>
    <row r="190" spans="1:21" x14ac:dyDescent="0.2">
      <c r="A190" s="59">
        <v>50</v>
      </c>
      <c r="B190" s="69">
        <f t="shared" si="26"/>
        <v>1217.7508988051793</v>
      </c>
      <c r="C190" s="69">
        <f t="shared" si="26"/>
        <v>5068.0943905460354</v>
      </c>
      <c r="D190" s="70">
        <f t="shared" si="26"/>
        <v>6463.1463803072147</v>
      </c>
      <c r="E190" s="73"/>
      <c r="F190" s="74"/>
      <c r="G190" s="59">
        <v>50</v>
      </c>
      <c r="H190" s="69">
        <f>$M$127*(-$J$131*$G190+H$134*$J$129*SQRT($G190))</f>
        <v>16592.455697994956</v>
      </c>
      <c r="I190" s="69">
        <f t="shared" si="27"/>
        <v>20823.955369111194</v>
      </c>
      <c r="J190" s="70">
        <f t="shared" si="27"/>
        <v>22357.107423863454</v>
      </c>
      <c r="M190" s="59">
        <v>50</v>
      </c>
      <c r="N190" s="69">
        <f t="shared" si="28"/>
        <v>10888.364067719109</v>
      </c>
      <c r="O190" s="69">
        <f t="shared" si="28"/>
        <v>16057.96860553602</v>
      </c>
      <c r="P190" s="70">
        <f t="shared" si="28"/>
        <v>17931.013727933449</v>
      </c>
      <c r="R190" s="59">
        <v>50</v>
      </c>
      <c r="S190" s="69">
        <f t="shared" si="25"/>
        <v>6921.8425290810246</v>
      </c>
      <c r="T190" s="69">
        <f t="shared" si="25"/>
        <v>9834.0811541212115</v>
      </c>
      <c r="U190" s="70">
        <f t="shared" si="25"/>
        <v>10889.24007623722</v>
      </c>
    </row>
    <row r="191" spans="1:21" x14ac:dyDescent="0.2">
      <c r="A191" s="59">
        <v>51</v>
      </c>
      <c r="B191" s="69">
        <f t="shared" si="26"/>
        <v>1150.1374485626377</v>
      </c>
      <c r="C191" s="69">
        <f t="shared" si="26"/>
        <v>5038.7937594853447</v>
      </c>
      <c r="D191" s="70">
        <f t="shared" si="26"/>
        <v>6447.7272054718305</v>
      </c>
      <c r="E191" s="4"/>
      <c r="F191" s="5"/>
      <c r="G191" s="59">
        <v>51</v>
      </c>
      <c r="H191" s="69">
        <f t="shared" si="27"/>
        <v>16823.232130035689</v>
      </c>
      <c r="I191" s="69">
        <f t="shared" si="27"/>
        <v>21096.837312547283</v>
      </c>
      <c r="J191" s="70">
        <f t="shared" si="27"/>
        <v>22645.244987370323</v>
      </c>
      <c r="M191" s="59">
        <v>51</v>
      </c>
      <c r="N191" s="69">
        <f t="shared" si="28"/>
        <v>10982.651298096476</v>
      </c>
      <c r="O191" s="69">
        <f t="shared" si="28"/>
        <v>16203.695954002564</v>
      </c>
      <c r="P191" s="70">
        <f t="shared" si="28"/>
        <v>18095.378800345348</v>
      </c>
      <c r="R191" s="59">
        <v>51</v>
      </c>
      <c r="S191" s="69">
        <f t="shared" si="25"/>
        <v>6990.7182805018492</v>
      </c>
      <c r="T191" s="69">
        <f t="shared" si="25"/>
        <v>9931.9351180300655</v>
      </c>
      <c r="U191" s="70">
        <f t="shared" si="25"/>
        <v>10997.593392496805</v>
      </c>
    </row>
    <row r="192" spans="1:21" x14ac:dyDescent="0.2">
      <c r="A192" s="59">
        <v>52</v>
      </c>
      <c r="B192" s="69">
        <f t="shared" si="26"/>
        <v>1081.6355213792453</v>
      </c>
      <c r="C192" s="69">
        <f t="shared" si="26"/>
        <v>5008.2308410635642</v>
      </c>
      <c r="D192" s="70">
        <f t="shared" si="26"/>
        <v>6430.910304717303</v>
      </c>
      <c r="E192" s="4"/>
      <c r="F192" s="5"/>
      <c r="G192" s="59">
        <v>52</v>
      </c>
      <c r="H192" s="69">
        <f t="shared" si="27"/>
        <v>17053.032132339416</v>
      </c>
      <c r="I192" s="69">
        <f t="shared" si="27"/>
        <v>21368.332011296046</v>
      </c>
      <c r="J192" s="70">
        <f t="shared" si="27"/>
        <v>22931.846460193374</v>
      </c>
      <c r="M192" s="59">
        <v>52</v>
      </c>
      <c r="N192" s="69">
        <f t="shared" si="28"/>
        <v>11075.745628558543</v>
      </c>
      <c r="O192" s="69">
        <f t="shared" si="28"/>
        <v>16347.72851173579</v>
      </c>
      <c r="P192" s="70">
        <f t="shared" si="28"/>
        <v>18257.867237524646</v>
      </c>
      <c r="R192" s="59">
        <v>52</v>
      </c>
      <c r="S192" s="69">
        <f t="shared" si="25"/>
        <v>7058.9220251601182</v>
      </c>
      <c r="T192" s="69">
        <f t="shared" si="25"/>
        <v>10028.83434062382</v>
      </c>
      <c r="U192" s="70">
        <f t="shared" si="25"/>
        <v>11104.889527386033</v>
      </c>
    </row>
    <row r="193" spans="1:21" x14ac:dyDescent="0.2">
      <c r="A193" s="59">
        <v>53</v>
      </c>
      <c r="B193" s="69">
        <f t="shared" si="26"/>
        <v>1012.2706267332334</v>
      </c>
      <c r="C193" s="69">
        <f t="shared" si="26"/>
        <v>4976.4418774052619</v>
      </c>
      <c r="D193" s="70">
        <f t="shared" si="26"/>
        <v>6412.7358088081683</v>
      </c>
      <c r="E193" s="4"/>
      <c r="F193" s="5"/>
      <c r="G193" s="59">
        <v>53</v>
      </c>
      <c r="H193" s="69">
        <f t="shared" si="27"/>
        <v>17281.883739638368</v>
      </c>
      <c r="I193" s="69">
        <f t="shared" si="27"/>
        <v>21638.47929519046</v>
      </c>
      <c r="J193" s="70">
        <f t="shared" si="27"/>
        <v>23216.955945752808</v>
      </c>
      <c r="M193" s="59">
        <v>53</v>
      </c>
      <c r="N193" s="69">
        <f t="shared" si="28"/>
        <v>11167.681309014371</v>
      </c>
      <c r="O193" s="69">
        <f t="shared" si="28"/>
        <v>16490.114938667462</v>
      </c>
      <c r="P193" s="70">
        <f t="shared" si="28"/>
        <v>18418.532920425831</v>
      </c>
      <c r="R193" s="59">
        <v>53</v>
      </c>
      <c r="S193" s="69">
        <f t="shared" si="25"/>
        <v>7126.4730573572288</v>
      </c>
      <c r="T193" s="69">
        <f t="shared" si="25"/>
        <v>10124.806233928259</v>
      </c>
      <c r="U193" s="70">
        <f t="shared" si="25"/>
        <v>11211.158834135145</v>
      </c>
    </row>
    <row r="194" spans="1:21" x14ac:dyDescent="0.2">
      <c r="A194" s="59">
        <v>54</v>
      </c>
      <c r="B194" s="69">
        <f t="shared" si="26"/>
        <v>942.06707628541938</v>
      </c>
      <c r="C194" s="69">
        <f t="shared" si="26"/>
        <v>4943.4614088578119</v>
      </c>
      <c r="D194" s="70">
        <f t="shared" si="26"/>
        <v>6393.2419641376609</v>
      </c>
      <c r="E194" s="4"/>
      <c r="F194" s="5"/>
      <c r="G194" s="59">
        <v>54</v>
      </c>
      <c r="H194" s="69">
        <f t="shared" si="27"/>
        <v>17509.813670272073</v>
      </c>
      <c r="I194" s="69">
        <f t="shared" si="27"/>
        <v>21907.317123822664</v>
      </c>
      <c r="J194" s="70">
        <f t="shared" si="27"/>
        <v>23500.615476558385</v>
      </c>
      <c r="M194" s="59">
        <v>54</v>
      </c>
      <c r="N194" s="69">
        <f t="shared" si="28"/>
        <v>11258.490981141857</v>
      </c>
      <c r="O194" s="69">
        <f t="shared" si="28"/>
        <v>16630.901609864362</v>
      </c>
      <c r="P194" s="70">
        <f t="shared" si="28"/>
        <v>18577.427199981212</v>
      </c>
      <c r="R194" s="59">
        <v>54</v>
      </c>
      <c r="S194" s="69">
        <f t="shared" si="25"/>
        <v>7193.3897654156372</v>
      </c>
      <c r="T194" s="69">
        <f t="shared" si="25"/>
        <v>10219.876922816115</v>
      </c>
      <c r="U194" s="70">
        <f t="shared" si="25"/>
        <v>11316.430240714835</v>
      </c>
    </row>
    <row r="195" spans="1:21" x14ac:dyDescent="0.2">
      <c r="A195" s="59">
        <v>55</v>
      </c>
      <c r="B195" s="69">
        <f t="shared" si="26"/>
        <v>871.04806117301473</v>
      </c>
      <c r="C195" s="69">
        <f t="shared" si="26"/>
        <v>4909.322383805179</v>
      </c>
      <c r="D195" s="70">
        <f t="shared" si="26"/>
        <v>6372.4652543240809</v>
      </c>
      <c r="E195" s="4"/>
      <c r="F195" s="5"/>
      <c r="G195" s="59">
        <v>55</v>
      </c>
      <c r="H195" s="69">
        <f t="shared" si="27"/>
        <v>17736.84741113273</v>
      </c>
      <c r="I195" s="69">
        <f t="shared" si="27"/>
        <v>22174.881707228524</v>
      </c>
      <c r="J195" s="70">
        <f t="shared" si="27"/>
        <v>23782.865147842949</v>
      </c>
      <c r="M195" s="59">
        <v>55</v>
      </c>
      <c r="N195" s="69">
        <f t="shared" si="28"/>
        <v>11348.205782165109</v>
      </c>
      <c r="O195" s="69">
        <f t="shared" si="28"/>
        <v>16770.132762968045</v>
      </c>
      <c r="P195" s="70">
        <f t="shared" si="28"/>
        <v>18734.599060360415</v>
      </c>
      <c r="R195" s="59">
        <v>55</v>
      </c>
      <c r="S195" s="69">
        <f t="shared" si="25"/>
        <v>7259.689690140638</v>
      </c>
      <c r="T195" s="69">
        <f t="shared" si="25"/>
        <v>10314.071328065656</v>
      </c>
      <c r="U195" s="70">
        <f t="shared" si="25"/>
        <v>11420.731341806615</v>
      </c>
    </row>
    <row r="196" spans="1:21" x14ac:dyDescent="0.2">
      <c r="A196" s="59">
        <v>56</v>
      </c>
      <c r="B196" s="69">
        <f t="shared" si="26"/>
        <v>799.23572300655348</v>
      </c>
      <c r="C196" s="69">
        <f t="shared" si="26"/>
        <v>4874.056259535505</v>
      </c>
      <c r="D196" s="70">
        <f t="shared" si="26"/>
        <v>6350.4405119010671</v>
      </c>
      <c r="E196" s="4"/>
      <c r="F196" s="5"/>
      <c r="G196" s="59">
        <v>56</v>
      </c>
      <c r="H196" s="69">
        <f t="shared" si="27"/>
        <v>17963.009295690303</v>
      </c>
      <c r="I196" s="69">
        <f t="shared" si="27"/>
        <v>22441.207616740368</v>
      </c>
      <c r="J196" s="70">
        <f t="shared" si="27"/>
        <v>24063.743240309235</v>
      </c>
      <c r="M196" s="59">
        <v>56</v>
      </c>
      <c r="N196" s="69">
        <f t="shared" si="28"/>
        <v>11436.855440177349</v>
      </c>
      <c r="O196" s="69">
        <f t="shared" si="28"/>
        <v>16907.850633623166</v>
      </c>
      <c r="P196" s="70">
        <f t="shared" si="28"/>
        <v>18890.095268929621</v>
      </c>
      <c r="R196" s="59">
        <v>56</v>
      </c>
      <c r="S196" s="69">
        <f t="shared" si="25"/>
        <v>7325.3895785195073</v>
      </c>
      <c r="T196" s="69">
        <f t="shared" si="25"/>
        <v>10407.413242652707</v>
      </c>
      <c r="U196" s="70">
        <f t="shared" si="25"/>
        <v>11524.088483280681</v>
      </c>
    </row>
    <row r="197" spans="1:21" x14ac:dyDescent="0.2">
      <c r="A197" s="59">
        <v>57</v>
      </c>
      <c r="B197" s="69">
        <f t="shared" si="26"/>
        <v>726.65121918575585</v>
      </c>
      <c r="C197" s="69">
        <f t="shared" si="26"/>
        <v>4837.6930950374153</v>
      </c>
      <c r="D197" s="70">
        <f t="shared" si="26"/>
        <v>6327.201021070623</v>
      </c>
      <c r="E197" s="4"/>
      <c r="F197" s="5"/>
      <c r="G197" s="59">
        <v>57</v>
      </c>
      <c r="H197" s="69">
        <f t="shared" si="27"/>
        <v>18188.322575774171</v>
      </c>
      <c r="I197" s="69">
        <f t="shared" si="27"/>
        <v>22706.327886969455</v>
      </c>
      <c r="J197" s="70">
        <f t="shared" si="27"/>
        <v>24343.286333054701</v>
      </c>
      <c r="M197" s="59">
        <v>57</v>
      </c>
      <c r="N197" s="69">
        <f t="shared" si="28"/>
        <v>11524.468361836285</v>
      </c>
      <c r="O197" s="69">
        <f t="shared" si="28"/>
        <v>17044.095580069014</v>
      </c>
      <c r="P197" s="70">
        <f t="shared" si="28"/>
        <v>19043.960514211307</v>
      </c>
      <c r="R197" s="59">
        <v>57</v>
      </c>
      <c r="S197" s="69">
        <f t="shared" si="25"/>
        <v>7390.5054331236406</v>
      </c>
      <c r="T197" s="69">
        <f t="shared" si="25"/>
        <v>10499.925401937857</v>
      </c>
      <c r="U197" s="70">
        <f t="shared" si="25"/>
        <v>11626.526839914019</v>
      </c>
    </row>
    <row r="198" spans="1:21" x14ac:dyDescent="0.2">
      <c r="A198" s="59">
        <v>58</v>
      </c>
      <c r="B198" s="69">
        <f t="shared" si="26"/>
        <v>653.31478308028329</v>
      </c>
      <c r="C198" s="69">
        <f t="shared" si="26"/>
        <v>4800.2616365007316</v>
      </c>
      <c r="D198" s="70">
        <f t="shared" si="26"/>
        <v>6302.7786123777059</v>
      </c>
      <c r="E198" s="4"/>
      <c r="F198" s="5"/>
      <c r="G198" s="59">
        <v>58</v>
      </c>
      <c r="H198" s="69">
        <f t="shared" si="27"/>
        <v>18412.809487711376</v>
      </c>
      <c r="I198" s="69">
        <f t="shared" si="27"/>
        <v>22970.274109770657</v>
      </c>
      <c r="J198" s="70">
        <f t="shared" si="27"/>
        <v>24621.529407618218</v>
      </c>
      <c r="M198" s="59">
        <v>58</v>
      </c>
      <c r="N198" s="69">
        <f t="shared" si="28"/>
        <v>11611.071713164853</v>
      </c>
      <c r="O198" s="69">
        <f t="shared" si="28"/>
        <v>17178.906197935743</v>
      </c>
      <c r="P198" s="70">
        <f t="shared" si="28"/>
        <v>19196.237532997657</v>
      </c>
      <c r="R198" s="59">
        <v>58</v>
      </c>
      <c r="S198" s="69">
        <f t="shared" si="25"/>
        <v>7455.0525576268083</v>
      </c>
      <c r="T198" s="69">
        <f t="shared" si="25"/>
        <v>10591.629548335644</v>
      </c>
      <c r="U198" s="70">
        <f t="shared" si="25"/>
        <v>11728.070486998266</v>
      </c>
    </row>
    <row r="199" spans="1:21" x14ac:dyDescent="0.2">
      <c r="A199" s="59">
        <v>59</v>
      </c>
      <c r="B199" s="69">
        <f t="shared" si="26"/>
        <v>579.24577956035955</v>
      </c>
      <c r="C199" s="69">
        <f t="shared" si="26"/>
        <v>4761.7893962105882</v>
      </c>
      <c r="D199" s="70">
        <f t="shared" si="26"/>
        <v>6277.2037500693641</v>
      </c>
      <c r="E199" s="4"/>
      <c r="F199" s="5"/>
      <c r="G199" s="59">
        <v>59</v>
      </c>
      <c r="H199" s="69">
        <f t="shared" si="27"/>
        <v>18636.491313354338</v>
      </c>
      <c r="I199" s="69">
        <f t="shared" si="27"/>
        <v>23233.076520946492</v>
      </c>
      <c r="J199" s="70">
        <f t="shared" si="27"/>
        <v>24898.505943987133</v>
      </c>
      <c r="M199" s="59">
        <v>59</v>
      </c>
      <c r="N199" s="69">
        <f t="shared" si="28"/>
        <v>11696.69149410856</v>
      </c>
      <c r="O199" s="69">
        <f t="shared" si="28"/>
        <v>17312.319426170325</v>
      </c>
      <c r="P199" s="70">
        <f t="shared" si="28"/>
        <v>19346.967227641977</v>
      </c>
      <c r="R199" s="59">
        <v>59</v>
      </c>
      <c r="S199" s="69">
        <f t="shared" si="25"/>
        <v>7519.0455988061367</v>
      </c>
      <c r="T199" s="69">
        <f t="shared" si="25"/>
        <v>10682.546490986755</v>
      </c>
      <c r="U199" s="70">
        <f t="shared" si="25"/>
        <v>11828.742466414518</v>
      </c>
    </row>
    <row r="200" spans="1:21" x14ac:dyDescent="0.2">
      <c r="A200" s="59">
        <v>60</v>
      </c>
      <c r="B200" s="69">
        <f t="shared" si="26"/>
        <v>504.46275630900271</v>
      </c>
      <c r="C200" s="69">
        <f t="shared" si="26"/>
        <v>4722.3027254483486</v>
      </c>
      <c r="D200" s="70">
        <f t="shared" si="26"/>
        <v>6250.5056128176766</v>
      </c>
      <c r="E200" s="4"/>
      <c r="F200" s="5"/>
      <c r="G200" s="59">
        <v>60</v>
      </c>
      <c r="H200" s="69">
        <f t="shared" si="27"/>
        <v>18859.388436472651</v>
      </c>
      <c r="I200" s="69">
        <f t="shared" si="27"/>
        <v>23494.764080364763</v>
      </c>
      <c r="J200" s="70">
        <f t="shared" si="27"/>
        <v>25174.248009311177</v>
      </c>
      <c r="M200" s="59">
        <v>60</v>
      </c>
      <c r="N200" s="69">
        <f t="shared" si="28"/>
        <v>11781.35260742908</v>
      </c>
      <c r="O200" s="69">
        <f t="shared" si="28"/>
        <v>17444.37064491586</v>
      </c>
      <c r="P200" s="70">
        <f t="shared" si="28"/>
        <v>19496.188774440052</v>
      </c>
      <c r="R200" s="59">
        <v>60</v>
      </c>
      <c r="S200" s="69">
        <f t="shared" si="25"/>
        <v>7582.4985853525741</v>
      </c>
      <c r="T200" s="69">
        <f t="shared" si="25"/>
        <v>10772.696160897252</v>
      </c>
      <c r="U200" s="70">
        <f t="shared" si="25"/>
        <v>11928.564847688802</v>
      </c>
    </row>
    <row r="201" spans="1:21" x14ac:dyDescent="0.2">
      <c r="A201" s="59">
        <v>61</v>
      </c>
      <c r="B201" s="69">
        <f t="shared" si="26"/>
        <v>428.98349130106737</v>
      </c>
      <c r="C201" s="69">
        <f t="shared" si="26"/>
        <v>4681.8268819465802</v>
      </c>
      <c r="D201" s="70">
        <f t="shared" si="26"/>
        <v>6222.7121684123431</v>
      </c>
      <c r="E201" s="4"/>
      <c r="F201" s="5"/>
      <c r="G201" s="59">
        <v>61</v>
      </c>
      <c r="H201" s="69">
        <f t="shared" si="27"/>
        <v>19081.520394932202</v>
      </c>
      <c r="I201" s="69">
        <f t="shared" si="27"/>
        <v>23755.364546091001</v>
      </c>
      <c r="J201" s="70">
        <f t="shared" si="27"/>
        <v>25448.786339989114</v>
      </c>
      <c r="M201" s="59">
        <v>61</v>
      </c>
      <c r="N201" s="69">
        <f t="shared" si="28"/>
        <v>11865.078922451223</v>
      </c>
      <c r="O201" s="69">
        <f t="shared" si="28"/>
        <v>17575.09376607895</v>
      </c>
      <c r="P201" s="70">
        <f t="shared" si="28"/>
        <v>19643.939723915075</v>
      </c>
      <c r="R201" s="59">
        <v>61</v>
      </c>
      <c r="S201" s="69">
        <f t="shared" si="25"/>
        <v>7645.4249637820467</v>
      </c>
      <c r="T201" s="69">
        <f t="shared" si="25"/>
        <v>10862.097661958633</v>
      </c>
      <c r="U201" s="70">
        <f t="shared" si="25"/>
        <v>12027.55878448638</v>
      </c>
    </row>
    <row r="202" spans="1:21" x14ac:dyDescent="0.2">
      <c r="A202" s="59">
        <v>62</v>
      </c>
      <c r="B202" s="69">
        <f t="shared" si="26"/>
        <v>352.82503679336259</v>
      </c>
      <c r="C202" s="69">
        <f t="shared" si="26"/>
        <v>4640.3860923872116</v>
      </c>
      <c r="D202" s="70">
        <f t="shared" si="26"/>
        <v>6193.8502429646924</v>
      </c>
      <c r="E202" s="4"/>
      <c r="F202" s="5"/>
      <c r="G202" s="59">
        <v>62</v>
      </c>
      <c r="H202" s="69">
        <f t="shared" si="27"/>
        <v>19302.905929039985</v>
      </c>
      <c r="I202" s="69">
        <f t="shared" si="27"/>
        <v>24014.904543073575</v>
      </c>
      <c r="J202" s="70">
        <f t="shared" si="27"/>
        <v>25722.150417723424</v>
      </c>
      <c r="M202" s="59">
        <v>62</v>
      </c>
      <c r="N202" s="69">
        <f t="shared" si="28"/>
        <v>11947.893334125636</v>
      </c>
      <c r="O202" s="69">
        <f t="shared" si="28"/>
        <v>17704.521317241906</v>
      </c>
      <c r="P202" s="70">
        <f t="shared" si="28"/>
        <v>19790.256093733304</v>
      </c>
      <c r="R202" s="59">
        <v>62</v>
      </c>
      <c r="S202" s="69">
        <f t="shared" si="25"/>
        <v>7707.8376317077109</v>
      </c>
      <c r="T202" s="69">
        <f t="shared" si="25"/>
        <v>10950.769318218881</v>
      </c>
      <c r="U202" s="70">
        <f t="shared" si="25"/>
        <v>12125.744566954811</v>
      </c>
    </row>
    <row r="203" spans="1:21" x14ac:dyDescent="0.2">
      <c r="A203" s="59">
        <v>63</v>
      </c>
      <c r="B203" s="69">
        <f t="shared" si="26"/>
        <v>276.00376013417144</v>
      </c>
      <c r="C203" s="69">
        <f t="shared" si="26"/>
        <v>4598.0036103809116</v>
      </c>
      <c r="D203" s="70">
        <f t="shared" si="26"/>
        <v>6163.9455851079938</v>
      </c>
      <c r="E203" s="4"/>
      <c r="F203" s="5"/>
      <c r="G203" s="59">
        <v>63</v>
      </c>
      <c r="H203" s="69">
        <f t="shared" si="27"/>
        <v>19523.56302639348</v>
      </c>
      <c r="I203" s="69">
        <f t="shared" si="27"/>
        <v>24273.409626862551</v>
      </c>
      <c r="J203" s="70">
        <f t="shared" si="27"/>
        <v>25994.368540075979</v>
      </c>
      <c r="M203" s="59">
        <v>63</v>
      </c>
      <c r="N203" s="69">
        <f t="shared" si="28"/>
        <v>12029.817817821036</v>
      </c>
      <c r="O203" s="69">
        <f t="shared" si="28"/>
        <v>17832.684519507853</v>
      </c>
      <c r="P203" s="70">
        <f t="shared" si="28"/>
        <v>19935.172454901625</v>
      </c>
      <c r="R203" s="59">
        <v>63</v>
      </c>
      <c r="S203" s="69">
        <f t="shared" si="25"/>
        <v>7769.7489687066154</v>
      </c>
      <c r="T203" s="69">
        <f t="shared" si="25"/>
        <v>11038.728717735608</v>
      </c>
      <c r="U203" s="70">
        <f t="shared" si="25"/>
        <v>12223.141670282348</v>
      </c>
    </row>
    <row r="204" spans="1:21" x14ac:dyDescent="0.2">
      <c r="A204" s="59">
        <v>64</v>
      </c>
      <c r="B204" s="69">
        <f t="shared" si="26"/>
        <v>198.53538166880514</v>
      </c>
      <c r="C204" s="69">
        <f t="shared" si="26"/>
        <v>4554.7017703207221</v>
      </c>
      <c r="D204" s="70">
        <f t="shared" si="26"/>
        <v>6133.0229256293878</v>
      </c>
      <c r="E204" s="4"/>
      <c r="F204" s="5"/>
      <c r="G204" s="59">
        <v>64</v>
      </c>
      <c r="H204" s="69">
        <f t="shared" si="27"/>
        <v>19743.508963538574</v>
      </c>
      <c r="I204" s="69">
        <f t="shared" si="27"/>
        <v>24530.904342794474</v>
      </c>
      <c r="J204" s="70">
        <f t="shared" si="27"/>
        <v>26265.467886003131</v>
      </c>
      <c r="M204" s="59">
        <v>64</v>
      </c>
      <c r="N204" s="69">
        <f t="shared" si="28"/>
        <v>12110.87348021756</v>
      </c>
      <c r="O204" s="69">
        <f t="shared" si="28"/>
        <v>17959.613359806492</v>
      </c>
      <c r="P204" s="70">
        <f t="shared" si="28"/>
        <v>20078.722011831465</v>
      </c>
      <c r="R204" s="59">
        <v>64</v>
      </c>
      <c r="S204" s="69">
        <f t="shared" si="25"/>
        <v>7831.1708649898173</v>
      </c>
      <c r="T204" s="69">
        <f t="shared" si="25"/>
        <v>11125.992753308703</v>
      </c>
      <c r="U204" s="70">
        <f t="shared" si="25"/>
        <v>12319.768799801052</v>
      </c>
    </row>
    <row r="205" spans="1:21" x14ac:dyDescent="0.2">
      <c r="A205" s="59">
        <v>65</v>
      </c>
      <c r="B205" s="69">
        <f t="shared" si="26"/>
        <v>120.43500998985721</v>
      </c>
      <c r="C205" s="69">
        <f t="shared" si="26"/>
        <v>4510.502037463184</v>
      </c>
      <c r="D205" s="70">
        <f t="shared" si="26"/>
        <v>6101.1060329245365</v>
      </c>
      <c r="E205" s="4"/>
      <c r="F205" s="5"/>
      <c r="G205" s="59">
        <v>65</v>
      </c>
      <c r="H205" s="69">
        <f t="shared" si="27"/>
        <v>19962.760344709335</v>
      </c>
      <c r="I205" s="69">
        <f t="shared" si="27"/>
        <v>24787.412281031153</v>
      </c>
      <c r="J205" s="70">
        <f t="shared" si="27"/>
        <v>26535.474576799927</v>
      </c>
      <c r="M205" s="59">
        <v>65</v>
      </c>
      <c r="N205" s="69">
        <f t="shared" si="28"/>
        <v>12191.08060663494</v>
      </c>
      <c r="O205" s="69">
        <f t="shared" si="28"/>
        <v>18085.336658134762</v>
      </c>
      <c r="P205" s="70">
        <f t="shared" si="28"/>
        <v>20220.936676794121</v>
      </c>
      <c r="R205" s="59">
        <v>65</v>
      </c>
      <c r="S205" s="69">
        <f t="shared" si="25"/>
        <v>7892.1147480642539</v>
      </c>
      <c r="T205" s="69">
        <f t="shared" si="25"/>
        <v>11212.577660359577</v>
      </c>
      <c r="U205" s="70">
        <f t="shared" si="25"/>
        <v>12415.643932930343</v>
      </c>
    </row>
    <row r="206" spans="1:21" x14ac:dyDescent="0.2">
      <c r="A206" s="59">
        <v>66</v>
      </c>
      <c r="B206" s="69">
        <f t="shared" ref="B206:D240" si="29">$G$127*(-$D$131*$A206+B$134*$D$129*SQRT($A206))</f>
        <v>41.717174755971158</v>
      </c>
      <c r="C206" s="69">
        <f t="shared" si="29"/>
        <v>4465.4250545550358</v>
      </c>
      <c r="D206" s="70">
        <f t="shared" si="29"/>
        <v>6068.2177646271593</v>
      </c>
      <c r="E206" s="4"/>
      <c r="F206" s="5"/>
      <c r="G206" s="59">
        <v>66</v>
      </c>
      <c r="H206" s="69">
        <f t="shared" ref="H206:J240" si="30">$M$127*(-$J$131*$G206+H$134*$J$129*SQRT($G206))</f>
        <v>20181.333137895606</v>
      </c>
      <c r="I206" s="69">
        <f t="shared" si="30"/>
        <v>25042.956127802063</v>
      </c>
      <c r="J206" s="70">
        <f t="shared" si="30"/>
        <v>26804.413732840636</v>
      </c>
      <c r="M206" s="59">
        <v>66</v>
      </c>
      <c r="N206" s="69">
        <f t="shared" ref="N206:P240" si="31">$O$127*(-$P$131*$M206+N$134*$P$129*SQRT($M206))</f>
        <v>12270.458705096138</v>
      </c>
      <c r="O206" s="69">
        <f t="shared" si="31"/>
        <v>18209.88213015944</v>
      </c>
      <c r="P206" s="70">
        <f t="shared" si="31"/>
        <v>20361.847139240341</v>
      </c>
      <c r="R206" s="59">
        <v>66</v>
      </c>
      <c r="S206" s="69">
        <f t="shared" ref="S206:U240" si="32">B206+H206-N206</f>
        <v>7952.5916075554378</v>
      </c>
      <c r="T206" s="69">
        <f t="shared" si="32"/>
        <v>11298.499052197658</v>
      </c>
      <c r="U206" s="70">
        <f t="shared" si="32"/>
        <v>12510.784358227455</v>
      </c>
    </row>
    <row r="207" spans="1:21" x14ac:dyDescent="0.2">
      <c r="A207" s="59">
        <v>67</v>
      </c>
      <c r="B207" s="69">
        <f t="shared" si="29"/>
        <v>-37.604142718945205</v>
      </c>
      <c r="C207" s="69">
        <f t="shared" si="29"/>
        <v>4419.4906852922504</v>
      </c>
      <c r="D207" s="70">
        <f t="shared" si="29"/>
        <v>6034.3801157310909</v>
      </c>
      <c r="E207" s="4"/>
      <c r="F207" s="5"/>
      <c r="G207" s="59">
        <v>67</v>
      </c>
      <c r="H207" s="69">
        <f t="shared" si="30"/>
        <v>20399.242708460333</v>
      </c>
      <c r="I207" s="69">
        <f t="shared" si="30"/>
        <v>25297.557713165537</v>
      </c>
      <c r="J207" s="70">
        <f t="shared" si="30"/>
        <v>27072.309526464524</v>
      </c>
      <c r="M207" s="59">
        <v>67</v>
      </c>
      <c r="N207" s="69">
        <f t="shared" si="31"/>
        <v>12349.026547397489</v>
      </c>
      <c r="O207" s="69">
        <f t="shared" si="31"/>
        <v>18333.276445566768</v>
      </c>
      <c r="P207" s="70">
        <f t="shared" si="31"/>
        <v>20501.482930410704</v>
      </c>
      <c r="R207" s="59">
        <v>67</v>
      </c>
      <c r="S207" s="69">
        <f t="shared" si="32"/>
        <v>8012.6120183438998</v>
      </c>
      <c r="T207" s="69">
        <f t="shared" si="32"/>
        <v>11383.77195289102</v>
      </c>
      <c r="U207" s="70">
        <f t="shared" si="32"/>
        <v>12605.206711784907</v>
      </c>
    </row>
    <row r="208" spans="1:21" x14ac:dyDescent="0.2">
      <c r="A208" s="59">
        <v>68</v>
      </c>
      <c r="B208" s="69">
        <f t="shared" si="29"/>
        <v>-117.51548092367294</v>
      </c>
      <c r="C208" s="69">
        <f t="shared" si="29"/>
        <v>4372.7180548706483</v>
      </c>
      <c r="D208" s="70">
        <f t="shared" si="29"/>
        <v>5999.6142634917787</v>
      </c>
      <c r="E208" s="4"/>
      <c r="F208" s="5"/>
      <c r="G208" s="59">
        <v>68</v>
      </c>
      <c r="H208" s="69">
        <f t="shared" si="30"/>
        <v>20616.503850507055</v>
      </c>
      <c r="I208" s="69">
        <f t="shared" si="30"/>
        <v>25551.238055573551</v>
      </c>
      <c r="J208" s="70">
        <f t="shared" si="30"/>
        <v>27339.185231322281</v>
      </c>
      <c r="M208" s="59">
        <v>68</v>
      </c>
      <c r="N208" s="69">
        <f t="shared" si="31"/>
        <v>12426.802207430223</v>
      </c>
      <c r="O208" s="69">
        <f t="shared" si="31"/>
        <v>18455.545282507097</v>
      </c>
      <c r="P208" s="70">
        <f t="shared" si="31"/>
        <v>20639.872483621901</v>
      </c>
      <c r="R208" s="59">
        <v>68</v>
      </c>
      <c r="S208" s="69">
        <f t="shared" si="32"/>
        <v>8072.1861621531589</v>
      </c>
      <c r="T208" s="69">
        <f t="shared" si="32"/>
        <v>11468.410827937103</v>
      </c>
      <c r="U208" s="70">
        <f t="shared" si="32"/>
        <v>12698.927011192161</v>
      </c>
    </row>
    <row r="209" spans="1:21" x14ac:dyDescent="0.2">
      <c r="A209" s="59">
        <v>69</v>
      </c>
      <c r="B209" s="69">
        <f t="shared" si="29"/>
        <v>-198.00387148983964</v>
      </c>
      <c r="C209" s="69">
        <f t="shared" si="29"/>
        <v>4325.1255878623688</v>
      </c>
      <c r="D209" s="70">
        <f t="shared" si="29"/>
        <v>5963.9406093667922</v>
      </c>
      <c r="E209" s="4"/>
      <c r="F209" s="5"/>
      <c r="G209" s="59">
        <v>69</v>
      </c>
      <c r="H209" s="69">
        <f t="shared" si="30"/>
        <v>20833.130816178898</v>
      </c>
      <c r="I209" s="69">
        <f t="shared" si="30"/>
        <v>25804.017403497746</v>
      </c>
      <c r="J209" s="70">
        <f t="shared" si="30"/>
        <v>27605.063268468344</v>
      </c>
      <c r="M209" s="59">
        <v>69</v>
      </c>
      <c r="N209" s="69">
        <f t="shared" si="31"/>
        <v>12503.803096974907</v>
      </c>
      <c r="O209" s="69">
        <f t="shared" si="31"/>
        <v>18576.71337844916</v>
      </c>
      <c r="P209" s="70">
        <f t="shared" si="31"/>
        <v>20777.043190577511</v>
      </c>
      <c r="R209" s="59">
        <v>69</v>
      </c>
      <c r="S209" s="69">
        <f t="shared" si="32"/>
        <v>8131.3238477141513</v>
      </c>
      <c r="T209" s="69">
        <f t="shared" si="32"/>
        <v>11552.429612910957</v>
      </c>
      <c r="U209" s="70">
        <f t="shared" si="32"/>
        <v>12791.960687257626</v>
      </c>
    </row>
    <row r="210" spans="1:21" x14ac:dyDescent="0.2">
      <c r="A210" s="59">
        <v>70</v>
      </c>
      <c r="B210" s="69">
        <f t="shared" si="29"/>
        <v>-279.05681426472307</v>
      </c>
      <c r="C210" s="69">
        <f t="shared" si="29"/>
        <v>4276.7310436307271</v>
      </c>
      <c r="D210" s="70">
        <f t="shared" si="29"/>
        <v>5927.3788182305279</v>
      </c>
      <c r="E210" s="4"/>
      <c r="F210" s="5"/>
      <c r="G210" s="59">
        <v>70</v>
      </c>
      <c r="H210" s="69">
        <f t="shared" si="30"/>
        <v>21049.137343053357</v>
      </c>
      <c r="I210" s="69">
        <f t="shared" si="30"/>
        <v>26055.915274350053</v>
      </c>
      <c r="J210" s="70">
        <f t="shared" si="30"/>
        <v>27869.965249457542</v>
      </c>
      <c r="M210" s="59">
        <v>70</v>
      </c>
      <c r="N210" s="69">
        <f t="shared" si="31"/>
        <v>12580.045999169557</v>
      </c>
      <c r="O210" s="69">
        <f t="shared" si="31"/>
        <v>18696.804577729286</v>
      </c>
      <c r="P210" s="70">
        <f t="shared" si="31"/>
        <v>20913.021454019043</v>
      </c>
      <c r="R210" s="59">
        <v>70</v>
      </c>
      <c r="S210" s="69">
        <f t="shared" si="32"/>
        <v>8190.0345296190753</v>
      </c>
      <c r="T210" s="69">
        <f t="shared" si="32"/>
        <v>11635.841740251493</v>
      </c>
      <c r="U210" s="70">
        <f t="shared" si="32"/>
        <v>12884.322613669028</v>
      </c>
    </row>
    <row r="211" spans="1:21" x14ac:dyDescent="0.2">
      <c r="A211" s="59">
        <v>71</v>
      </c>
      <c r="B211" s="69">
        <f t="shared" si="29"/>
        <v>-360.66225398106297</v>
      </c>
      <c r="C211" s="69">
        <f t="shared" si="29"/>
        <v>4227.5515494761648</v>
      </c>
      <c r="D211" s="70">
        <f t="shared" si="29"/>
        <v>5889.9478550766116</v>
      </c>
      <c r="E211" s="4"/>
      <c r="F211" s="5"/>
      <c r="G211" s="59">
        <v>71</v>
      </c>
      <c r="H211" s="69">
        <f t="shared" si="30"/>
        <v>21264.536679782042</v>
      </c>
      <c r="I211" s="69">
        <f t="shared" si="30"/>
        <v>26306.950490909872</v>
      </c>
      <c r="J211" s="70">
        <f t="shared" si="30"/>
        <v>28133.912016680821</v>
      </c>
      <c r="M211" s="59">
        <v>71</v>
      </c>
      <c r="N211" s="69">
        <f t="shared" si="31"/>
        <v>12655.547099833568</v>
      </c>
      <c r="O211" s="69">
        <f t="shared" si="31"/>
        <v>18815.841876054295</v>
      </c>
      <c r="P211" s="70">
        <f t="shared" si="31"/>
        <v>21047.832737003831</v>
      </c>
      <c r="R211" s="59">
        <v>71</v>
      </c>
      <c r="S211" s="69">
        <f t="shared" si="32"/>
        <v>8248.3273259674115</v>
      </c>
      <c r="T211" s="69">
        <f t="shared" si="32"/>
        <v>11718.660164331741</v>
      </c>
      <c r="U211" s="70">
        <f t="shared" si="32"/>
        <v>12976.027134753604</v>
      </c>
    </row>
    <row r="212" spans="1:21" x14ac:dyDescent="0.2">
      <c r="A212" s="59">
        <v>72</v>
      </c>
      <c r="B212" s="69">
        <f t="shared" si="29"/>
        <v>-442.8085584005434</v>
      </c>
      <c r="C212" s="69">
        <f t="shared" si="29"/>
        <v>4177.603631688482</v>
      </c>
      <c r="D212" s="70">
        <f t="shared" si="29"/>
        <v>5851.6660194018978</v>
      </c>
      <c r="E212" s="4"/>
      <c r="F212" s="5"/>
      <c r="G212" s="59">
        <v>72</v>
      </c>
      <c r="H212" s="69">
        <f t="shared" si="30"/>
        <v>21479.34161011078</v>
      </c>
      <c r="I212" s="69">
        <f t="shared" si="30"/>
        <v>26557.141215450265</v>
      </c>
      <c r="J212" s="70">
        <f t="shared" si="30"/>
        <v>28396.923681152974</v>
      </c>
      <c r="M212" s="59">
        <v>72</v>
      </c>
      <c r="N212" s="69">
        <f t="shared" si="31"/>
        <v>12730.322016813005</v>
      </c>
      <c r="O212" s="69">
        <f t="shared" si="31"/>
        <v>18933.847462193295</v>
      </c>
      <c r="P212" s="70">
        <f t="shared" si="31"/>
        <v>21181.501609070208</v>
      </c>
      <c r="R212" s="59">
        <v>72</v>
      </c>
      <c r="S212" s="69">
        <f t="shared" si="32"/>
        <v>8306.2110348972328</v>
      </c>
      <c r="T212" s="69">
        <f t="shared" si="32"/>
        <v>11800.897384945452</v>
      </c>
      <c r="U212" s="70">
        <f t="shared" si="32"/>
        <v>13067.08809148466</v>
      </c>
    </row>
    <row r="213" spans="1:21" x14ac:dyDescent="0.2">
      <c r="A213" s="59">
        <v>73</v>
      </c>
      <c r="B213" s="69">
        <f t="shared" si="29"/>
        <v>-525.48449781878242</v>
      </c>
      <c r="C213" s="69">
        <f t="shared" si="29"/>
        <v>4126.9032446647589</v>
      </c>
      <c r="D213" s="70">
        <f t="shared" si="29"/>
        <v>5812.5509774486472</v>
      </c>
      <c r="E213" s="4"/>
      <c r="F213" s="5"/>
      <c r="G213" s="59">
        <v>73</v>
      </c>
      <c r="H213" s="69">
        <f t="shared" si="30"/>
        <v>21693.564475403538</v>
      </c>
      <c r="I213" s="69">
        <f t="shared" si="30"/>
        <v>26806.504981738319</v>
      </c>
      <c r="J213" s="70">
        <f t="shared" si="30"/>
        <v>28659.01965794657</v>
      </c>
      <c r="M213" s="59">
        <v>73</v>
      </c>
      <c r="N213" s="69">
        <f t="shared" si="31"/>
        <v>12804.385827497939</v>
      </c>
      <c r="O213" s="69">
        <f t="shared" si="31"/>
        <v>19050.84275707242</v>
      </c>
      <c r="P213" s="70">
        <f t="shared" si="31"/>
        <v>21314.051789526937</v>
      </c>
      <c r="R213" s="59">
        <v>73</v>
      </c>
      <c r="S213" s="69">
        <f t="shared" si="32"/>
        <v>8363.6941500868161</v>
      </c>
      <c r="T213" s="69">
        <f t="shared" si="32"/>
        <v>11882.565469330657</v>
      </c>
      <c r="U213" s="70">
        <f t="shared" si="32"/>
        <v>13157.518845868282</v>
      </c>
    </row>
    <row r="214" spans="1:21" x14ac:dyDescent="0.2">
      <c r="A214" s="59">
        <v>74</v>
      </c>
      <c r="B214" s="69">
        <f t="shared" si="29"/>
        <v>-608.6792258295643</v>
      </c>
      <c r="C214" s="69">
        <f t="shared" si="29"/>
        <v>4075.4657982382114</v>
      </c>
      <c r="D214" s="70">
        <f t="shared" si="29"/>
        <v>5772.6197924656672</v>
      </c>
      <c r="E214" s="4"/>
      <c r="F214" s="5"/>
      <c r="G214" s="59">
        <v>74</v>
      </c>
      <c r="H214" s="69">
        <f t="shared" si="30"/>
        <v>21907.217195782359</v>
      </c>
      <c r="I214" s="69">
        <f t="shared" si="30"/>
        <v>27055.058725069372</v>
      </c>
      <c r="J214" s="70">
        <f t="shared" si="30"/>
        <v>28920.218699448727</v>
      </c>
      <c r="M214" s="59">
        <v>74</v>
      </c>
      <c r="N214" s="69">
        <f t="shared" si="31"/>
        <v>12877.753094649048</v>
      </c>
      <c r="O214" s="69">
        <f t="shared" si="31"/>
        <v>19166.848450467514</v>
      </c>
      <c r="P214" s="70">
        <f t="shared" si="31"/>
        <v>21445.506188082898</v>
      </c>
      <c r="R214" s="59">
        <v>74</v>
      </c>
      <c r="S214" s="69">
        <f t="shared" si="32"/>
        <v>8420.784875303747</v>
      </c>
      <c r="T214" s="69">
        <f t="shared" si="32"/>
        <v>11963.67607284007</v>
      </c>
      <c r="U214" s="70">
        <f t="shared" si="32"/>
        <v>13247.332303831496</v>
      </c>
    </row>
    <row r="215" spans="1:21" x14ac:dyDescent="0.2">
      <c r="A215" s="59">
        <v>75</v>
      </c>
      <c r="B215" s="69">
        <f t="shared" si="29"/>
        <v>-692.38226125502115</v>
      </c>
      <c r="C215" s="69">
        <f t="shared" si="29"/>
        <v>4023.306183350574</v>
      </c>
      <c r="D215" s="70">
        <f t="shared" si="29"/>
        <v>5731.8889531352088</v>
      </c>
      <c r="E215" s="4"/>
      <c r="F215" s="5"/>
      <c r="G215" s="59">
        <v>75</v>
      </c>
      <c r="H215" s="69">
        <f t="shared" si="30"/>
        <v>22120.311289985973</v>
      </c>
      <c r="I215" s="69">
        <f t="shared" si="30"/>
        <v>27302.818810480781</v>
      </c>
      <c r="J215" s="70">
        <f t="shared" si="30"/>
        <v>29180.538926602087</v>
      </c>
      <c r="M215" s="59">
        <v>75</v>
      </c>
      <c r="N215" s="69">
        <f t="shared" si="31"/>
        <v>12950.437890658775</v>
      </c>
      <c r="O215" s="69">
        <f t="shared" si="31"/>
        <v>19281.884535472724</v>
      </c>
      <c r="P215" s="70">
        <f t="shared" si="31"/>
        <v>21575.886943014004</v>
      </c>
      <c r="R215" s="59">
        <v>75</v>
      </c>
      <c r="S215" s="69">
        <f t="shared" si="32"/>
        <v>8477.4911380721769</v>
      </c>
      <c r="T215" s="69">
        <f t="shared" si="32"/>
        <v>12044.240458358632</v>
      </c>
      <c r="U215" s="70">
        <f t="shared" si="32"/>
        <v>13336.540936723293</v>
      </c>
    </row>
    <row r="216" spans="1:21" x14ac:dyDescent="0.2">
      <c r="A216" s="59">
        <v>76</v>
      </c>
      <c r="B216" s="69">
        <f t="shared" si="29"/>
        <v>-776.58347115654362</v>
      </c>
      <c r="C216" s="69">
        <f t="shared" si="29"/>
        <v>3970.4387961890147</v>
      </c>
      <c r="D216" s="70">
        <f t="shared" si="29"/>
        <v>5690.3744002997237</v>
      </c>
      <c r="E216" s="4"/>
      <c r="F216" s="5"/>
      <c r="G216" s="59">
        <v>76</v>
      </c>
      <c r="H216" s="69">
        <f t="shared" si="30"/>
        <v>22332.857894040684</v>
      </c>
      <c r="I216" s="69">
        <f t="shared" si="30"/>
        <v>27549.80105927819</v>
      </c>
      <c r="J216" s="70">
        <f t="shared" si="30"/>
        <v>29439.997858277296</v>
      </c>
      <c r="M216" s="59">
        <v>76</v>
      </c>
      <c r="N216" s="69">
        <f t="shared" si="31"/>
        <v>13022.453820361487</v>
      </c>
      <c r="O216" s="69">
        <f t="shared" si="31"/>
        <v>19395.970340907588</v>
      </c>
      <c r="P216" s="70">
        <f t="shared" si="31"/>
        <v>21705.215457047478</v>
      </c>
      <c r="R216" s="59">
        <v>76</v>
      </c>
      <c r="S216" s="69">
        <f t="shared" si="32"/>
        <v>8533.8206025226536</v>
      </c>
      <c r="T216" s="69">
        <f t="shared" si="32"/>
        <v>12124.269514559615</v>
      </c>
      <c r="U216" s="70">
        <f t="shared" si="32"/>
        <v>13425.156801529545</v>
      </c>
    </row>
    <row r="217" spans="1:21" x14ac:dyDescent="0.2">
      <c r="A217" s="59">
        <v>77</v>
      </c>
      <c r="B217" s="69">
        <f t="shared" si="29"/>
        <v>-861.27305484843407</v>
      </c>
      <c r="C217" s="69">
        <f t="shared" si="29"/>
        <v>3916.8775608984547</v>
      </c>
      <c r="D217" s="70">
        <f t="shared" si="29"/>
        <v>5648.0915521110983</v>
      </c>
      <c r="E217" s="4"/>
      <c r="F217" s="5"/>
      <c r="G217" s="59">
        <v>77</v>
      </c>
      <c r="H217" s="69">
        <f t="shared" si="30"/>
        <v>22544.867778829244</v>
      </c>
      <c r="I217" s="69">
        <f t="shared" si="30"/>
        <v>27796.020773996257</v>
      </c>
      <c r="J217" s="70">
        <f t="shared" si="30"/>
        <v>29698.612438911841</v>
      </c>
      <c r="M217" s="59">
        <v>77</v>
      </c>
      <c r="N217" s="69">
        <f t="shared" si="31"/>
        <v>13093.814042497255</v>
      </c>
      <c r="O217" s="69">
        <f t="shared" si="31"/>
        <v>19509.124561811379</v>
      </c>
      <c r="P217" s="70">
        <f t="shared" si="31"/>
        <v>21833.512431128089</v>
      </c>
      <c r="R217" s="59">
        <v>77</v>
      </c>
      <c r="S217" s="69">
        <f t="shared" si="32"/>
        <v>8589.7806814835567</v>
      </c>
      <c r="T217" s="69">
        <f t="shared" si="32"/>
        <v>12203.773773083332</v>
      </c>
      <c r="U217" s="70">
        <f t="shared" si="32"/>
        <v>13513.191559894847</v>
      </c>
    </row>
    <row r="218" spans="1:21" x14ac:dyDescent="0.2">
      <c r="A218" s="59">
        <v>78</v>
      </c>
      <c r="B218" s="69">
        <f t="shared" si="29"/>
        <v>-946.44152884293294</v>
      </c>
      <c r="C218" s="69">
        <f t="shared" si="29"/>
        <v>3862.6359509706567</v>
      </c>
      <c r="D218" s="70">
        <f t="shared" si="29"/>
        <v>5605.0553277147092</v>
      </c>
      <c r="E218" s="4"/>
      <c r="F218" s="5"/>
      <c r="G218" s="59">
        <v>78</v>
      </c>
      <c r="H218" s="69">
        <f t="shared" si="30"/>
        <v>22756.351366636158</v>
      </c>
      <c r="I218" s="69">
        <f t="shared" si="30"/>
        <v>28041.492761905036</v>
      </c>
      <c r="J218" s="70">
        <f t="shared" si="30"/>
        <v>29956.399064538684</v>
      </c>
      <c r="M218" s="59">
        <v>78</v>
      </c>
      <c r="N218" s="69">
        <f t="shared" si="31"/>
        <v>13164.53128992524</v>
      </c>
      <c r="O218" s="69">
        <f t="shared" si="31"/>
        <v>19621.365288160814</v>
      </c>
      <c r="P218" s="70">
        <f t="shared" si="31"/>
        <v>21960.79789621718</v>
      </c>
      <c r="R218" s="59">
        <v>78</v>
      </c>
      <c r="S218" s="69">
        <f t="shared" si="32"/>
        <v>8645.3785478679838</v>
      </c>
      <c r="T218" s="69">
        <f t="shared" si="32"/>
        <v>12282.763424714878</v>
      </c>
      <c r="U218" s="70">
        <f t="shared" si="32"/>
        <v>13600.656496036212</v>
      </c>
    </row>
    <row r="219" spans="1:21" x14ac:dyDescent="0.2">
      <c r="A219" s="59">
        <v>79</v>
      </c>
      <c r="B219" s="69">
        <f t="shared" si="29"/>
        <v>-1032.0797126611201</v>
      </c>
      <c r="C219" s="69">
        <f t="shared" si="29"/>
        <v>3807.7270094031023</v>
      </c>
      <c r="D219" s="70">
        <f t="shared" si="29"/>
        <v>5561.2801695712997</v>
      </c>
      <c r="E219" s="4"/>
      <c r="F219" s="5"/>
      <c r="G219" s="59">
        <v>79</v>
      </c>
      <c r="H219" s="69">
        <f t="shared" si="30"/>
        <v>22967.318746741417</v>
      </c>
      <c r="I219" s="69">
        <f t="shared" si="30"/>
        <v>28286.23135716451</v>
      </c>
      <c r="J219" s="70">
        <f t="shared" si="30"/>
        <v>30213.373607317797</v>
      </c>
      <c r="M219" s="59">
        <v>79</v>
      </c>
      <c r="N219" s="69">
        <f t="shared" si="31"/>
        <v>13234.617888674422</v>
      </c>
      <c r="O219" s="69">
        <f t="shared" si="31"/>
        <v>19732.710031936102</v>
      </c>
      <c r="P219" s="70">
        <f t="shared" si="31"/>
        <v>22087.091243262792</v>
      </c>
      <c r="R219" s="59">
        <v>79</v>
      </c>
      <c r="S219" s="69">
        <f t="shared" si="32"/>
        <v>8700.6211454058739</v>
      </c>
      <c r="T219" s="69">
        <f t="shared" si="32"/>
        <v>12361.248334631509</v>
      </c>
      <c r="U219" s="70">
        <f t="shared" si="32"/>
        <v>13687.562533626307</v>
      </c>
    </row>
    <row r="220" spans="1:21" x14ac:dyDescent="0.2">
      <c r="A220" s="59">
        <v>80</v>
      </c>
      <c r="B220" s="69">
        <f t="shared" si="29"/>
        <v>-1118.178715449583</v>
      </c>
      <c r="C220" s="69">
        <f t="shared" si="29"/>
        <v>3752.1633677131458</v>
      </c>
      <c r="D220" s="70">
        <f t="shared" si="29"/>
        <v>5516.7800645112338</v>
      </c>
      <c r="E220" s="4"/>
      <c r="F220" s="5"/>
      <c r="G220" s="59">
        <v>80</v>
      </c>
      <c r="H220" s="69">
        <f t="shared" si="30"/>
        <v>23177.779690128667</v>
      </c>
      <c r="I220" s="69">
        <f t="shared" si="30"/>
        <v>28530.250441720957</v>
      </c>
      <c r="J220" s="70">
        <f t="shared" si="30"/>
        <v>30469.551438674684</v>
      </c>
      <c r="M220" s="59">
        <v>80</v>
      </c>
      <c r="N220" s="69">
        <f t="shared" si="31"/>
        <v>13304.085775912552</v>
      </c>
      <c r="O220" s="69">
        <f t="shared" si="31"/>
        <v>19843.175752649946</v>
      </c>
      <c r="P220" s="70">
        <f t="shared" si="31"/>
        <v>22212.411251467845</v>
      </c>
      <c r="R220" s="59">
        <v>80</v>
      </c>
      <c r="S220" s="69">
        <f t="shared" si="32"/>
        <v>8755.5151987665322</v>
      </c>
      <c r="T220" s="69">
        <f t="shared" si="32"/>
        <v>12439.238056784157</v>
      </c>
      <c r="U220" s="70">
        <f t="shared" si="32"/>
        <v>13773.920251718071</v>
      </c>
    </row>
    <row r="221" spans="1:21" x14ac:dyDescent="0.2">
      <c r="A221" s="59">
        <v>81</v>
      </c>
      <c r="B221" s="69">
        <f t="shared" si="29"/>
        <v>-1204.7299233476629</v>
      </c>
      <c r="C221" s="69">
        <f t="shared" si="29"/>
        <v>3695.9572638857444</v>
      </c>
      <c r="D221" s="70">
        <f t="shared" si="29"/>
        <v>5471.5685636079916</v>
      </c>
      <c r="E221" s="4"/>
      <c r="F221" s="5"/>
      <c r="G221" s="59">
        <v>81</v>
      </c>
      <c r="H221" s="69">
        <f t="shared" si="30"/>
        <v>23387.743663368517</v>
      </c>
      <c r="I221" s="69">
        <f t="shared" si="30"/>
        <v>28773.563465031406</v>
      </c>
      <c r="J221" s="70">
        <f t="shared" si="30"/>
        <v>30724.947451141146</v>
      </c>
      <c r="M221" s="59">
        <v>81</v>
      </c>
      <c r="N221" s="69">
        <f t="shared" si="31"/>
        <v>13372.946516907308</v>
      </c>
      <c r="O221" s="69">
        <f t="shared" si="31"/>
        <v>19952.778881444858</v>
      </c>
      <c r="P221" s="70">
        <f t="shared" si="31"/>
        <v>22336.776114972956</v>
      </c>
      <c r="R221" s="59">
        <v>81</v>
      </c>
      <c r="S221" s="69">
        <f t="shared" si="32"/>
        <v>8810.0672231135468</v>
      </c>
      <c r="T221" s="69">
        <f t="shared" si="32"/>
        <v>12516.741847472294</v>
      </c>
      <c r="U221" s="70">
        <f t="shared" si="32"/>
        <v>13859.739899776185</v>
      </c>
    </row>
    <row r="222" spans="1:21" x14ac:dyDescent="0.2">
      <c r="A222" s="59">
        <v>82</v>
      </c>
      <c r="B222" s="69">
        <f t="shared" si="29"/>
        <v>-1291.7249875544046</v>
      </c>
      <c r="C222" s="69">
        <f t="shared" si="29"/>
        <v>3639.1205593271361</v>
      </c>
      <c r="D222" s="70">
        <f t="shared" si="29"/>
        <v>5425.6588009508823</v>
      </c>
      <c r="E222" s="4"/>
      <c r="F222" s="5"/>
      <c r="G222" s="59">
        <v>82</v>
      </c>
      <c r="H222" s="69">
        <f t="shared" si="30"/>
        <v>23597.219841732891</v>
      </c>
      <c r="I222" s="69">
        <f t="shared" si="30"/>
        <v>29016.18346269559</v>
      </c>
      <c r="J222" s="70">
        <f t="shared" si="30"/>
        <v>30979.576078986425</v>
      </c>
      <c r="M222" s="59">
        <v>82</v>
      </c>
      <c r="N222" s="69">
        <f t="shared" si="31"/>
        <v>13441.21132104804</v>
      </c>
      <c r="O222" s="69">
        <f t="shared" si="31"/>
        <v>20061.535343855699</v>
      </c>
      <c r="P222" s="70">
        <f t="shared" si="31"/>
        <v>22460.203468061365</v>
      </c>
      <c r="R222" s="59">
        <v>82</v>
      </c>
      <c r="S222" s="69">
        <f t="shared" si="32"/>
        <v>8864.2835331304468</v>
      </c>
      <c r="T222" s="69">
        <f t="shared" si="32"/>
        <v>12593.768678167027</v>
      </c>
      <c r="U222" s="70">
        <f t="shared" si="32"/>
        <v>13945.031411875942</v>
      </c>
    </row>
    <row r="223" spans="1:21" x14ac:dyDescent="0.2">
      <c r="A223" s="59">
        <v>83</v>
      </c>
      <c r="B223" s="69">
        <f t="shared" si="29"/>
        <v>-1379.1558130484675</v>
      </c>
      <c r="C223" s="69">
        <f t="shared" si="29"/>
        <v>3581.6647548908049</v>
      </c>
      <c r="D223" s="70">
        <f t="shared" si="29"/>
        <v>5379.063511390541</v>
      </c>
      <c r="E223" s="4"/>
      <c r="F223" s="5"/>
      <c r="G223" s="59">
        <v>83</v>
      </c>
      <c r="H223" s="69">
        <f t="shared" si="30"/>
        <v>23806.217121591719</v>
      </c>
      <c r="I223" s="69">
        <f t="shared" si="30"/>
        <v>29258.123074068368</v>
      </c>
      <c r="J223" s="70">
        <f t="shared" si="30"/>
        <v>31233.451317719329</v>
      </c>
      <c r="M223" s="59">
        <v>83</v>
      </c>
      <c r="N223" s="69">
        <f t="shared" si="31"/>
        <v>13508.891056990777</v>
      </c>
      <c r="O223" s="69">
        <f t="shared" si="31"/>
        <v>20169.460581326704</v>
      </c>
      <c r="P223" s="70">
        <f t="shared" si="31"/>
        <v>22582.710408984647</v>
      </c>
      <c r="R223" s="59">
        <v>83</v>
      </c>
      <c r="S223" s="69">
        <f t="shared" si="32"/>
        <v>8918.1702515524757</v>
      </c>
      <c r="T223" s="69">
        <f t="shared" si="32"/>
        <v>12670.327247632471</v>
      </c>
      <c r="U223" s="70">
        <f t="shared" si="32"/>
        <v>14029.804420125227</v>
      </c>
    </row>
    <row r="224" spans="1:21" x14ac:dyDescent="0.2">
      <c r="A224" s="59">
        <v>84</v>
      </c>
      <c r="B224" s="69">
        <f t="shared" si="29"/>
        <v>-1467.0145479178395</v>
      </c>
      <c r="C224" s="69">
        <f t="shared" si="29"/>
        <v>3523.6010060371177</v>
      </c>
      <c r="D224" s="70">
        <f t="shared" si="29"/>
        <v>5331.7950473251458</v>
      </c>
      <c r="E224" s="4"/>
      <c r="F224" s="5"/>
      <c r="G224" s="59">
        <v>84</v>
      </c>
      <c r="H224" s="69">
        <f t="shared" si="30"/>
        <v>24014.744132139578</v>
      </c>
      <c r="I224" s="69">
        <f t="shared" si="30"/>
        <v>29499.39455892007</v>
      </c>
      <c r="J224" s="70">
        <f t="shared" si="30"/>
        <v>31486.586742536194</v>
      </c>
      <c r="M224" s="59">
        <v>84</v>
      </c>
      <c r="N224" s="69">
        <f t="shared" si="31"/>
        <v>13575.996266984577</v>
      </c>
      <c r="O224" s="69">
        <f t="shared" si="31"/>
        <v>20276.569571565375</v>
      </c>
      <c r="P224" s="70">
        <f t="shared" si="31"/>
        <v>22704.313522500444</v>
      </c>
      <c r="R224" s="59">
        <v>84</v>
      </c>
      <c r="S224" s="69">
        <f t="shared" si="32"/>
        <v>8971.7333172371618</v>
      </c>
      <c r="T224" s="69">
        <f t="shared" si="32"/>
        <v>12746.425993391811</v>
      </c>
      <c r="U224" s="70">
        <f t="shared" si="32"/>
        <v>14114.068267360897</v>
      </c>
    </row>
    <row r="225" spans="1:21" x14ac:dyDescent="0.2">
      <c r="A225" s="59">
        <v>85</v>
      </c>
      <c r="B225" s="69">
        <f t="shared" si="29"/>
        <v>-1555.2935732594942</v>
      </c>
      <c r="C225" s="69">
        <f t="shared" si="29"/>
        <v>3464.9401371831755</v>
      </c>
      <c r="D225" s="70">
        <f t="shared" si="29"/>
        <v>5283.8653945899414</v>
      </c>
      <c r="E225" s="4"/>
      <c r="F225" s="5"/>
      <c r="G225" s="59">
        <v>85</v>
      </c>
      <c r="H225" s="69">
        <f t="shared" si="30"/>
        <v>24222.809246495821</v>
      </c>
      <c r="I225" s="69">
        <f t="shared" si="30"/>
        <v>29740.009813206863</v>
      </c>
      <c r="J225" s="70">
        <f t="shared" si="30"/>
        <v>31738.995525783321</v>
      </c>
      <c r="M225" s="59">
        <v>85</v>
      </c>
      <c r="N225" s="69">
        <f t="shared" si="31"/>
        <v>13642.537180432526</v>
      </c>
      <c r="O225" s="69">
        <f t="shared" si="31"/>
        <v>20382.876847809028</v>
      </c>
      <c r="P225" s="70">
        <f t="shared" si="31"/>
        <v>22825.028901206308</v>
      </c>
      <c r="R225" s="59">
        <v>85</v>
      </c>
      <c r="S225" s="69">
        <f t="shared" si="32"/>
        <v>9024.9784928037989</v>
      </c>
      <c r="T225" s="69">
        <f t="shared" si="32"/>
        <v>12822.073102581009</v>
      </c>
      <c r="U225" s="70">
        <f t="shared" si="32"/>
        <v>14197.832019166955</v>
      </c>
    </row>
    <row r="226" spans="1:21" x14ac:dyDescent="0.2">
      <c r="A226" s="59">
        <v>86</v>
      </c>
      <c r="B226" s="69">
        <f t="shared" si="29"/>
        <v>-1643.9854936123077</v>
      </c>
      <c r="C226" s="69">
        <f t="shared" si="29"/>
        <v>3405.6926552950858</v>
      </c>
      <c r="D226" s="70">
        <f t="shared" si="29"/>
        <v>5235.286187507907</v>
      </c>
      <c r="E226" s="4"/>
      <c r="F226" s="5"/>
      <c r="G226" s="59">
        <v>86</v>
      </c>
      <c r="H226" s="69">
        <f t="shared" si="30"/>
        <v>24430.420592218779</v>
      </c>
      <c r="I226" s="69">
        <f t="shared" si="30"/>
        <v>29979.980384008555</v>
      </c>
      <c r="J226" s="70">
        <f t="shared" si="30"/>
        <v>31990.690453497598</v>
      </c>
      <c r="M226" s="59">
        <v>86</v>
      </c>
      <c r="N226" s="69">
        <f t="shared" si="31"/>
        <v>13708.52372673689</v>
      </c>
      <c r="O226" s="69">
        <f t="shared" si="31"/>
        <v>20488.396517074296</v>
      </c>
      <c r="P226" s="70">
        <f t="shared" si="31"/>
        <v>22944.872165747267</v>
      </c>
      <c r="R226" s="59">
        <v>86</v>
      </c>
      <c r="S226" s="69">
        <f t="shared" si="32"/>
        <v>9077.9113718695808</v>
      </c>
      <c r="T226" s="69">
        <f t="shared" si="32"/>
        <v>12897.276522229346</v>
      </c>
      <c r="U226" s="70">
        <f t="shared" si="32"/>
        <v>14281.104475258235</v>
      </c>
    </row>
    <row r="227" spans="1:21" x14ac:dyDescent="0.2">
      <c r="A227" s="59">
        <v>87</v>
      </c>
      <c r="B227" s="69">
        <f t="shared" si="29"/>
        <v>-1733.0831278891455</v>
      </c>
      <c r="C227" s="69">
        <f t="shared" si="29"/>
        <v>3345.8687627710351</v>
      </c>
      <c r="D227" s="70">
        <f t="shared" si="29"/>
        <v>5186.0687231551583</v>
      </c>
      <c r="E227" s="4"/>
      <c r="F227" s="5"/>
      <c r="G227" s="59">
        <v>87</v>
      </c>
      <c r="H227" s="69">
        <f t="shared" si="30"/>
        <v>24637.586061271319</v>
      </c>
      <c r="I227" s="69">
        <f t="shared" si="30"/>
        <v>30219.317483687024</v>
      </c>
      <c r="J227" s="70">
        <f t="shared" si="30"/>
        <v>32241.683941084026</v>
      </c>
      <c r="M227" s="59">
        <v>87</v>
      </c>
      <c r="N227" s="69">
        <f t="shared" si="31"/>
        <v>13773.965547473994</v>
      </c>
      <c r="O227" s="69">
        <f t="shared" si="31"/>
        <v>20593.142277454372</v>
      </c>
      <c r="P227" s="70">
        <f t="shared" si="31"/>
        <v>23063.858483968997</v>
      </c>
      <c r="R227" s="59">
        <v>87</v>
      </c>
      <c r="S227" s="69">
        <f t="shared" si="32"/>
        <v>9130.5373859081792</v>
      </c>
      <c r="T227" s="69">
        <f t="shared" si="32"/>
        <v>12972.043969003691</v>
      </c>
      <c r="U227" s="70">
        <f t="shared" si="32"/>
        <v>14363.894180270185</v>
      </c>
    </row>
    <row r="228" spans="1:21" x14ac:dyDescent="0.2">
      <c r="A228" s="59">
        <v>88</v>
      </c>
      <c r="B228" s="69">
        <f t="shared" si="29"/>
        <v>-1822.5795007766753</v>
      </c>
      <c r="C228" s="69">
        <f t="shared" si="29"/>
        <v>3285.4783696598424</v>
      </c>
      <c r="D228" s="70">
        <f t="shared" si="29"/>
        <v>5136.223974890464</v>
      </c>
      <c r="E228" s="4"/>
      <c r="F228" s="5"/>
      <c r="G228" s="59">
        <v>88</v>
      </c>
      <c r="H228" s="69">
        <f t="shared" si="30"/>
        <v>24844.313319472378</v>
      </c>
      <c r="I228" s="69">
        <f t="shared" si="30"/>
        <v>30458.032003314311</v>
      </c>
      <c r="J228" s="70">
        <f t="shared" si="30"/>
        <v>32491.988048184576</v>
      </c>
      <c r="M228" s="59">
        <v>88</v>
      </c>
      <c r="N228" s="69">
        <f t="shared" si="31"/>
        <v>13838.87200794112</v>
      </c>
      <c r="O228" s="69">
        <f t="shared" si="31"/>
        <v>20697.127434524049</v>
      </c>
      <c r="P228" s="70">
        <f t="shared" si="31"/>
        <v>23182.00258908308</v>
      </c>
      <c r="R228" s="59">
        <v>88</v>
      </c>
      <c r="S228" s="69">
        <f t="shared" si="32"/>
        <v>9182.8618107545826</v>
      </c>
      <c r="T228" s="69">
        <f t="shared" si="32"/>
        <v>13046.382938450104</v>
      </c>
      <c r="U228" s="70">
        <f t="shared" si="32"/>
        <v>14446.209433991957</v>
      </c>
    </row>
    <row r="229" spans="1:21" x14ac:dyDescent="0.2">
      <c r="A229" s="59">
        <v>89</v>
      </c>
      <c r="B229" s="69">
        <f t="shared" si="29"/>
        <v>-1912.4678345737802</v>
      </c>
      <c r="C229" s="69">
        <f t="shared" si="29"/>
        <v>3224.5311052563884</v>
      </c>
      <c r="D229" s="70">
        <f t="shared" si="29"/>
        <v>5085.7626051948528</v>
      </c>
      <c r="E229" s="4"/>
      <c r="F229" s="5"/>
      <c r="G229" s="59">
        <v>89</v>
      </c>
      <c r="H229" s="69">
        <f t="shared" si="30"/>
        <v>25050.609815466501</v>
      </c>
      <c r="I229" s="69">
        <f t="shared" si="30"/>
        <v>30696.134525415888</v>
      </c>
      <c r="J229" s="70">
        <f t="shared" si="30"/>
        <v>32741.614492788856</v>
      </c>
      <c r="M229" s="59">
        <v>89</v>
      </c>
      <c r="N229" s="69">
        <f t="shared" si="31"/>
        <v>13903.252208114554</v>
      </c>
      <c r="O229" s="69">
        <f t="shared" si="31"/>
        <v>20800.36491690818</v>
      </c>
      <c r="P229" s="70">
        <f t="shared" si="31"/>
        <v>23299.318796905867</v>
      </c>
      <c r="R229" s="59">
        <v>89</v>
      </c>
      <c r="S229" s="69">
        <f t="shared" si="32"/>
        <v>9234.8897727781659</v>
      </c>
      <c r="T229" s="69">
        <f t="shared" si="32"/>
        <v>13120.300713764093</v>
      </c>
      <c r="U229" s="70">
        <f t="shared" si="32"/>
        <v>14528.058301077839</v>
      </c>
    </row>
    <row r="230" spans="1:21" x14ac:dyDescent="0.2">
      <c r="A230" s="59">
        <v>90</v>
      </c>
      <c r="B230" s="69">
        <f t="shared" si="29"/>
        <v>-2002.7415414414822</v>
      </c>
      <c r="C230" s="69">
        <f t="shared" si="29"/>
        <v>3163.0363291123899</v>
      </c>
      <c r="D230" s="70">
        <f t="shared" si="29"/>
        <v>5034.6949778637927</v>
      </c>
      <c r="E230" s="4"/>
      <c r="F230" s="5"/>
      <c r="G230" s="59">
        <v>90</v>
      </c>
      <c r="H230" s="69">
        <f t="shared" si="30"/>
        <v>25256.482789241119</v>
      </c>
      <c r="I230" s="69">
        <f t="shared" si="30"/>
        <v>30933.635336071467</v>
      </c>
      <c r="J230" s="70">
        <f t="shared" si="30"/>
        <v>32990.574664633183</v>
      </c>
      <c r="M230" s="59">
        <v>90</v>
      </c>
      <c r="N230" s="69">
        <f t="shared" si="31"/>
        <v>13967.114993055091</v>
      </c>
      <c r="O230" s="69">
        <f t="shared" si="31"/>
        <v>20902.867291065086</v>
      </c>
      <c r="P230" s="70">
        <f t="shared" si="31"/>
        <v>23415.82102222812</v>
      </c>
      <c r="R230" s="59">
        <v>90</v>
      </c>
      <c r="S230" s="69">
        <f t="shared" si="32"/>
        <v>9286.6262547445458</v>
      </c>
      <c r="T230" s="69">
        <f t="shared" si="32"/>
        <v>13193.804374118772</v>
      </c>
      <c r="U230" s="70">
        <f t="shared" si="32"/>
        <v>14609.448620268857</v>
      </c>
    </row>
    <row r="231" spans="1:21" x14ac:dyDescent="0.2">
      <c r="A231" s="59">
        <v>91</v>
      </c>
      <c r="B231" s="69">
        <f t="shared" si="29"/>
        <v>-2093.3942160393676</v>
      </c>
      <c r="C231" s="69">
        <f t="shared" si="29"/>
        <v>3101.0031414980699</v>
      </c>
      <c r="D231" s="70">
        <f t="shared" si="29"/>
        <v>4983.0311695913451</v>
      </c>
      <c r="E231" s="4"/>
      <c r="F231" s="5"/>
      <c r="G231" s="59">
        <v>91</v>
      </c>
      <c r="H231" s="69">
        <f t="shared" si="30"/>
        <v>25461.939280219052</v>
      </c>
      <c r="I231" s="69">
        <f t="shared" si="30"/>
        <v>31170.544436412238</v>
      </c>
      <c r="J231" s="70">
        <f t="shared" si="30"/>
        <v>33238.87963793151</v>
      </c>
      <c r="M231" s="59">
        <v>91</v>
      </c>
      <c r="N231" s="69">
        <f t="shared" si="31"/>
        <v>14030.468962794635</v>
      </c>
      <c r="O231" s="69">
        <f t="shared" si="31"/>
        <v>21004.646775332774</v>
      </c>
      <c r="P231" s="70">
        <f t="shared" si="31"/>
        <v>23531.522794368328</v>
      </c>
      <c r="R231" s="59">
        <v>91</v>
      </c>
      <c r="S231" s="69">
        <f t="shared" si="32"/>
        <v>9338.0761013850497</v>
      </c>
      <c r="T231" s="69">
        <f t="shared" si="32"/>
        <v>13266.900802577533</v>
      </c>
      <c r="U231" s="70">
        <f t="shared" si="32"/>
        <v>14690.38801315453</v>
      </c>
    </row>
    <row r="232" spans="1:21" x14ac:dyDescent="0.2">
      <c r="A232" s="59">
        <v>92</v>
      </c>
      <c r="B232" s="69">
        <f t="shared" si="29"/>
        <v>-2184.4196285251473</v>
      </c>
      <c r="C232" s="69">
        <f t="shared" si="29"/>
        <v>3038.4403933479002</v>
      </c>
      <c r="D232" s="70">
        <f t="shared" si="29"/>
        <v>4930.7809809830624</v>
      </c>
      <c r="E232" s="4"/>
      <c r="F232" s="5"/>
      <c r="G232" s="59">
        <v>92</v>
      </c>
      <c r="H232" s="69">
        <f t="shared" si="30"/>
        <v>25666.986134951956</v>
      </c>
      <c r="I232" s="69">
        <f t="shared" si="30"/>
        <v>31406.871553551224</v>
      </c>
      <c r="J232" s="70">
        <f t="shared" si="30"/>
        <v>33486.540183478501</v>
      </c>
      <c r="M232" s="59">
        <v>92</v>
      </c>
      <c r="N232" s="69">
        <f t="shared" si="31"/>
        <v>14093.322481735229</v>
      </c>
      <c r="O232" s="69">
        <f t="shared" si="31"/>
        <v>21105.715253282444</v>
      </c>
      <c r="P232" s="70">
        <f t="shared" si="31"/>
        <v>23646.437271958966</v>
      </c>
      <c r="R232" s="59">
        <v>92</v>
      </c>
      <c r="S232" s="69">
        <f t="shared" si="32"/>
        <v>9389.2440246915812</v>
      </c>
      <c r="T232" s="69">
        <f t="shared" si="32"/>
        <v>13339.596693616677</v>
      </c>
      <c r="U232" s="70">
        <f t="shared" si="32"/>
        <v>14770.883892502599</v>
      </c>
    </row>
    <row r="233" spans="1:21" x14ac:dyDescent="0.2">
      <c r="A233" s="59">
        <v>93</v>
      </c>
      <c r="B233" s="69">
        <f t="shared" si="29"/>
        <v>-2275.8117178957432</v>
      </c>
      <c r="C233" s="69">
        <f t="shared" si="29"/>
        <v>2975.3566957211319</v>
      </c>
      <c r="D233" s="70">
        <f t="shared" si="29"/>
        <v>4877.9539470315922</v>
      </c>
      <c r="E233" s="4"/>
      <c r="F233" s="5"/>
      <c r="G233" s="59">
        <v>93</v>
      </c>
      <c r="H233" s="69">
        <f t="shared" si="30"/>
        <v>25871.6300144384</v>
      </c>
      <c r="I233" s="69">
        <f t="shared" si="30"/>
        <v>31642.626150980315</v>
      </c>
      <c r="J233" s="70">
        <f t="shared" si="30"/>
        <v>33733.566780162168</v>
      </c>
      <c r="M233" s="59">
        <v>93</v>
      </c>
      <c r="N233" s="69">
        <f t="shared" si="31"/>
        <v>14155.683687589541</v>
      </c>
      <c r="O233" s="69">
        <f t="shared" si="31"/>
        <v>21206.084286420497</v>
      </c>
      <c r="P233" s="70">
        <f t="shared" si="31"/>
        <v>23760.577257011424</v>
      </c>
      <c r="R233" s="59">
        <v>93</v>
      </c>
      <c r="S233" s="69">
        <f t="shared" si="32"/>
        <v>9440.1346089531162</v>
      </c>
      <c r="T233" s="69">
        <f t="shared" si="32"/>
        <v>13411.898560280948</v>
      </c>
      <c r="U233" s="70">
        <f t="shared" si="32"/>
        <v>14850.943470182337</v>
      </c>
    </row>
    <row r="234" spans="1:21" x14ac:dyDescent="0.2">
      <c r="A234" s="59">
        <v>94</v>
      </c>
      <c r="B234" s="69">
        <f t="shared" si="29"/>
        <v>-2367.5645856497581</v>
      </c>
      <c r="C234" s="69">
        <f t="shared" si="29"/>
        <v>2911.7604288057246</v>
      </c>
      <c r="D234" s="70">
        <f t="shared" si="29"/>
        <v>4824.5593470866961</v>
      </c>
      <c r="E234" s="4"/>
      <c r="F234" s="5"/>
      <c r="G234" s="59">
        <v>94</v>
      </c>
      <c r="H234" s="69">
        <f t="shared" si="30"/>
        <v>26075.877401088808</v>
      </c>
      <c r="I234" s="69">
        <f t="shared" si="30"/>
        <v>31877.81743846551</v>
      </c>
      <c r="J234" s="70">
        <f t="shared" si="30"/>
        <v>33979.969625920843</v>
      </c>
      <c r="M234" s="59">
        <v>94</v>
      </c>
      <c r="N234" s="69">
        <f t="shared" si="31"/>
        <v>14217.560499889858</v>
      </c>
      <c r="O234" s="69">
        <f t="shared" si="31"/>
        <v>21305.76512627758</v>
      </c>
      <c r="P234" s="70">
        <f t="shared" si="31"/>
        <v>23873.955208302112</v>
      </c>
      <c r="R234" s="59">
        <v>94</v>
      </c>
      <c r="S234" s="69">
        <f t="shared" si="32"/>
        <v>9490.7523155491926</v>
      </c>
      <c r="T234" s="69">
        <f t="shared" si="32"/>
        <v>13483.812740993653</v>
      </c>
      <c r="U234" s="70">
        <f t="shared" si="32"/>
        <v>14930.573764705427</v>
      </c>
    </row>
    <row r="235" spans="1:21" x14ac:dyDescent="0.2">
      <c r="A235" s="59">
        <v>95</v>
      </c>
      <c r="B235" s="69">
        <f t="shared" si="29"/>
        <v>-2459.6724897525214</v>
      </c>
      <c r="C235" s="69">
        <f t="shared" si="29"/>
        <v>2847.6597504924039</v>
      </c>
      <c r="D235" s="70">
        <f t="shared" si="29"/>
        <v>4770.6062143492591</v>
      </c>
      <c r="E235" s="4"/>
      <c r="F235" s="5"/>
      <c r="G235" s="59">
        <v>95</v>
      </c>
      <c r="H235" s="69">
        <f t="shared" si="30"/>
        <v>26279.734605357778</v>
      </c>
      <c r="I235" s="69">
        <f t="shared" si="30"/>
        <v>32112.454381469772</v>
      </c>
      <c r="J235" s="70">
        <f t="shared" si="30"/>
        <v>34225.758648177012</v>
      </c>
      <c r="M235" s="59">
        <v>95</v>
      </c>
      <c r="N235" s="69">
        <f t="shared" si="31"/>
        <v>14278.960628090819</v>
      </c>
      <c r="O235" s="69">
        <f t="shared" si="31"/>
        <v>21404.76872592033</v>
      </c>
      <c r="P235" s="70">
        <f t="shared" si="31"/>
        <v>23986.583254119421</v>
      </c>
      <c r="R235" s="59">
        <v>95</v>
      </c>
      <c r="S235" s="69">
        <f t="shared" si="32"/>
        <v>9541.1014875144392</v>
      </c>
      <c r="T235" s="69">
        <f t="shared" si="32"/>
        <v>13555.345406041844</v>
      </c>
      <c r="U235" s="70">
        <f t="shared" si="32"/>
        <v>15009.781608406851</v>
      </c>
    </row>
    <row r="236" spans="1:21" x14ac:dyDescent="0.2">
      <c r="A236" s="59">
        <v>96</v>
      </c>
      <c r="B236" s="69">
        <f t="shared" si="29"/>
        <v>-2552.1298388862915</v>
      </c>
      <c r="C236" s="69">
        <f t="shared" si="29"/>
        <v>2783.0626045435633</v>
      </c>
      <c r="D236" s="70">
        <f t="shared" si="29"/>
        <v>4716.1033449166989</v>
      </c>
      <c r="E236" s="4"/>
      <c r="F236" s="5"/>
      <c r="G236" s="59">
        <v>96</v>
      </c>
      <c r="H236" s="69">
        <f t="shared" si="30"/>
        <v>26483.207772063095</v>
      </c>
      <c r="I236" s="69">
        <f t="shared" si="30"/>
        <v>32346.545710130544</v>
      </c>
      <c r="J236" s="70">
        <f t="shared" si="30"/>
        <v>34470.943513778177</v>
      </c>
      <c r="M236" s="59">
        <v>96</v>
      </c>
      <c r="N236" s="69">
        <f t="shared" si="31"/>
        <v>14339.891579289288</v>
      </c>
      <c r="O236" s="69">
        <f t="shared" si="31"/>
        <v>21503.105750919294</v>
      </c>
      <c r="P236" s="70">
        <f t="shared" si="31"/>
        <v>24098.473204408419</v>
      </c>
      <c r="R236" s="59">
        <v>96</v>
      </c>
      <c r="S236" s="69">
        <f t="shared" si="32"/>
        <v>9591.186353887515</v>
      </c>
      <c r="T236" s="69">
        <f t="shared" si="32"/>
        <v>13626.502563754813</v>
      </c>
      <c r="U236" s="70">
        <f t="shared" si="32"/>
        <v>15088.573654286458</v>
      </c>
    </row>
    <row r="237" spans="1:21" x14ac:dyDescent="0.2">
      <c r="A237" s="59">
        <v>97</v>
      </c>
      <c r="B237" s="69">
        <f t="shared" si="29"/>
        <v>-2644.9311869693211</v>
      </c>
      <c r="C237" s="69">
        <f t="shared" si="29"/>
        <v>2717.9767283802262</v>
      </c>
      <c r="D237" s="70">
        <f t="shared" si="29"/>
        <v>4661.0593064054274</v>
      </c>
      <c r="E237" s="4"/>
      <c r="F237" s="5"/>
      <c r="G237" s="59">
        <v>97</v>
      </c>
      <c r="H237" s="69">
        <f t="shared" si="30"/>
        <v>26686.302886409248</v>
      </c>
      <c r="I237" s="69">
        <f t="shared" si="30"/>
        <v>32580.099927817635</v>
      </c>
      <c r="J237" s="70">
        <f t="shared" si="30"/>
        <v>34715.533638472843</v>
      </c>
      <c r="M237" s="59">
        <v>97</v>
      </c>
      <c r="N237" s="69">
        <f t="shared" si="31"/>
        <v>14400.360665583261</v>
      </c>
      <c r="O237" s="69">
        <f t="shared" si="31"/>
        <v>21600.786589803949</v>
      </c>
      <c r="P237" s="70">
        <f t="shared" si="31"/>
        <v>24209.63656234767</v>
      </c>
      <c r="R237" s="59">
        <v>97</v>
      </c>
      <c r="S237" s="69">
        <f t="shared" si="32"/>
        <v>9641.0110338566683</v>
      </c>
      <c r="T237" s="69">
        <f t="shared" si="32"/>
        <v>13697.290066393911</v>
      </c>
      <c r="U237" s="70">
        <f t="shared" si="32"/>
        <v>15166.9563825306</v>
      </c>
    </row>
    <row r="238" spans="1:21" x14ac:dyDescent="0.2">
      <c r="A238" s="59">
        <v>98</v>
      </c>
      <c r="B238" s="69">
        <f t="shared" si="29"/>
        <v>-2738.0712279285153</v>
      </c>
      <c r="C238" s="69">
        <f t="shared" si="29"/>
        <v>2652.4096605086806</v>
      </c>
      <c r="D238" s="70">
        <f t="shared" si="29"/>
        <v>4605.4824461743328</v>
      </c>
      <c r="E238" s="4"/>
      <c r="F238" s="5"/>
      <c r="G238" s="59">
        <v>98</v>
      </c>
      <c r="H238" s="69">
        <f t="shared" si="30"/>
        <v>26889.025779732212</v>
      </c>
      <c r="I238" s="69">
        <f t="shared" si="30"/>
        <v>32813.125319294944</v>
      </c>
      <c r="J238" s="70">
        <f t="shared" si="30"/>
        <v>34959.538195948116</v>
      </c>
      <c r="M238" s="59">
        <v>98</v>
      </c>
      <c r="N238" s="69">
        <f t="shared" si="31"/>
        <v>14460.375011090258</v>
      </c>
      <c r="O238" s="69">
        <f t="shared" si="31"/>
        <v>21697.821364033931</v>
      </c>
      <c r="P238" s="70">
        <f t="shared" si="31"/>
        <v>24320.084535390331</v>
      </c>
      <c r="R238" s="59">
        <v>98</v>
      </c>
      <c r="S238" s="69">
        <f t="shared" si="32"/>
        <v>9690.5795407134392</v>
      </c>
      <c r="T238" s="69">
        <f t="shared" si="32"/>
        <v>13767.713615769695</v>
      </c>
      <c r="U238" s="70">
        <f t="shared" si="32"/>
        <v>15244.936106732119</v>
      </c>
    </row>
    <row r="239" spans="1:21" x14ac:dyDescent="0.2">
      <c r="A239" s="59">
        <v>99</v>
      </c>
      <c r="B239" s="69">
        <f t="shared" si="29"/>
        <v>-2831.5447907115763</v>
      </c>
      <c r="C239" s="69">
        <f t="shared" si="29"/>
        <v>2586.368747606889</v>
      </c>
      <c r="D239" s="70">
        <f t="shared" si="29"/>
        <v>4549.3808991715478</v>
      </c>
      <c r="E239" s="4"/>
      <c r="F239" s="5"/>
      <c r="G239" s="59">
        <v>99</v>
      </c>
      <c r="H239" s="69">
        <f t="shared" si="30"/>
        <v>27091.382134981111</v>
      </c>
      <c r="I239" s="69">
        <f t="shared" si="30"/>
        <v>33045.629958508485</v>
      </c>
      <c r="J239" s="70">
        <f t="shared" si="30"/>
        <v>35202.966126453182</v>
      </c>
      <c r="M239" s="59">
        <v>99</v>
      </c>
      <c r="N239" s="69">
        <f t="shared" si="31"/>
        <v>14519.941558644214</v>
      </c>
      <c r="O239" s="69">
        <f t="shared" si="31"/>
        <v>21794.219937513557</v>
      </c>
      <c r="P239" s="70">
        <f t="shared" si="31"/>
        <v>24429.828045799546</v>
      </c>
      <c r="R239" s="59">
        <v>99</v>
      </c>
      <c r="S239" s="69">
        <f t="shared" si="32"/>
        <v>9739.8957856253201</v>
      </c>
      <c r="T239" s="69">
        <f t="shared" si="32"/>
        <v>13837.778768601816</v>
      </c>
      <c r="U239" s="70">
        <f t="shared" si="32"/>
        <v>15322.518979825185</v>
      </c>
    </row>
    <row r="240" spans="1:21" x14ac:dyDescent="0.2">
      <c r="A240" s="60">
        <v>100</v>
      </c>
      <c r="B240" s="71">
        <f t="shared" si="29"/>
        <v>-2925.3468345252554</v>
      </c>
      <c r="C240" s="71">
        <f t="shared" si="29"/>
        <v>2519.8611512896405</v>
      </c>
      <c r="D240" s="72">
        <f>$G$127*(-$D$131*$A240+D$134*$D$129*SQRT($A240))</f>
        <v>4492.76259542547</v>
      </c>
      <c r="E240" s="73"/>
      <c r="F240" s="74"/>
      <c r="G240" s="60">
        <v>100</v>
      </c>
      <c r="H240" s="71">
        <f t="shared" si="30"/>
        <v>27293.377491951269</v>
      </c>
      <c r="I240" s="71">
        <f t="shared" si="30"/>
        <v>33277.621716021145</v>
      </c>
      <c r="J240" s="72">
        <f t="shared" si="30"/>
        <v>35445.82614503197</v>
      </c>
      <c r="M240" s="60">
        <v>100</v>
      </c>
      <c r="N240" s="71">
        <f t="shared" si="31"/>
        <v>14579.067076188736</v>
      </c>
      <c r="O240" s="71">
        <f t="shared" si="31"/>
        <v>21889.991925674905</v>
      </c>
      <c r="P240" s="72">
        <f t="shared" si="31"/>
        <v>24538.877740706121</v>
      </c>
      <c r="R240" s="60">
        <v>100</v>
      </c>
      <c r="S240" s="71">
        <f>B240+H240-N240</f>
        <v>9788.963581237278</v>
      </c>
      <c r="T240" s="71">
        <f t="shared" si="32"/>
        <v>13907.490941635879</v>
      </c>
      <c r="U240" s="72">
        <f t="shared" si="32"/>
        <v>15399.710999751318</v>
      </c>
    </row>
  </sheetData>
  <mergeCells count="4">
    <mergeCell ref="B139:D139"/>
    <mergeCell ref="H139:J139"/>
    <mergeCell ref="N139:P139"/>
    <mergeCell ref="S139:U13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52E9D-6276-584D-8451-6DCECAC851E1}">
  <sheetPr codeName="Foglio3"/>
  <dimension ref="A1:W240"/>
  <sheetViews>
    <sheetView topLeftCell="O209" workbookViewId="0">
      <selection activeCell="T240" sqref="T240:W240"/>
    </sheetView>
  </sheetViews>
  <sheetFormatPr baseColWidth="10" defaultRowHeight="15" x14ac:dyDescent="0.2"/>
  <cols>
    <col min="4" max="6" width="10.83203125" style="5"/>
    <col min="7" max="7" width="10.83203125" style="4"/>
    <col min="8" max="8" width="8.6640625" style="5" bestFit="1" customWidth="1"/>
    <col min="11" max="12" width="10.83203125" style="4"/>
    <col min="13" max="13" width="11.6640625" bestFit="1" customWidth="1"/>
    <col min="17" max="17" width="12.33203125" bestFit="1" customWidth="1"/>
    <col min="18" max="18" width="10.83203125" style="10"/>
    <col min="19" max="19" width="8.6640625" customWidth="1"/>
    <col min="21" max="21" width="11.6640625" customWidth="1"/>
  </cols>
  <sheetData>
    <row r="1" spans="1:21" x14ac:dyDescent="0.2">
      <c r="B1" s="16" t="s">
        <v>0</v>
      </c>
      <c r="C1" s="17"/>
      <c r="D1" s="18"/>
      <c r="E1" s="18"/>
      <c r="F1" s="18"/>
      <c r="G1" s="19"/>
      <c r="H1" s="20"/>
      <c r="I1" s="30" t="s">
        <v>5</v>
      </c>
      <c r="J1" s="31"/>
      <c r="K1" s="32"/>
      <c r="L1" s="32"/>
      <c r="M1" s="31"/>
      <c r="N1" s="33"/>
      <c r="O1" s="34"/>
    </row>
    <row r="2" spans="1:21" x14ac:dyDescent="0.2">
      <c r="A2" s="44" t="s">
        <v>1</v>
      </c>
      <c r="B2" s="45" t="s">
        <v>2</v>
      </c>
      <c r="C2" s="46" t="s">
        <v>3</v>
      </c>
      <c r="D2" s="47" t="s">
        <v>4</v>
      </c>
      <c r="E2" s="47" t="s">
        <v>29</v>
      </c>
      <c r="F2" s="47" t="s">
        <v>6</v>
      </c>
      <c r="G2" s="48" t="s">
        <v>8</v>
      </c>
      <c r="H2" s="49" t="s">
        <v>13</v>
      </c>
      <c r="I2" s="50" t="s">
        <v>2</v>
      </c>
      <c r="J2" s="51" t="s">
        <v>3</v>
      </c>
      <c r="K2" s="52" t="s">
        <v>4</v>
      </c>
      <c r="L2" s="52" t="s">
        <v>29</v>
      </c>
      <c r="M2" s="52" t="s">
        <v>7</v>
      </c>
      <c r="N2" s="52" t="s">
        <v>9</v>
      </c>
      <c r="O2" s="53" t="s">
        <v>10</v>
      </c>
      <c r="P2" s="54" t="s">
        <v>11</v>
      </c>
      <c r="Q2" s="55" t="s">
        <v>12</v>
      </c>
      <c r="R2" s="56" t="s">
        <v>18</v>
      </c>
      <c r="S2" s="80" t="s">
        <v>29</v>
      </c>
      <c r="U2" s="79" t="s">
        <v>30</v>
      </c>
    </row>
    <row r="3" spans="1:21" x14ac:dyDescent="0.2">
      <c r="A3" s="14">
        <v>45932</v>
      </c>
      <c r="B3" s="21">
        <v>111.29</v>
      </c>
      <c r="C3" s="22"/>
      <c r="D3" s="2"/>
      <c r="E3" s="2"/>
      <c r="F3" s="2">
        <f t="shared" ref="F3:F34" si="0">H3/B3</f>
        <v>449.27666457004221</v>
      </c>
      <c r="G3" s="12">
        <f t="shared" ref="G3:G34" si="1">F3/P3</f>
        <v>0.82251247946669215</v>
      </c>
      <c r="H3" s="23">
        <f t="shared" ref="H3:H34" si="2">Q3/2</f>
        <v>50000</v>
      </c>
      <c r="I3" s="21">
        <v>515.74</v>
      </c>
      <c r="J3" s="22"/>
      <c r="K3" s="1"/>
      <c r="L3" s="1"/>
      <c r="M3" s="3">
        <f t="shared" ref="M3:M34" si="3">O3/I3</f>
        <v>96.948074611238212</v>
      </c>
      <c r="N3" s="6">
        <f t="shared" ref="N3:N34" si="4">M3/P3</f>
        <v>0.1774875205333078</v>
      </c>
      <c r="O3" s="35">
        <f t="shared" ref="O3:O34" si="5">Q3/2</f>
        <v>50000</v>
      </c>
      <c r="P3" s="39">
        <f t="shared" ref="P3:P34" si="6">M3+F3</f>
        <v>546.22473918128048</v>
      </c>
      <c r="Q3" s="3">
        <v>100000</v>
      </c>
      <c r="R3" s="40"/>
      <c r="S3" s="81"/>
      <c r="U3" s="79">
        <v>0.94</v>
      </c>
    </row>
    <row r="4" spans="1:21" x14ac:dyDescent="0.2">
      <c r="A4" s="14">
        <v>45933</v>
      </c>
      <c r="B4" s="21">
        <v>113.26</v>
      </c>
      <c r="C4" s="22">
        <v>1.97</v>
      </c>
      <c r="D4" s="11">
        <v>1.7701500584059698E-2</v>
      </c>
      <c r="E4" s="1">
        <f>D4^2</f>
        <v>3.1334312292746584E-4</v>
      </c>
      <c r="F4" s="2">
        <f t="shared" si="0"/>
        <v>446.05845589496317</v>
      </c>
      <c r="G4" s="12">
        <f t="shared" si="1"/>
        <v>0.82039612438749776</v>
      </c>
      <c r="H4" s="23">
        <f t="shared" si="2"/>
        <v>50520.580714663534</v>
      </c>
      <c r="I4" s="21">
        <v>517.35</v>
      </c>
      <c r="J4" s="22">
        <v>1.6100000000000101</v>
      </c>
      <c r="K4" s="11">
        <v>3.1217280024818999E-3</v>
      </c>
      <c r="L4" s="1">
        <f>K4^2</f>
        <v>9.7451857214796338E-6</v>
      </c>
      <c r="M4" s="3">
        <f t="shared" si="3"/>
        <v>97.652615665726358</v>
      </c>
      <c r="N4" s="6">
        <f t="shared" si="4"/>
        <v>0.17960387561250218</v>
      </c>
      <c r="O4" s="35">
        <f t="shared" si="5"/>
        <v>50520.580714663534</v>
      </c>
      <c r="P4" s="39">
        <f t="shared" si="6"/>
        <v>543.71107156068956</v>
      </c>
      <c r="Q4" s="3">
        <f t="shared" ref="Q4:Q35" si="7">F3*B4+M3*I4</f>
        <v>101041.16142932707</v>
      </c>
      <c r="R4" s="41">
        <f>(Q4-Q3)/Q3</f>
        <v>1.0411614293270687E-2</v>
      </c>
      <c r="S4" s="82">
        <f>R4^2</f>
        <v>1.0840171219183847E-4</v>
      </c>
    </row>
    <row r="5" spans="1:21" x14ac:dyDescent="0.2">
      <c r="A5" s="14">
        <v>45936</v>
      </c>
      <c r="B5" s="21">
        <v>114.2</v>
      </c>
      <c r="C5" s="22">
        <v>0.93999999999999795</v>
      </c>
      <c r="D5" s="11">
        <v>8.2994879039378199E-3</v>
      </c>
      <c r="E5" s="1">
        <f>U$3*E4+(1-U$3)*D4^2</f>
        <v>3.1334312292746584E-4</v>
      </c>
      <c r="F5" s="2">
        <f t="shared" si="0"/>
        <v>449.01978426286246</v>
      </c>
      <c r="G5" s="12">
        <f t="shared" si="1"/>
        <v>0.8223314715994835</v>
      </c>
      <c r="H5" s="23">
        <f t="shared" si="2"/>
        <v>51278.059362818894</v>
      </c>
      <c r="I5" s="21">
        <v>528.57000000000005</v>
      </c>
      <c r="J5" s="22">
        <v>11.22</v>
      </c>
      <c r="K5" s="11">
        <v>2.1687445636416398E-2</v>
      </c>
      <c r="L5" s="1">
        <f>U$3*L4+(1-U$3)*K4^2</f>
        <v>9.7451857214796338E-6</v>
      </c>
      <c r="M5" s="3">
        <f t="shared" si="3"/>
        <v>97.012806937243681</v>
      </c>
      <c r="N5" s="6">
        <f t="shared" si="4"/>
        <v>0.1776685284005165</v>
      </c>
      <c r="O5" s="35">
        <f t="shared" si="5"/>
        <v>51278.059362818894</v>
      </c>
      <c r="P5" s="39">
        <f t="shared" si="6"/>
        <v>546.03259120010614</v>
      </c>
      <c r="Q5" s="3">
        <f t="shared" si="7"/>
        <v>102556.11872563779</v>
      </c>
      <c r="R5" s="41">
        <f t="shared" ref="R5:R68" si="8">(Q5-Q4)/Q4</f>
        <v>1.4993466770177146E-2</v>
      </c>
      <c r="S5" s="83">
        <f>U$3*S4+(1-U$3)*R4^2</f>
        <v>1.0840171219183847E-4</v>
      </c>
    </row>
    <row r="6" spans="1:21" x14ac:dyDescent="0.2">
      <c r="A6" s="14">
        <v>45937</v>
      </c>
      <c r="B6" s="21">
        <v>114.26</v>
      </c>
      <c r="C6" s="22">
        <v>6.0000000000002301E-2</v>
      </c>
      <c r="D6" s="11">
        <v>5.2539404553417104E-4</v>
      </c>
      <c r="E6" s="1">
        <f t="shared" ref="E6:E69" si="9">U$3*E5+(1-U$3)*D5^2</f>
        <v>2.9867542551987447E-4</v>
      </c>
      <c r="F6" s="2">
        <f t="shared" si="0"/>
        <v>446.95331318419221</v>
      </c>
      <c r="G6" s="12">
        <f t="shared" si="1"/>
        <v>0.82097643519679109</v>
      </c>
      <c r="H6" s="23">
        <f t="shared" si="2"/>
        <v>51068.885564425807</v>
      </c>
      <c r="I6" s="21">
        <v>523.98</v>
      </c>
      <c r="J6" s="22">
        <v>-4.5900000000000301</v>
      </c>
      <c r="K6" s="11">
        <v>-8.6838072535331805E-3</v>
      </c>
      <c r="L6" s="1">
        <f t="shared" ref="L6:L69" si="10">U$3*L5+(1-U$3)*K5^2</f>
        <v>3.7381192472141883E-5</v>
      </c>
      <c r="M6" s="3">
        <f t="shared" si="3"/>
        <v>97.463425253684889</v>
      </c>
      <c r="N6" s="6">
        <f t="shared" si="4"/>
        <v>0.17902356480320883</v>
      </c>
      <c r="O6" s="35">
        <f t="shared" si="5"/>
        <v>51068.885564425807</v>
      </c>
      <c r="P6" s="39">
        <f t="shared" si="6"/>
        <v>544.41673843787714</v>
      </c>
      <c r="Q6" s="3">
        <f t="shared" si="7"/>
        <v>102137.77112885161</v>
      </c>
      <c r="R6" s="41">
        <f t="shared" si="8"/>
        <v>-4.0792066039994574E-3</v>
      </c>
      <c r="S6" s="83">
        <f t="shared" ref="S6:S69" si="11">U$3*S5+(1-U$3)*R5^2</f>
        <v>1.1538585220763255E-4</v>
      </c>
    </row>
    <row r="7" spans="1:21" x14ac:dyDescent="0.2">
      <c r="A7" s="14">
        <v>45938</v>
      </c>
      <c r="B7" s="21">
        <v>114.02</v>
      </c>
      <c r="C7" s="22">
        <v>-0.24000000000000901</v>
      </c>
      <c r="D7" s="11">
        <v>-2.10047260633651E-3</v>
      </c>
      <c r="E7" s="1">
        <f t="shared" si="9"/>
        <v>2.8077146232286692E-4</v>
      </c>
      <c r="F7" s="2">
        <f t="shared" si="0"/>
        <v>447.79554250858672</v>
      </c>
      <c r="G7" s="12">
        <f t="shared" si="1"/>
        <v>0.82152863649881835</v>
      </c>
      <c r="H7" s="23">
        <f t="shared" si="2"/>
        <v>51057.647756829057</v>
      </c>
      <c r="I7" s="21">
        <v>524.85</v>
      </c>
      <c r="J7" s="22">
        <v>0.87000000000000499</v>
      </c>
      <c r="K7" s="11">
        <v>1.66036871636323E-3</v>
      </c>
      <c r="L7" s="1">
        <f>U$3*L6+(1-U$3)*K6^2</f>
        <v>3.9662831428804304E-5</v>
      </c>
      <c r="M7" s="3">
        <f t="shared" si="3"/>
        <v>97.280456810191595</v>
      </c>
      <c r="N7" s="6">
        <f t="shared" si="4"/>
        <v>0.17847136350118178</v>
      </c>
      <c r="O7" s="35">
        <f t="shared" si="5"/>
        <v>51057.647756829057</v>
      </c>
      <c r="P7" s="39">
        <f t="shared" si="6"/>
        <v>545.07599931877826</v>
      </c>
      <c r="Q7" s="3">
        <f t="shared" si="7"/>
        <v>102115.29551365811</v>
      </c>
      <c r="R7" s="41">
        <f t="shared" si="8"/>
        <v>-2.2005194498659841E-4</v>
      </c>
      <c r="S7" s="83">
        <f t="shared" si="11"/>
        <v>1.0946109666626135E-4</v>
      </c>
    </row>
    <row r="8" spans="1:21" x14ac:dyDescent="0.2">
      <c r="A8" s="14">
        <v>45939</v>
      </c>
      <c r="B8" s="21">
        <v>112.91</v>
      </c>
      <c r="C8" s="22">
        <v>-1.1100000000000001</v>
      </c>
      <c r="D8" s="11">
        <v>-9.7351341869847292E-3</v>
      </c>
      <c r="E8" s="1">
        <f t="shared" si="9"/>
        <v>2.6418989369369307E-4</v>
      </c>
      <c r="F8" s="2">
        <f t="shared" si="0"/>
        <v>448.94121575718987</v>
      </c>
      <c r="G8" s="12">
        <f t="shared" si="1"/>
        <v>0.82227573940281118</v>
      </c>
      <c r="H8" s="23">
        <f t="shared" si="2"/>
        <v>50689.952671144303</v>
      </c>
      <c r="I8" s="21">
        <v>522.4</v>
      </c>
      <c r="J8" s="22">
        <v>-2.4500000000000499</v>
      </c>
      <c r="K8" s="11">
        <v>-4.6680003810613399E-3</v>
      </c>
      <c r="L8" s="1">
        <f t="shared" si="10"/>
        <v>3.7448470999532702E-5</v>
      </c>
      <c r="M8" s="3">
        <f t="shared" si="3"/>
        <v>97.032834362833668</v>
      </c>
      <c r="N8" s="6">
        <f t="shared" si="4"/>
        <v>0.17772426059718877</v>
      </c>
      <c r="O8" s="35">
        <f t="shared" si="5"/>
        <v>50689.952671144303</v>
      </c>
      <c r="P8" s="39">
        <f t="shared" si="6"/>
        <v>545.97405012002355</v>
      </c>
      <c r="Q8" s="3">
        <f t="shared" si="7"/>
        <v>101379.90534228861</v>
      </c>
      <c r="R8" s="41">
        <f t="shared" si="8"/>
        <v>-7.2015672840230758E-3</v>
      </c>
      <c r="S8" s="83">
        <f t="shared" si="11"/>
        <v>1.028963362377952E-4</v>
      </c>
    </row>
    <row r="9" spans="1:21" x14ac:dyDescent="0.2">
      <c r="A9" s="14">
        <v>45940</v>
      </c>
      <c r="B9" s="21">
        <v>110.73</v>
      </c>
      <c r="C9" s="22">
        <v>-2.1799999999999899</v>
      </c>
      <c r="D9" s="11">
        <v>-1.9307412983792301E-2</v>
      </c>
      <c r="E9" s="1">
        <f t="shared" si="9"/>
        <v>2.540248703303874E-4</v>
      </c>
      <c r="F9" s="2">
        <f t="shared" si="0"/>
        <v>448.34804419230164</v>
      </c>
      <c r="G9" s="12">
        <f t="shared" si="1"/>
        <v>0.82188872267528834</v>
      </c>
      <c r="H9" s="23">
        <f t="shared" si="2"/>
        <v>49645.578933413562</v>
      </c>
      <c r="I9" s="21">
        <v>510.96</v>
      </c>
      <c r="J9" s="22">
        <v>-11.44</v>
      </c>
      <c r="K9" s="11">
        <v>-2.1898928024502301E-2</v>
      </c>
      <c r="L9" s="1">
        <f t="shared" si="10"/>
        <v>3.6508976393016064E-5</v>
      </c>
      <c r="M9" s="3">
        <f t="shared" si="3"/>
        <v>97.16138040827768</v>
      </c>
      <c r="N9" s="6">
        <f t="shared" si="4"/>
        <v>0.17811127732471169</v>
      </c>
      <c r="O9" s="35">
        <f t="shared" si="5"/>
        <v>49645.578933413562</v>
      </c>
      <c r="P9" s="39">
        <f t="shared" si="6"/>
        <v>545.50942460057934</v>
      </c>
      <c r="Q9" s="3">
        <f t="shared" si="7"/>
        <v>99291.157866827125</v>
      </c>
      <c r="R9" s="41">
        <f t="shared" si="8"/>
        <v>-2.0603170504147256E-2</v>
      </c>
      <c r="S9" s="83">
        <f t="shared" si="11"/>
        <v>9.9834310344306182E-5</v>
      </c>
    </row>
    <row r="10" spans="1:21" x14ac:dyDescent="0.2">
      <c r="A10" s="14">
        <v>45943</v>
      </c>
      <c r="B10" s="21">
        <v>112.24</v>
      </c>
      <c r="C10" s="22">
        <v>1.50999999999999</v>
      </c>
      <c r="D10" s="11">
        <v>1.3636774135283899E-2</v>
      </c>
      <c r="E10" s="1">
        <f t="shared" si="9"/>
        <v>2.6114994987816686E-4</v>
      </c>
      <c r="F10" s="2">
        <f t="shared" si="0"/>
        <v>446.66960120731949</v>
      </c>
      <c r="G10" s="12">
        <f t="shared" si="1"/>
        <v>0.82078589790672052</v>
      </c>
      <c r="H10" s="23">
        <f t="shared" si="2"/>
        <v>50134.196039509538</v>
      </c>
      <c r="I10" s="21">
        <v>514.04999999999995</v>
      </c>
      <c r="J10" s="22">
        <v>3.0899999999999799</v>
      </c>
      <c r="K10" s="11">
        <v>6.0474401127289298E-3</v>
      </c>
      <c r="L10" s="1">
        <f t="shared" si="10"/>
        <v>6.3092220726775059E-5</v>
      </c>
      <c r="M10" s="3">
        <f t="shared" si="3"/>
        <v>97.527859234528819</v>
      </c>
      <c r="N10" s="6">
        <f t="shared" si="4"/>
        <v>0.17921410209327948</v>
      </c>
      <c r="O10" s="35">
        <f t="shared" si="5"/>
        <v>50134.196039509538</v>
      </c>
      <c r="P10" s="39">
        <f t="shared" si="6"/>
        <v>544.19746044184831</v>
      </c>
      <c r="Q10" s="3">
        <f t="shared" si="7"/>
        <v>100268.39207901908</v>
      </c>
      <c r="R10" s="41">
        <f t="shared" si="8"/>
        <v>9.8421071240064675E-3</v>
      </c>
      <c r="S10" s="83">
        <f t="shared" si="11"/>
        <v>1.1931368981302563E-4</v>
      </c>
    </row>
    <row r="11" spans="1:21" x14ac:dyDescent="0.2">
      <c r="A11" s="14">
        <v>45944</v>
      </c>
      <c r="B11" s="21">
        <v>112.29</v>
      </c>
      <c r="C11" s="22">
        <v>5.0000000000011403E-2</v>
      </c>
      <c r="D11" s="11">
        <v>4.4547398431941699E-4</v>
      </c>
      <c r="E11" s="1">
        <f t="shared" si="9"/>
        <v>2.5663864941448172E-4</v>
      </c>
      <c r="F11" s="2">
        <f t="shared" si="0"/>
        <v>446.3617071272904</v>
      </c>
      <c r="G11" s="12">
        <f t="shared" si="1"/>
        <v>0.82058287795992724</v>
      </c>
      <c r="H11" s="23">
        <f t="shared" si="2"/>
        <v>50121.956093323439</v>
      </c>
      <c r="I11" s="21">
        <v>513.57000000000005</v>
      </c>
      <c r="J11" s="22">
        <v>-0.479999999999905</v>
      </c>
      <c r="K11" s="11">
        <v>-9.3376130726564497E-4</v>
      </c>
      <c r="L11" s="1">
        <f t="shared" si="10"/>
        <v>6.1500979398191119E-5</v>
      </c>
      <c r="M11" s="3">
        <f t="shared" si="3"/>
        <v>97.59517902783152</v>
      </c>
      <c r="N11" s="6">
        <f t="shared" si="4"/>
        <v>0.17941712204007285</v>
      </c>
      <c r="O11" s="35">
        <f t="shared" si="5"/>
        <v>50121.956093323439</v>
      </c>
      <c r="P11" s="39">
        <f t="shared" si="6"/>
        <v>543.95688615512188</v>
      </c>
      <c r="Q11" s="3">
        <f t="shared" si="7"/>
        <v>100243.91218664688</v>
      </c>
      <c r="R11" s="41">
        <f t="shared" si="8"/>
        <v>-2.4414366147315245E-4</v>
      </c>
      <c r="S11" s="83">
        <f t="shared" si="11"/>
        <v>1.1796689278266922E-4</v>
      </c>
    </row>
    <row r="12" spans="1:21" x14ac:dyDescent="0.2">
      <c r="A12" s="14">
        <v>45945</v>
      </c>
      <c r="B12" s="21">
        <v>111.61</v>
      </c>
      <c r="C12" s="22">
        <v>-0.68000000000000704</v>
      </c>
      <c r="D12" s="11">
        <v>-6.0557485083267103E-3</v>
      </c>
      <c r="E12" s="1">
        <f t="shared" si="9"/>
        <v>2.4125223727385515E-4</v>
      </c>
      <c r="F12" s="2">
        <f t="shared" si="0"/>
        <v>447.66025849268169</v>
      </c>
      <c r="G12" s="12">
        <f t="shared" si="1"/>
        <v>0.82143542813259951</v>
      </c>
      <c r="H12" s="23">
        <f t="shared" si="2"/>
        <v>49963.361450368204</v>
      </c>
      <c r="I12" s="21">
        <v>513.42999999999995</v>
      </c>
      <c r="J12" s="22">
        <v>-0.14000000000009999</v>
      </c>
      <c r="K12" s="11">
        <v>-2.7260159277235797E-4</v>
      </c>
      <c r="L12" s="1">
        <f t="shared" si="10"/>
        <v>5.7863235245036434E-5</v>
      </c>
      <c r="M12" s="3">
        <f t="shared" si="3"/>
        <v>97.312898448412071</v>
      </c>
      <c r="N12" s="6">
        <f t="shared" si="4"/>
        <v>0.17856457186740052</v>
      </c>
      <c r="O12" s="35">
        <f t="shared" si="5"/>
        <v>49963.361450368204</v>
      </c>
      <c r="P12" s="39">
        <f t="shared" si="6"/>
        <v>544.97315694109375</v>
      </c>
      <c r="Q12" s="3">
        <f t="shared" si="7"/>
        <v>99926.722900736408</v>
      </c>
      <c r="R12" s="41">
        <f t="shared" si="8"/>
        <v>-3.1641750505495701E-3</v>
      </c>
      <c r="S12" s="83">
        <f t="shared" si="11"/>
        <v>1.1089245558335531E-4</v>
      </c>
    </row>
    <row r="13" spans="1:21" x14ac:dyDescent="0.2">
      <c r="A13" s="14">
        <v>45946</v>
      </c>
      <c r="B13" s="21">
        <v>110.64</v>
      </c>
      <c r="C13" s="22">
        <v>-0.96999999999999897</v>
      </c>
      <c r="D13" s="11">
        <v>-8.6909775109757104E-3</v>
      </c>
      <c r="E13" s="1">
        <f t="shared" si="9"/>
        <v>2.2897742843718991E-4</v>
      </c>
      <c r="F13" s="2">
        <f t="shared" si="0"/>
        <v>448.82222964037595</v>
      </c>
      <c r="G13" s="12">
        <f t="shared" si="1"/>
        <v>0.822193652069104</v>
      </c>
      <c r="H13" s="23">
        <f t="shared" si="2"/>
        <v>49657.691487411197</v>
      </c>
      <c r="I13" s="21">
        <v>511.61</v>
      </c>
      <c r="J13" s="22">
        <v>-1.8199999999999401</v>
      </c>
      <c r="K13" s="11">
        <v>-3.5447870206258602E-3</v>
      </c>
      <c r="L13" s="1">
        <f t="shared" si="10"/>
        <v>5.4395899828037172E-5</v>
      </c>
      <c r="M13" s="3">
        <f t="shared" si="3"/>
        <v>97.061612336371837</v>
      </c>
      <c r="N13" s="6">
        <f t="shared" si="4"/>
        <v>0.17780634793089595</v>
      </c>
      <c r="O13" s="35">
        <f t="shared" si="5"/>
        <v>49657.691487411197</v>
      </c>
      <c r="P13" s="39">
        <f t="shared" si="6"/>
        <v>545.88384197674782</v>
      </c>
      <c r="Q13" s="3">
        <f t="shared" si="7"/>
        <v>99315.382974822394</v>
      </c>
      <c r="R13" s="41">
        <f t="shared" si="8"/>
        <v>-6.1178822658008733E-3</v>
      </c>
      <c r="S13" s="83">
        <f t="shared" si="11"/>
        <v>1.0483962847338521E-4</v>
      </c>
    </row>
    <row r="14" spans="1:21" x14ac:dyDescent="0.2">
      <c r="A14" s="14">
        <v>45947</v>
      </c>
      <c r="B14" s="21">
        <v>112.24</v>
      </c>
      <c r="C14" s="22">
        <v>1.5999999999999901</v>
      </c>
      <c r="D14" s="11">
        <v>1.44613159797541E-2</v>
      </c>
      <c r="E14" s="1">
        <f t="shared" si="9"/>
        <v>2.1977076813673563E-4</v>
      </c>
      <c r="F14" s="2">
        <f t="shared" si="0"/>
        <v>446.47500854663957</v>
      </c>
      <c r="G14" s="12">
        <f t="shared" si="1"/>
        <v>0.82065130548720078</v>
      </c>
      <c r="H14" s="23">
        <f t="shared" si="2"/>
        <v>50112.354959274824</v>
      </c>
      <c r="I14" s="21">
        <v>513.58000000000004</v>
      </c>
      <c r="J14" s="22">
        <v>1.9700000000000299</v>
      </c>
      <c r="K14" s="11">
        <v>3.8505893160806601E-3</v>
      </c>
      <c r="L14" s="1">
        <f t="shared" si="10"/>
        <v>5.1886076739650791E-5</v>
      </c>
      <c r="M14" s="3">
        <f t="shared" si="3"/>
        <v>97.574584211368858</v>
      </c>
      <c r="N14" s="6">
        <f t="shared" si="4"/>
        <v>0.17934869451279919</v>
      </c>
      <c r="O14" s="35">
        <f t="shared" si="5"/>
        <v>50112.354959274824</v>
      </c>
      <c r="P14" s="39">
        <f t="shared" si="6"/>
        <v>544.04959275800843</v>
      </c>
      <c r="Q14" s="3">
        <f t="shared" si="7"/>
        <v>100224.70991854965</v>
      </c>
      <c r="R14" s="41">
        <f t="shared" si="8"/>
        <v>9.1559526479173797E-3</v>
      </c>
      <c r="S14" s="83">
        <f t="shared" si="11"/>
        <v>1.0079495977007414E-4</v>
      </c>
    </row>
    <row r="15" spans="1:21" x14ac:dyDescent="0.2">
      <c r="A15" s="14">
        <v>45950</v>
      </c>
      <c r="B15" s="21">
        <v>112.7</v>
      </c>
      <c r="C15" s="22">
        <v>0.46000000000000801</v>
      </c>
      <c r="D15" s="11">
        <v>4.0983606557377797E-3</v>
      </c>
      <c r="E15" s="1">
        <f t="shared" si="9"/>
        <v>2.1913230164050899E-4</v>
      </c>
      <c r="F15" s="2">
        <f t="shared" si="0"/>
        <v>446.95342873912864</v>
      </c>
      <c r="G15" s="12">
        <f t="shared" si="1"/>
        <v>0.82096617897027757</v>
      </c>
      <c r="H15" s="23">
        <f t="shared" si="2"/>
        <v>50371.651418899797</v>
      </c>
      <c r="I15" s="21">
        <v>516.79</v>
      </c>
      <c r="J15" s="22">
        <v>3.20999999999992</v>
      </c>
      <c r="K15" s="11">
        <v>6.2502433895399402E-3</v>
      </c>
      <c r="L15" s="1">
        <f t="shared" si="10"/>
        <v>4.9662534420138609E-5</v>
      </c>
      <c r="M15" s="3">
        <f t="shared" si="3"/>
        <v>97.470251782928855</v>
      </c>
      <c r="N15" s="6">
        <f t="shared" si="4"/>
        <v>0.17903382102972251</v>
      </c>
      <c r="O15" s="35">
        <f t="shared" si="5"/>
        <v>50371.651418899797</v>
      </c>
      <c r="P15" s="39">
        <f t="shared" si="6"/>
        <v>544.42368052205745</v>
      </c>
      <c r="Q15" s="3">
        <f t="shared" si="7"/>
        <v>100743.30283779959</v>
      </c>
      <c r="R15" s="41">
        <f t="shared" si="8"/>
        <v>5.1743020226388764E-3</v>
      </c>
      <c r="S15" s="83">
        <f t="shared" si="11"/>
        <v>9.9777150317324008E-5</v>
      </c>
    </row>
    <row r="16" spans="1:21" x14ac:dyDescent="0.2">
      <c r="A16" s="14">
        <v>45951</v>
      </c>
      <c r="B16" s="21">
        <v>112.71</v>
      </c>
      <c r="C16" s="22">
        <v>9.9999999999909103E-3</v>
      </c>
      <c r="D16" s="11">
        <v>8.8731144631684994E-5</v>
      </c>
      <c r="E16" s="1">
        <f t="shared" si="9"/>
        <v>2.0699215714594838E-4</v>
      </c>
      <c r="F16" s="2">
        <f t="shared" si="0"/>
        <v>447.30978391951976</v>
      </c>
      <c r="G16" s="12">
        <f t="shared" si="1"/>
        <v>0.82120024747370601</v>
      </c>
      <c r="H16" s="23">
        <f t="shared" si="2"/>
        <v>50416.285745569068</v>
      </c>
      <c r="I16" s="21">
        <v>517.66</v>
      </c>
      <c r="J16" s="22">
        <v>0.87000000000000499</v>
      </c>
      <c r="K16" s="11">
        <v>1.6834691073743799E-3</v>
      </c>
      <c r="L16" s="1">
        <f t="shared" si="10"/>
        <v>4.9026714900639556E-5</v>
      </c>
      <c r="M16" s="3">
        <f t="shared" si="3"/>
        <v>97.392662646464998</v>
      </c>
      <c r="N16" s="6">
        <f t="shared" si="4"/>
        <v>0.1787997525262941</v>
      </c>
      <c r="O16" s="35">
        <f t="shared" si="5"/>
        <v>50416.285745569068</v>
      </c>
      <c r="P16" s="39">
        <f t="shared" si="6"/>
        <v>544.7024465659847</v>
      </c>
      <c r="Q16" s="3">
        <f t="shared" si="7"/>
        <v>100832.57149113814</v>
      </c>
      <c r="R16" s="41">
        <f t="shared" si="8"/>
        <v>8.8610012600309534E-4</v>
      </c>
      <c r="S16" s="83">
        <f t="shared" si="11"/>
        <v>9.5396925383573649E-5</v>
      </c>
    </row>
    <row r="17" spans="1:19" x14ac:dyDescent="0.2">
      <c r="A17" s="14">
        <v>45952</v>
      </c>
      <c r="B17" s="21">
        <v>114.71</v>
      </c>
      <c r="C17" s="22">
        <v>2</v>
      </c>
      <c r="D17" s="11">
        <v>1.77446544228551E-2</v>
      </c>
      <c r="E17" s="1">
        <f t="shared" si="9"/>
        <v>1.9457310011015313E-4</v>
      </c>
      <c r="F17" s="2">
        <f t="shared" si="0"/>
        <v>444.63290875860434</v>
      </c>
      <c r="G17" s="12">
        <f t="shared" si="1"/>
        <v>0.81942542306178667</v>
      </c>
      <c r="H17" s="23">
        <f t="shared" si="2"/>
        <v>51003.840963699498</v>
      </c>
      <c r="I17" s="21">
        <v>520.54</v>
      </c>
      <c r="J17" s="22">
        <v>2.88</v>
      </c>
      <c r="K17" s="11">
        <v>5.5634972762044496E-3</v>
      </c>
      <c r="L17" s="1">
        <f t="shared" si="10"/>
        <v>4.6255156100730212E-5</v>
      </c>
      <c r="M17" s="3">
        <f t="shared" si="3"/>
        <v>97.982558427209241</v>
      </c>
      <c r="N17" s="6">
        <f t="shared" si="4"/>
        <v>0.18057457693821327</v>
      </c>
      <c r="O17" s="35">
        <f t="shared" si="5"/>
        <v>51003.840963699498</v>
      </c>
      <c r="P17" s="39">
        <f t="shared" si="6"/>
        <v>542.6154671858136</v>
      </c>
      <c r="Q17" s="3">
        <f t="shared" si="7"/>
        <v>102007.681927399</v>
      </c>
      <c r="R17" s="41">
        <f t="shared" si="8"/>
        <v>1.1654075849529804E-2</v>
      </c>
      <c r="S17" s="83">
        <f t="shared" si="11"/>
        <v>8.9720220266557396E-5</v>
      </c>
    </row>
    <row r="18" spans="1:19" x14ac:dyDescent="0.2">
      <c r="A18" s="14">
        <v>45953</v>
      </c>
      <c r="B18" s="21">
        <v>115.98</v>
      </c>
      <c r="C18" s="22">
        <v>1.27000000000001</v>
      </c>
      <c r="D18" s="11">
        <v>1.10713974370152E-2</v>
      </c>
      <c r="E18" s="1">
        <f t="shared" si="9"/>
        <v>2.0179107973873701E-4</v>
      </c>
      <c r="F18" s="2">
        <f t="shared" si="0"/>
        <v>442.20695539183896</v>
      </c>
      <c r="G18" s="12">
        <f t="shared" si="1"/>
        <v>0.8177962107644452</v>
      </c>
      <c r="H18" s="23">
        <f t="shared" si="2"/>
        <v>51287.162686345488</v>
      </c>
      <c r="I18" s="21">
        <v>520.55999999999995</v>
      </c>
      <c r="J18" s="22">
        <v>1.99999999999818E-2</v>
      </c>
      <c r="K18" s="11">
        <v>3.8421639067087698E-5</v>
      </c>
      <c r="L18" s="1">
        <f t="shared" si="10"/>
        <v>4.5336996851226457E-5</v>
      </c>
      <c r="M18" s="3">
        <f t="shared" si="3"/>
        <v>98.52305725823247</v>
      </c>
      <c r="N18" s="6">
        <f t="shared" si="4"/>
        <v>0.18220378923555475</v>
      </c>
      <c r="O18" s="35">
        <f t="shared" si="5"/>
        <v>51287.162686345488</v>
      </c>
      <c r="P18" s="39">
        <f t="shared" si="6"/>
        <v>540.73001265007144</v>
      </c>
      <c r="Q18" s="3">
        <f t="shared" si="7"/>
        <v>102574.32537269098</v>
      </c>
      <c r="R18" s="41">
        <f t="shared" si="8"/>
        <v>5.5549095380411683E-3</v>
      </c>
      <c r="S18" s="83">
        <f t="shared" si="11"/>
        <v>9.2486056084959588E-5</v>
      </c>
    </row>
    <row r="19" spans="1:19" x14ac:dyDescent="0.2">
      <c r="A19" s="14">
        <v>45954</v>
      </c>
      <c r="B19" s="21">
        <v>115.39</v>
      </c>
      <c r="C19" s="22">
        <v>-0.59000000000000297</v>
      </c>
      <c r="D19" s="11">
        <v>-5.0870839799965796E-3</v>
      </c>
      <c r="E19" s="1">
        <f t="shared" si="9"/>
        <v>1.9703816542691359E-4</v>
      </c>
      <c r="F19" s="2">
        <f t="shared" si="0"/>
        <v>444.63956405948261</v>
      </c>
      <c r="G19" s="12">
        <f t="shared" si="1"/>
        <v>0.81942097026604066</v>
      </c>
      <c r="H19" s="23">
        <f t="shared" si="2"/>
        <v>51306.959296823698</v>
      </c>
      <c r="I19" s="21">
        <v>523.61</v>
      </c>
      <c r="J19" s="22">
        <v>3.05000000000007</v>
      </c>
      <c r="K19" s="11">
        <v>5.8590748424774599E-3</v>
      </c>
      <c r="L19" s="1">
        <f t="shared" si="10"/>
        <v>4.2616865613493786E-5</v>
      </c>
      <c r="M19" s="3">
        <f t="shared" si="3"/>
        <v>97.98697369573479</v>
      </c>
      <c r="N19" s="6">
        <f t="shared" si="4"/>
        <v>0.18057902973395928</v>
      </c>
      <c r="O19" s="35">
        <f t="shared" si="5"/>
        <v>51306.959296823698</v>
      </c>
      <c r="P19" s="39">
        <f t="shared" si="6"/>
        <v>542.62653775521744</v>
      </c>
      <c r="Q19" s="3">
        <f t="shared" si="7"/>
        <v>102613.9185936474</v>
      </c>
      <c r="R19" s="41">
        <f t="shared" si="8"/>
        <v>3.8599543124035E-4</v>
      </c>
      <c r="S19" s="83">
        <f t="shared" si="11"/>
        <v>8.8788313918411249E-5</v>
      </c>
    </row>
    <row r="20" spans="1:19" x14ac:dyDescent="0.2">
      <c r="A20" s="14">
        <v>45957</v>
      </c>
      <c r="B20" s="21">
        <v>115.94</v>
      </c>
      <c r="C20" s="22">
        <v>0.54999999999999705</v>
      </c>
      <c r="D20" s="11">
        <v>4.7664442326024502E-3</v>
      </c>
      <c r="E20" s="1">
        <f t="shared" si="9"/>
        <v>1.8676858090647104E-4</v>
      </c>
      <c r="F20" s="2">
        <f t="shared" si="0"/>
        <v>446.92749403059071</v>
      </c>
      <c r="G20" s="12">
        <f t="shared" si="1"/>
        <v>0.82093102276588514</v>
      </c>
      <c r="H20" s="23">
        <f t="shared" si="2"/>
        <v>51816.773657906684</v>
      </c>
      <c r="I20" s="21">
        <v>531.52</v>
      </c>
      <c r="J20" s="22">
        <v>7.9099999999999699</v>
      </c>
      <c r="K20" s="11">
        <v>1.51066633563148E-2</v>
      </c>
      <c r="L20" s="1">
        <f t="shared" si="10"/>
        <v>4.2119579157269297E-5</v>
      </c>
      <c r="M20" s="3">
        <f t="shared" si="3"/>
        <v>97.487909500878018</v>
      </c>
      <c r="N20" s="6">
        <f t="shared" si="4"/>
        <v>0.17906897723411483</v>
      </c>
      <c r="O20" s="35">
        <f t="shared" si="5"/>
        <v>51816.773657906684</v>
      </c>
      <c r="P20" s="39">
        <f t="shared" si="6"/>
        <v>544.41540353146877</v>
      </c>
      <c r="Q20" s="3">
        <f t="shared" si="7"/>
        <v>103633.54731581337</v>
      </c>
      <c r="R20" s="41">
        <f t="shared" si="8"/>
        <v>9.9365537944586021E-3</v>
      </c>
      <c r="S20" s="83">
        <f t="shared" si="11"/>
        <v>8.3469954631682877E-5</v>
      </c>
    </row>
    <row r="21" spans="1:19" x14ac:dyDescent="0.2">
      <c r="A21" s="14">
        <v>45958</v>
      </c>
      <c r="B21" s="21">
        <v>115.03</v>
      </c>
      <c r="C21" s="22">
        <v>-0.90999999999999703</v>
      </c>
      <c r="D21" s="11">
        <v>-7.8488873555286904E-3</v>
      </c>
      <c r="E21" s="1">
        <f t="shared" si="9"/>
        <v>1.7692560548943331E-4</v>
      </c>
      <c r="F21" s="2">
        <f t="shared" si="0"/>
        <v>453.1658729960871</v>
      </c>
      <c r="G21" s="12">
        <f t="shared" si="1"/>
        <v>0.82494293106072147</v>
      </c>
      <c r="H21" s="23">
        <f t="shared" si="2"/>
        <v>52127.670370739899</v>
      </c>
      <c r="I21" s="21">
        <v>542.07000000000005</v>
      </c>
      <c r="J21" s="22">
        <v>10.5500000000001</v>
      </c>
      <c r="K21" s="11">
        <v>1.98487357013848E-2</v>
      </c>
      <c r="L21" s="1">
        <f t="shared" si="10"/>
        <v>5.3285081073494613E-5</v>
      </c>
      <c r="M21" s="3">
        <f t="shared" si="3"/>
        <v>96.164093882229039</v>
      </c>
      <c r="N21" s="6">
        <f t="shared" si="4"/>
        <v>0.17505706893927864</v>
      </c>
      <c r="O21" s="35">
        <f t="shared" si="5"/>
        <v>52127.670370739899</v>
      </c>
      <c r="P21" s="39">
        <f t="shared" si="6"/>
        <v>549.3299668783161</v>
      </c>
      <c r="Q21" s="3">
        <f t="shared" si="7"/>
        <v>104255.3407414798</v>
      </c>
      <c r="R21" s="41">
        <f t="shared" si="8"/>
        <v>5.9999241729280384E-3</v>
      </c>
      <c r="S21" s="83">
        <f t="shared" si="11"/>
        <v>8.4385863432392085E-5</v>
      </c>
    </row>
    <row r="22" spans="1:19" x14ac:dyDescent="0.2">
      <c r="A22" s="14">
        <v>45959</v>
      </c>
      <c r="B22" s="21">
        <v>116.45</v>
      </c>
      <c r="C22" s="22">
        <v>1.42</v>
      </c>
      <c r="D22" s="11">
        <v>1.23446057550204E-2</v>
      </c>
      <c r="E22" s="1">
        <f>U$3*E21+(1-U$3)*D21^2</f>
        <v>1.7000637112325398E-4</v>
      </c>
      <c r="F22" s="2">
        <f t="shared" si="0"/>
        <v>450.18819644618065</v>
      </c>
      <c r="G22" s="12">
        <f t="shared" si="1"/>
        <v>0.82302431610942239</v>
      </c>
      <c r="H22" s="23">
        <f t="shared" si="2"/>
        <v>52424.415476157737</v>
      </c>
      <c r="I22" s="21">
        <v>541.54999999999995</v>
      </c>
      <c r="J22" s="22">
        <v>-0.52000000000009605</v>
      </c>
      <c r="K22" s="11">
        <v>-9.5928570110888898E-4</v>
      </c>
      <c r="L22" s="1">
        <f t="shared" si="10"/>
        <v>7.3726314745690616E-5</v>
      </c>
      <c r="M22" s="3">
        <f t="shared" si="3"/>
        <v>96.804386439216586</v>
      </c>
      <c r="N22" s="6">
        <f t="shared" si="4"/>
        <v>0.17697568389057752</v>
      </c>
      <c r="O22" s="35">
        <f t="shared" si="5"/>
        <v>52424.415476157737</v>
      </c>
      <c r="P22" s="39">
        <f t="shared" si="6"/>
        <v>546.99258288539727</v>
      </c>
      <c r="Q22" s="3">
        <f t="shared" si="7"/>
        <v>104848.83095231547</v>
      </c>
      <c r="R22" s="41">
        <f t="shared" si="8"/>
        <v>5.6926600269557801E-3</v>
      </c>
      <c r="S22" s="83">
        <f t="shared" si="11"/>
        <v>8.1482657031301737E-5</v>
      </c>
    </row>
    <row r="23" spans="1:19" x14ac:dyDescent="0.2">
      <c r="A23" s="14">
        <v>45960</v>
      </c>
      <c r="B23" s="21">
        <v>114.69</v>
      </c>
      <c r="C23" s="22">
        <v>-1.76000000000001</v>
      </c>
      <c r="D23" s="11">
        <v>-1.5113782739373201E-2</v>
      </c>
      <c r="E23" s="1">
        <f t="shared" si="9"/>
        <v>1.6894934633067169E-4</v>
      </c>
      <c r="F23" s="2">
        <f t="shared" si="0"/>
        <v>446.978631374553</v>
      </c>
      <c r="G23" s="12">
        <f t="shared" si="1"/>
        <v>0.82092278866422042</v>
      </c>
      <c r="H23" s="23">
        <f t="shared" si="2"/>
        <v>51263.979232347483</v>
      </c>
      <c r="I23" s="21">
        <v>525.76</v>
      </c>
      <c r="J23" s="22">
        <v>-15.79</v>
      </c>
      <c r="K23" s="11">
        <v>-2.9157049210599102E-2</v>
      </c>
      <c r="L23" s="1">
        <f t="shared" si="10"/>
        <v>6.9357949604330289E-5</v>
      </c>
      <c r="M23" s="3">
        <f t="shared" si="3"/>
        <v>97.504525320198354</v>
      </c>
      <c r="N23" s="6">
        <f t="shared" si="4"/>
        <v>0.17907721133577953</v>
      </c>
      <c r="O23" s="35">
        <f t="shared" si="5"/>
        <v>51263.979232347483</v>
      </c>
      <c r="P23" s="39">
        <f t="shared" si="6"/>
        <v>544.48315669475141</v>
      </c>
      <c r="Q23" s="3">
        <f t="shared" si="7"/>
        <v>102527.95846469497</v>
      </c>
      <c r="R23" s="41">
        <f t="shared" si="8"/>
        <v>-2.2135415974986174E-2</v>
      </c>
      <c r="S23" s="83">
        <f t="shared" si="11"/>
        <v>7.8538080300373636E-5</v>
      </c>
    </row>
    <row r="24" spans="1:19" x14ac:dyDescent="0.2">
      <c r="A24" s="14">
        <v>45961</v>
      </c>
      <c r="B24" s="21">
        <v>114.36</v>
      </c>
      <c r="C24" s="22">
        <v>-0.32999999999999802</v>
      </c>
      <c r="D24" s="11">
        <v>-2.8773214752811798E-3</v>
      </c>
      <c r="E24" s="1">
        <f t="shared" si="9"/>
        <v>1.725179712724099E-4</v>
      </c>
      <c r="F24" s="2">
        <f t="shared" si="0"/>
        <v>444.23441124539079</v>
      </c>
      <c r="G24" s="12">
        <f t="shared" si="1"/>
        <v>0.81909929291171679</v>
      </c>
      <c r="H24" s="23">
        <f t="shared" si="2"/>
        <v>50802.647270022891</v>
      </c>
      <c r="I24" s="21">
        <v>517.80999999999995</v>
      </c>
      <c r="J24" s="22">
        <v>-7.9500000000000499</v>
      </c>
      <c r="K24" s="11">
        <v>-1.5120967741935601E-2</v>
      </c>
      <c r="L24" s="1">
        <f t="shared" si="10"/>
        <v>1.1620448374822838E-4</v>
      </c>
      <c r="M24" s="3">
        <f t="shared" si="3"/>
        <v>98.110595141119134</v>
      </c>
      <c r="N24" s="6">
        <f t="shared" si="4"/>
        <v>0.18090070708828324</v>
      </c>
      <c r="O24" s="35">
        <f t="shared" si="5"/>
        <v>50802.647270022891</v>
      </c>
      <c r="P24" s="39">
        <f t="shared" si="6"/>
        <v>542.34500638650991</v>
      </c>
      <c r="Q24" s="3">
        <f t="shared" si="7"/>
        <v>101605.29454004578</v>
      </c>
      <c r="R24" s="41">
        <f t="shared" si="8"/>
        <v>-8.9991446086083761E-3</v>
      </c>
      <c r="S24" s="83">
        <f t="shared" si="11"/>
        <v>1.0322439390549163E-4</v>
      </c>
    </row>
    <row r="25" spans="1:19" x14ac:dyDescent="0.2">
      <c r="A25" s="14">
        <v>45964</v>
      </c>
      <c r="B25" s="21">
        <v>113.76</v>
      </c>
      <c r="C25" s="22">
        <v>-0.59999999999999398</v>
      </c>
      <c r="D25" s="11">
        <v>-5.2465897166841099E-3</v>
      </c>
      <c r="E25" s="1">
        <f t="shared" si="9"/>
        <v>1.6266363172839216E-4</v>
      </c>
      <c r="F25" s="2">
        <f t="shared" si="0"/>
        <v>445.06956588031147</v>
      </c>
      <c r="G25" s="12">
        <f t="shared" si="1"/>
        <v>0.81965471868609197</v>
      </c>
      <c r="H25" s="23">
        <f t="shared" si="2"/>
        <v>50631.113814544238</v>
      </c>
      <c r="I25" s="21">
        <v>517.03</v>
      </c>
      <c r="J25" s="22">
        <v>-0.77999999999997305</v>
      </c>
      <c r="K25" s="11">
        <v>-1.5063440258009199E-3</v>
      </c>
      <c r="L25" s="1">
        <f t="shared" si="10"/>
        <v>1.229508346504941E-4</v>
      </c>
      <c r="M25" s="3">
        <f t="shared" si="3"/>
        <v>97.926839476518268</v>
      </c>
      <c r="N25" s="6">
        <f t="shared" si="4"/>
        <v>0.18034528131390798</v>
      </c>
      <c r="O25" s="35">
        <f t="shared" si="5"/>
        <v>50631.113814544238</v>
      </c>
      <c r="P25" s="39">
        <f t="shared" si="6"/>
        <v>542.99640535682977</v>
      </c>
      <c r="Q25" s="3">
        <f t="shared" si="7"/>
        <v>101262.22762908848</v>
      </c>
      <c r="R25" s="41">
        <f t="shared" si="8"/>
        <v>-3.3764668712425523E-3</v>
      </c>
      <c r="S25" s="83">
        <f t="shared" si="11"/>
        <v>1.0189000649236084E-4</v>
      </c>
    </row>
    <row r="26" spans="1:19" x14ac:dyDescent="0.2">
      <c r="A26" s="14">
        <v>45965</v>
      </c>
      <c r="B26" s="21">
        <v>114.14</v>
      </c>
      <c r="C26" s="22">
        <v>0.37999999999999501</v>
      </c>
      <c r="D26" s="11">
        <v>3.3403656821377899E-3</v>
      </c>
      <c r="E26" s="1">
        <f t="shared" si="9"/>
        <v>1.5455541604400156E-4</v>
      </c>
      <c r="F26" s="2">
        <f t="shared" si="0"/>
        <v>443.17045557007356</v>
      </c>
      <c r="G26" s="12">
        <f t="shared" si="1"/>
        <v>0.81838433019873669</v>
      </c>
      <c r="H26" s="23">
        <f t="shared" si="2"/>
        <v>50583.475798768195</v>
      </c>
      <c r="I26" s="21">
        <v>514.33000000000004</v>
      </c>
      <c r="J26" s="22">
        <v>-2.69999999999993</v>
      </c>
      <c r="K26" s="11">
        <v>-5.2221341121403602E-3</v>
      </c>
      <c r="L26" s="1">
        <f t="shared" si="10"/>
        <v>1.1570992891090841E-4</v>
      </c>
      <c r="M26" s="3">
        <f t="shared" si="3"/>
        <v>98.348289617110012</v>
      </c>
      <c r="N26" s="6">
        <f t="shared" si="4"/>
        <v>0.1816156698012634</v>
      </c>
      <c r="O26" s="35">
        <f t="shared" si="5"/>
        <v>50583.475798768195</v>
      </c>
      <c r="P26" s="39">
        <f t="shared" si="6"/>
        <v>541.51874518718353</v>
      </c>
      <c r="Q26" s="3">
        <f t="shared" si="7"/>
        <v>101166.95159753639</v>
      </c>
      <c r="R26" s="41">
        <f t="shared" si="8"/>
        <v>-9.4088421500138379E-4</v>
      </c>
      <c r="S26" s="83">
        <f t="shared" si="11"/>
        <v>9.6460637814775084E-5</v>
      </c>
    </row>
    <row r="27" spans="1:19" x14ac:dyDescent="0.2">
      <c r="A27" s="14">
        <v>45966</v>
      </c>
      <c r="B27" s="21">
        <v>113.68</v>
      </c>
      <c r="C27" s="22">
        <v>-0.45999999999999402</v>
      </c>
      <c r="D27" s="11">
        <v>-4.0301384264937196E-3</v>
      </c>
      <c r="E27" s="1">
        <f t="shared" si="9"/>
        <v>1.4595157365478571E-4</v>
      </c>
      <c r="F27" s="2">
        <f t="shared" si="0"/>
        <v>440.96558740068383</v>
      </c>
      <c r="G27" s="12">
        <f t="shared" si="1"/>
        <v>0.8168932414148572</v>
      </c>
      <c r="H27" s="23">
        <f t="shared" si="2"/>
        <v>50128.96797570974</v>
      </c>
      <c r="I27" s="21">
        <v>507.16</v>
      </c>
      <c r="J27" s="22">
        <v>-7.1700000000000204</v>
      </c>
      <c r="K27" s="11">
        <v>-1.39404662376296E-2</v>
      </c>
      <c r="L27" s="1">
        <f t="shared" si="10"/>
        <v>1.104035742573647E-4</v>
      </c>
      <c r="M27" s="3">
        <f t="shared" si="3"/>
        <v>98.842511191162032</v>
      </c>
      <c r="N27" s="6">
        <f t="shared" si="4"/>
        <v>0.18310675858514269</v>
      </c>
      <c r="O27" s="35">
        <f t="shared" si="5"/>
        <v>50128.96797570974</v>
      </c>
      <c r="P27" s="39">
        <f t="shared" si="6"/>
        <v>539.80809859184592</v>
      </c>
      <c r="Q27" s="3">
        <f t="shared" si="7"/>
        <v>100257.93595141948</v>
      </c>
      <c r="R27" s="41">
        <f t="shared" si="8"/>
        <v>-8.9853023320616322E-3</v>
      </c>
      <c r="S27" s="83">
        <f t="shared" si="11"/>
        <v>9.0726115332250909E-5</v>
      </c>
    </row>
    <row r="28" spans="1:19" x14ac:dyDescent="0.2">
      <c r="A28" s="14">
        <v>45967</v>
      </c>
      <c r="B28" s="21">
        <v>114.5</v>
      </c>
      <c r="C28" s="22">
        <v>0.81999999999999296</v>
      </c>
      <c r="D28" s="11">
        <v>7.2132301196339999E-3</v>
      </c>
      <c r="E28" s="1">
        <f t="shared" si="9"/>
        <v>1.3816900017970065E-4</v>
      </c>
      <c r="F28" s="2">
        <f t="shared" si="0"/>
        <v>435.04441952185567</v>
      </c>
      <c r="G28" s="12">
        <f t="shared" si="1"/>
        <v>0.81278613472858074</v>
      </c>
      <c r="H28" s="23">
        <f t="shared" si="2"/>
        <v>49812.586035252476</v>
      </c>
      <c r="I28" s="21">
        <v>497.1</v>
      </c>
      <c r="J28" s="22">
        <v>-10.06</v>
      </c>
      <c r="K28" s="11">
        <v>-1.9835949207350701E-2</v>
      </c>
      <c r="L28" s="1">
        <f t="shared" si="10"/>
        <v>1.1543955573727227E-4</v>
      </c>
      <c r="M28" s="3">
        <f t="shared" si="3"/>
        <v>100.2063690107674</v>
      </c>
      <c r="N28" s="6">
        <f t="shared" si="4"/>
        <v>0.18721386527141923</v>
      </c>
      <c r="O28" s="35">
        <f t="shared" si="5"/>
        <v>49812.586035252476</v>
      </c>
      <c r="P28" s="39">
        <f t="shared" si="6"/>
        <v>535.25078853262312</v>
      </c>
      <c r="Q28" s="3">
        <f t="shared" si="7"/>
        <v>99625.172070504952</v>
      </c>
      <c r="R28" s="41">
        <f t="shared" si="8"/>
        <v>-6.3113595438583272E-3</v>
      </c>
      <c r="S28" s="83">
        <f t="shared" si="11"/>
        <v>9.0126687892228989E-5</v>
      </c>
    </row>
    <row r="29" spans="1:19" x14ac:dyDescent="0.2">
      <c r="A29" s="14">
        <v>45968</v>
      </c>
      <c r="B29" s="21">
        <v>117.22</v>
      </c>
      <c r="C29" s="22">
        <v>2.72</v>
      </c>
      <c r="D29" s="11">
        <v>2.3755458515283798E-2</v>
      </c>
      <c r="E29" s="1">
        <f t="shared" si="9"/>
        <v>1.3300070149444633E-4</v>
      </c>
      <c r="F29" s="2">
        <f t="shared" si="0"/>
        <v>429.87730382307365</v>
      </c>
      <c r="G29" s="12">
        <f t="shared" si="1"/>
        <v>0.80910038433978237</v>
      </c>
      <c r="H29" s="23">
        <f t="shared" si="2"/>
        <v>50390.21755414069</v>
      </c>
      <c r="I29" s="21">
        <v>496.82</v>
      </c>
      <c r="J29" s="22">
        <v>-0.28000000000003</v>
      </c>
      <c r="K29" s="11">
        <v>-5.6326694830019996E-4</v>
      </c>
      <c r="L29" s="1">
        <f t="shared" si="10"/>
        <v>1.3212107525043177E-4</v>
      </c>
      <c r="M29" s="3">
        <f t="shared" si="3"/>
        <v>101.4255012965273</v>
      </c>
      <c r="N29" s="6">
        <f t="shared" si="4"/>
        <v>0.19089961566021757</v>
      </c>
      <c r="O29" s="35">
        <f t="shared" si="5"/>
        <v>50390.21755414069</v>
      </c>
      <c r="P29" s="39">
        <f t="shared" si="6"/>
        <v>531.30280511960098</v>
      </c>
      <c r="Q29" s="3">
        <f t="shared" si="7"/>
        <v>100780.43510828138</v>
      </c>
      <c r="R29" s="41">
        <f t="shared" si="8"/>
        <v>1.1596095783491814E-2</v>
      </c>
      <c r="S29" s="83">
        <f t="shared" si="11"/>
        <v>8.7109082176206346E-5</v>
      </c>
    </row>
    <row r="30" spans="1:19" x14ac:dyDescent="0.2">
      <c r="A30" s="14">
        <v>45971</v>
      </c>
      <c r="B30" s="21">
        <v>118.22</v>
      </c>
      <c r="C30" s="22">
        <v>1</v>
      </c>
      <c r="D30" s="11">
        <v>8.5309674117044904E-3</v>
      </c>
      <c r="E30" s="1">
        <f t="shared" si="9"/>
        <v>1.5887996796106176E-4</v>
      </c>
      <c r="F30" s="2">
        <f t="shared" si="0"/>
        <v>431.99711772122561</v>
      </c>
      <c r="G30" s="12">
        <f t="shared" si="1"/>
        <v>0.81061164333087687</v>
      </c>
      <c r="H30" s="23">
        <f t="shared" si="2"/>
        <v>51070.699257003289</v>
      </c>
      <c r="I30" s="21">
        <v>506</v>
      </c>
      <c r="J30" s="22">
        <v>9.1800000000000104</v>
      </c>
      <c r="K30" s="11">
        <v>1.8477517008172E-2</v>
      </c>
      <c r="L30" s="1">
        <f t="shared" si="10"/>
        <v>1.242128469147087E-4</v>
      </c>
      <c r="M30" s="3">
        <f t="shared" si="3"/>
        <v>100.93023568577725</v>
      </c>
      <c r="N30" s="6">
        <f t="shared" si="4"/>
        <v>0.18938835666912304</v>
      </c>
      <c r="O30" s="35">
        <f t="shared" si="5"/>
        <v>51070.699257003289</v>
      </c>
      <c r="P30" s="39">
        <f t="shared" si="6"/>
        <v>532.9273534070029</v>
      </c>
      <c r="Q30" s="3">
        <f t="shared" si="7"/>
        <v>102141.39851400658</v>
      </c>
      <c r="R30" s="41">
        <f t="shared" si="8"/>
        <v>1.3504242209938257E-2</v>
      </c>
      <c r="S30" s="83">
        <f t="shared" si="11"/>
        <v>8.9950703490828977E-5</v>
      </c>
    </row>
    <row r="31" spans="1:19" x14ac:dyDescent="0.2">
      <c r="A31" s="14">
        <v>45972</v>
      </c>
      <c r="B31" s="21">
        <v>119.78</v>
      </c>
      <c r="C31" s="22">
        <v>1.56</v>
      </c>
      <c r="D31" s="11">
        <v>1.3195736761969201E-2</v>
      </c>
      <c r="E31" s="1">
        <f t="shared" si="9"/>
        <v>1.5371381418217189E-4</v>
      </c>
      <c r="F31" s="2">
        <f t="shared" si="0"/>
        <v>430.31310339493064</v>
      </c>
      <c r="G31" s="12">
        <f t="shared" si="1"/>
        <v>0.80940712217165767</v>
      </c>
      <c r="H31" s="23">
        <f t="shared" si="2"/>
        <v>51542.903524644789</v>
      </c>
      <c r="I31" s="21">
        <v>508.68</v>
      </c>
      <c r="J31" s="22">
        <v>2.6800000000000099</v>
      </c>
      <c r="K31" s="11">
        <v>5.2964426877470496E-3</v>
      </c>
      <c r="L31" s="1">
        <f t="shared" si="10"/>
        <v>1.3724519418706333E-4</v>
      </c>
      <c r="M31" s="3">
        <f t="shared" si="3"/>
        <v>101.32677424833842</v>
      </c>
      <c r="N31" s="6">
        <f t="shared" si="4"/>
        <v>0.19059287782834228</v>
      </c>
      <c r="O31" s="35">
        <f t="shared" si="5"/>
        <v>51542.903524644789</v>
      </c>
      <c r="P31" s="39">
        <f t="shared" si="6"/>
        <v>531.63987764326907</v>
      </c>
      <c r="Q31" s="3">
        <f t="shared" si="7"/>
        <v>103085.80704928958</v>
      </c>
      <c r="R31" s="41">
        <f t="shared" si="8"/>
        <v>9.2460897248581794E-3</v>
      </c>
      <c r="S31" s="83">
        <f t="shared" si="11"/>
        <v>9.5495534741259932E-5</v>
      </c>
    </row>
    <row r="32" spans="1:19" x14ac:dyDescent="0.2">
      <c r="A32" s="14">
        <v>45973</v>
      </c>
      <c r="B32" s="21">
        <v>118.12</v>
      </c>
      <c r="C32" s="22">
        <v>-1.66</v>
      </c>
      <c r="D32" s="11">
        <v>-1.38587410252129E-2</v>
      </c>
      <c r="E32" s="1">
        <f t="shared" si="9"/>
        <v>1.549386334527127E-4</v>
      </c>
      <c r="F32" s="2">
        <f t="shared" si="0"/>
        <v>434.39193685364427</v>
      </c>
      <c r="G32" s="12">
        <f t="shared" si="1"/>
        <v>0.81228744874932457</v>
      </c>
      <c r="H32" s="23">
        <f t="shared" si="2"/>
        <v>51310.375581152461</v>
      </c>
      <c r="I32" s="21">
        <v>511.14</v>
      </c>
      <c r="J32" s="22">
        <v>2.45999999999998</v>
      </c>
      <c r="K32" s="11">
        <v>4.8360462373200803E-3</v>
      </c>
      <c r="L32" s="1">
        <f t="shared" si="10"/>
        <v>1.3069362084451485E-4</v>
      </c>
      <c r="M32" s="3">
        <f t="shared" si="3"/>
        <v>100.38419137839431</v>
      </c>
      <c r="N32" s="6">
        <f t="shared" si="4"/>
        <v>0.1877125512506754</v>
      </c>
      <c r="O32" s="35">
        <f t="shared" si="5"/>
        <v>51310.375581152461</v>
      </c>
      <c r="P32" s="39">
        <f t="shared" si="6"/>
        <v>534.77612823203856</v>
      </c>
      <c r="Q32" s="3">
        <f t="shared" si="7"/>
        <v>102620.75116230492</v>
      </c>
      <c r="R32" s="41">
        <f t="shared" si="8"/>
        <v>-4.5113473939462382E-3</v>
      </c>
      <c r="S32" s="83">
        <f t="shared" si="11"/>
        <v>9.4895213168792018E-5</v>
      </c>
    </row>
    <row r="33" spans="1:19" x14ac:dyDescent="0.2">
      <c r="A33" s="14">
        <v>45974</v>
      </c>
      <c r="B33" s="21">
        <v>118.79</v>
      </c>
      <c r="C33" s="22">
        <v>0.67000000000000204</v>
      </c>
      <c r="D33" s="11">
        <v>5.6721977649847799E-3</v>
      </c>
      <c r="E33" s="1">
        <f t="shared" si="9"/>
        <v>1.571661976137851E-4</v>
      </c>
      <c r="F33" s="2">
        <f t="shared" si="0"/>
        <v>429.85006253757246</v>
      </c>
      <c r="G33" s="12">
        <f t="shared" si="1"/>
        <v>0.80904385288065839</v>
      </c>
      <c r="H33" s="23">
        <f t="shared" si="2"/>
        <v>51061.888928838234</v>
      </c>
      <c r="I33" s="21">
        <v>503.29</v>
      </c>
      <c r="J33" s="22">
        <v>-7.8499999999999703</v>
      </c>
      <c r="K33" s="11">
        <v>-1.5357827601048601E-2</v>
      </c>
      <c r="L33" s="1">
        <f t="shared" si="10"/>
        <v>1.2425524418641383E-4</v>
      </c>
      <c r="M33" s="3">
        <f t="shared" si="3"/>
        <v>101.45619608742123</v>
      </c>
      <c r="N33" s="6">
        <f t="shared" si="4"/>
        <v>0.19095614711934156</v>
      </c>
      <c r="O33" s="35">
        <f t="shared" si="5"/>
        <v>51061.888928838234</v>
      </c>
      <c r="P33" s="39">
        <f t="shared" si="6"/>
        <v>531.30625862499369</v>
      </c>
      <c r="Q33" s="3">
        <f t="shared" si="7"/>
        <v>102123.77785767647</v>
      </c>
      <c r="R33" s="41">
        <f t="shared" si="8"/>
        <v>-4.84281491803193E-3</v>
      </c>
      <c r="S33" s="83">
        <f t="shared" si="11"/>
        <v>9.0422635697196417E-5</v>
      </c>
    </row>
    <row r="34" spans="1:19" x14ac:dyDescent="0.2">
      <c r="A34" s="14">
        <v>45975</v>
      </c>
      <c r="B34" s="21">
        <v>119.29</v>
      </c>
      <c r="C34" s="22">
        <v>0.5</v>
      </c>
      <c r="D34" s="11">
        <v>4.2091085108174097E-3</v>
      </c>
      <c r="E34" s="1">
        <f t="shared" si="9"/>
        <v>1.4966665540606388E-4</v>
      </c>
      <c r="F34" s="2">
        <f t="shared" si="0"/>
        <v>431.87918551424087</v>
      </c>
      <c r="G34" s="12">
        <f t="shared" si="1"/>
        <v>0.81049136575214065</v>
      </c>
      <c r="H34" s="23">
        <f t="shared" si="2"/>
        <v>51518.868039993795</v>
      </c>
      <c r="I34" s="21">
        <v>510.18</v>
      </c>
      <c r="J34" s="22">
        <v>6.8899999999999899</v>
      </c>
      <c r="K34" s="11">
        <v>1.3689920324266301E-2</v>
      </c>
      <c r="L34" s="1">
        <f t="shared" si="10"/>
        <v>1.3095170165264083E-4</v>
      </c>
      <c r="M34" s="3">
        <f t="shared" si="3"/>
        <v>100.98174769687913</v>
      </c>
      <c r="N34" s="6">
        <f t="shared" si="4"/>
        <v>0.1895086342478593</v>
      </c>
      <c r="O34" s="35">
        <f t="shared" si="5"/>
        <v>51518.868039993795</v>
      </c>
      <c r="P34" s="39">
        <f t="shared" si="6"/>
        <v>532.86093321112003</v>
      </c>
      <c r="Q34" s="3">
        <f t="shared" si="7"/>
        <v>103037.73607998759</v>
      </c>
      <c r="R34" s="41">
        <f t="shared" si="8"/>
        <v>8.9495144175418921E-3</v>
      </c>
      <c r="S34" s="83">
        <f t="shared" si="11"/>
        <v>8.6404448935183375E-5</v>
      </c>
    </row>
    <row r="35" spans="1:19" x14ac:dyDescent="0.2">
      <c r="A35" s="14">
        <v>45978</v>
      </c>
      <c r="B35" s="21">
        <v>117.68</v>
      </c>
      <c r="C35" s="22">
        <v>-1.61</v>
      </c>
      <c r="D35" s="11">
        <v>-1.34965210830749E-2</v>
      </c>
      <c r="E35" s="1">
        <f t="shared" si="9"/>
        <v>1.4174965174905017E-4</v>
      </c>
      <c r="F35" s="2">
        <f t="shared" ref="F35:F66" si="12">H35/B35</f>
        <v>433.67934096705068</v>
      </c>
      <c r="G35" s="12">
        <f t="shared" ref="G35:G66" si="13">F35/P35</f>
        <v>0.81176320040948857</v>
      </c>
      <c r="H35" s="23">
        <f t="shared" ref="H35:H66" si="14">Q35/2</f>
        <v>51035.384845002525</v>
      </c>
      <c r="I35" s="21">
        <v>507.49</v>
      </c>
      <c r="J35" s="22">
        <v>-2.69</v>
      </c>
      <c r="K35" s="11">
        <v>-5.2726488690266098E-3</v>
      </c>
      <c r="L35" s="1">
        <f t="shared" si="10"/>
        <v>1.3433943466256796E-4</v>
      </c>
      <c r="M35" s="3">
        <f t="shared" ref="M35:M66" si="15">O35/I35</f>
        <v>100.56431623283714</v>
      </c>
      <c r="N35" s="6">
        <f t="shared" ref="N35:N66" si="16">M35/P35</f>
        <v>0.18823679959051137</v>
      </c>
      <c r="O35" s="35">
        <f t="shared" ref="O35:O66" si="17">Q35/2</f>
        <v>51035.384845002525</v>
      </c>
      <c r="P35" s="39">
        <f t="shared" ref="P35:P66" si="18">M35+F35</f>
        <v>534.24365719988782</v>
      </c>
      <c r="Q35" s="3">
        <f t="shared" si="7"/>
        <v>102070.76969000505</v>
      </c>
      <c r="R35" s="41">
        <f t="shared" si="8"/>
        <v>-9.3845849760508006E-3</v>
      </c>
      <c r="S35" s="83">
        <f t="shared" si="11"/>
        <v>8.6025810497659795E-5</v>
      </c>
    </row>
    <row r="36" spans="1:19" x14ac:dyDescent="0.2">
      <c r="A36" s="14">
        <v>45979</v>
      </c>
      <c r="B36" s="21">
        <v>119.03</v>
      </c>
      <c r="C36" s="22">
        <v>1.3499999999999901</v>
      </c>
      <c r="D36" s="11">
        <v>1.1471787899388099E-2</v>
      </c>
      <c r="E36" s="1">
        <f>U$3*E35+(1-U$3)*D35^2</f>
        <v>1.4417403752486029E-4</v>
      </c>
      <c r="F36" s="2">
        <f t="shared" si="12"/>
        <v>425.43268784306764</v>
      </c>
      <c r="G36" s="12">
        <f t="shared" si="13"/>
        <v>0.80576678306843774</v>
      </c>
      <c r="H36" s="23">
        <f t="shared" si="14"/>
        <v>50639.252833960345</v>
      </c>
      <c r="I36" s="21">
        <v>493.79</v>
      </c>
      <c r="J36" s="22">
        <v>-13.7</v>
      </c>
      <c r="K36" s="11">
        <v>-2.6995605824745299E-2</v>
      </c>
      <c r="L36" s="1">
        <f t="shared" si="10"/>
        <v>1.2794711814857675E-4</v>
      </c>
      <c r="M36" s="3">
        <f t="shared" si="15"/>
        <v>102.55220404212386</v>
      </c>
      <c r="N36" s="6">
        <f t="shared" si="16"/>
        <v>0.19423321693156229</v>
      </c>
      <c r="O36" s="35">
        <f t="shared" si="17"/>
        <v>50639.252833960345</v>
      </c>
      <c r="P36" s="39">
        <f t="shared" si="18"/>
        <v>527.98489188519147</v>
      </c>
      <c r="Q36" s="3">
        <f t="shared" ref="Q36:Q67" si="19">F35*B36+M35*I36</f>
        <v>101278.50566792069</v>
      </c>
      <c r="R36" s="41">
        <f t="shared" si="8"/>
        <v>-7.7619089626786691E-3</v>
      </c>
      <c r="S36" s="83">
        <f>U$3*S35+(1-U$3)*R35^2</f>
        <v>8.6148487978163319E-5</v>
      </c>
    </row>
    <row r="37" spans="1:19" x14ac:dyDescent="0.2">
      <c r="A37" s="14">
        <v>45980</v>
      </c>
      <c r="B37" s="21">
        <v>117.35</v>
      </c>
      <c r="C37" s="22">
        <v>-1.6800000000000099</v>
      </c>
      <c r="D37" s="11">
        <v>-1.4114088885155101E-2</v>
      </c>
      <c r="E37" s="1">
        <f t="shared" si="9"/>
        <v>1.4341971032988149E-4</v>
      </c>
      <c r="F37" s="2">
        <f t="shared" si="12"/>
        <v>425.56350895348686</v>
      </c>
      <c r="G37" s="12">
        <f t="shared" si="13"/>
        <v>0.80586298741045881</v>
      </c>
      <c r="H37" s="23">
        <f t="shared" si="14"/>
        <v>49939.877775691682</v>
      </c>
      <c r="I37" s="21">
        <v>487.12</v>
      </c>
      <c r="J37" s="22">
        <v>-6.6700000000000204</v>
      </c>
      <c r="K37" s="11">
        <v>-1.3507766459426101E-2</v>
      </c>
      <c r="L37" s="1">
        <f t="shared" si="10"/>
        <v>1.6399605509036352E-4</v>
      </c>
      <c r="M37" s="3">
        <f t="shared" si="15"/>
        <v>102.52068848680342</v>
      </c>
      <c r="N37" s="6">
        <f t="shared" si="16"/>
        <v>0.19413701258954125</v>
      </c>
      <c r="O37" s="35">
        <f t="shared" si="17"/>
        <v>49939.877775691682</v>
      </c>
      <c r="P37" s="39">
        <f t="shared" si="18"/>
        <v>528.08419744029027</v>
      </c>
      <c r="Q37" s="3">
        <f t="shared" si="19"/>
        <v>99879.755551383365</v>
      </c>
      <c r="R37" s="41">
        <f t="shared" si="8"/>
        <v>-1.3810927672290588E-2</v>
      </c>
      <c r="S37" s="83">
        <f t="shared" si="11"/>
        <v>8.4594412544168203E-5</v>
      </c>
    </row>
    <row r="38" spans="1:19" x14ac:dyDescent="0.2">
      <c r="A38" s="14">
        <v>45981</v>
      </c>
      <c r="B38" s="21">
        <v>117.02</v>
      </c>
      <c r="C38" s="22">
        <v>-0.32999999999999802</v>
      </c>
      <c r="D38" s="11">
        <v>-2.8121005538985799E-3</v>
      </c>
      <c r="E38" s="1">
        <f t="shared" si="9"/>
        <v>1.4676697801357214E-4</v>
      </c>
      <c r="F38" s="2">
        <f t="shared" si="12"/>
        <v>422.35692535668431</v>
      </c>
      <c r="G38" s="12">
        <f t="shared" si="13"/>
        <v>0.80347636241498022</v>
      </c>
      <c r="H38" s="23">
        <f t="shared" si="14"/>
        <v>49424.207405239198</v>
      </c>
      <c r="I38" s="21">
        <v>478.43</v>
      </c>
      <c r="J38" s="22">
        <v>-8.69</v>
      </c>
      <c r="K38" s="11">
        <v>-1.78395467235999E-2</v>
      </c>
      <c r="L38" s="1">
        <f t="shared" si="10"/>
        <v>1.6510387706828553E-4</v>
      </c>
      <c r="M38" s="3">
        <f t="shared" si="15"/>
        <v>103.30499217281357</v>
      </c>
      <c r="N38" s="6">
        <f t="shared" si="16"/>
        <v>0.1965236375850197</v>
      </c>
      <c r="O38" s="35">
        <f t="shared" si="17"/>
        <v>49424.207405239198</v>
      </c>
      <c r="P38" s="39">
        <f t="shared" si="18"/>
        <v>525.66191752949794</v>
      </c>
      <c r="Q38" s="3">
        <f t="shared" si="19"/>
        <v>98848.414810478396</v>
      </c>
      <c r="R38" s="41">
        <f t="shared" si="8"/>
        <v>-1.0325823638749227E-2</v>
      </c>
      <c r="S38" s="83">
        <f t="shared" si="11"/>
        <v>9.0963251181672632E-5</v>
      </c>
    </row>
    <row r="39" spans="1:19" x14ac:dyDescent="0.2">
      <c r="A39" s="14">
        <v>45982</v>
      </c>
      <c r="B39" s="21">
        <v>117.08</v>
      </c>
      <c r="C39" s="22">
        <v>6.0000000000002301E-2</v>
      </c>
      <c r="D39" s="11">
        <v>5.1273286617674102E-4</v>
      </c>
      <c r="E39" s="1">
        <f t="shared" si="9"/>
        <v>1.3843543390427201E-4</v>
      </c>
      <c r="F39" s="2">
        <f t="shared" si="12"/>
        <v>419.46490316616564</v>
      </c>
      <c r="G39" s="12">
        <f t="shared" si="13"/>
        <v>0.80128988458927353</v>
      </c>
      <c r="H39" s="23">
        <f t="shared" si="14"/>
        <v>49110.95086269467</v>
      </c>
      <c r="I39" s="21">
        <v>472.12</v>
      </c>
      <c r="J39" s="22">
        <v>-6.31</v>
      </c>
      <c r="K39" s="11">
        <v>-1.3188972263445E-2</v>
      </c>
      <c r="L39" s="1">
        <f t="shared" si="10"/>
        <v>1.7429261008239865E-4</v>
      </c>
      <c r="M39" s="3">
        <f t="shared" si="15"/>
        <v>104.0221783925584</v>
      </c>
      <c r="N39" s="6">
        <f t="shared" si="16"/>
        <v>0.19871011541072639</v>
      </c>
      <c r="O39" s="35">
        <f t="shared" si="17"/>
        <v>49110.95086269467</v>
      </c>
      <c r="P39" s="39">
        <f t="shared" si="18"/>
        <v>523.48708155872407</v>
      </c>
      <c r="Q39" s="3">
        <f t="shared" si="19"/>
        <v>98221.90172538934</v>
      </c>
      <c r="R39" s="41">
        <f t="shared" si="8"/>
        <v>-6.3381196986341867E-3</v>
      </c>
      <c r="S39" s="83">
        <f t="shared" si="11"/>
        <v>9.1902814139885406E-5</v>
      </c>
    </row>
    <row r="40" spans="1:19" x14ac:dyDescent="0.2">
      <c r="A40" s="14">
        <v>45985</v>
      </c>
      <c r="B40" s="21">
        <v>115.97</v>
      </c>
      <c r="C40" s="22">
        <v>-1.1100000000000001</v>
      </c>
      <c r="D40" s="11">
        <v>-9.4806969593440298E-3</v>
      </c>
      <c r="E40" s="1">
        <f t="shared" si="9"/>
        <v>1.3014508156953915E-4</v>
      </c>
      <c r="F40" s="2">
        <f t="shared" si="12"/>
        <v>422.31550132902004</v>
      </c>
      <c r="G40" s="12">
        <f t="shared" si="13"/>
        <v>0.80343068291608055</v>
      </c>
      <c r="H40" s="23">
        <f t="shared" si="14"/>
        <v>48975.928689126456</v>
      </c>
      <c r="I40" s="21">
        <v>474</v>
      </c>
      <c r="J40" s="22">
        <v>1.88</v>
      </c>
      <c r="K40" s="11">
        <v>3.9820384647970804E-3</v>
      </c>
      <c r="L40" s="1">
        <f t="shared" si="10"/>
        <v>1.7427199283941004E-4</v>
      </c>
      <c r="M40" s="3">
        <f t="shared" si="15"/>
        <v>103.32474406988703</v>
      </c>
      <c r="N40" s="6">
        <f t="shared" si="16"/>
        <v>0.19656931708391953</v>
      </c>
      <c r="O40" s="35">
        <f t="shared" si="17"/>
        <v>48975.928689126456</v>
      </c>
      <c r="P40" s="39">
        <f t="shared" si="18"/>
        <v>525.64024539890704</v>
      </c>
      <c r="Q40" s="3">
        <f t="shared" si="19"/>
        <v>97951.857378252913</v>
      </c>
      <c r="R40" s="41">
        <f t="shared" si="8"/>
        <v>-2.749329247273404E-3</v>
      </c>
      <c r="S40" s="83">
        <f>U$3*S39+(1-U$3)*R39^2</f>
        <v>8.8798950970345167E-5</v>
      </c>
    </row>
    <row r="41" spans="1:19" x14ac:dyDescent="0.2">
      <c r="A41" s="14">
        <v>45986</v>
      </c>
      <c r="B41" s="21">
        <v>114.51</v>
      </c>
      <c r="C41" s="22">
        <v>-1.45999999999999</v>
      </c>
      <c r="D41" s="11">
        <v>-1.2589462792101399E-2</v>
      </c>
      <c r="E41" s="1">
        <f t="shared" si="9"/>
        <v>1.2772939356546172E-4</v>
      </c>
      <c r="F41" s="2">
        <f t="shared" si="12"/>
        <v>426.35672749577111</v>
      </c>
      <c r="G41" s="12">
        <f t="shared" si="13"/>
        <v>0.8064074387151311</v>
      </c>
      <c r="H41" s="23">
        <f t="shared" si="14"/>
        <v>48822.108865540751</v>
      </c>
      <c r="I41" s="21">
        <v>476.99</v>
      </c>
      <c r="J41" s="22">
        <v>2.99000000000001</v>
      </c>
      <c r="K41" s="11">
        <v>6.3080168776371501E-3</v>
      </c>
      <c r="L41" s="1">
        <f t="shared" si="10"/>
        <v>1.6476707108915284E-4</v>
      </c>
      <c r="M41" s="3">
        <f t="shared" si="15"/>
        <v>102.35457528573083</v>
      </c>
      <c r="N41" s="6">
        <f t="shared" si="16"/>
        <v>0.19359256128486899</v>
      </c>
      <c r="O41" s="35">
        <f t="shared" si="17"/>
        <v>48822.108865540751</v>
      </c>
      <c r="P41" s="39">
        <f t="shared" si="18"/>
        <v>528.7113027815019</v>
      </c>
      <c r="Q41" s="3">
        <f t="shared" si="19"/>
        <v>97644.217731081502</v>
      </c>
      <c r="R41" s="41">
        <f>(Q41-Q40)/Q40</f>
        <v>-3.140722957232174E-3</v>
      </c>
      <c r="S41" s="83">
        <f t="shared" si="11"/>
        <v>8.3924542590719226E-5</v>
      </c>
    </row>
    <row r="42" spans="1:19" x14ac:dyDescent="0.2">
      <c r="A42" s="14">
        <v>45987</v>
      </c>
      <c r="B42" s="21">
        <v>114.77</v>
      </c>
      <c r="C42" s="22">
        <v>0.25999999999999102</v>
      </c>
      <c r="D42" s="11">
        <v>2.2705440572874901E-3</v>
      </c>
      <c r="E42" s="1">
        <f t="shared" si="9"/>
        <v>1.2957530435515636E-4</v>
      </c>
      <c r="F42" s="2">
        <f t="shared" si="12"/>
        <v>429.6685018555022</v>
      </c>
      <c r="G42" s="12">
        <f t="shared" si="13"/>
        <v>0.80880270544921451</v>
      </c>
      <c r="H42" s="23">
        <f t="shared" si="14"/>
        <v>49313.053957955985</v>
      </c>
      <c r="I42" s="21">
        <v>485.5</v>
      </c>
      <c r="J42" s="22">
        <v>8.5099999999999891</v>
      </c>
      <c r="K42" s="11">
        <v>1.7841044885637002E-2</v>
      </c>
      <c r="L42" s="1">
        <f t="shared" si="10"/>
        <v>1.5726851143951697E-4</v>
      </c>
      <c r="M42" s="3">
        <f t="shared" si="15"/>
        <v>101.5716868341009</v>
      </c>
      <c r="N42" s="6">
        <f t="shared" si="16"/>
        <v>0.19119729455078549</v>
      </c>
      <c r="O42" s="35">
        <f t="shared" si="17"/>
        <v>49313.053957955985</v>
      </c>
      <c r="P42" s="39">
        <f t="shared" si="18"/>
        <v>531.24018868960309</v>
      </c>
      <c r="Q42" s="3">
        <f t="shared" si="19"/>
        <v>98626.107915911969</v>
      </c>
      <c r="R42" s="41">
        <f t="shared" si="8"/>
        <v>1.0055794471462261E-2</v>
      </c>
      <c r="S42" s="83">
        <f t="shared" si="11"/>
        <v>7.9480918476921178E-5</v>
      </c>
    </row>
    <row r="43" spans="1:19" x14ac:dyDescent="0.2">
      <c r="A43" s="14">
        <v>45989</v>
      </c>
      <c r="B43" s="21">
        <v>115.92</v>
      </c>
      <c r="C43" s="22">
        <v>1.1500000000000099</v>
      </c>
      <c r="D43" s="11">
        <v>1.00200400801604E-2</v>
      </c>
      <c r="E43" s="1">
        <f t="shared" si="9"/>
        <v>1.2211010831281199E-4</v>
      </c>
      <c r="F43" s="2">
        <f t="shared" si="12"/>
        <v>430.38931320883285</v>
      </c>
      <c r="G43" s="12">
        <f t="shared" si="13"/>
        <v>0.80932015199118323</v>
      </c>
      <c r="H43" s="23">
        <f t="shared" si="14"/>
        <v>49890.729187167904</v>
      </c>
      <c r="I43" s="21">
        <v>492.01</v>
      </c>
      <c r="J43" s="22">
        <v>6.50999999999999</v>
      </c>
      <c r="K43" s="11">
        <v>1.34088568486097E-2</v>
      </c>
      <c r="L43" s="1">
        <f t="shared" si="10"/>
        <v>1.6693057370982482E-4</v>
      </c>
      <c r="M43" s="3">
        <f t="shared" si="15"/>
        <v>101.40186009871324</v>
      </c>
      <c r="N43" s="6">
        <f t="shared" si="16"/>
        <v>0.19067984800881682</v>
      </c>
      <c r="O43" s="35">
        <f t="shared" si="17"/>
        <v>49890.729187167904</v>
      </c>
      <c r="P43" s="39">
        <f t="shared" si="18"/>
        <v>531.79117330754605</v>
      </c>
      <c r="Q43" s="3">
        <f t="shared" si="19"/>
        <v>99781.458374335809</v>
      </c>
      <c r="R43" s="41">
        <f t="shared" si="8"/>
        <v>1.1714448464385158E-2</v>
      </c>
      <c r="S43" s="83">
        <f t="shared" si="11"/>
        <v>8.0779203515443369E-5</v>
      </c>
    </row>
    <row r="44" spans="1:19" x14ac:dyDescent="0.2">
      <c r="A44" s="14">
        <v>45992</v>
      </c>
      <c r="B44" s="21">
        <v>116.63</v>
      </c>
      <c r="C44" s="22">
        <v>0.70999999999999397</v>
      </c>
      <c r="D44" s="11">
        <v>6.1249137336093296E-3</v>
      </c>
      <c r="E44" s="1">
        <f t="shared" si="9"/>
        <v>1.2080757400652451E-4</v>
      </c>
      <c r="F44" s="2">
        <f t="shared" si="12"/>
        <v>426.78833483663658</v>
      </c>
      <c r="G44" s="12">
        <f t="shared" si="13"/>
        <v>0.80670235510549082</v>
      </c>
      <c r="H44" s="23">
        <f t="shared" si="14"/>
        <v>49776.323491996925</v>
      </c>
      <c r="I44" s="21">
        <v>486.74</v>
      </c>
      <c r="J44" s="22">
        <v>-5.26999999999998</v>
      </c>
      <c r="K44" s="11">
        <v>-1.07111644072275E-2</v>
      </c>
      <c r="L44" s="1">
        <f t="shared" si="10"/>
        <v>1.6770258580642576E-4</v>
      </c>
      <c r="M44" s="3">
        <f t="shared" si="15"/>
        <v>102.26470701400527</v>
      </c>
      <c r="N44" s="6">
        <f t="shared" si="16"/>
        <v>0.19329764489450915</v>
      </c>
      <c r="O44" s="35">
        <f t="shared" si="17"/>
        <v>49776.323491996925</v>
      </c>
      <c r="P44" s="39">
        <f t="shared" si="18"/>
        <v>529.05304185064188</v>
      </c>
      <c r="Q44" s="3">
        <f t="shared" si="19"/>
        <v>99552.646983993851</v>
      </c>
      <c r="R44" s="41">
        <f t="shared" si="8"/>
        <v>-2.2931253368091604E-3</v>
      </c>
      <c r="S44" s="83">
        <f t="shared" si="11"/>
        <v>8.4166149474000919E-5</v>
      </c>
    </row>
    <row r="45" spans="1:19" x14ac:dyDescent="0.2">
      <c r="A45" s="14">
        <v>45993</v>
      </c>
      <c r="B45" s="21">
        <v>115.38</v>
      </c>
      <c r="C45" s="22">
        <v>-1.25</v>
      </c>
      <c r="D45" s="11">
        <v>-1.07176541198662E-2</v>
      </c>
      <c r="E45" s="1">
        <f t="shared" si="9"/>
        <v>1.158099936607824E-4</v>
      </c>
      <c r="F45" s="2">
        <f t="shared" si="12"/>
        <v>430.5449146746131</v>
      </c>
      <c r="G45" s="12">
        <f t="shared" si="13"/>
        <v>0.80940896626912029</v>
      </c>
      <c r="H45" s="23">
        <f t="shared" si="14"/>
        <v>49676.272255156859</v>
      </c>
      <c r="I45" s="21">
        <v>490</v>
      </c>
      <c r="J45" s="22">
        <v>3.25999999999999</v>
      </c>
      <c r="K45" s="11">
        <v>6.6976209064387397E-3</v>
      </c>
      <c r="L45" s="1">
        <f t="shared" si="10"/>
        <v>1.6452417323555964E-4</v>
      </c>
      <c r="M45" s="3">
        <f t="shared" si="15"/>
        <v>101.38014745950379</v>
      </c>
      <c r="N45" s="6">
        <f t="shared" si="16"/>
        <v>0.19059103373087979</v>
      </c>
      <c r="O45" s="35">
        <f t="shared" si="17"/>
        <v>49676.272255156859</v>
      </c>
      <c r="P45" s="39">
        <f t="shared" si="18"/>
        <v>531.92506213411684</v>
      </c>
      <c r="Q45" s="3">
        <f t="shared" si="19"/>
        <v>99352.544510313717</v>
      </c>
      <c r="R45" s="41">
        <f t="shared" si="8"/>
        <v>-2.0100166067136952E-3</v>
      </c>
      <c r="S45" s="83">
        <f t="shared" si="11"/>
        <v>7.9431685934179837E-5</v>
      </c>
    </row>
    <row r="46" spans="1:19" x14ac:dyDescent="0.2">
      <c r="A46" s="14">
        <v>45994</v>
      </c>
      <c r="B46" s="21">
        <v>117.8</v>
      </c>
      <c r="C46" s="22">
        <v>2.42</v>
      </c>
      <c r="D46" s="11">
        <v>2.0974172300225399E-2</v>
      </c>
      <c r="E46" s="1">
        <f t="shared" si="9"/>
        <v>1.1575348063112056E-4</v>
      </c>
      <c r="F46" s="2">
        <f t="shared" si="12"/>
        <v>420.84265192910937</v>
      </c>
      <c r="G46" s="12">
        <f t="shared" si="13"/>
        <v>0.80219300455056841</v>
      </c>
      <c r="H46" s="23">
        <f t="shared" si="14"/>
        <v>49575.264397249084</v>
      </c>
      <c r="I46" s="21">
        <v>477.73</v>
      </c>
      <c r="J46" s="22">
        <v>-12.27</v>
      </c>
      <c r="K46" s="11">
        <v>-2.5040816326530602E-2</v>
      </c>
      <c r="L46" s="1">
        <f t="shared" si="10"/>
        <v>1.5734421038980797E-4</v>
      </c>
      <c r="M46" s="3">
        <f t="shared" si="15"/>
        <v>103.77255855242309</v>
      </c>
      <c r="N46" s="6">
        <f t="shared" si="16"/>
        <v>0.19780699544943159</v>
      </c>
      <c r="O46" s="35">
        <f t="shared" si="17"/>
        <v>49575.264397249084</v>
      </c>
      <c r="P46" s="39">
        <f t="shared" si="18"/>
        <v>524.61521048153247</v>
      </c>
      <c r="Q46" s="3">
        <f t="shared" si="19"/>
        <v>99150.528794498168</v>
      </c>
      <c r="R46" s="41">
        <f t="shared" si="8"/>
        <v>-2.0333220131526454E-3</v>
      </c>
      <c r="S46" s="83">
        <f t="shared" si="11"/>
        <v>7.4908194783684931E-5</v>
      </c>
    </row>
    <row r="47" spans="1:19" x14ac:dyDescent="0.2">
      <c r="A47" s="14">
        <v>45995</v>
      </c>
      <c r="B47" s="21">
        <v>117.14</v>
      </c>
      <c r="C47" s="22">
        <v>-0.65999999999999703</v>
      </c>
      <c r="D47" s="11">
        <v>-5.6027164685907996E-3</v>
      </c>
      <c r="E47" s="1">
        <f t="shared" si="9"/>
        <v>1.3520322601402588E-4</v>
      </c>
      <c r="F47" s="2">
        <f t="shared" si="12"/>
        <v>423.40577642702317</v>
      </c>
      <c r="G47" s="12">
        <f t="shared" si="13"/>
        <v>0.80410716077460787</v>
      </c>
      <c r="H47" s="23">
        <f t="shared" si="14"/>
        <v>49597.752650661496</v>
      </c>
      <c r="I47" s="21">
        <v>480.84</v>
      </c>
      <c r="J47" s="22">
        <v>3.1099999999999599</v>
      </c>
      <c r="K47" s="11">
        <v>6.5099533209133998E-3</v>
      </c>
      <c r="L47" s="1">
        <f t="shared" si="10"/>
        <v>1.8552610670436202E-4</v>
      </c>
      <c r="M47" s="3">
        <f t="shared" si="15"/>
        <v>103.14814210685779</v>
      </c>
      <c r="N47" s="6">
        <f t="shared" si="16"/>
        <v>0.19589283922539216</v>
      </c>
      <c r="O47" s="35">
        <f t="shared" si="17"/>
        <v>49597.752650661496</v>
      </c>
      <c r="P47" s="39">
        <f t="shared" si="18"/>
        <v>526.55391853388096</v>
      </c>
      <c r="Q47" s="3">
        <f t="shared" si="19"/>
        <v>99195.505301322992</v>
      </c>
      <c r="R47" s="41">
        <f t="shared" si="8"/>
        <v>4.536184261613255E-4</v>
      </c>
      <c r="S47" s="83">
        <f t="shared" si="11"/>
        <v>7.0661767001214108E-5</v>
      </c>
    </row>
    <row r="48" spans="1:19" x14ac:dyDescent="0.2">
      <c r="A48" s="14">
        <v>45996</v>
      </c>
      <c r="B48" s="21">
        <v>116.54</v>
      </c>
      <c r="C48" s="22">
        <v>-0.59999999999999398</v>
      </c>
      <c r="D48" s="11">
        <v>-5.12207614819869E-3</v>
      </c>
      <c r="E48" s="1">
        <f t="shared" si="9"/>
        <v>1.2897445836282942E-4</v>
      </c>
      <c r="F48" s="2">
        <f t="shared" si="12"/>
        <v>425.52241944892171</v>
      </c>
      <c r="G48" s="12">
        <f t="shared" si="13"/>
        <v>0.80566950141737537</v>
      </c>
      <c r="H48" s="23">
        <f t="shared" si="14"/>
        <v>49590.382762577341</v>
      </c>
      <c r="I48" s="21">
        <v>483.16</v>
      </c>
      <c r="J48" s="22">
        <v>2.32000000000005</v>
      </c>
      <c r="K48" s="11">
        <v>4.8248897762250397E-3</v>
      </c>
      <c r="L48" s="1">
        <f t="shared" si="10"/>
        <v>1.7693730983652856E-4</v>
      </c>
      <c r="M48" s="3">
        <f t="shared" si="15"/>
        <v>102.6375998894307</v>
      </c>
      <c r="N48" s="6">
        <f t="shared" si="16"/>
        <v>0.19433049858262466</v>
      </c>
      <c r="O48" s="35">
        <f t="shared" si="17"/>
        <v>49590.382762577341</v>
      </c>
      <c r="P48" s="39">
        <f t="shared" si="18"/>
        <v>528.16001933835241</v>
      </c>
      <c r="Q48" s="3">
        <f t="shared" si="19"/>
        <v>99180.765525154682</v>
      </c>
      <c r="R48" s="41">
        <f t="shared" si="8"/>
        <v>-1.485931859869565E-4</v>
      </c>
      <c r="S48" s="83">
        <f t="shared" si="11"/>
        <v>6.6434407161734444E-5</v>
      </c>
    </row>
    <row r="49" spans="1:19" x14ac:dyDescent="0.2">
      <c r="A49" s="14">
        <v>45999</v>
      </c>
      <c r="B49" s="21">
        <v>115.98</v>
      </c>
      <c r="C49" s="22">
        <v>-0.56000000000000205</v>
      </c>
      <c r="D49" s="11">
        <v>-4.8052170928436803E-3</v>
      </c>
      <c r="E49" s="1">
        <f t="shared" si="9"/>
        <v>1.2281013070513641E-4</v>
      </c>
      <c r="F49" s="2">
        <f t="shared" si="12"/>
        <v>430.02761038711077</v>
      </c>
      <c r="G49" s="12">
        <f t="shared" si="13"/>
        <v>0.80892915980230651</v>
      </c>
      <c r="H49" s="23">
        <f t="shared" si="14"/>
        <v>49874.602252697106</v>
      </c>
      <c r="I49" s="21">
        <v>491.02</v>
      </c>
      <c r="J49" s="22">
        <v>7.8599999999999604</v>
      </c>
      <c r="K49" s="11">
        <v>1.62679029721002E-2</v>
      </c>
      <c r="L49" s="1">
        <f t="shared" si="10"/>
        <v>1.677178449275001E-4</v>
      </c>
      <c r="M49" s="3">
        <f t="shared" si="15"/>
        <v>101.57346391734981</v>
      </c>
      <c r="N49" s="6">
        <f t="shared" si="16"/>
        <v>0.19107084019769358</v>
      </c>
      <c r="O49" s="35">
        <f t="shared" si="17"/>
        <v>49874.602252697106</v>
      </c>
      <c r="P49" s="39">
        <f t="shared" si="18"/>
        <v>531.60107430446055</v>
      </c>
      <c r="Q49" s="3">
        <f t="shared" si="19"/>
        <v>99749.204505394213</v>
      </c>
      <c r="R49" s="41">
        <f t="shared" si="8"/>
        <v>5.7313429396283564E-3</v>
      </c>
      <c r="S49" s="83">
        <f t="shared" si="11"/>
        <v>6.2449667528125682E-5</v>
      </c>
    </row>
    <row r="50" spans="1:19" x14ac:dyDescent="0.2">
      <c r="A50" s="14">
        <v>46000</v>
      </c>
      <c r="B50" s="21">
        <v>118.25</v>
      </c>
      <c r="C50" s="22">
        <v>2.27</v>
      </c>
      <c r="D50" s="11">
        <v>1.9572340058630799E-2</v>
      </c>
      <c r="E50" s="1">
        <f t="shared" si="9"/>
        <v>1.1682692954138964E-4</v>
      </c>
      <c r="F50" s="2">
        <f t="shared" si="12"/>
        <v>426.32955875217885</v>
      </c>
      <c r="G50" s="12">
        <f t="shared" si="13"/>
        <v>0.80623330656922332</v>
      </c>
      <c r="H50" s="23">
        <f t="shared" si="14"/>
        <v>50413.470322445151</v>
      </c>
      <c r="I50" s="21">
        <v>492.02</v>
      </c>
      <c r="J50" s="22">
        <v>1</v>
      </c>
      <c r="K50" s="11">
        <v>2.0365769215103299E-3</v>
      </c>
      <c r="L50" s="1">
        <f t="shared" si="10"/>
        <v>1.735334542584301E-4</v>
      </c>
      <c r="M50" s="3">
        <f t="shared" si="15"/>
        <v>102.46223796277621</v>
      </c>
      <c r="N50" s="6">
        <f t="shared" si="16"/>
        <v>0.19376669343077654</v>
      </c>
      <c r="O50" s="35">
        <f t="shared" si="17"/>
        <v>50413.470322445151</v>
      </c>
      <c r="P50" s="39">
        <f t="shared" si="18"/>
        <v>528.79179671495513</v>
      </c>
      <c r="Q50" s="3">
        <f t="shared" si="19"/>
        <v>100826.9406448903</v>
      </c>
      <c r="R50" s="41">
        <f t="shared" si="8"/>
        <v>1.0804458490070548E-2</v>
      </c>
      <c r="S50" s="83">
        <f t="shared" si="11"/>
        <v>6.0673584989935805E-5</v>
      </c>
    </row>
    <row r="51" spans="1:19" x14ac:dyDescent="0.2">
      <c r="A51" s="14">
        <v>46001</v>
      </c>
      <c r="B51" s="21">
        <v>119.54</v>
      </c>
      <c r="C51" s="22">
        <v>1.29000000000001</v>
      </c>
      <c r="D51" s="11">
        <v>1.0909090909091E-2</v>
      </c>
      <c r="E51" s="1">
        <f t="shared" si="9"/>
        <v>1.3280190349114731E-4</v>
      </c>
      <c r="F51" s="2">
        <f t="shared" si="12"/>
        <v>418.26068283713255</v>
      </c>
      <c r="G51" s="12">
        <f t="shared" si="13"/>
        <v>0.80013375689684008</v>
      </c>
      <c r="H51" s="23">
        <f t="shared" si="14"/>
        <v>49998.882026350824</v>
      </c>
      <c r="I51" s="21">
        <v>478.56</v>
      </c>
      <c r="J51" s="22">
        <v>-13.46</v>
      </c>
      <c r="K51" s="11">
        <v>-2.73566115198569E-2</v>
      </c>
      <c r="L51" s="1">
        <f t="shared" si="10"/>
        <v>1.6337030573635797E-4</v>
      </c>
      <c r="M51" s="3">
        <f t="shared" si="15"/>
        <v>104.47777086750006</v>
      </c>
      <c r="N51" s="6">
        <f t="shared" si="16"/>
        <v>0.19986624310316004</v>
      </c>
      <c r="O51" s="35">
        <f t="shared" si="17"/>
        <v>49998.882026350824</v>
      </c>
      <c r="P51" s="39">
        <f t="shared" si="18"/>
        <v>522.73845370463255</v>
      </c>
      <c r="Q51" s="3">
        <f t="shared" si="19"/>
        <v>99997.764052701648</v>
      </c>
      <c r="R51" s="41">
        <f t="shared" si="8"/>
        <v>-8.2237603053829777E-3</v>
      </c>
      <c r="S51" s="83">
        <f t="shared" si="11"/>
        <v>6.403734928635911E-5</v>
      </c>
    </row>
    <row r="52" spans="1:19" x14ac:dyDescent="0.2">
      <c r="A52" s="14">
        <v>46002</v>
      </c>
      <c r="B52" s="21">
        <v>119.54</v>
      </c>
      <c r="C52" s="22">
        <v>0</v>
      </c>
      <c r="D52" s="11">
        <v>0</v>
      </c>
      <c r="E52" s="1">
        <f t="shared" si="9"/>
        <v>1.3197428514944717E-4</v>
      </c>
      <c r="F52" s="2">
        <f t="shared" si="12"/>
        <v>420.40634895290731</v>
      </c>
      <c r="G52" s="12">
        <f t="shared" si="13"/>
        <v>0.8017611648231372</v>
      </c>
      <c r="H52" s="23">
        <f t="shared" si="14"/>
        <v>50255.374953830542</v>
      </c>
      <c r="I52" s="21">
        <v>483.47</v>
      </c>
      <c r="J52" s="22">
        <v>4.9100000000000303</v>
      </c>
      <c r="K52" s="11">
        <v>1.0259946506185299E-2</v>
      </c>
      <c r="L52" s="1">
        <f t="shared" si="10"/>
        <v>1.9847113902307856E-4</v>
      </c>
      <c r="M52" s="3">
        <f t="shared" si="15"/>
        <v>103.94724585564883</v>
      </c>
      <c r="N52" s="6">
        <f t="shared" si="16"/>
        <v>0.19823883517686272</v>
      </c>
      <c r="O52" s="35">
        <f t="shared" si="17"/>
        <v>50255.374953830542</v>
      </c>
      <c r="P52" s="39">
        <f t="shared" si="18"/>
        <v>524.35359480855618</v>
      </c>
      <c r="Q52" s="3">
        <f t="shared" si="19"/>
        <v>100510.74990766108</v>
      </c>
      <c r="R52" s="41">
        <f t="shared" si="8"/>
        <v>5.1299732530927138E-3</v>
      </c>
      <c r="S52" s="83">
        <f t="shared" si="11"/>
        <v>6.4252922342801128E-5</v>
      </c>
    </row>
    <row r="53" spans="1:19" x14ac:dyDescent="0.2">
      <c r="A53" s="14">
        <v>46003</v>
      </c>
      <c r="B53" s="21">
        <v>118.82</v>
      </c>
      <c r="C53" s="22">
        <v>-0.72000000000001296</v>
      </c>
      <c r="D53" s="11">
        <v>-6.0230885059395396E-3</v>
      </c>
      <c r="E53" s="1">
        <f>U$3*E52+(1-U$3)*D52^2</f>
        <v>1.2405582804048032E-4</v>
      </c>
      <c r="F53" s="2">
        <f t="shared" si="12"/>
        <v>419.51926418905947</v>
      </c>
      <c r="G53" s="12">
        <f t="shared" si="13"/>
        <v>0.80108813928182809</v>
      </c>
      <c r="H53" s="23">
        <f t="shared" si="14"/>
        <v>49847.27897094404</v>
      </c>
      <c r="I53" s="21">
        <v>478.53</v>
      </c>
      <c r="J53" s="22">
        <v>-4.9400000000000501</v>
      </c>
      <c r="K53" s="11">
        <v>-1.0217800484001199E-2</v>
      </c>
      <c r="L53" s="1">
        <f t="shared" si="10"/>
        <v>1.9287886082028089E-4</v>
      </c>
      <c r="M53" s="3">
        <f t="shared" si="15"/>
        <v>104.16751085813647</v>
      </c>
      <c r="N53" s="6">
        <f t="shared" si="16"/>
        <v>0.19891186071817191</v>
      </c>
      <c r="O53" s="35">
        <f t="shared" si="17"/>
        <v>49847.27897094404</v>
      </c>
      <c r="P53" s="39">
        <f t="shared" si="18"/>
        <v>523.68677504719597</v>
      </c>
      <c r="Q53" s="3">
        <f t="shared" si="19"/>
        <v>99694.557941888081</v>
      </c>
      <c r="R53" s="41">
        <f t="shared" si="8"/>
        <v>-8.1204444949703018E-3</v>
      </c>
      <c r="S53" s="83">
        <f t="shared" si="11"/>
        <v>6.1976744536879853E-5</v>
      </c>
    </row>
    <row r="54" spans="1:19" x14ac:dyDescent="0.2">
      <c r="A54" s="14">
        <v>46006</v>
      </c>
      <c r="B54" s="21">
        <v>117.76</v>
      </c>
      <c r="C54" s="22">
        <v>-1.0599999999999901</v>
      </c>
      <c r="D54" s="11">
        <v>-8.9210570611007196E-3</v>
      </c>
      <c r="E54" s="1">
        <f t="shared" si="9"/>
        <v>1.1878913406707435E-4</v>
      </c>
      <c r="F54" s="2">
        <f t="shared" si="12"/>
        <v>419.76649990049253</v>
      </c>
      <c r="G54" s="12">
        <f t="shared" si="13"/>
        <v>0.80127577711026365</v>
      </c>
      <c r="H54" s="23">
        <f t="shared" si="14"/>
        <v>49431.703028282005</v>
      </c>
      <c r="I54" s="21">
        <v>474.82</v>
      </c>
      <c r="J54" s="22">
        <v>-3.70999999999998</v>
      </c>
      <c r="K54" s="11">
        <v>-7.7529099533989098E-3</v>
      </c>
      <c r="L54" s="1">
        <f t="shared" si="10"/>
        <v>1.8757033597491536E-4</v>
      </c>
      <c r="M54" s="3">
        <f t="shared" si="15"/>
        <v>104.10619398568301</v>
      </c>
      <c r="N54" s="6">
        <f t="shared" si="16"/>
        <v>0.19872422288973643</v>
      </c>
      <c r="O54" s="35">
        <f t="shared" si="17"/>
        <v>49431.703028282005</v>
      </c>
      <c r="P54" s="39">
        <f t="shared" si="18"/>
        <v>523.87269388617551</v>
      </c>
      <c r="Q54" s="3">
        <f t="shared" si="19"/>
        <v>98863.40605656401</v>
      </c>
      <c r="R54" s="41">
        <f t="shared" si="8"/>
        <v>-8.3369835072496998E-3</v>
      </c>
      <c r="S54" s="83">
        <f t="shared" si="11"/>
        <v>6.2214636992420668E-5</v>
      </c>
    </row>
    <row r="55" spans="1:19" x14ac:dyDescent="0.2">
      <c r="A55" s="14">
        <v>46007</v>
      </c>
      <c r="B55" s="21">
        <v>114.68</v>
      </c>
      <c r="C55" s="22">
        <v>-3.08</v>
      </c>
      <c r="D55" s="11">
        <v>-2.61548913043478E-2</v>
      </c>
      <c r="E55" s="1">
        <f t="shared" si="9"/>
        <v>1.1643690156829479E-4</v>
      </c>
      <c r="F55" s="2">
        <f t="shared" si="12"/>
        <v>426.11602703796649</v>
      </c>
      <c r="G55" s="12">
        <f t="shared" si="13"/>
        <v>0.80597898726039219</v>
      </c>
      <c r="H55" s="23">
        <f t="shared" si="14"/>
        <v>48866.985980714002</v>
      </c>
      <c r="I55" s="21">
        <v>476.39</v>
      </c>
      <c r="J55" s="22">
        <v>1.5699999999999901</v>
      </c>
      <c r="K55" s="11">
        <v>3.3065161534897298E-3</v>
      </c>
      <c r="L55" s="1">
        <f t="shared" si="10"/>
        <v>1.7992257258115114E-4</v>
      </c>
      <c r="M55" s="3">
        <f t="shared" si="15"/>
        <v>102.5776905071769</v>
      </c>
      <c r="N55" s="6">
        <f t="shared" si="16"/>
        <v>0.19402101273960784</v>
      </c>
      <c r="O55" s="35">
        <f t="shared" si="17"/>
        <v>48866.985980714002</v>
      </c>
      <c r="P55" s="39">
        <f t="shared" si="18"/>
        <v>528.69371754514339</v>
      </c>
      <c r="Q55" s="3">
        <f t="shared" si="19"/>
        <v>97733.971961428004</v>
      </c>
      <c r="R55" s="41">
        <f t="shared" si="8"/>
        <v>-1.1424187575429158E-2</v>
      </c>
      <c r="S55" s="83">
        <f t="shared" si="11"/>
        <v>6.2652076412884642E-5</v>
      </c>
    </row>
    <row r="56" spans="1:19" x14ac:dyDescent="0.2">
      <c r="A56" s="14">
        <v>46008</v>
      </c>
      <c r="B56" s="21">
        <v>117.41</v>
      </c>
      <c r="C56" s="22">
        <v>2.7299999999999902</v>
      </c>
      <c r="D56" s="11">
        <v>2.3805371468433801E-2</v>
      </c>
      <c r="E56" s="1">
        <f t="shared" si="9"/>
        <v>1.5049538782273202E-4</v>
      </c>
      <c r="F56" s="2">
        <f t="shared" si="12"/>
        <v>421.04408797719407</v>
      </c>
      <c r="G56" s="12">
        <f t="shared" si="13"/>
        <v>0.80218354590332419</v>
      </c>
      <c r="H56" s="23">
        <f t="shared" si="14"/>
        <v>49434.786369402354</v>
      </c>
      <c r="I56" s="21">
        <v>476.12</v>
      </c>
      <c r="J56" s="22">
        <v>-0.26999999999998198</v>
      </c>
      <c r="K56" s="11">
        <v>-5.6676252650135798E-4</v>
      </c>
      <c r="L56" s="1">
        <f t="shared" si="10"/>
        <v>1.6978320117067936E-4</v>
      </c>
      <c r="M56" s="3">
        <f t="shared" si="15"/>
        <v>103.82841798160622</v>
      </c>
      <c r="N56" s="6">
        <f t="shared" si="16"/>
        <v>0.19781645409667584</v>
      </c>
      <c r="O56" s="35">
        <f t="shared" si="17"/>
        <v>49434.786369402354</v>
      </c>
      <c r="P56" s="39">
        <f t="shared" si="18"/>
        <v>524.87250595880028</v>
      </c>
      <c r="Q56" s="3">
        <f t="shared" si="19"/>
        <v>98869.572738804709</v>
      </c>
      <c r="R56" s="41">
        <f t="shared" si="8"/>
        <v>1.1619304470966194E-2</v>
      </c>
      <c r="S56" s="83">
        <f t="shared" si="11"/>
        <v>6.6723675533626967E-5</v>
      </c>
    </row>
    <row r="57" spans="1:19" x14ac:dyDescent="0.2">
      <c r="A57" s="14">
        <v>46009</v>
      </c>
      <c r="B57" s="21">
        <v>116.54</v>
      </c>
      <c r="C57" s="22">
        <v>-0.86999999999999</v>
      </c>
      <c r="D57" s="11">
        <v>-7.40993101098706E-3</v>
      </c>
      <c r="E57" s="1">
        <f t="shared" si="9"/>
        <v>1.7546740719837545E-4</v>
      </c>
      <c r="F57" s="2">
        <f t="shared" si="12"/>
        <v>426.11702311481025</v>
      </c>
      <c r="G57" s="12">
        <f t="shared" si="13"/>
        <v>0.80593485645773666</v>
      </c>
      <c r="H57" s="23">
        <f t="shared" si="14"/>
        <v>49659.677873799992</v>
      </c>
      <c r="I57" s="21">
        <v>483.98</v>
      </c>
      <c r="J57" s="22">
        <v>7.8600000000000101</v>
      </c>
      <c r="K57" s="11">
        <v>1.6508443249601001E-2</v>
      </c>
      <c r="L57" s="1">
        <f>U$3*L56+(1-U$3)*K56^2</f>
        <v>1.5961548228612537E-4</v>
      </c>
      <c r="M57" s="3">
        <f t="shared" si="15"/>
        <v>102.60688018885075</v>
      </c>
      <c r="N57" s="6">
        <f t="shared" si="16"/>
        <v>0.19406514354226337</v>
      </c>
      <c r="O57" s="35">
        <f t="shared" si="17"/>
        <v>49659.677873799992</v>
      </c>
      <c r="P57" s="39">
        <f t="shared" si="18"/>
        <v>528.72390330366102</v>
      </c>
      <c r="Q57" s="3">
        <f t="shared" si="19"/>
        <v>99319.355747599984</v>
      </c>
      <c r="R57" s="41">
        <f t="shared" si="8"/>
        <v>4.5492561193069938E-3</v>
      </c>
      <c r="S57" s="83">
        <f t="shared" si="11"/>
        <v>7.0820749184950246E-5</v>
      </c>
    </row>
    <row r="58" spans="1:19" x14ac:dyDescent="0.2">
      <c r="A58" s="14">
        <v>46010</v>
      </c>
      <c r="B58" s="21">
        <v>116.69</v>
      </c>
      <c r="C58" s="22">
        <v>0.149999999999991</v>
      </c>
      <c r="D58" s="11">
        <v>1.2871117212973401E-3</v>
      </c>
      <c r="E58" s="1">
        <f>U$3*E57+(1-U$3)*D57^2</f>
        <v>1.6823378742172816E-4</v>
      </c>
      <c r="F58" s="2">
        <f t="shared" si="12"/>
        <v>426.69607785000244</v>
      </c>
      <c r="G58" s="12">
        <f t="shared" si="13"/>
        <v>0.80635900499493862</v>
      </c>
      <c r="H58" s="23">
        <f t="shared" si="14"/>
        <v>49791.165324316782</v>
      </c>
      <c r="I58" s="21">
        <v>485.92</v>
      </c>
      <c r="J58" s="22">
        <v>1.94</v>
      </c>
      <c r="K58" s="11">
        <v>4.0084301004173701E-3</v>
      </c>
      <c r="L58" s="1">
        <f t="shared" si="10"/>
        <v>1.6639027526047567E-4</v>
      </c>
      <c r="M58" s="3">
        <f t="shared" si="15"/>
        <v>102.46782458906154</v>
      </c>
      <c r="N58" s="6">
        <f t="shared" si="16"/>
        <v>0.19364099500506129</v>
      </c>
      <c r="O58" s="35">
        <f t="shared" si="17"/>
        <v>49791.165324316782</v>
      </c>
      <c r="P58" s="39">
        <f t="shared" si="18"/>
        <v>529.16390243906403</v>
      </c>
      <c r="Q58" s="3">
        <f t="shared" si="19"/>
        <v>99582.330648633564</v>
      </c>
      <c r="R58" s="41">
        <f t="shared" si="8"/>
        <v>2.6477709108572692E-3</v>
      </c>
      <c r="S58" s="83">
        <f t="shared" si="11"/>
        <v>6.7813248108196351E-5</v>
      </c>
    </row>
    <row r="59" spans="1:19" x14ac:dyDescent="0.2">
      <c r="A59" s="14">
        <v>46013</v>
      </c>
      <c r="B59" s="21">
        <v>118.15</v>
      </c>
      <c r="C59" s="22">
        <v>1.46000000000001</v>
      </c>
      <c r="D59" s="11">
        <v>1.25117833576143E-2</v>
      </c>
      <c r="E59" s="1">
        <f t="shared" si="9"/>
        <v>1.5823915957141052E-4</v>
      </c>
      <c r="F59" s="2">
        <f t="shared" si="12"/>
        <v>423.62606473849132</v>
      </c>
      <c r="G59" s="12">
        <f t="shared" si="13"/>
        <v>0.8040857611885851</v>
      </c>
      <c r="H59" s="23">
        <f t="shared" si="14"/>
        <v>50051.419548852755</v>
      </c>
      <c r="I59" s="21">
        <v>484.92</v>
      </c>
      <c r="J59" s="22">
        <v>-1</v>
      </c>
      <c r="K59" s="11">
        <v>-2.057951926243E-3</v>
      </c>
      <c r="L59" s="1">
        <f t="shared" si="10"/>
        <v>1.5737090945704303E-4</v>
      </c>
      <c r="M59" s="3">
        <f t="shared" si="15"/>
        <v>103.21582848480729</v>
      </c>
      <c r="N59" s="6">
        <f t="shared" si="16"/>
        <v>0.19591423881141493</v>
      </c>
      <c r="O59" s="35">
        <f t="shared" si="17"/>
        <v>50051.419548852755</v>
      </c>
      <c r="P59" s="39">
        <f t="shared" si="18"/>
        <v>526.8418932232986</v>
      </c>
      <c r="Q59" s="3">
        <f t="shared" si="19"/>
        <v>100102.83909770551</v>
      </c>
      <c r="R59" s="41">
        <f t="shared" si="8"/>
        <v>5.2269157156856292E-3</v>
      </c>
      <c r="S59" s="83">
        <f t="shared" si="11"/>
        <v>6.4165094669487479E-5</v>
      </c>
    </row>
    <row r="60" spans="1:19" x14ac:dyDescent="0.2">
      <c r="A60" s="14">
        <v>46014</v>
      </c>
      <c r="B60" s="21">
        <v>119.42</v>
      </c>
      <c r="C60" s="22">
        <v>1.27</v>
      </c>
      <c r="D60" s="11">
        <v>1.0749047820566999E-2</v>
      </c>
      <c r="E60" s="1">
        <f t="shared" si="9"/>
        <v>1.5813749336439833E-4</v>
      </c>
      <c r="F60" s="2">
        <f t="shared" si="12"/>
        <v>422.20754793543404</v>
      </c>
      <c r="G60" s="12">
        <f t="shared" si="13"/>
        <v>0.80302505484355147</v>
      </c>
      <c r="H60" s="23">
        <f t="shared" si="14"/>
        <v>50420.025374449535</v>
      </c>
      <c r="I60" s="21">
        <v>486.85</v>
      </c>
      <c r="J60" s="22">
        <v>1.9300000000000099</v>
      </c>
      <c r="K60" s="11">
        <v>3.9800379444032098E-3</v>
      </c>
      <c r="L60" s="1">
        <f t="shared" si="10"/>
        <v>1.4818276485746408E-4</v>
      </c>
      <c r="M60" s="3">
        <f t="shared" si="15"/>
        <v>103.56377811327829</v>
      </c>
      <c r="N60" s="6">
        <f t="shared" si="16"/>
        <v>0.19697494515644845</v>
      </c>
      <c r="O60" s="35">
        <f t="shared" si="17"/>
        <v>50420.025374449535</v>
      </c>
      <c r="P60" s="39">
        <f t="shared" si="18"/>
        <v>525.77132604871235</v>
      </c>
      <c r="Q60" s="3">
        <f t="shared" si="19"/>
        <v>100840.05074889907</v>
      </c>
      <c r="R60" s="41">
        <f t="shared" si="8"/>
        <v>7.3645428824851179E-3</v>
      </c>
      <c r="S60" s="83">
        <f t="shared" si="11"/>
        <v>6.1954427863251119E-5</v>
      </c>
    </row>
    <row r="61" spans="1:19" x14ac:dyDescent="0.2">
      <c r="A61" s="14">
        <v>46015</v>
      </c>
      <c r="B61" s="21">
        <v>119.22</v>
      </c>
      <c r="C61" s="22">
        <v>-0.20000000000000301</v>
      </c>
      <c r="D61" s="11">
        <v>-1.67476134650815E-3</v>
      </c>
      <c r="E61" s="1">
        <f t="shared" si="9"/>
        <v>1.5558176550546461E-4</v>
      </c>
      <c r="F61" s="2">
        <f t="shared" si="12"/>
        <v>423.06986604472621</v>
      </c>
      <c r="G61" s="12">
        <f t="shared" si="13"/>
        <v>0.803669060009222</v>
      </c>
      <c r="H61" s="23">
        <f t="shared" si="14"/>
        <v>50438.389429852257</v>
      </c>
      <c r="I61" s="21">
        <v>488.02</v>
      </c>
      <c r="J61" s="22">
        <v>1.16999999999996</v>
      </c>
      <c r="K61" s="11">
        <v>2.40320427236307E-3</v>
      </c>
      <c r="L61" s="1">
        <f t="shared" si="10"/>
        <v>1.4024224108834959E-4</v>
      </c>
      <c r="M61" s="3">
        <f t="shared" si="15"/>
        <v>103.35311960545113</v>
      </c>
      <c r="N61" s="6">
        <f t="shared" si="16"/>
        <v>0.19633093999077794</v>
      </c>
      <c r="O61" s="35">
        <f t="shared" si="17"/>
        <v>50438.389429852257</v>
      </c>
      <c r="P61" s="39">
        <f t="shared" si="18"/>
        <v>526.42298565017734</v>
      </c>
      <c r="Q61" s="3">
        <f t="shared" si="19"/>
        <v>100876.77885970451</v>
      </c>
      <c r="R61" s="41">
        <f t="shared" si="8"/>
        <v>3.6422146292747545E-4</v>
      </c>
      <c r="S61" s="83">
        <f t="shared" si="11"/>
        <v>6.149135170353378E-5</v>
      </c>
    </row>
    <row r="62" spans="1:19" x14ac:dyDescent="0.2">
      <c r="A62" s="14">
        <v>46017</v>
      </c>
      <c r="B62" s="21">
        <v>119.11</v>
      </c>
      <c r="C62" s="22">
        <v>-0.109999999999999</v>
      </c>
      <c r="D62" s="11">
        <v>-9.2266398255325805E-4</v>
      </c>
      <c r="E62" s="1">
        <f t="shared" si="9"/>
        <v>1.464151491092022E-4</v>
      </c>
      <c r="F62" s="2">
        <f t="shared" si="12"/>
        <v>423.13072667014484</v>
      </c>
      <c r="G62" s="12">
        <f t="shared" si="13"/>
        <v>0.80371444579941331</v>
      </c>
      <c r="H62" s="23">
        <f t="shared" si="14"/>
        <v>50399.100853680953</v>
      </c>
      <c r="I62" s="21">
        <v>487.71</v>
      </c>
      <c r="J62" s="22">
        <v>-0.310000000000002</v>
      </c>
      <c r="K62" s="11">
        <v>-6.3521986803820004E-4</v>
      </c>
      <c r="L62" s="1">
        <f t="shared" si="10"/>
        <v>1.3217423006953088E-4</v>
      </c>
      <c r="M62" s="3">
        <f t="shared" si="15"/>
        <v>103.33825604084591</v>
      </c>
      <c r="N62" s="6">
        <f t="shared" si="16"/>
        <v>0.19628555420058669</v>
      </c>
      <c r="O62" s="35">
        <f t="shared" si="17"/>
        <v>50399.100853680953</v>
      </c>
      <c r="P62" s="39">
        <f t="shared" si="18"/>
        <v>526.46898271099076</v>
      </c>
      <c r="Q62" s="3">
        <f t="shared" si="19"/>
        <v>100798.20170736191</v>
      </c>
      <c r="R62" s="41">
        <f t="shared" si="8"/>
        <v>-7.7894192529571495E-4</v>
      </c>
      <c r="S62" s="83">
        <f t="shared" si="11"/>
        <v>5.7809830037765173E-5</v>
      </c>
    </row>
    <row r="63" spans="1:19" x14ac:dyDescent="0.2">
      <c r="A63" s="14">
        <v>46020</v>
      </c>
      <c r="B63" s="21">
        <v>120.53</v>
      </c>
      <c r="C63" s="22">
        <v>1.42</v>
      </c>
      <c r="D63" s="11">
        <v>1.1921753001427299E-2</v>
      </c>
      <c r="E63" s="1">
        <f t="shared" si="9"/>
        <v>1.3768131869213213E-4</v>
      </c>
      <c r="F63" s="2">
        <f t="shared" si="12"/>
        <v>420.37671535322573</v>
      </c>
      <c r="G63" s="12">
        <f t="shared" si="13"/>
        <v>0.80163915540707331</v>
      </c>
      <c r="H63" s="23">
        <f t="shared" si="14"/>
        <v>50668.005501524298</v>
      </c>
      <c r="I63" s="21">
        <v>487.1</v>
      </c>
      <c r="J63" s="22">
        <v>-0.60999999999995702</v>
      </c>
      <c r="K63" s="11">
        <v>-1.25074326956584E-3</v>
      </c>
      <c r="L63" s="1">
        <f t="shared" si="10"/>
        <v>1.2426798652220405E-4</v>
      </c>
      <c r="M63" s="3">
        <f t="shared" si="15"/>
        <v>104.01971977319708</v>
      </c>
      <c r="N63" s="6">
        <f t="shared" si="16"/>
        <v>0.19836084459292661</v>
      </c>
      <c r="O63" s="35">
        <f t="shared" si="17"/>
        <v>50668.005501524298</v>
      </c>
      <c r="P63" s="39">
        <f t="shared" si="18"/>
        <v>524.39643512642283</v>
      </c>
      <c r="Q63" s="3">
        <f t="shared" si="19"/>
        <v>101336.0110030486</v>
      </c>
      <c r="R63" s="41">
        <f t="shared" si="8"/>
        <v>5.3355048659306584E-3</v>
      </c>
      <c r="S63" s="83">
        <f t="shared" si="11"/>
        <v>5.4377645266878265E-5</v>
      </c>
    </row>
    <row r="64" spans="1:19" x14ac:dyDescent="0.2">
      <c r="A64" s="14">
        <v>46021</v>
      </c>
      <c r="B64" s="21">
        <v>120.99</v>
      </c>
      <c r="C64" s="22">
        <v>0.45999999999999402</v>
      </c>
      <c r="D64" s="11">
        <v>3.8164772255869402E-3</v>
      </c>
      <c r="E64" s="1">
        <f t="shared" si="9"/>
        <v>1.3794813124822666E-4</v>
      </c>
      <c r="F64" s="2">
        <f t="shared" si="12"/>
        <v>419.74093638162202</v>
      </c>
      <c r="G64" s="12">
        <f t="shared" si="13"/>
        <v>0.80115700034512793</v>
      </c>
      <c r="H64" s="23">
        <f t="shared" si="14"/>
        <v>50784.455892812446</v>
      </c>
      <c r="I64" s="21">
        <v>487.48</v>
      </c>
      <c r="J64" s="22">
        <v>0.37999999999999501</v>
      </c>
      <c r="K64" s="11">
        <v>7.80127283925263E-4</v>
      </c>
      <c r="L64" s="1">
        <f t="shared" si="10"/>
        <v>1.1690576885445366E-4</v>
      </c>
      <c r="M64" s="3">
        <f t="shared" si="15"/>
        <v>104.17751680645861</v>
      </c>
      <c r="N64" s="6">
        <f t="shared" si="16"/>
        <v>0.19884299965487204</v>
      </c>
      <c r="O64" s="35">
        <f t="shared" si="17"/>
        <v>50784.455892812446</v>
      </c>
      <c r="P64" s="39">
        <f t="shared" si="18"/>
        <v>523.91845318808066</v>
      </c>
      <c r="Q64" s="3">
        <f t="shared" si="19"/>
        <v>101568.91178562489</v>
      </c>
      <c r="R64" s="41">
        <f t="shared" si="8"/>
        <v>2.2983022547561093E-3</v>
      </c>
      <c r="S64" s="83">
        <f t="shared" si="11"/>
        <v>5.2823043281327746E-5</v>
      </c>
    </row>
    <row r="65" spans="1:19" x14ac:dyDescent="0.2">
      <c r="A65" s="14">
        <v>46022</v>
      </c>
      <c r="B65" s="21">
        <v>120.34</v>
      </c>
      <c r="C65" s="22">
        <v>-0.64999999999999103</v>
      </c>
      <c r="D65" s="11">
        <v>-5.3723448218860404E-3</v>
      </c>
      <c r="E65" s="1">
        <f t="shared" si="9"/>
        <v>1.3054517327813848E-4</v>
      </c>
      <c r="F65" s="2">
        <f t="shared" si="12"/>
        <v>419.2037350926704</v>
      </c>
      <c r="G65" s="12">
        <f t="shared" si="13"/>
        <v>0.80074839393337305</v>
      </c>
      <c r="H65" s="23">
        <f t="shared" si="14"/>
        <v>50446.977481051959</v>
      </c>
      <c r="I65" s="21">
        <v>483.62</v>
      </c>
      <c r="J65" s="22">
        <v>-3.8600000000000101</v>
      </c>
      <c r="K65" s="11">
        <v>-7.9182735701977796E-3</v>
      </c>
      <c r="L65" s="1">
        <f t="shared" si="10"/>
        <v>1.099279386379339E-4</v>
      </c>
      <c r="M65" s="3">
        <f t="shared" si="15"/>
        <v>104.31118953114421</v>
      </c>
      <c r="N65" s="6">
        <f t="shared" si="16"/>
        <v>0.19925160606662692</v>
      </c>
      <c r="O65" s="35">
        <f t="shared" si="17"/>
        <v>50446.977481051959</v>
      </c>
      <c r="P65" s="39">
        <f t="shared" si="18"/>
        <v>523.51492462381464</v>
      </c>
      <c r="Q65" s="3">
        <f t="shared" si="19"/>
        <v>100893.95496210392</v>
      </c>
      <c r="R65" s="41">
        <f t="shared" si="8"/>
        <v>-6.6453091960418211E-3</v>
      </c>
      <c r="S65" s="83">
        <f t="shared" si="11"/>
        <v>4.9970592279701098E-5</v>
      </c>
    </row>
    <row r="66" spans="1:19" x14ac:dyDescent="0.2">
      <c r="A66" s="14">
        <v>46024</v>
      </c>
      <c r="B66" s="21">
        <v>122.65</v>
      </c>
      <c r="C66" s="22">
        <v>2.31</v>
      </c>
      <c r="D66" s="11">
        <v>1.9195612431444301E-2</v>
      </c>
      <c r="E66" s="1">
        <f t="shared" si="9"/>
        <v>1.2444418821456489E-4</v>
      </c>
      <c r="F66" s="2">
        <f t="shared" si="12"/>
        <v>410.71452134519103</v>
      </c>
      <c r="G66" s="12">
        <f t="shared" si="13"/>
        <v>0.79406974596618485</v>
      </c>
      <c r="H66" s="23">
        <f t="shared" si="14"/>
        <v>50374.13604298768</v>
      </c>
      <c r="I66" s="21">
        <v>472.94</v>
      </c>
      <c r="J66" s="22">
        <v>-10.68</v>
      </c>
      <c r="K66" s="11">
        <v>-2.2083453951449498E-2</v>
      </c>
      <c r="L66" s="1">
        <f t="shared" si="10"/>
        <v>1.0709420569960743E-4</v>
      </c>
      <c r="M66" s="3">
        <f t="shared" si="15"/>
        <v>106.51274166487859</v>
      </c>
      <c r="N66" s="6">
        <f t="shared" si="16"/>
        <v>0.20593025403381524</v>
      </c>
      <c r="O66" s="35">
        <f t="shared" si="17"/>
        <v>50374.13604298768</v>
      </c>
      <c r="P66" s="39">
        <f t="shared" si="18"/>
        <v>517.22726301006958</v>
      </c>
      <c r="Q66" s="3">
        <f t="shared" si="19"/>
        <v>100748.27208597536</v>
      </c>
      <c r="R66" s="41">
        <f t="shared" si="8"/>
        <v>-1.4439207600026858E-3</v>
      </c>
      <c r="S66" s="83">
        <f t="shared" si="11"/>
        <v>4.9621964801578911E-5</v>
      </c>
    </row>
    <row r="67" spans="1:19" x14ac:dyDescent="0.2">
      <c r="A67" s="14">
        <v>46027</v>
      </c>
      <c r="B67" s="21">
        <v>125.36</v>
      </c>
      <c r="C67" s="22">
        <v>2.7099999999999902</v>
      </c>
      <c r="D67" s="11">
        <v>2.2095393395841802E-2</v>
      </c>
      <c r="E67" s="1">
        <f t="shared" si="9"/>
        <v>1.3908582911878416E-4</v>
      </c>
      <c r="F67" s="2">
        <f t="shared" ref="F67:F98" si="20">H67/B67</f>
        <v>406.2369268190451</v>
      </c>
      <c r="G67" s="12">
        <f t="shared" ref="G67:G98" si="21">F67/P67</f>
        <v>0.79044148375988366</v>
      </c>
      <c r="H67" s="23">
        <f t="shared" ref="H67:H98" si="22">Q67/2</f>
        <v>50925.861146035495</v>
      </c>
      <c r="I67" s="21">
        <v>472.85</v>
      </c>
      <c r="J67" s="22">
        <v>-8.9999999999975003E-2</v>
      </c>
      <c r="K67" s="11">
        <v>-1.90298980843183E-4</v>
      </c>
      <c r="L67" s="1">
        <f t="shared" si="10"/>
        <v>1.2992928966317844E-4</v>
      </c>
      <c r="M67" s="3">
        <f t="shared" ref="M67:M98" si="23">O67/I67</f>
        <v>107.69982266265305</v>
      </c>
      <c r="N67" s="6">
        <f t="shared" ref="N67:N98" si="24">M67/P67</f>
        <v>0.20955851624011634</v>
      </c>
      <c r="O67" s="35">
        <f t="shared" ref="O67:O98" si="25">Q67/2</f>
        <v>50925.861146035495</v>
      </c>
      <c r="P67" s="39">
        <f t="shared" ref="P67:P98" si="26">M67+F67</f>
        <v>513.93674948169814</v>
      </c>
      <c r="Q67" s="3">
        <f t="shared" si="19"/>
        <v>101851.72229207099</v>
      </c>
      <c r="R67" s="41">
        <f t="shared" si="8"/>
        <v>1.0952547207499301E-2</v>
      </c>
      <c r="S67" s="83">
        <f t="shared" si="11"/>
        <v>4.6769741343154181E-5</v>
      </c>
    </row>
    <row r="68" spans="1:19" x14ac:dyDescent="0.2">
      <c r="A68" s="14">
        <v>46028</v>
      </c>
      <c r="B68" s="21">
        <v>121.05</v>
      </c>
      <c r="C68" s="22">
        <v>-4.3099999999999996</v>
      </c>
      <c r="D68" s="11">
        <v>-3.4380982769623501E-2</v>
      </c>
      <c r="E68" s="1">
        <f t="shared" si="9"/>
        <v>1.6003306393067769E-4</v>
      </c>
      <c r="F68" s="2">
        <f t="shared" si="20"/>
        <v>415.98687374535939</v>
      </c>
      <c r="G68" s="12">
        <f t="shared" si="21"/>
        <v>0.79810194142371071</v>
      </c>
      <c r="H68" s="23">
        <f t="shared" si="22"/>
        <v>50355.211066875752</v>
      </c>
      <c r="I68" s="21">
        <v>478.51</v>
      </c>
      <c r="J68" s="22">
        <v>5.6599999999999699</v>
      </c>
      <c r="K68" s="11">
        <v>1.19699693348841E-2</v>
      </c>
      <c r="L68" s="1">
        <f t="shared" si="10"/>
        <v>1.2213570510551431E-4</v>
      </c>
      <c r="M68" s="3">
        <f t="shared" si="23"/>
        <v>105.23335158486918</v>
      </c>
      <c r="N68" s="6">
        <f t="shared" si="24"/>
        <v>0.20189805857628929</v>
      </c>
      <c r="O68" s="35">
        <f t="shared" si="25"/>
        <v>50355.211066875752</v>
      </c>
      <c r="P68" s="39">
        <f t="shared" si="26"/>
        <v>521.22022533022857</v>
      </c>
      <c r="Q68" s="3">
        <f t="shared" ref="Q68:Q99" si="27">F67*B68+M67*I68</f>
        <v>100710.4221337515</v>
      </c>
      <c r="R68" s="41">
        <f t="shared" si="8"/>
        <v>-1.1205506717369806E-2</v>
      </c>
      <c r="S68" s="83">
        <f t="shared" si="11"/>
        <v>5.116105428251498E-5</v>
      </c>
    </row>
    <row r="69" spans="1:19" x14ac:dyDescent="0.2">
      <c r="A69" s="14">
        <v>46029</v>
      </c>
      <c r="B69" s="21">
        <v>118.49</v>
      </c>
      <c r="C69" s="22">
        <v>-2.56</v>
      </c>
      <c r="D69" s="11">
        <v>-2.11482858323007E-2</v>
      </c>
      <c r="E69" s="1">
        <f t="shared" si="9"/>
        <v>2.2135419866714596E-4</v>
      </c>
      <c r="F69" s="2">
        <f t="shared" si="20"/>
        <v>422.68315115547449</v>
      </c>
      <c r="G69" s="12">
        <f t="shared" si="21"/>
        <v>0.80315967838394575</v>
      </c>
      <c r="H69" s="23">
        <f t="shared" si="22"/>
        <v>50083.726580412171</v>
      </c>
      <c r="I69" s="21">
        <v>483.47</v>
      </c>
      <c r="J69" s="22">
        <v>4.9600000000000399</v>
      </c>
      <c r="K69" s="11">
        <v>1.03655096027252E-2</v>
      </c>
      <c r="L69" s="1">
        <f t="shared" si="10"/>
        <v>1.2340437275186738E-4</v>
      </c>
      <c r="M69" s="3">
        <f t="shared" si="23"/>
        <v>103.59221167892976</v>
      </c>
      <c r="N69" s="6">
        <f t="shared" si="24"/>
        <v>0.19684032161605419</v>
      </c>
      <c r="O69" s="35">
        <f t="shared" si="25"/>
        <v>50083.726580412171</v>
      </c>
      <c r="P69" s="39">
        <f t="shared" si="26"/>
        <v>526.27536283440429</v>
      </c>
      <c r="Q69" s="3">
        <f t="shared" si="27"/>
        <v>100167.45316082434</v>
      </c>
      <c r="R69" s="41">
        <f t="shared" ref="R69:R127" si="28">(Q69-Q68)/Q68</f>
        <v>-5.391388114787731E-3</v>
      </c>
      <c r="S69" s="83">
        <f t="shared" si="11"/>
        <v>5.5625193873145277E-5</v>
      </c>
    </row>
    <row r="70" spans="1:19" x14ac:dyDescent="0.2">
      <c r="A70" s="14">
        <v>46030</v>
      </c>
      <c r="B70" s="21">
        <v>122.91</v>
      </c>
      <c r="C70" s="22">
        <v>4.42</v>
      </c>
      <c r="D70" s="11">
        <v>3.7302725968436201E-2</v>
      </c>
      <c r="E70" s="1">
        <f t="shared" ref="E70:E77" si="29">U$3*E69+(1-U$3)*D69^2</f>
        <v>2.3490794636579863E-4</v>
      </c>
      <c r="F70" s="2">
        <f t="shared" si="20"/>
        <v>412.82425528570695</v>
      </c>
      <c r="G70" s="12">
        <f t="shared" si="21"/>
        <v>0.79549765398822003</v>
      </c>
      <c r="H70" s="23">
        <f t="shared" si="22"/>
        <v>50740.229217166241</v>
      </c>
      <c r="I70" s="21">
        <v>478.11</v>
      </c>
      <c r="J70" s="22">
        <v>-5.3600000000000101</v>
      </c>
      <c r="K70" s="11">
        <v>-1.1086520363207701E-2</v>
      </c>
      <c r="L70" s="1">
        <f t="shared" ref="L70:L83" si="30">U$3*L69+(1-U$3)*K69^2</f>
        <v>1.2244673774620664E-4</v>
      </c>
      <c r="M70" s="3">
        <f t="shared" si="23"/>
        <v>106.12668469006346</v>
      </c>
      <c r="N70" s="6">
        <f t="shared" si="24"/>
        <v>0.20450234601177997</v>
      </c>
      <c r="O70" s="35">
        <f t="shared" si="25"/>
        <v>50740.229217166241</v>
      </c>
      <c r="P70" s="39">
        <f t="shared" si="26"/>
        <v>518.95093997577044</v>
      </c>
      <c r="Q70" s="3">
        <f t="shared" si="27"/>
        <v>101480.45843433248</v>
      </c>
      <c r="R70" s="41">
        <f t="shared" si="28"/>
        <v>1.3108102802614326E-2</v>
      </c>
      <c r="S70" s="83">
        <f t="shared" ref="S70:S127" si="31">U$3*S69+(1-U$3)*R69^2</f>
        <v>5.4031706189013027E-5</v>
      </c>
    </row>
    <row r="71" spans="1:19" x14ac:dyDescent="0.2">
      <c r="A71" s="14">
        <v>46031</v>
      </c>
      <c r="B71" s="21">
        <v>124.61</v>
      </c>
      <c r="C71" s="22">
        <v>1.7</v>
      </c>
      <c r="D71" s="11">
        <v>1.3831258644536701E-2</v>
      </c>
      <c r="E71" s="1">
        <f t="shared" si="29"/>
        <v>3.0430307146442543E-4</v>
      </c>
      <c r="F71" s="2">
        <f t="shared" si="20"/>
        <v>410.50649181207586</v>
      </c>
      <c r="G71" s="12">
        <f t="shared" si="21"/>
        <v>0.79365447349682883</v>
      </c>
      <c r="H71" s="23">
        <f t="shared" si="22"/>
        <v>51153.213944702773</v>
      </c>
      <c r="I71" s="21">
        <v>479.28</v>
      </c>
      <c r="J71" s="22">
        <v>1.16999999999996</v>
      </c>
      <c r="K71" s="11">
        <v>2.4471355964107802E-3</v>
      </c>
      <c r="L71" s="1">
        <f t="shared" si="30"/>
        <v>1.2247458950726339E-4</v>
      </c>
      <c r="M71" s="3">
        <f t="shared" si="23"/>
        <v>106.72928965260969</v>
      </c>
      <c r="N71" s="6">
        <f t="shared" si="24"/>
        <v>0.20634552650317109</v>
      </c>
      <c r="O71" s="35">
        <f t="shared" si="25"/>
        <v>51153.213944702773</v>
      </c>
      <c r="P71" s="39">
        <f t="shared" si="26"/>
        <v>517.2357814646856</v>
      </c>
      <c r="Q71" s="3">
        <f t="shared" si="27"/>
        <v>102306.42788940555</v>
      </c>
      <c r="R71" s="41">
        <f t="shared" si="28"/>
        <v>8.1391971204736388E-3</v>
      </c>
      <c r="S71" s="83">
        <f t="shared" si="31"/>
        <v>6.1099145362706592E-5</v>
      </c>
    </row>
    <row r="72" spans="1:19" x14ac:dyDescent="0.2">
      <c r="A72" s="14">
        <v>46034</v>
      </c>
      <c r="B72" s="21">
        <v>124.03</v>
      </c>
      <c r="C72" s="22">
        <v>-0.57999999999999796</v>
      </c>
      <c r="D72" s="11">
        <v>-4.6545221089799999E-3</v>
      </c>
      <c r="E72" s="1">
        <f t="shared" si="29"/>
        <v>2.9752311011808414E-4</v>
      </c>
      <c r="F72" s="2">
        <f t="shared" si="20"/>
        <v>410.56277761785083</v>
      </c>
      <c r="G72" s="12">
        <f t="shared" si="21"/>
        <v>0.79369937293125525</v>
      </c>
      <c r="H72" s="23">
        <f t="shared" si="22"/>
        <v>50922.101307942037</v>
      </c>
      <c r="I72" s="21">
        <v>477.18</v>
      </c>
      <c r="J72" s="22">
        <v>-2.0999999999999699</v>
      </c>
      <c r="K72" s="11">
        <v>-4.3815723585377397E-3</v>
      </c>
      <c r="L72" s="1">
        <f t="shared" si="30"/>
        <v>1.1548542249446081E-4</v>
      </c>
      <c r="M72" s="3">
        <f t="shared" si="23"/>
        <v>106.71465968385523</v>
      </c>
      <c r="N72" s="6">
        <f t="shared" si="24"/>
        <v>0.20630062706874469</v>
      </c>
      <c r="O72" s="35">
        <f t="shared" si="25"/>
        <v>50922.101307942037</v>
      </c>
      <c r="P72" s="39">
        <f t="shared" si="26"/>
        <v>517.27743730170607</v>
      </c>
      <c r="Q72" s="3">
        <f t="shared" si="27"/>
        <v>101844.20261588407</v>
      </c>
      <c r="R72" s="41">
        <f t="shared" si="28"/>
        <v>-4.5180472337587865E-3</v>
      </c>
      <c r="S72" s="83">
        <f t="shared" si="31"/>
        <v>6.140798842689978E-5</v>
      </c>
    </row>
    <row r="73" spans="1:19" x14ac:dyDescent="0.2">
      <c r="A73" s="14">
        <v>46035</v>
      </c>
      <c r="B73" s="21">
        <v>126.54</v>
      </c>
      <c r="C73" s="22">
        <v>2.51000000000001</v>
      </c>
      <c r="D73" s="11">
        <v>2.0237039425945399E-2</v>
      </c>
      <c r="E73" s="1">
        <f t="shared" si="29"/>
        <v>2.809715980747781E-4</v>
      </c>
      <c r="F73" s="2">
        <f t="shared" si="20"/>
        <v>403.74586199289939</v>
      </c>
      <c r="G73" s="12">
        <f t="shared" si="21"/>
        <v>0.78811473351082528</v>
      </c>
      <c r="H73" s="23">
        <f t="shared" si="22"/>
        <v>51090.001376581495</v>
      </c>
      <c r="I73" s="21">
        <v>470.67</v>
      </c>
      <c r="J73" s="22">
        <v>-6.50999999999999</v>
      </c>
      <c r="K73" s="11">
        <v>-1.3642650572111101E-2</v>
      </c>
      <c r="L73" s="1">
        <f t="shared" si="30"/>
        <v>1.0970818772477927E-4</v>
      </c>
      <c r="M73" s="3">
        <f t="shared" si="23"/>
        <v>108.54739281573394</v>
      </c>
      <c r="N73" s="6">
        <f t="shared" si="24"/>
        <v>0.21188526648917466</v>
      </c>
      <c r="O73" s="35">
        <f t="shared" si="25"/>
        <v>51090.001376581495</v>
      </c>
      <c r="P73" s="39">
        <f t="shared" si="26"/>
        <v>512.29325480863338</v>
      </c>
      <c r="Q73" s="3">
        <f t="shared" si="27"/>
        <v>102180.00275316299</v>
      </c>
      <c r="R73" s="41">
        <f t="shared" si="28"/>
        <v>3.297194426917159E-3</v>
      </c>
      <c r="S73" s="83">
        <f t="shared" si="31"/>
        <v>5.8948274169674314E-5</v>
      </c>
    </row>
    <row r="74" spans="1:19" x14ac:dyDescent="0.2">
      <c r="A74" s="14">
        <v>46036</v>
      </c>
      <c r="B74" s="21">
        <v>130.19999999999999</v>
      </c>
      <c r="C74" s="22">
        <v>3.6599999999999802</v>
      </c>
      <c r="D74" s="11">
        <v>2.8923660502607699E-2</v>
      </c>
      <c r="E74" s="1">
        <f t="shared" si="29"/>
        <v>2.8868556807392753E-4</v>
      </c>
      <c r="F74" s="2">
        <f t="shared" si="20"/>
        <v>393.36487151753977</v>
      </c>
      <c r="G74" s="12">
        <f t="shared" si="21"/>
        <v>0.77916482920044783</v>
      </c>
      <c r="H74" s="23">
        <f t="shared" si="22"/>
        <v>51216.106271583674</v>
      </c>
      <c r="I74" s="21">
        <v>459.38</v>
      </c>
      <c r="J74" s="22">
        <v>-11.29</v>
      </c>
      <c r="K74" s="11">
        <v>-2.3987082244460101E-2</v>
      </c>
      <c r="L74" s="1">
        <f t="shared" si="30"/>
        <v>1.1429301133925592E-4</v>
      </c>
      <c r="M74" s="3">
        <f t="shared" si="23"/>
        <v>111.48963009182741</v>
      </c>
      <c r="N74" s="6">
        <f t="shared" si="24"/>
        <v>0.22083517079955223</v>
      </c>
      <c r="O74" s="35">
        <f t="shared" si="25"/>
        <v>51216.106271583674</v>
      </c>
      <c r="P74" s="39">
        <f t="shared" si="26"/>
        <v>504.85450160936716</v>
      </c>
      <c r="Q74" s="3">
        <f t="shared" si="27"/>
        <v>102432.21254316735</v>
      </c>
      <c r="R74" s="41">
        <f t="shared" si="28"/>
        <v>2.4682891290737602E-3</v>
      </c>
      <c r="S74" s="83">
        <f t="shared" si="31"/>
        <v>5.6063667184827468E-5</v>
      </c>
    </row>
    <row r="75" spans="1:19" x14ac:dyDescent="0.2">
      <c r="A75" s="14">
        <v>46037</v>
      </c>
      <c r="B75" s="21">
        <v>129.13</v>
      </c>
      <c r="C75" s="22">
        <v>-1.0699999999999901</v>
      </c>
      <c r="D75" s="11">
        <v>-8.2181259600613895E-3</v>
      </c>
      <c r="E75" s="1">
        <f>U$3*E74+(1-U$3)*D74^2</f>
        <v>3.2155912220169843E-4</v>
      </c>
      <c r="F75" s="2">
        <f t="shared" si="20"/>
        <v>393.82041484083413</v>
      </c>
      <c r="G75" s="12">
        <f t="shared" si="21"/>
        <v>0.77956264190238822</v>
      </c>
      <c r="H75" s="23">
        <f t="shared" si="22"/>
        <v>50854.030168396908</v>
      </c>
      <c r="I75" s="21">
        <v>456.66</v>
      </c>
      <c r="J75" s="22">
        <v>-2.71999999999997</v>
      </c>
      <c r="K75" s="11">
        <v>-5.9210239888544802E-3</v>
      </c>
      <c r="L75" s="1">
        <f t="shared" si="30"/>
        <v>1.4195823753505017E-4</v>
      </c>
      <c r="M75" s="3">
        <f t="shared" si="23"/>
        <v>111.36081585511519</v>
      </c>
      <c r="N75" s="6">
        <f t="shared" si="24"/>
        <v>0.22043735809761172</v>
      </c>
      <c r="O75" s="35">
        <f t="shared" si="25"/>
        <v>50854.030168396908</v>
      </c>
      <c r="P75" s="39">
        <f t="shared" si="26"/>
        <v>505.18123069594935</v>
      </c>
      <c r="Q75" s="3">
        <f t="shared" si="27"/>
        <v>101708.06033679382</v>
      </c>
      <c r="R75" s="41">
        <f t="shared" si="28"/>
        <v>-7.069574974457934E-3</v>
      </c>
      <c r="S75" s="83">
        <f t="shared" si="31"/>
        <v>5.3065394227220036E-5</v>
      </c>
    </row>
    <row r="76" spans="1:19" x14ac:dyDescent="0.2">
      <c r="A76" s="14">
        <v>46038</v>
      </c>
      <c r="B76" s="21">
        <v>129.88999999999999</v>
      </c>
      <c r="C76" s="22">
        <v>0.75999999999999102</v>
      </c>
      <c r="D76" s="11">
        <v>5.88554170216054E-3</v>
      </c>
      <c r="E76" s="1">
        <f t="shared" si="29"/>
        <v>3.063178305273226E-4</v>
      </c>
      <c r="F76" s="2">
        <f t="shared" si="20"/>
        <v>394.04002795753803</v>
      </c>
      <c r="G76" s="12">
        <f t="shared" si="21"/>
        <v>0.77975413310724884</v>
      </c>
      <c r="H76" s="23">
        <f t="shared" si="22"/>
        <v>51181.859231404611</v>
      </c>
      <c r="I76" s="21">
        <v>459.86</v>
      </c>
      <c r="J76" s="22">
        <v>3.19999999999999</v>
      </c>
      <c r="K76" s="11">
        <v>7.0074015679060797E-3</v>
      </c>
      <c r="L76" s="1">
        <f t="shared" si="30"/>
        <v>1.3554425478754257E-4</v>
      </c>
      <c r="M76" s="3">
        <f t="shared" si="23"/>
        <v>111.29878491585397</v>
      </c>
      <c r="N76" s="6">
        <f t="shared" si="24"/>
        <v>0.22024586689275114</v>
      </c>
      <c r="O76" s="35">
        <f t="shared" si="25"/>
        <v>51181.859231404611</v>
      </c>
      <c r="P76" s="39">
        <f t="shared" si="26"/>
        <v>505.33881287339199</v>
      </c>
      <c r="Q76" s="3">
        <f t="shared" si="27"/>
        <v>102363.71846280922</v>
      </c>
      <c r="R76" s="41">
        <f t="shared" si="28"/>
        <v>6.446471635033384E-3</v>
      </c>
      <c r="S76" s="83">
        <f t="shared" si="31"/>
        <v>5.2880203992755747E-5</v>
      </c>
    </row>
    <row r="77" spans="1:19" x14ac:dyDescent="0.2">
      <c r="A77" s="14">
        <v>46042</v>
      </c>
      <c r="B77" s="21">
        <v>130.46</v>
      </c>
      <c r="C77" s="22">
        <v>0.57000000000002204</v>
      </c>
      <c r="D77" s="11">
        <v>4.3883285857265501E-3</v>
      </c>
      <c r="E77" s="1">
        <f t="shared" si="29"/>
        <v>2.9001713676335547E-4</v>
      </c>
      <c r="F77" s="2">
        <f t="shared" si="20"/>
        <v>390.90137117620094</v>
      </c>
      <c r="G77" s="12">
        <f t="shared" si="21"/>
        <v>0.77698382850695746</v>
      </c>
      <c r="H77" s="23">
        <f t="shared" si="22"/>
        <v>50996.992883647181</v>
      </c>
      <c r="I77" s="21">
        <v>454.52</v>
      </c>
      <c r="J77" s="22">
        <v>-5.3400000000000301</v>
      </c>
      <c r="K77" s="11">
        <v>-1.1612229809072399E-2</v>
      </c>
      <c r="L77" s="1">
        <f t="shared" si="30"/>
        <v>1.3035782010432356E-4</v>
      </c>
      <c r="M77" s="3">
        <f t="shared" si="23"/>
        <v>112.19966752540523</v>
      </c>
      <c r="N77" s="6">
        <f t="shared" si="24"/>
        <v>0.22301617149304254</v>
      </c>
      <c r="O77" s="35">
        <f t="shared" si="25"/>
        <v>50996.992883647181</v>
      </c>
      <c r="P77" s="39">
        <f t="shared" si="26"/>
        <v>503.10103870160617</v>
      </c>
      <c r="Q77" s="3">
        <f t="shared" si="27"/>
        <v>101993.98576729436</v>
      </c>
      <c r="R77" s="41">
        <f t="shared" si="28"/>
        <v>-3.6119506116729372E-3</v>
      </c>
      <c r="S77" s="83">
        <f t="shared" si="31"/>
        <v>5.22008115456678E-5</v>
      </c>
    </row>
    <row r="78" spans="1:19" x14ac:dyDescent="0.2">
      <c r="A78" s="14">
        <v>46043</v>
      </c>
      <c r="B78" s="21">
        <v>133.61000000000001</v>
      </c>
      <c r="C78" s="22">
        <v>3.1500000000000101</v>
      </c>
      <c r="D78" s="11">
        <v>2.4145331902498901E-2</v>
      </c>
      <c r="E78" s="1">
        <f>U$3*E77+(1-U$3)*D77^2</f>
        <v>2.7377155422413237E-4</v>
      </c>
      <c r="F78" s="2">
        <f t="shared" si="20"/>
        <v>381.92248539615269</v>
      </c>
      <c r="G78" s="12">
        <f t="shared" si="21"/>
        <v>0.76872879595651866</v>
      </c>
      <c r="H78" s="23">
        <f t="shared" si="22"/>
        <v>51028.663273779966</v>
      </c>
      <c r="I78" s="21">
        <v>444.11</v>
      </c>
      <c r="J78" s="22">
        <v>-10.41</v>
      </c>
      <c r="K78" s="11">
        <v>-2.29032825838246E-2</v>
      </c>
      <c r="L78" s="1">
        <f t="shared" si="30"/>
        <v>1.3062698376638675E-4</v>
      </c>
      <c r="M78" s="3">
        <f t="shared" si="23"/>
        <v>114.90095533489443</v>
      </c>
      <c r="N78" s="6">
        <f t="shared" si="24"/>
        <v>0.23127120404348128</v>
      </c>
      <c r="O78" s="35">
        <f t="shared" si="25"/>
        <v>51028.663273779966</v>
      </c>
      <c r="P78" s="39">
        <f t="shared" si="26"/>
        <v>496.82344073104713</v>
      </c>
      <c r="Q78" s="3">
        <f t="shared" si="27"/>
        <v>102057.32654755993</v>
      </c>
      <c r="R78" s="41">
        <f t="shared" si="28"/>
        <v>6.2102465933713998E-4</v>
      </c>
      <c r="S78" s="83">
        <f t="shared" si="31"/>
        <v>4.9851534086197598E-5</v>
      </c>
    </row>
    <row r="79" spans="1:19" x14ac:dyDescent="0.2">
      <c r="A79" s="14">
        <v>46044</v>
      </c>
      <c r="B79" s="21">
        <v>133.63999999999999</v>
      </c>
      <c r="C79" s="22">
        <v>2.9999999999972701E-2</v>
      </c>
      <c r="D79" s="11">
        <v>2.2453409175939501E-4</v>
      </c>
      <c r="E79" s="1">
        <f t="shared" ref="E79:E96" si="32">U$3*E78+(1-U$3)*D78^2</f>
        <v>2.9232508413159434E-4</v>
      </c>
      <c r="F79" s="2">
        <f t="shared" si="20"/>
        <v>384.90174325847846</v>
      </c>
      <c r="G79" s="12">
        <f t="shared" si="21"/>
        <v>0.7714696125038476</v>
      </c>
      <c r="H79" s="23">
        <f t="shared" si="22"/>
        <v>51438.268969063058</v>
      </c>
      <c r="I79" s="21">
        <v>451.14</v>
      </c>
      <c r="J79" s="22">
        <v>7.0299999999999701</v>
      </c>
      <c r="K79" s="11">
        <v>1.5829411632253199E-2</v>
      </c>
      <c r="L79" s="1">
        <f t="shared" si="30"/>
        <v>1.5426298592727497E-4</v>
      </c>
      <c r="M79" s="3">
        <f t="shared" si="23"/>
        <v>114.01841771747807</v>
      </c>
      <c r="N79" s="6">
        <f t="shared" si="24"/>
        <v>0.22853038749615237</v>
      </c>
      <c r="O79" s="35">
        <f t="shared" si="25"/>
        <v>51438.268969063058</v>
      </c>
      <c r="P79" s="39">
        <f t="shared" si="26"/>
        <v>498.92016097595655</v>
      </c>
      <c r="Q79" s="3">
        <f t="shared" si="27"/>
        <v>102876.53793812612</v>
      </c>
      <c r="R79" s="41">
        <f t="shared" si="28"/>
        <v>8.0269728620063381E-3</v>
      </c>
      <c r="S79" s="83">
        <f t="shared" si="31"/>
        <v>4.6883582338676031E-5</v>
      </c>
    </row>
    <row r="80" spans="1:19" x14ac:dyDescent="0.2">
      <c r="A80" s="14">
        <v>46045</v>
      </c>
      <c r="B80" s="21">
        <v>134.97</v>
      </c>
      <c r="C80" s="22">
        <v>1.3300000000000101</v>
      </c>
      <c r="D80" s="11">
        <v>9.9521101466627706E-3</v>
      </c>
      <c r="E80" s="1">
        <f t="shared" si="32"/>
        <v>2.7478860401720039E-4</v>
      </c>
      <c r="F80" s="2">
        <f t="shared" si="20"/>
        <v>389.26083582668645</v>
      </c>
      <c r="G80" s="12">
        <f t="shared" si="21"/>
        <v>0.77539439526060039</v>
      </c>
      <c r="H80" s="23">
        <f t="shared" si="22"/>
        <v>52538.535011527871</v>
      </c>
      <c r="I80" s="21">
        <v>465.95</v>
      </c>
      <c r="J80" s="22">
        <v>14.81</v>
      </c>
      <c r="K80" s="11">
        <v>3.2827946978764899E-2</v>
      </c>
      <c r="L80" s="1">
        <f t="shared" si="30"/>
        <v>1.6004142312903727E-4</v>
      </c>
      <c r="M80" s="3">
        <f t="shared" si="23"/>
        <v>112.75573561868842</v>
      </c>
      <c r="N80" s="6">
        <f t="shared" si="24"/>
        <v>0.22460560473939958</v>
      </c>
      <c r="O80" s="35">
        <f t="shared" si="25"/>
        <v>52538.535011527871</v>
      </c>
      <c r="P80" s="39">
        <f t="shared" si="26"/>
        <v>502.01657144537489</v>
      </c>
      <c r="Q80" s="3">
        <f t="shared" si="27"/>
        <v>105077.07002305574</v>
      </c>
      <c r="R80" s="41">
        <f t="shared" si="28"/>
        <v>2.1390028562713784E-2</v>
      </c>
      <c r="S80" s="83">
        <f t="shared" si="31"/>
        <v>4.7936504997998649E-5</v>
      </c>
    </row>
    <row r="81" spans="1:19" x14ac:dyDescent="0.2">
      <c r="A81" s="14">
        <v>46048</v>
      </c>
      <c r="B81" s="21">
        <v>134.84</v>
      </c>
      <c r="C81" s="22">
        <v>-0.12999999999999501</v>
      </c>
      <c r="D81" s="11">
        <v>-9.6317700229677297E-4</v>
      </c>
      <c r="E81" s="1">
        <f t="shared" si="32"/>
        <v>2.6424395755844687E-4</v>
      </c>
      <c r="F81" s="2">
        <f t="shared" si="20"/>
        <v>391.25889368743395</v>
      </c>
      <c r="G81" s="12">
        <f t="shared" si="21"/>
        <v>0.77716816499206776</v>
      </c>
      <c r="H81" s="23">
        <f t="shared" si="22"/>
        <v>52757.349224813595</v>
      </c>
      <c r="I81" s="21">
        <v>470.28</v>
      </c>
      <c r="J81" s="22">
        <v>4.3299999999999796</v>
      </c>
      <c r="K81" s="11">
        <v>9.2928425796759001E-3</v>
      </c>
      <c r="L81" s="1">
        <f t="shared" si="30"/>
        <v>2.1509938391173103E-4</v>
      </c>
      <c r="M81" s="3">
        <f t="shared" si="23"/>
        <v>112.18284686742706</v>
      </c>
      <c r="N81" s="6">
        <f t="shared" si="24"/>
        <v>0.22283183500793233</v>
      </c>
      <c r="O81" s="35">
        <f t="shared" si="25"/>
        <v>52757.349224813595</v>
      </c>
      <c r="P81" s="39">
        <f t="shared" si="26"/>
        <v>503.44174055486098</v>
      </c>
      <c r="Q81" s="3">
        <f t="shared" si="27"/>
        <v>105514.69844962719</v>
      </c>
      <c r="R81" s="41">
        <f t="shared" si="28"/>
        <v>4.164832788689541E-3</v>
      </c>
      <c r="S81" s="83">
        <f t="shared" si="31"/>
        <v>7.2512314012941435E-5</v>
      </c>
    </row>
    <row r="82" spans="1:19" x14ac:dyDescent="0.2">
      <c r="A82" s="14">
        <v>46049</v>
      </c>
      <c r="B82" s="21">
        <v>136.83000000000001</v>
      </c>
      <c r="C82" s="22">
        <v>1.99000000000001</v>
      </c>
      <c r="D82" s="11">
        <v>1.4758231978641401E-2</v>
      </c>
      <c r="E82" s="1">
        <f t="shared" si="32"/>
        <v>2.484449827012052E-4</v>
      </c>
      <c r="F82" s="2">
        <f t="shared" si="20"/>
        <v>392.6360701995165</v>
      </c>
      <c r="G82" s="12">
        <f t="shared" si="21"/>
        <v>0.77838065467031625</v>
      </c>
      <c r="H82" s="23">
        <f t="shared" si="22"/>
        <v>53724.393485399843</v>
      </c>
      <c r="I82" s="21">
        <v>480.58</v>
      </c>
      <c r="J82" s="22">
        <v>10.3</v>
      </c>
      <c r="K82" s="11">
        <v>2.19018457089394E-2</v>
      </c>
      <c r="L82" s="1">
        <f t="shared" si="30"/>
        <v>2.0737483626966541E-4</v>
      </c>
      <c r="M82" s="3">
        <f t="shared" si="23"/>
        <v>111.79073928461411</v>
      </c>
      <c r="N82" s="6">
        <f t="shared" si="24"/>
        <v>0.22161934532968369</v>
      </c>
      <c r="O82" s="35">
        <f t="shared" si="25"/>
        <v>53724.393485399843</v>
      </c>
      <c r="P82" s="39">
        <f t="shared" si="26"/>
        <v>504.42680948413062</v>
      </c>
      <c r="Q82" s="3">
        <f t="shared" si="27"/>
        <v>107448.78697079969</v>
      </c>
      <c r="R82" s="41">
        <f t="shared" si="28"/>
        <v>1.8330038843790392E-2</v>
      </c>
      <c r="S82" s="83">
        <f t="shared" si="31"/>
        <v>6.9202325101629556E-5</v>
      </c>
    </row>
    <row r="83" spans="1:19" x14ac:dyDescent="0.2">
      <c r="A83" s="14">
        <v>46050</v>
      </c>
      <c r="B83" s="21">
        <v>137.58000000000001</v>
      </c>
      <c r="C83" s="22">
        <v>0.75</v>
      </c>
      <c r="D83" s="11">
        <v>5.4812541109405801E-3</v>
      </c>
      <c r="E83" s="1">
        <f t="shared" si="32"/>
        <v>2.466066084072565E-4</v>
      </c>
      <c r="F83" s="2">
        <f t="shared" si="20"/>
        <v>391.99245638791308</v>
      </c>
      <c r="G83" s="12">
        <f t="shared" si="21"/>
        <v>0.77781366579997091</v>
      </c>
      <c r="H83" s="23">
        <f t="shared" si="22"/>
        <v>53930.322149849089</v>
      </c>
      <c r="I83" s="21">
        <v>481.63</v>
      </c>
      <c r="J83" s="22">
        <v>1.05000000000001</v>
      </c>
      <c r="K83" s="11">
        <v>2.1848599608806302E-3</v>
      </c>
      <c r="L83" s="1">
        <f t="shared" si="30"/>
        <v>2.2371379682097675E-4</v>
      </c>
      <c r="M83" s="3">
        <f t="shared" si="23"/>
        <v>111.97459076438156</v>
      </c>
      <c r="N83" s="6">
        <f t="shared" si="24"/>
        <v>0.22218633420002909</v>
      </c>
      <c r="O83" s="35">
        <f t="shared" si="25"/>
        <v>53930.322149849089</v>
      </c>
      <c r="P83" s="39">
        <f t="shared" si="26"/>
        <v>503.96704715229464</v>
      </c>
      <c r="Q83" s="3">
        <f t="shared" si="27"/>
        <v>107860.64429969818</v>
      </c>
      <c r="R83" s="41">
        <f t="shared" si="28"/>
        <v>3.8330570359106815E-3</v>
      </c>
      <c r="S83" s="83">
        <f t="shared" si="31"/>
        <v>8.5209605036423676E-5</v>
      </c>
    </row>
    <row r="84" spans="1:19" x14ac:dyDescent="0.2">
      <c r="A84" s="14">
        <v>46051</v>
      </c>
      <c r="B84" s="21">
        <v>140.51</v>
      </c>
      <c r="C84" s="22">
        <v>2.9299999999999802</v>
      </c>
      <c r="D84" s="11">
        <v>2.1296700101758801E-2</v>
      </c>
      <c r="E84" s="1">
        <f t="shared" si="32"/>
        <v>2.3361286070054329E-4</v>
      </c>
      <c r="F84" s="2">
        <f t="shared" si="20"/>
        <v>368.72765334647028</v>
      </c>
      <c r="G84" s="12">
        <f t="shared" si="21"/>
        <v>0.75521332380968975</v>
      </c>
      <c r="H84" s="23">
        <f t="shared" si="22"/>
        <v>51809.922571712537</v>
      </c>
      <c r="I84" s="21">
        <v>433.5</v>
      </c>
      <c r="J84" s="22">
        <v>-48.13</v>
      </c>
      <c r="K84" s="11">
        <v>-9.9931482673421501E-2</v>
      </c>
      <c r="L84" s="1">
        <f>U$3*L83+(1-U$3)*K83^2</f>
        <v>2.105773857946377E-4</v>
      </c>
      <c r="M84" s="3">
        <f t="shared" si="23"/>
        <v>119.51539232228959</v>
      </c>
      <c r="N84" s="6">
        <f t="shared" si="24"/>
        <v>0.24478667619031025</v>
      </c>
      <c r="O84" s="35">
        <f t="shared" si="25"/>
        <v>51809.922571712537</v>
      </c>
      <c r="P84" s="39">
        <f t="shared" si="26"/>
        <v>488.24304566875986</v>
      </c>
      <c r="Q84" s="3">
        <f t="shared" si="27"/>
        <v>103619.84514342507</v>
      </c>
      <c r="R84" s="41">
        <f t="shared" si="28"/>
        <v>-3.931739128583131E-2</v>
      </c>
      <c r="S84" s="83">
        <f t="shared" si="31"/>
        <v>8.0978568308670912E-5</v>
      </c>
    </row>
    <row r="85" spans="1:19" x14ac:dyDescent="0.2">
      <c r="A85" s="14">
        <v>46052</v>
      </c>
      <c r="B85" s="21">
        <v>141.4</v>
      </c>
      <c r="C85" s="22">
        <v>0.890000000000015</v>
      </c>
      <c r="D85" s="11">
        <v>6.3340687495552998E-3</v>
      </c>
      <c r="E85" s="1">
        <f t="shared" si="32"/>
        <v>2.4680905517196591E-4</v>
      </c>
      <c r="F85" s="2">
        <f t="shared" si="20"/>
        <v>366.21063771410496</v>
      </c>
      <c r="G85" s="12">
        <f t="shared" si="21"/>
        <v>0.75266315660585281</v>
      </c>
      <c r="H85" s="23">
        <f t="shared" si="22"/>
        <v>51782.184172774447</v>
      </c>
      <c r="I85" s="21">
        <v>430.29</v>
      </c>
      <c r="J85" s="22">
        <v>-3.20999999999998</v>
      </c>
      <c r="K85" s="11">
        <v>-7.4048442906573904E-3</v>
      </c>
      <c r="L85" s="1">
        <f t="shared" ref="L85:L102" si="33">U$3*L84+(1-U$3)*K84^2</f>
        <v>7.9712081640546039E-4</v>
      </c>
      <c r="M85" s="3">
        <f t="shared" si="23"/>
        <v>120.34252288636604</v>
      </c>
      <c r="N85" s="6">
        <f t="shared" si="24"/>
        <v>0.24733684339414719</v>
      </c>
      <c r="O85" s="35">
        <f t="shared" si="25"/>
        <v>51782.184172774447</v>
      </c>
      <c r="P85" s="39">
        <f t="shared" si="26"/>
        <v>486.55316060047102</v>
      </c>
      <c r="Q85" s="3">
        <f t="shared" si="27"/>
        <v>103564.36834554889</v>
      </c>
      <c r="R85" s="41">
        <f t="shared" si="28"/>
        <v>-5.3538777055102762E-4</v>
      </c>
      <c r="S85" s="83">
        <f t="shared" si="31"/>
        <v>1.6887128966154057E-4</v>
      </c>
    </row>
    <row r="86" spans="1:19" x14ac:dyDescent="0.2">
      <c r="A86" s="14">
        <v>46055</v>
      </c>
      <c r="B86" s="21">
        <v>138.4</v>
      </c>
      <c r="C86" s="22">
        <v>-3</v>
      </c>
      <c r="D86" s="11">
        <v>-2.12164073550212E-2</v>
      </c>
      <c r="E86" s="1">
        <f t="shared" si="32"/>
        <v>2.3440773747709353E-4</v>
      </c>
      <c r="F86" s="2">
        <f t="shared" si="20"/>
        <v>367.17112057092817</v>
      </c>
      <c r="G86" s="12">
        <f t="shared" si="21"/>
        <v>0.75363582960998277</v>
      </c>
      <c r="H86" s="23">
        <f t="shared" si="22"/>
        <v>50816.483087016459</v>
      </c>
      <c r="I86" s="21">
        <v>423.37</v>
      </c>
      <c r="J86" s="22">
        <v>-6.9200000000000204</v>
      </c>
      <c r="K86" s="11">
        <v>-1.60821771363499E-2</v>
      </c>
      <c r="L86" s="1">
        <f t="shared" si="33"/>
        <v>7.5258347055926563E-4</v>
      </c>
      <c r="M86" s="3">
        <f t="shared" si="23"/>
        <v>120.0285402532453</v>
      </c>
      <c r="N86" s="6">
        <f t="shared" si="24"/>
        <v>0.24636417039001729</v>
      </c>
      <c r="O86" s="35">
        <f t="shared" si="25"/>
        <v>50816.483087016459</v>
      </c>
      <c r="P86" s="39">
        <f t="shared" si="26"/>
        <v>487.19966082417346</v>
      </c>
      <c r="Q86" s="3">
        <f t="shared" si="27"/>
        <v>101632.96617403292</v>
      </c>
      <c r="R86" s="41">
        <f t="shared" si="28"/>
        <v>-1.8649292245685636E-2</v>
      </c>
      <c r="S86" s="83">
        <f t="shared" si="31"/>
        <v>1.5875621068573947E-4</v>
      </c>
    </row>
    <row r="87" spans="1:19" x14ac:dyDescent="0.2">
      <c r="A87" s="14">
        <v>46056</v>
      </c>
      <c r="B87" s="21">
        <v>143.72999999999999</v>
      </c>
      <c r="C87" s="22">
        <v>5.3299999999999796</v>
      </c>
      <c r="D87" s="11">
        <v>3.8511560693641499E-2</v>
      </c>
      <c r="E87" s="1">
        <f t="shared" si="32"/>
        <v>2.473514296917198E-4</v>
      </c>
      <c r="F87" s="2">
        <f t="shared" si="20"/>
        <v>355.28574826826861</v>
      </c>
      <c r="G87" s="12">
        <f t="shared" si="21"/>
        <v>0.7409990269218294</v>
      </c>
      <c r="H87" s="23">
        <f t="shared" si="22"/>
        <v>51065.220598598244</v>
      </c>
      <c r="I87" s="21">
        <v>411.21</v>
      </c>
      <c r="J87" s="22">
        <v>-12.16</v>
      </c>
      <c r="K87" s="11">
        <v>-2.8721921723315402E-2</v>
      </c>
      <c r="L87" s="1">
        <f t="shared" si="33"/>
        <v>7.2294664761240579E-4</v>
      </c>
      <c r="M87" s="3">
        <f t="shared" si="23"/>
        <v>124.18282774883453</v>
      </c>
      <c r="N87" s="6">
        <f t="shared" si="24"/>
        <v>0.2590009730781706</v>
      </c>
      <c r="O87" s="35">
        <f t="shared" si="25"/>
        <v>51065.220598598244</v>
      </c>
      <c r="P87" s="39">
        <f t="shared" si="26"/>
        <v>479.46857601710315</v>
      </c>
      <c r="Q87" s="3">
        <f t="shared" si="27"/>
        <v>102130.44119719649</v>
      </c>
      <c r="R87" s="41">
        <f t="shared" si="28"/>
        <v>4.8948194851630147E-3</v>
      </c>
      <c r="S87" s="83">
        <f t="shared" si="31"/>
        <v>1.7009860412049455E-4</v>
      </c>
    </row>
    <row r="88" spans="1:19" x14ac:dyDescent="0.2">
      <c r="A88" s="14">
        <v>46057</v>
      </c>
      <c r="B88" s="21">
        <v>147.59</v>
      </c>
      <c r="C88" s="22">
        <v>3.8600000000000101</v>
      </c>
      <c r="D88" s="11">
        <v>2.6855910387532302E-2</v>
      </c>
      <c r="E88" s="1">
        <f t="shared" si="32"/>
        <v>3.2149876233381861E-4</v>
      </c>
      <c r="F88" s="2">
        <f t="shared" si="20"/>
        <v>351.89345149469318</v>
      </c>
      <c r="G88" s="12">
        <f t="shared" si="21"/>
        <v>0.73728149809533983</v>
      </c>
      <c r="H88" s="23">
        <f t="shared" si="22"/>
        <v>51935.954506101771</v>
      </c>
      <c r="I88" s="21">
        <v>414.19</v>
      </c>
      <c r="J88" s="22">
        <v>2.98000000000002</v>
      </c>
      <c r="K88" s="11">
        <v>7.2469054740887098E-3</v>
      </c>
      <c r="L88" s="1">
        <f t="shared" si="33"/>
        <v>7.2906677600447693E-4</v>
      </c>
      <c r="M88" s="3">
        <f t="shared" si="23"/>
        <v>125.39161859557636</v>
      </c>
      <c r="N88" s="6">
        <f t="shared" si="24"/>
        <v>0.26271850190466023</v>
      </c>
      <c r="O88" s="35">
        <f t="shared" si="25"/>
        <v>51935.954506101771</v>
      </c>
      <c r="P88" s="39">
        <f t="shared" si="26"/>
        <v>477.28507009026953</v>
      </c>
      <c r="Q88" s="3">
        <f t="shared" si="27"/>
        <v>103871.90901220354</v>
      </c>
      <c r="R88" s="41">
        <f t="shared" si="28"/>
        <v>1.7051407930810523E-2</v>
      </c>
      <c r="S88" s="83">
        <f t="shared" si="31"/>
        <v>1.6133024334080478E-4</v>
      </c>
    </row>
    <row r="89" spans="1:19" x14ac:dyDescent="0.2">
      <c r="A89" s="14">
        <v>46058</v>
      </c>
      <c r="B89" s="21">
        <v>146.08000000000001</v>
      </c>
      <c r="C89" s="22">
        <v>-1.50999999999999</v>
      </c>
      <c r="D89" s="11">
        <v>-1.0231045463784699E-2</v>
      </c>
      <c r="E89" s="1">
        <f t="shared" si="32"/>
        <v>3.4548323195837942E-4</v>
      </c>
      <c r="F89" s="2">
        <f t="shared" si="20"/>
        <v>344.90523646928165</v>
      </c>
      <c r="G89" s="12">
        <f t="shared" si="21"/>
        <v>0.72935618341824915</v>
      </c>
      <c r="H89" s="23">
        <f t="shared" si="22"/>
        <v>50383.756943432665</v>
      </c>
      <c r="I89" s="21">
        <v>393.67</v>
      </c>
      <c r="J89" s="22">
        <v>-20.52</v>
      </c>
      <c r="K89" s="11">
        <v>-4.9542480504116401E-2</v>
      </c>
      <c r="L89" s="1">
        <f t="shared" si="33"/>
        <v>6.8847382778123092E-4</v>
      </c>
      <c r="M89" s="3">
        <f t="shared" si="23"/>
        <v>127.98475104385059</v>
      </c>
      <c r="N89" s="6">
        <f t="shared" si="24"/>
        <v>0.2706438165817508</v>
      </c>
      <c r="O89" s="35">
        <f t="shared" si="25"/>
        <v>50383.756943432665</v>
      </c>
      <c r="P89" s="39">
        <f t="shared" si="26"/>
        <v>472.88998751313227</v>
      </c>
      <c r="Q89" s="3">
        <f t="shared" si="27"/>
        <v>100767.51388686533</v>
      </c>
      <c r="R89" s="41">
        <f t="shared" si="28"/>
        <v>-2.9886762983950616E-2</v>
      </c>
      <c r="S89" s="83">
        <f t="shared" si="31"/>
        <v>1.6909545948573098E-4</v>
      </c>
    </row>
    <row r="90" spans="1:19" x14ac:dyDescent="0.2">
      <c r="A90" s="14">
        <v>46059</v>
      </c>
      <c r="B90" s="21">
        <v>149.05000000000001</v>
      </c>
      <c r="C90" s="22">
        <v>2.97</v>
      </c>
      <c r="D90" s="11">
        <v>2.0331325301204801E-2</v>
      </c>
      <c r="E90" s="1">
        <f t="shared" si="32"/>
        <v>3.3103469551779843E-4</v>
      </c>
      <c r="F90" s="2">
        <f t="shared" si="20"/>
        <v>344.67604337295086</v>
      </c>
      <c r="G90" s="12">
        <f t="shared" si="21"/>
        <v>0.72909358585216011</v>
      </c>
      <c r="H90" s="23">
        <f t="shared" si="22"/>
        <v>51373.96426473833</v>
      </c>
      <c r="I90" s="21">
        <v>401.14</v>
      </c>
      <c r="J90" s="22">
        <v>7.4699999999999704</v>
      </c>
      <c r="K90" s="11">
        <v>1.8975283867198298E-2</v>
      </c>
      <c r="L90" s="1">
        <f t="shared" si="33"/>
        <v>7.944328405844023E-4</v>
      </c>
      <c r="M90" s="3">
        <f t="shared" si="23"/>
        <v>128.06991141431504</v>
      </c>
      <c r="N90" s="6">
        <f t="shared" si="24"/>
        <v>0.27090641414783989</v>
      </c>
      <c r="O90" s="35">
        <f t="shared" si="25"/>
        <v>51373.96426473833</v>
      </c>
      <c r="P90" s="39">
        <f t="shared" si="26"/>
        <v>472.74595478726587</v>
      </c>
      <c r="Q90" s="3">
        <f t="shared" si="27"/>
        <v>102747.92852947666</v>
      </c>
      <c r="R90" s="41">
        <f t="shared" si="28"/>
        <v>1.9653304584201604E-2</v>
      </c>
      <c r="S90" s="83">
        <f t="shared" si="31"/>
        <v>2.1254284801611759E-4</v>
      </c>
    </row>
    <row r="91" spans="1:19" x14ac:dyDescent="0.2">
      <c r="A91" s="14">
        <v>46062</v>
      </c>
      <c r="B91" s="21">
        <v>151.21</v>
      </c>
      <c r="C91" s="22">
        <v>2.16</v>
      </c>
      <c r="D91" s="11">
        <v>1.4491781281449199E-2</v>
      </c>
      <c r="E91" s="1">
        <f t="shared" si="32"/>
        <v>3.3597438109693516E-4</v>
      </c>
      <c r="F91" s="2">
        <f t="shared" si="20"/>
        <v>347.4908401540394</v>
      </c>
      <c r="G91" s="12">
        <f t="shared" si="21"/>
        <v>0.73228165223703545</v>
      </c>
      <c r="H91" s="23">
        <f t="shared" si="22"/>
        <v>52544.089939692305</v>
      </c>
      <c r="I91" s="21">
        <v>413.6</v>
      </c>
      <c r="J91" s="22">
        <v>12.46</v>
      </c>
      <c r="K91" s="11">
        <v>3.1061474796829101E-2</v>
      </c>
      <c r="L91" s="1">
        <f t="shared" si="33"/>
        <v>7.6837055401978349E-4</v>
      </c>
      <c r="M91" s="3">
        <f t="shared" si="23"/>
        <v>127.04083641124831</v>
      </c>
      <c r="N91" s="6">
        <f t="shared" si="24"/>
        <v>0.26771834776296455</v>
      </c>
      <c r="O91" s="35">
        <f t="shared" si="25"/>
        <v>52544.089939692305</v>
      </c>
      <c r="P91" s="39">
        <f t="shared" si="26"/>
        <v>474.53167656528774</v>
      </c>
      <c r="Q91" s="3">
        <f t="shared" si="27"/>
        <v>105088.17987938461</v>
      </c>
      <c r="R91" s="41">
        <f t="shared" si="28"/>
        <v>2.277662803913922E-2</v>
      </c>
      <c r="S91" s="83">
        <f t="shared" si="31"/>
        <v>2.2296541999991453E-4</v>
      </c>
    </row>
    <row r="92" spans="1:19" x14ac:dyDescent="0.2">
      <c r="A92" s="14">
        <v>46063</v>
      </c>
      <c r="B92" s="21">
        <v>151.59</v>
      </c>
      <c r="C92" s="22">
        <v>0.37999999999999501</v>
      </c>
      <c r="D92" s="11">
        <v>2.5130613054691799E-3</v>
      </c>
      <c r="E92" s="1">
        <f t="shared" si="32"/>
        <v>3.2841662171368069E-4</v>
      </c>
      <c r="F92" s="2">
        <f t="shared" si="20"/>
        <v>346.91702263548854</v>
      </c>
      <c r="G92" s="12">
        <f t="shared" si="21"/>
        <v>0.73163261693162907</v>
      </c>
      <c r="H92" s="23">
        <f t="shared" si="22"/>
        <v>52589.151461313711</v>
      </c>
      <c r="I92" s="21">
        <v>413.27</v>
      </c>
      <c r="J92" s="22">
        <v>-0.33000000000004098</v>
      </c>
      <c r="K92" s="11">
        <v>-7.9787234042563097E-4</v>
      </c>
      <c r="L92" s="1">
        <f t="shared" si="33"/>
        <v>7.8015723377183952E-4</v>
      </c>
      <c r="M92" s="3">
        <f t="shared" si="23"/>
        <v>127.2513162371179</v>
      </c>
      <c r="N92" s="6">
        <f t="shared" si="24"/>
        <v>0.26836738306837093</v>
      </c>
      <c r="O92" s="35">
        <f t="shared" si="25"/>
        <v>52589.151461313711</v>
      </c>
      <c r="P92" s="39">
        <f t="shared" si="26"/>
        <v>474.16833887260645</v>
      </c>
      <c r="Q92" s="3">
        <f t="shared" si="27"/>
        <v>105178.30292262742</v>
      </c>
      <c r="R92" s="41">
        <f t="shared" si="28"/>
        <v>8.5759448252174461E-4</v>
      </c>
      <c r="S92" s="83">
        <f t="shared" si="31"/>
        <v>2.4071398188991783E-4</v>
      </c>
    </row>
    <row r="93" spans="1:19" x14ac:dyDescent="0.2">
      <c r="A93" s="14">
        <v>46064</v>
      </c>
      <c r="B93" s="21">
        <v>155.56</v>
      </c>
      <c r="C93" s="22">
        <v>3.97</v>
      </c>
      <c r="D93" s="11">
        <v>2.61890626030741E-2</v>
      </c>
      <c r="E93" s="1">
        <f t="shared" si="32"/>
        <v>3.0909055303836265E-4</v>
      </c>
      <c r="F93" s="2">
        <f t="shared" si="20"/>
        <v>338.85004753143471</v>
      </c>
      <c r="G93" s="12">
        <f t="shared" si="21"/>
        <v>0.72217955815905555</v>
      </c>
      <c r="H93" s="23">
        <f t="shared" si="22"/>
        <v>52711.513393989982</v>
      </c>
      <c r="I93" s="21">
        <v>404.37</v>
      </c>
      <c r="J93" s="22">
        <v>-8.8999999999999808</v>
      </c>
      <c r="K93" s="11">
        <v>-2.1535557867737701E-2</v>
      </c>
      <c r="L93" s="1">
        <f t="shared" si="33"/>
        <v>7.333859957618261E-4</v>
      </c>
      <c r="M93" s="3">
        <f t="shared" si="23"/>
        <v>130.35465883717879</v>
      </c>
      <c r="N93" s="6">
        <f t="shared" si="24"/>
        <v>0.2778204418409444</v>
      </c>
      <c r="O93" s="35">
        <f t="shared" si="25"/>
        <v>52711.513393989982</v>
      </c>
      <c r="P93" s="39">
        <f t="shared" si="26"/>
        <v>469.20470636861353</v>
      </c>
      <c r="Q93" s="3">
        <f t="shared" si="27"/>
        <v>105423.02678797996</v>
      </c>
      <c r="R93" s="41">
        <f t="shared" si="28"/>
        <v>2.326752367668156E-3</v>
      </c>
      <c r="S93" s="83">
        <f t="shared" si="31"/>
        <v>2.2631527107430985E-4</v>
      </c>
    </row>
    <row r="94" spans="1:19" x14ac:dyDescent="0.2">
      <c r="A94" s="14">
        <v>46065</v>
      </c>
      <c r="B94" s="21">
        <v>149.93</v>
      </c>
      <c r="C94" s="22">
        <v>-5.63</v>
      </c>
      <c r="D94" s="11">
        <v>-3.61918230907688E-2</v>
      </c>
      <c r="E94" s="1">
        <f t="shared" si="32"/>
        <v>3.3169713985772495E-4</v>
      </c>
      <c r="F94" s="2">
        <f t="shared" si="20"/>
        <v>344.11226483532289</v>
      </c>
      <c r="G94" s="12">
        <f t="shared" si="21"/>
        <v>0.72827446218533076</v>
      </c>
      <c r="H94" s="23">
        <f t="shared" si="22"/>
        <v>51592.751866759965</v>
      </c>
      <c r="I94" s="21">
        <v>401.84</v>
      </c>
      <c r="J94" s="22">
        <v>-2.53000000000003</v>
      </c>
      <c r="K94" s="11">
        <v>-6.2566461409106298E-3</v>
      </c>
      <c r="L94" s="1">
        <f t="shared" si="33"/>
        <v>7.1720965117659725E-4</v>
      </c>
      <c r="M94" s="3">
        <f t="shared" si="23"/>
        <v>128.39127977991234</v>
      </c>
      <c r="N94" s="6">
        <f t="shared" si="24"/>
        <v>0.27172553781466918</v>
      </c>
      <c r="O94" s="35">
        <f t="shared" si="25"/>
        <v>51592.751866759965</v>
      </c>
      <c r="P94" s="39">
        <f t="shared" si="26"/>
        <v>472.50354461523523</v>
      </c>
      <c r="Q94" s="3">
        <f t="shared" si="27"/>
        <v>103185.50373351993</v>
      </c>
      <c r="R94" s="41">
        <f t="shared" si="28"/>
        <v>-2.1224234615839645E-2</v>
      </c>
      <c r="S94" s="83">
        <f t="shared" si="31"/>
        <v>2.1306118140467821E-4</v>
      </c>
    </row>
    <row r="95" spans="1:19" x14ac:dyDescent="0.2">
      <c r="A95" s="14">
        <v>46066</v>
      </c>
      <c r="B95" s="21">
        <v>148.44999999999999</v>
      </c>
      <c r="C95" s="22">
        <v>-1.48000000000002</v>
      </c>
      <c r="D95" s="11">
        <v>-9.8712732608551897E-3</v>
      </c>
      <c r="E95" s="1">
        <f>U$3*E94+(1-U$3)*D94^2</f>
        <v>3.9038619498427184E-4</v>
      </c>
      <c r="F95" s="2">
        <f t="shared" si="20"/>
        <v>345.60274205482688</v>
      </c>
      <c r="G95" s="12">
        <f t="shared" si="21"/>
        <v>0.72997799079615122</v>
      </c>
      <c r="H95" s="23">
        <f t="shared" si="22"/>
        <v>51304.727058039047</v>
      </c>
      <c r="I95" s="21">
        <v>401.32</v>
      </c>
      <c r="J95" s="22">
        <v>-0.51999999999998203</v>
      </c>
      <c r="K95" s="11">
        <v>-1.2940473820425599E-3</v>
      </c>
      <c r="L95" s="1">
        <f t="shared" si="33"/>
        <v>6.7652580936195569E-4</v>
      </c>
      <c r="M95" s="3">
        <f t="shared" si="23"/>
        <v>127.83994582387882</v>
      </c>
      <c r="N95" s="6">
        <f t="shared" si="24"/>
        <v>0.27002200920384889</v>
      </c>
      <c r="O95" s="35">
        <f t="shared" si="25"/>
        <v>51304.727058039047</v>
      </c>
      <c r="P95" s="39">
        <f t="shared" si="26"/>
        <v>473.44268787870567</v>
      </c>
      <c r="Q95" s="3">
        <f t="shared" si="27"/>
        <v>102609.45411607809</v>
      </c>
      <c r="R95" s="41">
        <f t="shared" si="28"/>
        <v>-5.5826603214488776E-3</v>
      </c>
      <c r="S95" s="83">
        <f t="shared" si="31"/>
        <v>2.2730559862208988E-4</v>
      </c>
    </row>
    <row r="96" spans="1:19" x14ac:dyDescent="0.2">
      <c r="A96" s="14">
        <v>46070</v>
      </c>
      <c r="B96" s="21">
        <v>146.19</v>
      </c>
      <c r="C96" s="22">
        <v>-2.25999999999999</v>
      </c>
      <c r="D96" s="11">
        <v>-1.52239811384304E-2</v>
      </c>
      <c r="E96" s="1">
        <f t="shared" si="32"/>
        <v>3.7280954543264397E-4</v>
      </c>
      <c r="F96" s="2">
        <f t="shared" si="20"/>
        <v>346.32405007408067</v>
      </c>
      <c r="G96" s="12">
        <f t="shared" si="21"/>
        <v>0.73079826903600043</v>
      </c>
      <c r="H96" s="23">
        <f t="shared" si="22"/>
        <v>50629.112880329849</v>
      </c>
      <c r="I96" s="21">
        <v>396.86</v>
      </c>
      <c r="J96" s="22">
        <v>-4.4599999999999804</v>
      </c>
      <c r="K96" s="11">
        <v>-1.11133260241204E-2</v>
      </c>
      <c r="L96" s="1">
        <f t="shared" si="33"/>
        <v>6.3603473431785658E-4</v>
      </c>
      <c r="M96" s="3">
        <f t="shared" si="23"/>
        <v>127.57423998470455</v>
      </c>
      <c r="N96" s="6">
        <f t="shared" si="24"/>
        <v>0.26920173096399963</v>
      </c>
      <c r="O96" s="35">
        <f t="shared" si="25"/>
        <v>50629.112880329849</v>
      </c>
      <c r="P96" s="39">
        <f t="shared" si="26"/>
        <v>473.89829005878522</v>
      </c>
      <c r="Q96" s="3">
        <f t="shared" si="27"/>
        <v>101258.2257606597</v>
      </c>
      <c r="R96" s="41">
        <f t="shared" si="28"/>
        <v>-1.3168653581275306E-2</v>
      </c>
      <c r="S96" s="83">
        <f t="shared" si="31"/>
        <v>2.1553722848064526E-4</v>
      </c>
    </row>
    <row r="97" spans="1:19" x14ac:dyDescent="0.2">
      <c r="A97" s="14">
        <v>46071</v>
      </c>
      <c r="B97" s="21">
        <v>150.68</v>
      </c>
      <c r="C97" s="22">
        <v>4.49000000000001</v>
      </c>
      <c r="D97" s="11">
        <v>3.0713455092687698E-2</v>
      </c>
      <c r="E97" s="1">
        <f>U$3*E96+(1-U$3)*D96^2</f>
        <v>3.6434714880888243E-4</v>
      </c>
      <c r="F97" s="2">
        <f t="shared" si="20"/>
        <v>342.32404487340858</v>
      </c>
      <c r="G97" s="12">
        <f t="shared" si="21"/>
        <v>0.72617576506505777</v>
      </c>
      <c r="H97" s="23">
        <f t="shared" si="22"/>
        <v>51581.387081525208</v>
      </c>
      <c r="I97" s="21">
        <v>399.6</v>
      </c>
      <c r="J97" s="22">
        <v>2.74000000000001</v>
      </c>
      <c r="K97" s="11">
        <v>6.9041979539384403E-3</v>
      </c>
      <c r="L97" s="1">
        <f t="shared" si="33"/>
        <v>6.0528301117788866E-4</v>
      </c>
      <c r="M97" s="3">
        <f t="shared" si="23"/>
        <v>129.08255025406709</v>
      </c>
      <c r="N97" s="6">
        <f t="shared" si="24"/>
        <v>0.27382423493494223</v>
      </c>
      <c r="O97" s="35">
        <f t="shared" si="25"/>
        <v>51581.387081525208</v>
      </c>
      <c r="P97" s="39">
        <f t="shared" si="26"/>
        <v>471.40659512747567</v>
      </c>
      <c r="Q97" s="3">
        <f t="shared" si="27"/>
        <v>103162.77416305042</v>
      </c>
      <c r="R97" s="41">
        <f t="shared" si="28"/>
        <v>1.8808826523313074E-2</v>
      </c>
      <c r="S97" s="83">
        <f t="shared" si="31"/>
        <v>2.1300980100042466E-4</v>
      </c>
    </row>
    <row r="98" spans="1:19" x14ac:dyDescent="0.2">
      <c r="A98" s="14">
        <v>46072</v>
      </c>
      <c r="B98" s="21">
        <v>150.97</v>
      </c>
      <c r="C98" s="22">
        <v>0.28999999999999199</v>
      </c>
      <c r="D98" s="11">
        <v>1.92460844173077E-3</v>
      </c>
      <c r="E98" s="1">
        <f t="shared" ref="E98:E127" si="34">U$3*E97+(1-U$3)*D97^2</f>
        <v>3.9908529930418211E-4</v>
      </c>
      <c r="F98" s="2">
        <f t="shared" si="20"/>
        <v>341.50789570369631</v>
      </c>
      <c r="G98" s="12">
        <f t="shared" si="21"/>
        <v>0.72522432338969478</v>
      </c>
      <c r="H98" s="23">
        <f t="shared" si="22"/>
        <v>51557.447014387028</v>
      </c>
      <c r="I98" s="21">
        <v>398.46</v>
      </c>
      <c r="J98" s="22">
        <v>-1.1400000000000401</v>
      </c>
      <c r="K98" s="11">
        <v>-2.85285285285296E-3</v>
      </c>
      <c r="L98" s="1">
        <f t="shared" si="33"/>
        <v>5.7182610747044541E-4</v>
      </c>
      <c r="M98" s="3">
        <f t="shared" si="23"/>
        <v>129.39177587307893</v>
      </c>
      <c r="N98" s="6">
        <f t="shared" si="24"/>
        <v>0.27477567661030522</v>
      </c>
      <c r="O98" s="35">
        <f t="shared" si="25"/>
        <v>51557.447014387028</v>
      </c>
      <c r="P98" s="39">
        <f t="shared" si="26"/>
        <v>470.89967157677523</v>
      </c>
      <c r="Q98" s="3">
        <f t="shared" si="27"/>
        <v>103114.89402877406</v>
      </c>
      <c r="R98" s="41">
        <f t="shared" si="28"/>
        <v>-4.6412220556115005E-4</v>
      </c>
      <c r="S98" s="83">
        <f t="shared" si="31"/>
        <v>2.214555302514443E-4</v>
      </c>
    </row>
    <row r="99" spans="1:19" x14ac:dyDescent="0.2">
      <c r="A99" s="14">
        <v>46073</v>
      </c>
      <c r="B99" s="21">
        <v>147.28</v>
      </c>
      <c r="C99" s="22">
        <v>-3.69</v>
      </c>
      <c r="D99" s="11">
        <v>-2.44419421077035E-2</v>
      </c>
      <c r="E99" s="1">
        <f t="shared" si="34"/>
        <v>3.7536242840517002E-4</v>
      </c>
      <c r="F99" s="2">
        <f t="shared" ref="F99:F127" si="35">H99/B99</f>
        <v>345.24571567525646</v>
      </c>
      <c r="G99" s="12">
        <f t="shared" ref="G99:G127" si="36">F99/P99</f>
        <v>0.72951828249251627</v>
      </c>
      <c r="H99" s="23">
        <f t="shared" ref="H99:H127" si="37">Q99/2</f>
        <v>50847.789004651771</v>
      </c>
      <c r="I99" s="21">
        <v>397.23</v>
      </c>
      <c r="J99" s="22">
        <v>-1.22999999999996</v>
      </c>
      <c r="K99" s="11">
        <v>-3.0868845053454801E-3</v>
      </c>
      <c r="L99" s="1">
        <f t="shared" si="33"/>
        <v>5.3800486718622053E-4</v>
      </c>
      <c r="M99" s="3">
        <f t="shared" ref="M99:M127" si="38">O99/I99</f>
        <v>128.00591346235623</v>
      </c>
      <c r="N99" s="6">
        <f t="shared" ref="N99:N127" si="39">M99/P99</f>
        <v>0.27048171750748379</v>
      </c>
      <c r="O99" s="35">
        <f t="shared" ref="O99:O127" si="40">Q99/2</f>
        <v>50847.789004651771</v>
      </c>
      <c r="P99" s="39">
        <f t="shared" ref="P99:P127" si="41">M99+F99</f>
        <v>473.25162913761267</v>
      </c>
      <c r="Q99" s="3">
        <f t="shared" si="27"/>
        <v>101695.57800930354</v>
      </c>
      <c r="R99" s="41">
        <f t="shared" si="28"/>
        <v>-1.3764413306524413E-2</v>
      </c>
      <c r="S99" s="83">
        <f t="shared" si="31"/>
        <v>2.0818112300165933E-4</v>
      </c>
    </row>
    <row r="100" spans="1:19" x14ac:dyDescent="0.2">
      <c r="A100" s="14">
        <v>46076</v>
      </c>
      <c r="B100" s="21">
        <v>150.76</v>
      </c>
      <c r="C100" s="22">
        <v>3.4799999999999902</v>
      </c>
      <c r="D100" s="11">
        <v>2.3628462791960798E-2</v>
      </c>
      <c r="E100" s="1">
        <f t="shared" si="34"/>
        <v>3.8868519474063963E-4</v>
      </c>
      <c r="F100" s="2">
        <f t="shared" si="35"/>
        <v>335.84398263489572</v>
      </c>
      <c r="G100" s="12">
        <f t="shared" si="36"/>
        <v>0.71832670067073967</v>
      </c>
      <c r="H100" s="23">
        <f t="shared" si="37"/>
        <v>50631.83882203688</v>
      </c>
      <c r="I100" s="21">
        <v>384.47</v>
      </c>
      <c r="J100" s="22">
        <v>-12.76</v>
      </c>
      <c r="K100" s="11">
        <v>-3.2122447952067999E-2</v>
      </c>
      <c r="L100" s="1">
        <f t="shared" si="33"/>
        <v>5.0629630651200777E-4</v>
      </c>
      <c r="M100" s="3">
        <f t="shared" si="38"/>
        <v>131.69256072525002</v>
      </c>
      <c r="N100" s="6">
        <f t="shared" si="39"/>
        <v>0.28167329932926027</v>
      </c>
      <c r="O100" s="35">
        <f t="shared" si="40"/>
        <v>50631.83882203688</v>
      </c>
      <c r="P100" s="39">
        <f t="shared" si="41"/>
        <v>467.53654336014574</v>
      </c>
      <c r="Q100" s="3">
        <f t="shared" ref="Q100:Q127" si="42">F99*B100+M99*I100</f>
        <v>101263.67764407376</v>
      </c>
      <c r="R100" s="41">
        <f t="shared" si="28"/>
        <v>-4.2469925800536898E-3</v>
      </c>
      <c r="S100" s="83">
        <f t="shared" si="31"/>
        <v>2.0705780004192937E-4</v>
      </c>
    </row>
    <row r="101" spans="1:19" x14ac:dyDescent="0.2">
      <c r="A101" s="14">
        <v>46077</v>
      </c>
      <c r="B101" s="21">
        <v>149.26</v>
      </c>
      <c r="C101" s="22">
        <v>-1.5</v>
      </c>
      <c r="D101" s="11">
        <v>-9.9495887503316498E-3</v>
      </c>
      <c r="E101" s="1">
        <f t="shared" si="34"/>
        <v>3.988623382908658E-4</v>
      </c>
      <c r="F101" s="2">
        <f t="shared" si="35"/>
        <v>339.52994429253249</v>
      </c>
      <c r="G101" s="12">
        <f t="shared" si="36"/>
        <v>0.72269906736521383</v>
      </c>
      <c r="H101" s="23">
        <f t="shared" si="37"/>
        <v>50678.239485103397</v>
      </c>
      <c r="I101" s="21">
        <v>389</v>
      </c>
      <c r="J101" s="22">
        <v>4.5299999999999701</v>
      </c>
      <c r="K101" s="11">
        <v>1.17824537675241E-2</v>
      </c>
      <c r="L101" s="1">
        <f t="shared" si="33"/>
        <v>5.3782962786728646E-4</v>
      </c>
      <c r="M101" s="3">
        <f t="shared" si="38"/>
        <v>130.27825060437891</v>
      </c>
      <c r="N101" s="6">
        <f t="shared" si="39"/>
        <v>0.27730093263478617</v>
      </c>
      <c r="O101" s="35">
        <f t="shared" si="40"/>
        <v>50678.239485103397</v>
      </c>
      <c r="P101" s="39">
        <f t="shared" si="41"/>
        <v>469.8081948969114</v>
      </c>
      <c r="Q101" s="3">
        <f t="shared" si="42"/>
        <v>101356.47897020679</v>
      </c>
      <c r="R101" s="41">
        <f t="shared" si="28"/>
        <v>9.1643250859618872E-4</v>
      </c>
      <c r="S101" s="83">
        <f t="shared" si="31"/>
        <v>1.9571654879791547E-4</v>
      </c>
    </row>
    <row r="102" spans="1:19" x14ac:dyDescent="0.2">
      <c r="A102" s="14">
        <v>46078</v>
      </c>
      <c r="B102" s="21">
        <v>149.06</v>
      </c>
      <c r="C102" s="22">
        <v>-0.19999999999998899</v>
      </c>
      <c r="D102" s="11">
        <v>-1.3399437223635801E-3</v>
      </c>
      <c r="E102" s="1">
        <f t="shared" si="34"/>
        <v>3.8087025697145741E-4</v>
      </c>
      <c r="F102" s="2">
        <f t="shared" si="35"/>
        <v>344.82691764510628</v>
      </c>
      <c r="G102" s="12">
        <f t="shared" si="36"/>
        <v>0.72881417603609511</v>
      </c>
      <c r="H102" s="23">
        <f t="shared" si="37"/>
        <v>51399.900344179543</v>
      </c>
      <c r="I102" s="21">
        <v>400.6</v>
      </c>
      <c r="J102" s="22">
        <v>11.6</v>
      </c>
      <c r="K102" s="11">
        <v>2.9820051413881801E-2</v>
      </c>
      <c r="L102" s="1">
        <f t="shared" si="33"/>
        <v>5.1388942320227976E-4</v>
      </c>
      <c r="M102" s="3">
        <f t="shared" si="38"/>
        <v>128.3072899255605</v>
      </c>
      <c r="N102" s="6">
        <f t="shared" si="39"/>
        <v>0.27118582396390495</v>
      </c>
      <c r="O102" s="35">
        <f t="shared" si="40"/>
        <v>51399.900344179543</v>
      </c>
      <c r="P102" s="39">
        <f t="shared" si="41"/>
        <v>473.13420757066677</v>
      </c>
      <c r="Q102" s="3">
        <f t="shared" si="42"/>
        <v>102799.80068835909</v>
      </c>
      <c r="R102" s="41">
        <f t="shared" si="28"/>
        <v>1.4240053845759078E-2</v>
      </c>
      <c r="S102" s="83">
        <f t="shared" si="31"/>
        <v>1.8402394678260925E-4</v>
      </c>
    </row>
    <row r="103" spans="1:19" x14ac:dyDescent="0.2">
      <c r="A103" s="14">
        <v>46079</v>
      </c>
      <c r="B103" s="21">
        <v>148.54</v>
      </c>
      <c r="C103" s="22">
        <v>-0.52000000000001001</v>
      </c>
      <c r="D103" s="11">
        <v>-3.48852810948618E-3</v>
      </c>
      <c r="E103" s="1">
        <f t="shared" si="34"/>
        <v>3.5812576850391604E-4</v>
      </c>
      <c r="F103" s="2">
        <f t="shared" si="35"/>
        <v>345.91421454120189</v>
      </c>
      <c r="G103" s="12">
        <f t="shared" si="36"/>
        <v>0.73005488314614919</v>
      </c>
      <c r="H103" s="23">
        <f t="shared" si="37"/>
        <v>51382.097427950124</v>
      </c>
      <c r="I103" s="21">
        <v>401.72</v>
      </c>
      <c r="J103" s="22">
        <v>1.1200000000000001</v>
      </c>
      <c r="K103" s="11">
        <v>2.79580629056416E-3</v>
      </c>
      <c r="L103" s="1">
        <f>U$3*L102+(1-U$3)*K102^2</f>
        <v>5.3641018578973621E-4</v>
      </c>
      <c r="M103" s="3">
        <f t="shared" si="38"/>
        <v>127.90525099061566</v>
      </c>
      <c r="N103" s="6">
        <f t="shared" si="39"/>
        <v>0.26994511685385092</v>
      </c>
      <c r="O103" s="35">
        <f t="shared" si="40"/>
        <v>51382.097427950124</v>
      </c>
      <c r="P103" s="39">
        <f t="shared" si="41"/>
        <v>473.81946553181751</v>
      </c>
      <c r="Q103" s="3">
        <f t="shared" si="42"/>
        <v>102764.19485590025</v>
      </c>
      <c r="R103" s="41">
        <f t="shared" si="28"/>
        <v>-3.4636090946107734E-4</v>
      </c>
      <c r="S103" s="83">
        <f t="shared" si="31"/>
        <v>1.8514925798745978E-4</v>
      </c>
    </row>
    <row r="104" spans="1:19" x14ac:dyDescent="0.2">
      <c r="A104" s="14">
        <v>46080</v>
      </c>
      <c r="B104" s="21">
        <v>152.5</v>
      </c>
      <c r="C104" s="22">
        <v>3.9600000000000102</v>
      </c>
      <c r="D104" s="11">
        <v>2.6659485660428198E-2</v>
      </c>
      <c r="E104" s="1">
        <f t="shared" si="34"/>
        <v>3.3736841209592157E-4</v>
      </c>
      <c r="F104" s="2">
        <f t="shared" si="35"/>
        <v>337.65713439864817</v>
      </c>
      <c r="G104" s="12">
        <f t="shared" si="36"/>
        <v>0.72030665395055393</v>
      </c>
      <c r="H104" s="23">
        <f t="shared" si="37"/>
        <v>51492.712995793845</v>
      </c>
      <c r="I104" s="21">
        <v>392.74</v>
      </c>
      <c r="J104" s="22">
        <v>-8.98000000000002</v>
      </c>
      <c r="K104" s="11">
        <v>-2.2353878323210199E-2</v>
      </c>
      <c r="L104" s="1">
        <f t="shared" ref="L104:L118" si="43">U$3*L103+(1-U$3)*K103^2</f>
        <v>5.0469456661121354E-4</v>
      </c>
      <c r="M104" s="3">
        <f t="shared" si="38"/>
        <v>131.11145540508693</v>
      </c>
      <c r="N104" s="6">
        <f t="shared" si="39"/>
        <v>0.27969334604944607</v>
      </c>
      <c r="O104" s="35">
        <f t="shared" si="40"/>
        <v>51492.712995793845</v>
      </c>
      <c r="P104" s="39">
        <f t="shared" si="41"/>
        <v>468.7685898037351</v>
      </c>
      <c r="Q104" s="3">
        <f t="shared" si="42"/>
        <v>102985.42599158769</v>
      </c>
      <c r="R104" s="41">
        <f t="shared" si="28"/>
        <v>2.1528036686090913E-3</v>
      </c>
      <c r="S104" s="83">
        <f t="shared" si="31"/>
        <v>1.7404750046098833E-4</v>
      </c>
    </row>
    <row r="105" spans="1:19" x14ac:dyDescent="0.2">
      <c r="A105" s="14">
        <v>46083</v>
      </c>
      <c r="B105" s="21">
        <v>154.22</v>
      </c>
      <c r="C105" s="22">
        <v>1.72</v>
      </c>
      <c r="D105" s="11">
        <v>1.12786885245902E-2</v>
      </c>
      <c r="E105" s="1">
        <f t="shared" si="34"/>
        <v>3.597699979108809E-4</v>
      </c>
      <c r="F105" s="2">
        <f t="shared" si="35"/>
        <v>338.24391719185877</v>
      </c>
      <c r="G105" s="12">
        <f t="shared" si="36"/>
        <v>0.72100511967002545</v>
      </c>
      <c r="H105" s="23">
        <f t="shared" si="37"/>
        <v>52163.976909328456</v>
      </c>
      <c r="I105" s="21">
        <v>398.55</v>
      </c>
      <c r="J105" s="22">
        <v>5.81</v>
      </c>
      <c r="K105" s="11">
        <v>1.4793502062433199E-2</v>
      </c>
      <c r="L105" s="1">
        <f t="shared" si="43"/>
        <v>5.0439464517987396E-4</v>
      </c>
      <c r="M105" s="3">
        <f t="shared" si="38"/>
        <v>130.88439821685725</v>
      </c>
      <c r="N105" s="6">
        <f t="shared" si="39"/>
        <v>0.27899488032997444</v>
      </c>
      <c r="O105" s="35">
        <f t="shared" si="40"/>
        <v>52163.976909328456</v>
      </c>
      <c r="P105" s="39">
        <f t="shared" si="41"/>
        <v>469.12831540871605</v>
      </c>
      <c r="Q105" s="3">
        <f t="shared" si="42"/>
        <v>104327.95381865691</v>
      </c>
      <c r="R105" s="41">
        <f t="shared" si="28"/>
        <v>1.3036095293511581E-2</v>
      </c>
      <c r="S105" s="83">
        <f t="shared" si="31"/>
        <v>1.6388272425146364E-4</v>
      </c>
    </row>
    <row r="106" spans="1:19" x14ac:dyDescent="0.2">
      <c r="A106" s="14">
        <v>46084</v>
      </c>
      <c r="B106" s="21">
        <v>151.83000000000001</v>
      </c>
      <c r="C106" s="22">
        <v>-2.3899999999999899</v>
      </c>
      <c r="D106" s="11">
        <v>-1.54973414602515E-2</v>
      </c>
      <c r="E106" s="1">
        <f t="shared" si="34"/>
        <v>3.4581632692631136E-4</v>
      </c>
      <c r="F106" s="2">
        <f t="shared" si="35"/>
        <v>343.22501784553469</v>
      </c>
      <c r="G106" s="12">
        <f t="shared" si="36"/>
        <v>0.72680653519504823</v>
      </c>
      <c r="H106" s="23">
        <f t="shared" si="37"/>
        <v>52111.854459487535</v>
      </c>
      <c r="I106" s="21">
        <v>403.93</v>
      </c>
      <c r="J106" s="22">
        <v>5.38</v>
      </c>
      <c r="K106" s="11">
        <v>1.34989336344248E-2</v>
      </c>
      <c r="L106" s="1">
        <f t="shared" si="43"/>
        <v>4.8726182866535439E-4</v>
      </c>
      <c r="M106" s="3">
        <f t="shared" si="38"/>
        <v>129.01209234146395</v>
      </c>
      <c r="N106" s="6">
        <f t="shared" si="39"/>
        <v>0.27319346480495182</v>
      </c>
      <c r="O106" s="35">
        <f t="shared" si="40"/>
        <v>52111.854459487535</v>
      </c>
      <c r="P106" s="39">
        <f t="shared" si="41"/>
        <v>472.23711018699862</v>
      </c>
      <c r="Q106" s="3">
        <f t="shared" si="42"/>
        <v>104223.70891897507</v>
      </c>
      <c r="R106" s="41">
        <f t="shared" si="28"/>
        <v>-9.9920391291331932E-4</v>
      </c>
      <c r="S106" s="83">
        <f t="shared" si="31"/>
        <v>1.6424614762646671E-4</v>
      </c>
    </row>
    <row r="107" spans="1:19" x14ac:dyDescent="0.2">
      <c r="A107" s="14">
        <v>46085</v>
      </c>
      <c r="B107" s="21">
        <v>149.82</v>
      </c>
      <c r="C107" s="22">
        <v>-2.0100000000000202</v>
      </c>
      <c r="D107" s="11">
        <v>-1.3238490416913801E-2</v>
      </c>
      <c r="E107" s="1">
        <f t="shared" si="34"/>
        <v>3.3947740285087048E-4</v>
      </c>
      <c r="F107" s="2">
        <f t="shared" si="35"/>
        <v>346.07419566940064</v>
      </c>
      <c r="G107" s="12">
        <f t="shared" si="36"/>
        <v>0.73006378148535189</v>
      </c>
      <c r="H107" s="23">
        <f t="shared" si="37"/>
        <v>51848.835995189598</v>
      </c>
      <c r="I107" s="21">
        <v>405.2</v>
      </c>
      <c r="J107" s="22">
        <v>1.26999999999998</v>
      </c>
      <c r="K107" s="11">
        <v>3.1441091278191298E-3</v>
      </c>
      <c r="L107" s="1">
        <f t="shared" si="43"/>
        <v>4.6895939150142939E-4</v>
      </c>
      <c r="M107" s="3">
        <f t="shared" si="38"/>
        <v>127.95862782623297</v>
      </c>
      <c r="N107" s="6">
        <f t="shared" si="39"/>
        <v>0.26993621851464811</v>
      </c>
      <c r="O107" s="35">
        <f t="shared" si="40"/>
        <v>51848.835995189598</v>
      </c>
      <c r="P107" s="39">
        <f t="shared" si="41"/>
        <v>474.03282349563358</v>
      </c>
      <c r="Q107" s="3">
        <f t="shared" si="42"/>
        <v>103697.6719903792</v>
      </c>
      <c r="R107" s="41">
        <f t="shared" si="28"/>
        <v>-5.0471906445473114E-3</v>
      </c>
      <c r="S107" s="83">
        <f t="shared" si="31"/>
        <v>1.5445128327645359E-4</v>
      </c>
    </row>
    <row r="108" spans="1:19" x14ac:dyDescent="0.2">
      <c r="A108" s="14">
        <v>46086</v>
      </c>
      <c r="B108" s="21">
        <v>150.76</v>
      </c>
      <c r="C108" s="22">
        <v>0.93999999999999795</v>
      </c>
      <c r="D108" s="11">
        <v>6.2741957015084596E-3</v>
      </c>
      <c r="E108" s="1">
        <f t="shared" si="34"/>
        <v>3.2962421639094134E-4</v>
      </c>
      <c r="F108" s="2">
        <f t="shared" si="35"/>
        <v>347.32089086891813</v>
      </c>
      <c r="G108" s="12">
        <f t="shared" si="36"/>
        <v>0.73147620404673697</v>
      </c>
      <c r="H108" s="23">
        <f t="shared" si="37"/>
        <v>52362.097507398095</v>
      </c>
      <c r="I108" s="21">
        <v>410.68</v>
      </c>
      <c r="J108" s="22">
        <v>5.48000000000002</v>
      </c>
      <c r="K108" s="11">
        <v>1.3524185587364301E-2</v>
      </c>
      <c r="L108" s="1">
        <f t="shared" si="43"/>
        <v>4.4141495334380174E-4</v>
      </c>
      <c r="M108" s="3">
        <f t="shared" si="38"/>
        <v>127.50096792490039</v>
      </c>
      <c r="N108" s="6">
        <f t="shared" si="39"/>
        <v>0.26852379595326303</v>
      </c>
      <c r="O108" s="35">
        <f t="shared" si="40"/>
        <v>52362.097507398095</v>
      </c>
      <c r="P108" s="39">
        <f t="shared" si="41"/>
        <v>474.82185879381854</v>
      </c>
      <c r="Q108" s="3">
        <f t="shared" si="42"/>
        <v>104724.19501479619</v>
      </c>
      <c r="R108" s="41">
        <f t="shared" si="28"/>
        <v>9.8991906444363814E-3</v>
      </c>
      <c r="S108" s="83">
        <f t="shared" si="31"/>
        <v>1.4671265428401072E-4</v>
      </c>
    </row>
    <row r="109" spans="1:19" x14ac:dyDescent="0.2">
      <c r="A109" s="14">
        <v>46087</v>
      </c>
      <c r="B109" s="21">
        <v>151.21</v>
      </c>
      <c r="C109" s="22">
        <v>0.450000000000017</v>
      </c>
      <c r="D109" s="11">
        <v>2.9848766250996101E-3</v>
      </c>
      <c r="E109" s="1">
        <f t="shared" si="34"/>
        <v>3.1220869530953452E-4</v>
      </c>
      <c r="F109" s="2">
        <f t="shared" si="35"/>
        <v>346.07892252779703</v>
      </c>
      <c r="G109" s="12">
        <f t="shared" si="36"/>
        <v>0.73006408768766629</v>
      </c>
      <c r="H109" s="23">
        <f t="shared" si="37"/>
        <v>52330.593875428189</v>
      </c>
      <c r="I109" s="21">
        <v>408.96</v>
      </c>
      <c r="J109" s="22">
        <v>-1.7200000000000299</v>
      </c>
      <c r="K109" s="11">
        <v>-4.1881757085809601E-3</v>
      </c>
      <c r="L109" s="1">
        <f t="shared" si="43"/>
        <v>4.2590427189126195E-4</v>
      </c>
      <c r="M109" s="3">
        <f t="shared" si="38"/>
        <v>127.96017672982245</v>
      </c>
      <c r="N109" s="6">
        <f t="shared" si="39"/>
        <v>0.26993591231233377</v>
      </c>
      <c r="O109" s="35">
        <f t="shared" si="40"/>
        <v>52330.593875428189</v>
      </c>
      <c r="P109" s="39">
        <f t="shared" si="41"/>
        <v>474.03909925761945</v>
      </c>
      <c r="Q109" s="3">
        <f t="shared" si="42"/>
        <v>104661.18775085638</v>
      </c>
      <c r="R109" s="41">
        <f t="shared" si="28"/>
        <v>-6.0164954174067424E-4</v>
      </c>
      <c r="S109" s="83">
        <f t="shared" si="31"/>
        <v>1.4378953355186389E-4</v>
      </c>
    </row>
    <row r="110" spans="1:19" x14ac:dyDescent="0.2">
      <c r="A110" s="14">
        <v>46090</v>
      </c>
      <c r="B110" s="21">
        <v>150.44</v>
      </c>
      <c r="C110" s="22">
        <v>-0.77000000000001001</v>
      </c>
      <c r="D110" s="11">
        <v>-5.0922558031876904E-3</v>
      </c>
      <c r="E110" s="1">
        <f t="shared" si="34"/>
        <v>2.940107428989864E-4</v>
      </c>
      <c r="F110" s="2">
        <f t="shared" si="35"/>
        <v>347.1559726802659</v>
      </c>
      <c r="G110" s="12">
        <f t="shared" si="36"/>
        <v>0.73128516566937574</v>
      </c>
      <c r="H110" s="23">
        <f t="shared" si="37"/>
        <v>52226.144530019199</v>
      </c>
      <c r="I110" s="21">
        <v>409.41</v>
      </c>
      <c r="J110" s="22">
        <v>0.45000000000004498</v>
      </c>
      <c r="K110" s="11">
        <v>1.10035211267617E-3</v>
      </c>
      <c r="L110" s="1">
        <f t="shared" si="43"/>
        <v>4.0140246452374312E-4</v>
      </c>
      <c r="M110" s="3">
        <f t="shared" si="38"/>
        <v>127.56440861244033</v>
      </c>
      <c r="N110" s="6">
        <f t="shared" si="39"/>
        <v>0.26871483433062426</v>
      </c>
      <c r="O110" s="35">
        <f t="shared" si="40"/>
        <v>52226.144530019199</v>
      </c>
      <c r="P110" s="39">
        <f t="shared" si="41"/>
        <v>474.72038129270624</v>
      </c>
      <c r="Q110" s="3">
        <f t="shared" si="42"/>
        <v>104452.2890600384</v>
      </c>
      <c r="R110" s="41">
        <f t="shared" si="28"/>
        <v>-1.9959518452557427E-3</v>
      </c>
      <c r="S110" s="83">
        <f t="shared" si="31"/>
        <v>1.3518388046901666E-4</v>
      </c>
    </row>
    <row r="111" spans="1:19" x14ac:dyDescent="0.2">
      <c r="A111" s="14">
        <v>46091</v>
      </c>
      <c r="B111" s="21">
        <v>148.13</v>
      </c>
      <c r="C111" s="22">
        <v>-2.31</v>
      </c>
      <c r="D111" s="11">
        <v>-1.5354958787556499E-2</v>
      </c>
      <c r="E111" s="1">
        <f t="shared" si="34"/>
        <v>2.7792596247495314E-4</v>
      </c>
      <c r="F111" s="2">
        <f t="shared" si="35"/>
        <v>348.29119243810021</v>
      </c>
      <c r="G111" s="12">
        <f t="shared" si="36"/>
        <v>0.73256422755420758</v>
      </c>
      <c r="H111" s="23">
        <f t="shared" si="37"/>
        <v>51592.374335855784</v>
      </c>
      <c r="I111" s="21">
        <v>405.76</v>
      </c>
      <c r="J111" s="22">
        <v>-3.6500000000000301</v>
      </c>
      <c r="K111" s="11">
        <v>-8.9152683129382106E-3</v>
      </c>
      <c r="L111" s="1">
        <f t="shared" si="43"/>
        <v>3.7739096313863077E-4</v>
      </c>
      <c r="M111" s="3">
        <f t="shared" si="38"/>
        <v>127.14997618260988</v>
      </c>
      <c r="N111" s="6">
        <f t="shared" si="39"/>
        <v>0.26743577244579247</v>
      </c>
      <c r="O111" s="35">
        <f t="shared" si="40"/>
        <v>51592.374335855784</v>
      </c>
      <c r="P111" s="39">
        <f t="shared" si="41"/>
        <v>475.44116862071007</v>
      </c>
      <c r="Q111" s="3">
        <f t="shared" si="42"/>
        <v>103184.74867171157</v>
      </c>
      <c r="R111" s="41">
        <f t="shared" si="28"/>
        <v>-1.2135113550247397E-2</v>
      </c>
      <c r="S111" s="83">
        <f t="shared" si="31"/>
        <v>1.2731187706699045E-4</v>
      </c>
    </row>
    <row r="112" spans="1:19" x14ac:dyDescent="0.2">
      <c r="A112" s="14">
        <v>46092</v>
      </c>
      <c r="B112" s="21">
        <v>151.58000000000001</v>
      </c>
      <c r="C112" s="22">
        <v>3.4500000000000202</v>
      </c>
      <c r="D112" s="11">
        <v>2.3290353068250998E-2</v>
      </c>
      <c r="E112" s="1">
        <f t="shared" si="34"/>
        <v>2.7539689028850949E-4</v>
      </c>
      <c r="F112" s="2">
        <f t="shared" si="35"/>
        <v>343.95850807026756</v>
      </c>
      <c r="G112" s="12">
        <f t="shared" si="36"/>
        <v>0.72759946806598852</v>
      </c>
      <c r="H112" s="23">
        <f t="shared" si="37"/>
        <v>52137.230653291161</v>
      </c>
      <c r="I112" s="21">
        <v>404.88</v>
      </c>
      <c r="J112" s="22">
        <v>-0.87999999999999501</v>
      </c>
      <c r="K112" s="11">
        <v>-2.1687697160883198E-3</v>
      </c>
      <c r="L112" s="1">
        <f t="shared" si="43"/>
        <v>3.5951642589581372E-4</v>
      </c>
      <c r="M112" s="3">
        <f t="shared" si="38"/>
        <v>128.7720575313455</v>
      </c>
      <c r="N112" s="6">
        <f t="shared" si="39"/>
        <v>0.27240053193401143</v>
      </c>
      <c r="O112" s="35">
        <f t="shared" si="40"/>
        <v>52137.230653291161</v>
      </c>
      <c r="P112" s="39">
        <f t="shared" si="41"/>
        <v>472.73056560161308</v>
      </c>
      <c r="Q112" s="3">
        <f t="shared" si="42"/>
        <v>104274.46130658232</v>
      </c>
      <c r="R112" s="41">
        <f t="shared" si="28"/>
        <v>1.0560791676081309E-2</v>
      </c>
      <c r="S112" s="83">
        <f t="shared" si="31"/>
        <v>1.2850882329561489E-4</v>
      </c>
    </row>
    <row r="113" spans="1:19" x14ac:dyDescent="0.2">
      <c r="A113" s="14">
        <v>46093</v>
      </c>
      <c r="B113" s="21">
        <v>153.53</v>
      </c>
      <c r="C113" s="22">
        <v>1.94999999999999</v>
      </c>
      <c r="D113" s="11">
        <v>1.2864493996569399E-2</v>
      </c>
      <c r="E113" s="1">
        <f t="shared" si="34"/>
        <v>2.9141950963382625E-4</v>
      </c>
      <c r="F113" s="2">
        <f t="shared" si="35"/>
        <v>340.5076818327841</v>
      </c>
      <c r="G113" s="12">
        <f t="shared" si="36"/>
        <v>0.72356362195934387</v>
      </c>
      <c r="H113" s="23">
        <f t="shared" si="37"/>
        <v>52278.14439178734</v>
      </c>
      <c r="I113" s="21">
        <v>401.86</v>
      </c>
      <c r="J113" s="22">
        <v>-3.01999999999998</v>
      </c>
      <c r="K113" s="11">
        <v>-7.4590001975893602E-3</v>
      </c>
      <c r="L113" s="1">
        <f t="shared" si="43"/>
        <v>3.382276540669502E-4</v>
      </c>
      <c r="M113" s="3">
        <f t="shared" si="38"/>
        <v>130.09044043146204</v>
      </c>
      <c r="N113" s="6">
        <f t="shared" si="39"/>
        <v>0.27643637804065607</v>
      </c>
      <c r="O113" s="35">
        <f t="shared" si="40"/>
        <v>52278.14439178734</v>
      </c>
      <c r="P113" s="39">
        <f t="shared" si="41"/>
        <v>470.59812226424617</v>
      </c>
      <c r="Q113" s="3">
        <f t="shared" si="42"/>
        <v>104556.28878357468</v>
      </c>
      <c r="R113" s="41">
        <f t="shared" si="28"/>
        <v>2.7027468994900365E-3</v>
      </c>
      <c r="S113" s="83">
        <f t="shared" si="31"/>
        <v>1.274901131474133E-4</v>
      </c>
    </row>
    <row r="114" spans="1:19" x14ac:dyDescent="0.2">
      <c r="A114" s="14">
        <v>46094</v>
      </c>
      <c r="B114" s="21">
        <v>156.12</v>
      </c>
      <c r="C114" s="22">
        <v>2.59</v>
      </c>
      <c r="D114" s="11">
        <v>1.6869667166026201E-2</v>
      </c>
      <c r="E114" s="1">
        <f>U$3*E113+(1-U$3)*D113^2</f>
        <v>2.838640514030629E-4</v>
      </c>
      <c r="F114" s="2">
        <f t="shared" si="35"/>
        <v>335.0542307212371</v>
      </c>
      <c r="G114" s="12">
        <f t="shared" si="36"/>
        <v>0.71700473108923812</v>
      </c>
      <c r="H114" s="23">
        <f t="shared" si="37"/>
        <v>52308.666500199535</v>
      </c>
      <c r="I114" s="21">
        <v>395.55</v>
      </c>
      <c r="J114" s="22">
        <v>-6.31</v>
      </c>
      <c r="K114" s="11">
        <v>-1.5701985766187199E-2</v>
      </c>
      <c r="L114" s="1">
        <f t="shared" si="43"/>
        <v>3.2127219585979149E-4</v>
      </c>
      <c r="M114" s="3">
        <f t="shared" si="38"/>
        <v>132.24286815876511</v>
      </c>
      <c r="N114" s="6">
        <f t="shared" si="39"/>
        <v>0.28299526891076188</v>
      </c>
      <c r="O114" s="35">
        <f t="shared" si="40"/>
        <v>52308.666500199535</v>
      </c>
      <c r="P114" s="39">
        <f t="shared" si="41"/>
        <v>467.29709888000218</v>
      </c>
      <c r="Q114" s="3">
        <f t="shared" si="42"/>
        <v>104617.33300039907</v>
      </c>
      <c r="R114" s="41">
        <f t="shared" si="28"/>
        <v>5.8384069991952172E-4</v>
      </c>
      <c r="S114" s="83">
        <f t="shared" si="31"/>
        <v>1.2027899680673068E-4</v>
      </c>
    </row>
    <row r="115" spans="1:19" x14ac:dyDescent="0.2">
      <c r="A115" s="14">
        <v>46097</v>
      </c>
      <c r="B115" s="21">
        <v>157.22999999999999</v>
      </c>
      <c r="C115" s="22">
        <v>1.1099999999999901</v>
      </c>
      <c r="D115" s="11">
        <v>7.1099154496540203E-3</v>
      </c>
      <c r="E115" s="1">
        <f t="shared" si="34"/>
        <v>2.8390734853642928E-4</v>
      </c>
      <c r="F115" s="2">
        <f t="shared" si="35"/>
        <v>335.72190999299823</v>
      </c>
      <c r="G115" s="12">
        <f t="shared" si="36"/>
        <v>0.71781112028428873</v>
      </c>
      <c r="H115" s="23">
        <f t="shared" si="37"/>
        <v>52785.555908199109</v>
      </c>
      <c r="I115" s="21">
        <v>399.95</v>
      </c>
      <c r="J115" s="22">
        <v>4.3999999999999799</v>
      </c>
      <c r="K115" s="11">
        <v>1.1123751738086199E-2</v>
      </c>
      <c r="L115" s="1">
        <f t="shared" si="43"/>
        <v>3.1678900552829673E-4</v>
      </c>
      <c r="M115" s="3">
        <f t="shared" si="38"/>
        <v>131.98038731891265</v>
      </c>
      <c r="N115" s="6">
        <f t="shared" si="39"/>
        <v>0.28218887971571127</v>
      </c>
      <c r="O115" s="35">
        <f t="shared" si="40"/>
        <v>52785.555908199109</v>
      </c>
      <c r="P115" s="39">
        <f t="shared" si="41"/>
        <v>467.70229731191091</v>
      </c>
      <c r="Q115" s="3">
        <f t="shared" si="42"/>
        <v>105571.11181639822</v>
      </c>
      <c r="R115" s="41">
        <f t="shared" si="28"/>
        <v>9.1168335938702303E-3</v>
      </c>
      <c r="S115" s="83">
        <f t="shared" si="31"/>
        <v>1.1308270919609978E-4</v>
      </c>
    </row>
    <row r="116" spans="1:19" x14ac:dyDescent="0.2">
      <c r="A116" s="14">
        <v>46098</v>
      </c>
      <c r="B116" s="21">
        <v>158.81</v>
      </c>
      <c r="C116" s="22">
        <v>1.5800000000000101</v>
      </c>
      <c r="D116" s="11">
        <v>1.0048972842333E-2</v>
      </c>
      <c r="E116" s="1">
        <f t="shared" si="34"/>
        <v>2.6990596148631729E-4</v>
      </c>
      <c r="F116" s="2">
        <f t="shared" si="35"/>
        <v>333.82747630827703</v>
      </c>
      <c r="G116" s="12">
        <f t="shared" si="36"/>
        <v>0.71550643115617496</v>
      </c>
      <c r="H116" s="23">
        <f t="shared" si="37"/>
        <v>53015.141512517475</v>
      </c>
      <c r="I116" s="21">
        <v>399.41</v>
      </c>
      <c r="J116" s="22">
        <v>-0.53999999999996395</v>
      </c>
      <c r="K116" s="11">
        <v>-1.3501687710963E-3</v>
      </c>
      <c r="L116" s="1">
        <f t="shared" si="43"/>
        <v>3.0520593636043349E-4</v>
      </c>
      <c r="M116" s="3">
        <f t="shared" si="38"/>
        <v>132.73363589423769</v>
      </c>
      <c r="N116" s="6">
        <f t="shared" si="39"/>
        <v>0.28449356884382504</v>
      </c>
      <c r="O116" s="35">
        <f t="shared" si="40"/>
        <v>53015.141512517475</v>
      </c>
      <c r="P116" s="39">
        <f t="shared" si="41"/>
        <v>466.56111220251472</v>
      </c>
      <c r="Q116" s="3">
        <f t="shared" si="42"/>
        <v>106030.28302503495</v>
      </c>
      <c r="R116" s="41">
        <f t="shared" si="28"/>
        <v>4.349402035618336E-3</v>
      </c>
      <c r="S116" s="83">
        <f t="shared" si="31"/>
        <v>1.1128474593103305E-4</v>
      </c>
    </row>
    <row r="117" spans="1:19" x14ac:dyDescent="0.2">
      <c r="A117" s="14">
        <v>46099</v>
      </c>
      <c r="B117" s="21">
        <v>157.59</v>
      </c>
      <c r="C117" s="22">
        <v>-1.22</v>
      </c>
      <c r="D117" s="11">
        <v>-7.68213588564951E-3</v>
      </c>
      <c r="E117" s="1">
        <f t="shared" si="34"/>
        <v>2.5977051510829504E-4</v>
      </c>
      <c r="F117" s="2">
        <f t="shared" si="35"/>
        <v>331.91060092145688</v>
      </c>
      <c r="G117" s="12">
        <f t="shared" si="36"/>
        <v>0.71314936837889986</v>
      </c>
      <c r="H117" s="23">
        <f t="shared" si="37"/>
        <v>52305.791599212389</v>
      </c>
      <c r="I117" s="21">
        <v>391.79</v>
      </c>
      <c r="J117" s="22">
        <v>-7.62</v>
      </c>
      <c r="K117" s="11">
        <v>-1.90781402568789E-2</v>
      </c>
      <c r="L117" s="1">
        <f t="shared" si="43"/>
        <v>2.8700295752143412E-4</v>
      </c>
      <c r="M117" s="3">
        <f t="shared" si="38"/>
        <v>133.50466218946983</v>
      </c>
      <c r="N117" s="6">
        <f t="shared" si="39"/>
        <v>0.28685063162110008</v>
      </c>
      <c r="O117" s="35">
        <f t="shared" si="40"/>
        <v>52305.791599212389</v>
      </c>
      <c r="P117" s="39">
        <f t="shared" si="41"/>
        <v>465.41526311092673</v>
      </c>
      <c r="Q117" s="3">
        <f t="shared" si="42"/>
        <v>104611.58319842478</v>
      </c>
      <c r="R117" s="41">
        <f t="shared" si="28"/>
        <v>-1.3380138071264052E-2</v>
      </c>
      <c r="S117" s="83">
        <f t="shared" si="31"/>
        <v>1.0574269905921751E-4</v>
      </c>
    </row>
    <row r="118" spans="1:19" x14ac:dyDescent="0.2">
      <c r="A118" s="14">
        <v>46100</v>
      </c>
      <c r="B118" s="21">
        <v>158.16</v>
      </c>
      <c r="C118" s="22">
        <v>0.56999999999999296</v>
      </c>
      <c r="D118" s="11">
        <v>3.6169807728916401E-3</v>
      </c>
      <c r="E118" s="1">
        <f t="shared" si="34"/>
        <v>2.4772519690773238E-4</v>
      </c>
      <c r="F118" s="2">
        <f t="shared" si="35"/>
        <v>330.14341276771989</v>
      </c>
      <c r="G118" s="12">
        <f t="shared" si="36"/>
        <v>0.71095434774662813</v>
      </c>
      <c r="H118" s="23">
        <f t="shared" si="37"/>
        <v>52215.482163342582</v>
      </c>
      <c r="I118" s="21">
        <v>389.02</v>
      </c>
      <c r="J118" s="22">
        <v>-2.77000000000004</v>
      </c>
      <c r="K118" s="11">
        <v>-7.0701140917329101E-3</v>
      </c>
      <c r="L118" s="1">
        <f t="shared" si="43"/>
        <v>2.9162130620981666E-4</v>
      </c>
      <c r="M118" s="3">
        <f t="shared" si="38"/>
        <v>134.22313033608191</v>
      </c>
      <c r="N118" s="6">
        <f t="shared" si="39"/>
        <v>0.28904565225337187</v>
      </c>
      <c r="O118" s="35">
        <f t="shared" si="40"/>
        <v>52215.482163342582</v>
      </c>
      <c r="P118" s="39">
        <f t="shared" si="41"/>
        <v>464.3665431038018</v>
      </c>
      <c r="Q118" s="3">
        <f t="shared" si="42"/>
        <v>104430.96432668516</v>
      </c>
      <c r="R118" s="41">
        <f t="shared" si="28"/>
        <v>-1.7265666594206953E-3</v>
      </c>
      <c r="S118" s="83">
        <f t="shared" si="31"/>
        <v>1.1013982280402985E-4</v>
      </c>
    </row>
    <row r="119" spans="1:19" x14ac:dyDescent="0.2">
      <c r="A119" s="14">
        <v>46101</v>
      </c>
      <c r="B119" s="21">
        <v>159.66999999999999</v>
      </c>
      <c r="C119" s="22">
        <v>1.50999999999999</v>
      </c>
      <c r="D119" s="11">
        <v>9.5472938796155194E-3</v>
      </c>
      <c r="E119" s="1">
        <f t="shared" si="34"/>
        <v>2.3364663808795647E-4</v>
      </c>
      <c r="F119" s="2">
        <f t="shared" si="35"/>
        <v>325.57708241392072</v>
      </c>
      <c r="G119" s="12">
        <f t="shared" si="36"/>
        <v>0.7051556671714001</v>
      </c>
      <c r="H119" s="23">
        <f t="shared" si="37"/>
        <v>51984.892749030718</v>
      </c>
      <c r="I119" s="21">
        <v>381.87</v>
      </c>
      <c r="J119" s="22">
        <v>-7.1499999999999799</v>
      </c>
      <c r="K119" s="11">
        <v>-1.83795177625828E-2</v>
      </c>
      <c r="L119" s="1">
        <f>U$3*L118+(1-U$3)*K118^2</f>
        <v>2.7712321863343487E-4</v>
      </c>
      <c r="M119" s="3">
        <f t="shared" si="38"/>
        <v>136.1324344646888</v>
      </c>
      <c r="N119" s="6">
        <f t="shared" si="39"/>
        <v>0.2948443328285999</v>
      </c>
      <c r="O119" s="35">
        <f t="shared" si="40"/>
        <v>51984.892749030718</v>
      </c>
      <c r="P119" s="39">
        <f t="shared" si="41"/>
        <v>461.70951687860952</v>
      </c>
      <c r="Q119" s="3">
        <f t="shared" si="42"/>
        <v>103969.78549806144</v>
      </c>
      <c r="R119" s="41">
        <f t="shared" si="28"/>
        <v>-4.4161119414836544E-3</v>
      </c>
      <c r="S119" s="83">
        <f t="shared" si="31"/>
        <v>1.0371029538155344E-4</v>
      </c>
    </row>
    <row r="120" spans="1:19" x14ac:dyDescent="0.2">
      <c r="A120" s="14">
        <v>46104</v>
      </c>
      <c r="B120" s="21">
        <v>161.13</v>
      </c>
      <c r="C120" s="22">
        <v>1.46000000000001</v>
      </c>
      <c r="D120" s="11">
        <v>9.1438592096198899E-3</v>
      </c>
      <c r="E120" s="1">
        <f t="shared" si="34"/>
        <v>2.2509688902810373E-4</v>
      </c>
      <c r="F120" s="2">
        <f t="shared" si="35"/>
        <v>324.57940076128239</v>
      </c>
      <c r="G120" s="12">
        <f t="shared" si="36"/>
        <v>0.70387591200632205</v>
      </c>
      <c r="H120" s="23">
        <f t="shared" si="37"/>
        <v>52299.478844665427</v>
      </c>
      <c r="I120" s="21">
        <v>383</v>
      </c>
      <c r="J120" s="22">
        <v>1.1299999999999999</v>
      </c>
      <c r="K120" s="11">
        <v>2.9591222143661301E-3</v>
      </c>
      <c r="L120" s="1">
        <f t="shared" ref="L120:L127" si="44">U$3*L119+(1-U$3)*K119^2</f>
        <v>2.8076422590653461E-4</v>
      </c>
      <c r="M120" s="3">
        <f t="shared" si="38"/>
        <v>136.55216408528833</v>
      </c>
      <c r="N120" s="6">
        <f t="shared" si="39"/>
        <v>0.29612408799367795</v>
      </c>
      <c r="O120" s="35">
        <f t="shared" si="40"/>
        <v>52299.478844665427</v>
      </c>
      <c r="P120" s="39">
        <f t="shared" si="41"/>
        <v>461.13156484657071</v>
      </c>
      <c r="Q120" s="3">
        <f t="shared" si="42"/>
        <v>104598.95768933085</v>
      </c>
      <c r="R120" s="41">
        <f t="shared" si="28"/>
        <v>6.0514907119929616E-3</v>
      </c>
      <c r="S120" s="83">
        <f t="shared" si="31"/>
        <v>9.8657800339443089E-5</v>
      </c>
    </row>
    <row r="121" spans="1:19" x14ac:dyDescent="0.2">
      <c r="A121" s="14">
        <v>46105</v>
      </c>
      <c r="B121" s="21">
        <v>165.38</v>
      </c>
      <c r="C121" s="22">
        <v>4.25</v>
      </c>
      <c r="D121" s="11">
        <v>2.6376217960652901E-2</v>
      </c>
      <c r="E121" s="1">
        <f t="shared" si="34"/>
        <v>2.1660768536113851E-4</v>
      </c>
      <c r="F121" s="2">
        <f t="shared" si="35"/>
        <v>316.17304069129051</v>
      </c>
      <c r="G121" s="12">
        <f t="shared" si="36"/>
        <v>0.69267077975172819</v>
      </c>
      <c r="H121" s="23">
        <f t="shared" si="37"/>
        <v>52288.697469525621</v>
      </c>
      <c r="I121" s="21">
        <v>372.74</v>
      </c>
      <c r="J121" s="22">
        <v>-10.26</v>
      </c>
      <c r="K121" s="11">
        <v>-2.67885117493472E-2</v>
      </c>
      <c r="L121" s="1">
        <f t="shared" si="44"/>
        <v>2.6444375660891582E-4</v>
      </c>
      <c r="M121" s="3">
        <f t="shared" si="38"/>
        <v>140.28195919280361</v>
      </c>
      <c r="N121" s="6">
        <f t="shared" si="39"/>
        <v>0.3073292202482717</v>
      </c>
      <c r="O121" s="35">
        <f t="shared" si="40"/>
        <v>52288.697469525621</v>
      </c>
      <c r="P121" s="39">
        <f t="shared" si="41"/>
        <v>456.45499988409415</v>
      </c>
      <c r="Q121" s="3">
        <f t="shared" si="42"/>
        <v>104577.39493905124</v>
      </c>
      <c r="R121" s="41">
        <f t="shared" si="28"/>
        <v>-2.0614689434722525E-4</v>
      </c>
      <c r="S121" s="83">
        <f t="shared" si="31"/>
        <v>9.4935564709316728E-5</v>
      </c>
    </row>
    <row r="122" spans="1:19" x14ac:dyDescent="0.2">
      <c r="A122" s="14">
        <v>46106</v>
      </c>
      <c r="B122" s="21">
        <v>163.26</v>
      </c>
      <c r="C122" s="22">
        <v>-2.12</v>
      </c>
      <c r="D122" s="11">
        <v>-1.28189623896481E-2</v>
      </c>
      <c r="E122" s="1">
        <f t="shared" si="34"/>
        <v>2.4535351667394237E-4</v>
      </c>
      <c r="F122" s="2">
        <f t="shared" si="35"/>
        <v>317.49549418766981</v>
      </c>
      <c r="G122" s="12">
        <f t="shared" si="36"/>
        <v>0.6944413250982594</v>
      </c>
      <c r="H122" s="23">
        <f t="shared" si="37"/>
        <v>51834.31438107897</v>
      </c>
      <c r="I122" s="21">
        <v>371.04</v>
      </c>
      <c r="J122" s="22">
        <v>-1.69999999999999</v>
      </c>
      <c r="K122" s="11">
        <v>-4.5608198744432797E-3</v>
      </c>
      <c r="L122" s="1">
        <f t="shared" si="44"/>
        <v>2.9163459291707566E-4</v>
      </c>
      <c r="M122" s="3">
        <f t="shared" si="38"/>
        <v>139.70007110036374</v>
      </c>
      <c r="N122" s="6">
        <f t="shared" si="39"/>
        <v>0.30555867490174055</v>
      </c>
      <c r="O122" s="35">
        <f t="shared" si="40"/>
        <v>51834.31438107897</v>
      </c>
      <c r="P122" s="39">
        <f t="shared" si="41"/>
        <v>457.19556528803355</v>
      </c>
      <c r="Q122" s="3">
        <f t="shared" si="42"/>
        <v>103668.62876215794</v>
      </c>
      <c r="R122" s="41">
        <f t="shared" si="28"/>
        <v>-8.6898911320457076E-3</v>
      </c>
      <c r="S122" s="83">
        <f t="shared" si="31"/>
        <v>8.9241980619280664E-5</v>
      </c>
    </row>
    <row r="123" spans="1:19" x14ac:dyDescent="0.2">
      <c r="A123" s="14">
        <v>46107</v>
      </c>
      <c r="B123" s="21">
        <v>165.43</v>
      </c>
      <c r="C123" s="22">
        <v>2.1700000000000199</v>
      </c>
      <c r="D123" s="11">
        <v>1.32916819796644E-2</v>
      </c>
      <c r="E123" s="1">
        <f t="shared" si="34"/>
        <v>2.4049185347833858E-4</v>
      </c>
      <c r="F123" s="2">
        <f t="shared" si="35"/>
        <v>313.27242526768526</v>
      </c>
      <c r="G123" s="12">
        <f t="shared" si="36"/>
        <v>0.68869025216409485</v>
      </c>
      <c r="H123" s="23">
        <f t="shared" si="37"/>
        <v>51824.657312033174</v>
      </c>
      <c r="I123" s="21">
        <v>365.97</v>
      </c>
      <c r="J123" s="22">
        <v>-5.0699999999999896</v>
      </c>
      <c r="K123" s="11">
        <v>-1.36642949547218E-2</v>
      </c>
      <c r="L123" s="1">
        <f t="shared" si="44"/>
        <v>2.7538458201767813E-4</v>
      </c>
      <c r="M123" s="3">
        <f t="shared" si="38"/>
        <v>141.60903164749342</v>
      </c>
      <c r="N123" s="6">
        <f t="shared" si="39"/>
        <v>0.31130974783590515</v>
      </c>
      <c r="O123" s="35">
        <f t="shared" si="40"/>
        <v>51824.657312033174</v>
      </c>
      <c r="P123" s="39">
        <f t="shared" si="41"/>
        <v>454.88145691517866</v>
      </c>
      <c r="Q123" s="3">
        <f t="shared" si="42"/>
        <v>103649.31462406635</v>
      </c>
      <c r="R123" s="41">
        <f t="shared" si="28"/>
        <v>-1.8630648752867004E-4</v>
      </c>
      <c r="S123" s="83">
        <f t="shared" si="31"/>
        <v>8.8418314255332212E-5</v>
      </c>
    </row>
    <row r="124" spans="1:19" x14ac:dyDescent="0.2">
      <c r="A124" s="14">
        <v>46108</v>
      </c>
      <c r="B124" s="21">
        <v>170.99</v>
      </c>
      <c r="C124" s="22">
        <v>5.56</v>
      </c>
      <c r="D124" s="11">
        <v>3.3609381611557798E-2</v>
      </c>
      <c r="E124" s="1">
        <f t="shared" si="34"/>
        <v>2.3666247086055037E-4</v>
      </c>
      <c r="F124" s="2">
        <f t="shared" si="35"/>
        <v>304.36957195566328</v>
      </c>
      <c r="G124" s="12">
        <f t="shared" si="36"/>
        <v>0.67600803395482789</v>
      </c>
      <c r="H124" s="23">
        <f t="shared" si="37"/>
        <v>52044.153108698869</v>
      </c>
      <c r="I124" s="21">
        <v>356.77</v>
      </c>
      <c r="J124" s="22">
        <v>-9.2000000000000508</v>
      </c>
      <c r="K124" s="11">
        <v>-2.5138672568789901E-2</v>
      </c>
      <c r="L124" s="1">
        <f t="shared" si="44"/>
        <v>2.7006428449319558E-4</v>
      </c>
      <c r="M124" s="3">
        <f t="shared" si="38"/>
        <v>145.8759231681444</v>
      </c>
      <c r="N124" s="6">
        <f t="shared" si="39"/>
        <v>0.32399196604517211</v>
      </c>
      <c r="O124" s="35">
        <f t="shared" si="40"/>
        <v>52044.153108698869</v>
      </c>
      <c r="P124" s="39">
        <f t="shared" si="41"/>
        <v>450.2454951238077</v>
      </c>
      <c r="Q124" s="3">
        <f t="shared" si="42"/>
        <v>104088.30621739774</v>
      </c>
      <c r="R124" s="41">
        <f t="shared" si="28"/>
        <v>4.2353545213839753E-3</v>
      </c>
      <c r="S124" s="83">
        <f t="shared" si="31"/>
        <v>8.3115298006449981E-5</v>
      </c>
    </row>
    <row r="125" spans="1:19" x14ac:dyDescent="0.2">
      <c r="A125" s="14">
        <v>46111</v>
      </c>
      <c r="B125" s="21">
        <v>171.47</v>
      </c>
      <c r="C125" s="22">
        <v>0.47999999999998999</v>
      </c>
      <c r="D125" s="11">
        <v>2.8071817065324898E-3</v>
      </c>
      <c r="E125" s="1">
        <f t="shared" si="34"/>
        <v>2.9023815454759657E-4</v>
      </c>
      <c r="F125" s="2">
        <f t="shared" si="35"/>
        <v>304.87511484129789</v>
      </c>
      <c r="G125" s="12">
        <f t="shared" si="36"/>
        <v>0.67673397055219342</v>
      </c>
      <c r="H125" s="23">
        <f t="shared" si="37"/>
        <v>52276.93594183735</v>
      </c>
      <c r="I125" s="21">
        <v>358.96</v>
      </c>
      <c r="J125" s="22">
        <v>2.19</v>
      </c>
      <c r="K125" s="11">
        <v>6.1384084984724002E-3</v>
      </c>
      <c r="L125" s="1">
        <f t="shared" si="44"/>
        <v>2.9177759893485365E-4</v>
      </c>
      <c r="M125" s="3">
        <f t="shared" si="38"/>
        <v>145.63443264385268</v>
      </c>
      <c r="N125" s="6">
        <f t="shared" si="39"/>
        <v>0.32326602944780652</v>
      </c>
      <c r="O125" s="35">
        <f t="shared" si="40"/>
        <v>52276.93594183735</v>
      </c>
      <c r="P125" s="39">
        <f t="shared" si="41"/>
        <v>450.50954748515056</v>
      </c>
      <c r="Q125" s="3">
        <f t="shared" si="42"/>
        <v>104553.8718836747</v>
      </c>
      <c r="R125" s="41">
        <f t="shared" si="28"/>
        <v>4.4727951025025428E-3</v>
      </c>
      <c r="S125" s="83">
        <f t="shared" si="31"/>
        <v>7.9204673801371438E-5</v>
      </c>
    </row>
    <row r="126" spans="1:19" x14ac:dyDescent="0.2">
      <c r="A126" s="14">
        <v>46112</v>
      </c>
      <c r="B126" s="21">
        <v>169.66</v>
      </c>
      <c r="C126" s="22">
        <v>-1.81</v>
      </c>
      <c r="D126" s="11">
        <v>-1.05557823525981E-2</v>
      </c>
      <c r="E126" s="1">
        <f t="shared" si="34"/>
        <v>2.7329668142275017E-4</v>
      </c>
      <c r="F126" s="2">
        <f t="shared" si="35"/>
        <v>311.31265447291509</v>
      </c>
      <c r="G126" s="12">
        <f t="shared" si="36"/>
        <v>0.68571587351573637</v>
      </c>
      <c r="H126" s="23">
        <f t="shared" si="37"/>
        <v>52817.304957874774</v>
      </c>
      <c r="I126" s="21">
        <v>370.17</v>
      </c>
      <c r="J126" s="22">
        <v>11.21</v>
      </c>
      <c r="K126" s="11">
        <v>3.1229106307109501E-2</v>
      </c>
      <c r="L126" s="1">
        <f t="shared" si="44"/>
        <v>2.7653174653240951E-4</v>
      </c>
      <c r="M126" s="3">
        <f t="shared" si="38"/>
        <v>142.68391538448489</v>
      </c>
      <c r="N126" s="6">
        <f t="shared" si="39"/>
        <v>0.31428412648426352</v>
      </c>
      <c r="O126" s="35">
        <f t="shared" si="40"/>
        <v>52817.304957874774</v>
      </c>
      <c r="P126" s="39">
        <f t="shared" si="41"/>
        <v>453.9965698574</v>
      </c>
      <c r="Q126" s="3">
        <f t="shared" si="42"/>
        <v>105634.60991574955</v>
      </c>
      <c r="R126" s="41">
        <f t="shared" si="28"/>
        <v>1.0336661977255746E-2</v>
      </c>
      <c r="S126" s="83">
        <f t="shared" si="31"/>
        <v>7.5652747135027389E-5</v>
      </c>
    </row>
    <row r="127" spans="1:19" s="77" customFormat="1" x14ac:dyDescent="0.2">
      <c r="A127" s="15">
        <v>46113</v>
      </c>
      <c r="B127" s="24">
        <v>160.78</v>
      </c>
      <c r="C127" s="25">
        <v>-8.8800000000000008</v>
      </c>
      <c r="D127" s="26">
        <v>-5.2339974065778602E-2</v>
      </c>
      <c r="E127" s="78">
        <f t="shared" si="34"/>
        <v>2.6358435300191039E-4</v>
      </c>
      <c r="F127" s="27">
        <f t="shared" si="35"/>
        <v>319.55469091840553</v>
      </c>
      <c r="G127" s="28">
        <f t="shared" si="36"/>
        <v>0.69672734131849479</v>
      </c>
      <c r="H127" s="29">
        <f t="shared" si="37"/>
        <v>51378.003205861241</v>
      </c>
      <c r="I127" s="24">
        <v>369.37</v>
      </c>
      <c r="J127" s="25">
        <v>-0.80000000000001104</v>
      </c>
      <c r="K127" s="26">
        <v>-2.16116919253319E-3</v>
      </c>
      <c r="L127" s="78">
        <f t="shared" si="44"/>
        <v>3.1845526658490979E-4</v>
      </c>
      <c r="M127" s="36">
        <f t="shared" si="38"/>
        <v>139.09630778314764</v>
      </c>
      <c r="N127" s="37">
        <f t="shared" si="39"/>
        <v>0.30327265868150527</v>
      </c>
      <c r="O127" s="38">
        <f t="shared" si="40"/>
        <v>51378.003205861241</v>
      </c>
      <c r="P127" s="42">
        <f t="shared" si="41"/>
        <v>458.65099870155314</v>
      </c>
      <c r="Q127" s="36">
        <f t="shared" si="42"/>
        <v>102756.00641172248</v>
      </c>
      <c r="R127" s="43">
        <f t="shared" si="28"/>
        <v>-2.7250571629155809E-2</v>
      </c>
      <c r="S127" s="84">
        <f t="shared" si="31"/>
        <v>7.7524377156848421E-5</v>
      </c>
    </row>
    <row r="128" spans="1:19" x14ac:dyDescent="0.2">
      <c r="C128" s="61" t="s">
        <v>28</v>
      </c>
      <c r="J128" s="61" t="s">
        <v>15</v>
      </c>
      <c r="Q128" s="61" t="s">
        <v>19</v>
      </c>
      <c r="R128" s="13"/>
    </row>
    <row r="129" spans="1:23" x14ac:dyDescent="0.2">
      <c r="C129" s="57" t="s">
        <v>14</v>
      </c>
      <c r="D129" s="66">
        <f>SQRT(D130)</f>
        <v>1.623528111865977E-2</v>
      </c>
      <c r="E129" s="4"/>
      <c r="J129" s="57" t="s">
        <v>14</v>
      </c>
      <c r="K129" s="66">
        <f>SQRT(K130)</f>
        <v>1.7845314975783132E-2</v>
      </c>
      <c r="N129" s="62" t="s">
        <v>20</v>
      </c>
      <c r="O129" s="63">
        <f>CORREL(D4:D127,K4:K127)</f>
        <v>-0.18431301625893881</v>
      </c>
      <c r="Q129" s="57" t="s">
        <v>14</v>
      </c>
      <c r="R129" s="66">
        <f>SQRT(R130)</f>
        <v>8.8047928514445144E-3</v>
      </c>
    </row>
    <row r="130" spans="1:23" x14ac:dyDescent="0.2">
      <c r="C130" s="59" t="s">
        <v>16</v>
      </c>
      <c r="D130" s="67">
        <f>E127</f>
        <v>2.6358435300191039E-4</v>
      </c>
      <c r="E130" s="4"/>
      <c r="F130" s="4"/>
      <c r="J130" s="59" t="s">
        <v>16</v>
      </c>
      <c r="K130" s="67">
        <f>L127</f>
        <v>3.1845526658490979E-4</v>
      </c>
      <c r="Q130" s="59" t="s">
        <v>16</v>
      </c>
      <c r="R130" s="67">
        <f>S127</f>
        <v>7.7524377156848421E-5</v>
      </c>
      <c r="S130" s="7"/>
    </row>
    <row r="131" spans="1:23" x14ac:dyDescent="0.2">
      <c r="C131" s="60" t="s">
        <v>17</v>
      </c>
      <c r="D131" s="68">
        <f>AVERAGE(D4:D127)</f>
        <v>3.0883995714037654E-3</v>
      </c>
      <c r="E131" s="4"/>
      <c r="J131" s="60" t="s">
        <v>17</v>
      </c>
      <c r="K131" s="68">
        <f>AVERAGE(K4:K127)</f>
        <v>-2.5438817435686641E-3</v>
      </c>
      <c r="Q131" s="60" t="s">
        <v>17</v>
      </c>
      <c r="R131" s="68">
        <f>AVERAGE(R4:R127)</f>
        <v>2.7225891391755177E-4</v>
      </c>
    </row>
    <row r="133" spans="1:23" x14ac:dyDescent="0.2">
      <c r="A133" s="8" t="s">
        <v>22</v>
      </c>
      <c r="B133" s="9">
        <v>95</v>
      </c>
      <c r="C133" s="5">
        <v>99</v>
      </c>
      <c r="D133" s="5">
        <v>99.5</v>
      </c>
      <c r="H133" s="8" t="s">
        <v>22</v>
      </c>
      <c r="I133" s="9">
        <v>95</v>
      </c>
      <c r="J133" s="5">
        <v>99</v>
      </c>
      <c r="K133" s="5">
        <v>99.5</v>
      </c>
      <c r="L133" s="5"/>
      <c r="O133" s="8" t="s">
        <v>22</v>
      </c>
      <c r="P133" s="9">
        <v>95</v>
      </c>
      <c r="Q133" s="5">
        <v>99</v>
      </c>
      <c r="R133" s="5">
        <v>99.5</v>
      </c>
    </row>
    <row r="134" spans="1:23" x14ac:dyDescent="0.2">
      <c r="A134" s="8" t="s">
        <v>27</v>
      </c>
      <c r="B134">
        <v>1.64</v>
      </c>
      <c r="C134">
        <v>2.33</v>
      </c>
      <c r="D134" s="5">
        <v>2.58</v>
      </c>
      <c r="H134" s="8" t="s">
        <v>27</v>
      </c>
      <c r="I134">
        <v>1.64</v>
      </c>
      <c r="J134">
        <v>2.33</v>
      </c>
      <c r="K134" s="5">
        <v>2.58</v>
      </c>
      <c r="L134" s="5"/>
      <c r="O134" s="8" t="s">
        <v>27</v>
      </c>
      <c r="P134">
        <v>1.64</v>
      </c>
      <c r="Q134">
        <v>2.33</v>
      </c>
      <c r="R134" s="5">
        <v>2.58</v>
      </c>
    </row>
    <row r="135" spans="1:23" x14ac:dyDescent="0.2">
      <c r="A135" s="5"/>
      <c r="B135" s="3"/>
      <c r="C135" s="3"/>
      <c r="D135" s="3"/>
      <c r="E135" s="3"/>
      <c r="I135" s="3"/>
      <c r="J135" s="3"/>
      <c r="K135" s="3"/>
      <c r="L135" s="3"/>
      <c r="O135" s="5"/>
      <c r="P135" s="3"/>
      <c r="Q135" s="3"/>
      <c r="R135" s="3"/>
    </row>
    <row r="136" spans="1:23" x14ac:dyDescent="0.2">
      <c r="A136" s="5"/>
      <c r="D136" s="4"/>
      <c r="E136" s="4"/>
    </row>
    <row r="138" spans="1:23" x14ac:dyDescent="0.2">
      <c r="A138" s="57" t="s">
        <v>21</v>
      </c>
      <c r="B138" s="64"/>
      <c r="C138" s="64"/>
      <c r="D138" s="58" t="s">
        <v>24</v>
      </c>
      <c r="H138" s="57" t="s">
        <v>21</v>
      </c>
      <c r="I138" s="64"/>
      <c r="J138" s="64"/>
      <c r="K138" s="58" t="s">
        <v>24</v>
      </c>
      <c r="L138" s="5"/>
      <c r="O138" s="57" t="s">
        <v>25</v>
      </c>
      <c r="P138" s="64"/>
      <c r="Q138" s="64"/>
      <c r="R138" s="58" t="s">
        <v>24</v>
      </c>
      <c r="T138" s="57" t="s">
        <v>26</v>
      </c>
      <c r="U138" s="64"/>
      <c r="V138" s="64"/>
      <c r="W138" s="65"/>
    </row>
    <row r="139" spans="1:23" x14ac:dyDescent="0.2">
      <c r="A139" s="59"/>
      <c r="B139" s="117" t="s">
        <v>22</v>
      </c>
      <c r="C139" s="117"/>
      <c r="D139" s="118"/>
      <c r="E139" s="76"/>
      <c r="H139" s="59"/>
      <c r="I139" s="117" t="s">
        <v>22</v>
      </c>
      <c r="J139" s="117"/>
      <c r="K139" s="118"/>
      <c r="L139" s="76"/>
      <c r="O139" s="59"/>
      <c r="P139" s="117" t="s">
        <v>22</v>
      </c>
      <c r="Q139" s="117"/>
      <c r="R139" s="118"/>
      <c r="T139" s="59"/>
      <c r="U139" s="117" t="s">
        <v>22</v>
      </c>
      <c r="V139" s="117"/>
      <c r="W139" s="118"/>
    </row>
    <row r="140" spans="1:23" x14ac:dyDescent="0.2">
      <c r="A140" s="59" t="s">
        <v>23</v>
      </c>
      <c r="B140">
        <v>95</v>
      </c>
      <c r="C140" s="74">
        <v>99</v>
      </c>
      <c r="D140" s="75">
        <v>99.5</v>
      </c>
      <c r="E140" s="74"/>
      <c r="F140" s="73"/>
      <c r="G140" s="73"/>
      <c r="H140" s="59" t="s">
        <v>23</v>
      </c>
      <c r="I140">
        <v>95</v>
      </c>
      <c r="J140" s="74">
        <v>99</v>
      </c>
      <c r="K140" s="75">
        <v>99.5</v>
      </c>
      <c r="L140" s="74"/>
      <c r="O140" s="59" t="s">
        <v>23</v>
      </c>
      <c r="P140">
        <v>95</v>
      </c>
      <c r="Q140" s="74">
        <v>99</v>
      </c>
      <c r="R140" s="75">
        <v>99.5</v>
      </c>
      <c r="T140" s="59" t="s">
        <v>23</v>
      </c>
      <c r="U140">
        <v>95</v>
      </c>
      <c r="V140" s="74">
        <v>99</v>
      </c>
      <c r="W140" s="75">
        <v>99.5</v>
      </c>
    </row>
    <row r="141" spans="1:23" x14ac:dyDescent="0.2">
      <c r="A141" s="59">
        <v>1</v>
      </c>
      <c r="B141" s="69">
        <f>$H$127*(-$D$131*$A141+B$134*$D$129*SQRT($A141))</f>
        <v>1209.3077705140354</v>
      </c>
      <c r="C141" s="69">
        <f t="shared" ref="C141:D156" si="45">$H$127*(-$D$131*$A141+C$134*$D$129*SQRT($A141))</f>
        <v>1784.8618350142021</v>
      </c>
      <c r="D141" s="70">
        <f t="shared" si="45"/>
        <v>1993.3959163548423</v>
      </c>
      <c r="E141" s="69"/>
      <c r="F141" s="73"/>
      <c r="G141" s="73"/>
      <c r="H141" s="59">
        <v>1</v>
      </c>
      <c r="I141" s="69">
        <f>$O$127*(-$K$131*$H141+I$134*$K$129*SQRT($H141))</f>
        <v>1634.3444704344415</v>
      </c>
      <c r="J141" s="69">
        <f t="shared" ref="J141:K156" si="46">$O$127*(-$K$131*$H141+J$134*$K$129*SQRT($H141))</f>
        <v>2266.9755589588599</v>
      </c>
      <c r="K141" s="70">
        <f t="shared" si="46"/>
        <v>2496.1897214677074</v>
      </c>
      <c r="L141" s="69"/>
      <c r="O141" s="59">
        <v>1</v>
      </c>
      <c r="P141" s="69">
        <f>$Q$127*(-$R$131*$O141+P$134*$R$129*SQRT($O141))</f>
        <v>1455.8061364387895</v>
      </c>
      <c r="Q141" s="69">
        <f t="shared" ref="Q141:R156" si="47">$Q$127*(-$R$131*$O141+Q$134*$R$129*SQRT($O141))</f>
        <v>2080.0804284196652</v>
      </c>
      <c r="R141" s="70">
        <f t="shared" si="47"/>
        <v>2306.2667660938955</v>
      </c>
      <c r="T141" s="59">
        <v>1</v>
      </c>
      <c r="U141" s="69">
        <f>B141+I141-P141</f>
        <v>1387.8461045096874</v>
      </c>
      <c r="V141" s="69">
        <f t="shared" ref="V141:V172" si="48">C141+J141-Q141</f>
        <v>1971.7569655533966</v>
      </c>
      <c r="W141" s="70">
        <f t="shared" ref="W141" si="49">D141+K141-R141</f>
        <v>2183.3188717286544</v>
      </c>
    </row>
    <row r="142" spans="1:23" x14ac:dyDescent="0.2">
      <c r="A142" s="59">
        <v>2</v>
      </c>
      <c r="B142" s="69">
        <f t="shared" ref="B142:D173" si="50">$H$127*(-$D$131*$A142+B$134*$D$129*SQRT($A142))</f>
        <v>1617.2693167199679</v>
      </c>
      <c r="C142" s="69">
        <f t="shared" si="45"/>
        <v>2431.2256806150626</v>
      </c>
      <c r="D142" s="70">
        <f t="shared" si="45"/>
        <v>2726.1374066640101</v>
      </c>
      <c r="E142" s="69"/>
      <c r="F142" s="73"/>
      <c r="G142" s="73"/>
      <c r="H142" s="59">
        <v>2</v>
      </c>
      <c r="I142" s="69">
        <f t="shared" ref="I142:K173" si="51">$O$127*(-$K$131*$H142+I$134*$K$129*SQRT($H142))</f>
        <v>2387.8741478933021</v>
      </c>
      <c r="J142" s="69">
        <f t="shared" si="46"/>
        <v>3282.5496132633889</v>
      </c>
      <c r="K142" s="70">
        <f t="shared" si="46"/>
        <v>3606.7073905713914</v>
      </c>
      <c r="L142" s="69"/>
      <c r="O142" s="59">
        <v>2</v>
      </c>
      <c r="P142" s="69">
        <f t="shared" ref="P142:R173" si="52">$Q$127*(-$R$131*$O142+P$134*$R$129*SQRT($O142))</f>
        <v>2042.4326811290025</v>
      </c>
      <c r="Q142" s="69">
        <f t="shared" si="47"/>
        <v>2925.2898514892181</v>
      </c>
      <c r="R142" s="70">
        <f t="shared" si="47"/>
        <v>3245.1656378516154</v>
      </c>
      <c r="T142" s="59">
        <v>2</v>
      </c>
      <c r="U142" s="69">
        <f t="shared" ref="U142:U172" si="53">B142+I142-P142</f>
        <v>1962.7107834842677</v>
      </c>
      <c r="V142" s="69">
        <f t="shared" si="48"/>
        <v>2788.4854423892334</v>
      </c>
      <c r="W142" s="70">
        <f t="shared" ref="W142:W205" si="54">D142+K142-R142</f>
        <v>3087.6791593837861</v>
      </c>
    </row>
    <row r="143" spans="1:23" x14ac:dyDescent="0.2">
      <c r="A143" s="59">
        <v>3</v>
      </c>
      <c r="B143" s="69">
        <f t="shared" si="50"/>
        <v>1893.3896441437937</v>
      </c>
      <c r="C143" s="69">
        <f t="shared" si="45"/>
        <v>2890.2785263608571</v>
      </c>
      <c r="D143" s="70">
        <f t="shared" si="45"/>
        <v>3251.4701503525471</v>
      </c>
      <c r="E143" s="69"/>
      <c r="F143" s="73"/>
      <c r="G143" s="73"/>
      <c r="H143" s="59">
        <v>3</v>
      </c>
      <c r="I143" s="69">
        <f t="shared" si="51"/>
        <v>2996.4880669638624</v>
      </c>
      <c r="J143" s="69">
        <f t="shared" si="46"/>
        <v>4092.2372547357595</v>
      </c>
      <c r="K143" s="70">
        <f t="shared" si="46"/>
        <v>4489.2478300154326</v>
      </c>
      <c r="L143" s="69"/>
      <c r="O143" s="59">
        <v>3</v>
      </c>
      <c r="P143" s="69">
        <f t="shared" si="52"/>
        <v>2486.0577450103319</v>
      </c>
      <c r="Q143" s="69">
        <f t="shared" si="47"/>
        <v>3567.3325365802962</v>
      </c>
      <c r="R143" s="70">
        <f t="shared" si="47"/>
        <v>3959.0987654099931</v>
      </c>
      <c r="T143" s="59">
        <v>3</v>
      </c>
      <c r="U143" s="69">
        <f t="shared" si="53"/>
        <v>2403.8199660973241</v>
      </c>
      <c r="V143" s="69">
        <f t="shared" si="48"/>
        <v>3415.1832445163204</v>
      </c>
      <c r="W143" s="70">
        <f t="shared" si="54"/>
        <v>3781.6192149579861</v>
      </c>
    </row>
    <row r="144" spans="1:23" x14ac:dyDescent="0.2">
      <c r="A144" s="59">
        <v>4</v>
      </c>
      <c r="B144" s="69">
        <f t="shared" si="50"/>
        <v>2101.263934866945</v>
      </c>
      <c r="C144" s="69">
        <f t="shared" si="45"/>
        <v>3252.3720638672776</v>
      </c>
      <c r="D144" s="70">
        <f t="shared" si="45"/>
        <v>3669.4402265485578</v>
      </c>
      <c r="E144" s="69"/>
      <c r="F144" s="73"/>
      <c r="G144" s="74"/>
      <c r="H144" s="59">
        <v>4</v>
      </c>
      <c r="I144" s="69">
        <f t="shared" si="51"/>
        <v>3530.0880696216882</v>
      </c>
      <c r="J144" s="69">
        <f t="shared" si="46"/>
        <v>4795.3502466705249</v>
      </c>
      <c r="K144" s="70">
        <f t="shared" si="46"/>
        <v>5253.7785716882199</v>
      </c>
      <c r="L144" s="69"/>
      <c r="O144" s="59">
        <v>4</v>
      </c>
      <c r="P144" s="69">
        <f t="shared" si="52"/>
        <v>2855.6597954692579</v>
      </c>
      <c r="Q144" s="69">
        <f t="shared" si="47"/>
        <v>4104.2083794310083</v>
      </c>
      <c r="R144" s="70">
        <f t="shared" si="47"/>
        <v>4556.581054779469</v>
      </c>
      <c r="T144" s="59">
        <v>4</v>
      </c>
      <c r="U144" s="69">
        <f t="shared" si="53"/>
        <v>2775.6922090193757</v>
      </c>
      <c r="V144" s="69">
        <f t="shared" si="48"/>
        <v>3943.5139311067942</v>
      </c>
      <c r="W144" s="70">
        <f t="shared" si="54"/>
        <v>4366.6377434573087</v>
      </c>
    </row>
    <row r="145" spans="1:23" x14ac:dyDescent="0.2">
      <c r="A145" s="59">
        <v>5</v>
      </c>
      <c r="B145" s="69">
        <f t="shared" si="50"/>
        <v>2265.5252472577936</v>
      </c>
      <c r="C145" s="69">
        <f t="shared" si="45"/>
        <v>3552.5032602064643</v>
      </c>
      <c r="D145" s="70">
        <f t="shared" si="45"/>
        <v>4018.799641709606</v>
      </c>
      <c r="E145" s="69"/>
      <c r="F145" s="73"/>
      <c r="G145" s="74"/>
      <c r="H145" s="59">
        <v>5</v>
      </c>
      <c r="I145" s="69">
        <f t="shared" si="51"/>
        <v>4015.750045849074</v>
      </c>
      <c r="J145" s="69">
        <f t="shared" si="46"/>
        <v>5430.3561644693609</v>
      </c>
      <c r="K145" s="70">
        <f t="shared" si="46"/>
        <v>5942.8946132448273</v>
      </c>
      <c r="L145" s="69"/>
      <c r="O145" s="59">
        <v>5</v>
      </c>
      <c r="P145" s="69">
        <f t="shared" si="52"/>
        <v>3177.9570611149279</v>
      </c>
      <c r="Q145" s="69">
        <f t="shared" si="47"/>
        <v>4573.8768145897175</v>
      </c>
      <c r="R145" s="70">
        <f t="shared" si="47"/>
        <v>5079.6448412110176</v>
      </c>
      <c r="T145" s="59">
        <v>5</v>
      </c>
      <c r="U145" s="69">
        <f t="shared" si="53"/>
        <v>3103.3182319919401</v>
      </c>
      <c r="V145" s="69">
        <f t="shared" si="48"/>
        <v>4408.9826100861083</v>
      </c>
      <c r="W145" s="70">
        <f t="shared" si="54"/>
        <v>4882.0494137434152</v>
      </c>
    </row>
    <row r="146" spans="1:23" x14ac:dyDescent="0.2">
      <c r="A146" s="59">
        <v>6</v>
      </c>
      <c r="B146" s="69">
        <f t="shared" si="50"/>
        <v>2398.8069133324675</v>
      </c>
      <c r="C146" s="69">
        <f t="shared" si="45"/>
        <v>3808.6206907427927</v>
      </c>
      <c r="D146" s="70">
        <f t="shared" si="45"/>
        <v>4319.4227840074036</v>
      </c>
      <c r="E146" s="69"/>
      <c r="F146" s="73"/>
      <c r="G146" s="74"/>
      <c r="H146" s="59">
        <v>6</v>
      </c>
      <c r="I146" s="69">
        <f t="shared" si="51"/>
        <v>4467.3601604357564</v>
      </c>
      <c r="J146" s="69">
        <f t="shared" si="46"/>
        <v>6016.9835227420763</v>
      </c>
      <c r="K146" s="70">
        <f t="shared" si="46"/>
        <v>6578.4412627081356</v>
      </c>
      <c r="L146" s="69"/>
      <c r="O146" s="59">
        <v>6</v>
      </c>
      <c r="P146" s="69">
        <f t="shared" si="52"/>
        <v>3466.6522762101545</v>
      </c>
      <c r="Q146" s="69">
        <f t="shared" si="47"/>
        <v>4995.80575110054</v>
      </c>
      <c r="R146" s="70">
        <f t="shared" si="47"/>
        <v>5549.846865191259</v>
      </c>
      <c r="T146" s="59">
        <v>6</v>
      </c>
      <c r="U146" s="69">
        <f t="shared" si="53"/>
        <v>3399.5147975580689</v>
      </c>
      <c r="V146" s="69">
        <f t="shared" si="48"/>
        <v>4829.7984623843286</v>
      </c>
      <c r="W146" s="70">
        <f t="shared" si="54"/>
        <v>5348.0171815242793</v>
      </c>
    </row>
    <row r="147" spans="1:23" x14ac:dyDescent="0.2">
      <c r="A147" s="59">
        <v>7</v>
      </c>
      <c r="B147" s="69">
        <f t="shared" si="50"/>
        <v>2508.613711788792</v>
      </c>
      <c r="C147" s="69">
        <f t="shared" si="45"/>
        <v>4031.3866325286613</v>
      </c>
      <c r="D147" s="70">
        <f t="shared" si="45"/>
        <v>4583.1159516373091</v>
      </c>
      <c r="E147" s="69"/>
      <c r="F147" s="73"/>
      <c r="G147" s="74"/>
      <c r="H147" s="59">
        <v>7</v>
      </c>
      <c r="I147" s="69">
        <f t="shared" si="51"/>
        <v>4893.1674322134677</v>
      </c>
      <c r="J147" s="69">
        <f t="shared" si="46"/>
        <v>6566.9519640971675</v>
      </c>
      <c r="K147" s="70">
        <f t="shared" si="46"/>
        <v>7173.3956350695235</v>
      </c>
      <c r="L147" s="69"/>
      <c r="O147" s="59">
        <v>7</v>
      </c>
      <c r="P147" s="69">
        <f t="shared" si="52"/>
        <v>3729.8854934398687</v>
      </c>
      <c r="Q147" s="69">
        <f t="shared" si="47"/>
        <v>5381.5600199121882</v>
      </c>
      <c r="R147" s="70">
        <f t="shared" si="47"/>
        <v>5979.9928193586811</v>
      </c>
      <c r="T147" s="59">
        <v>7</v>
      </c>
      <c r="U147" s="69">
        <f t="shared" si="53"/>
        <v>3671.895650562391</v>
      </c>
      <c r="V147" s="69">
        <f t="shared" si="48"/>
        <v>5216.7785767136402</v>
      </c>
      <c r="W147" s="70">
        <f t="shared" si="54"/>
        <v>5776.5187673481514</v>
      </c>
    </row>
    <row r="148" spans="1:23" x14ac:dyDescent="0.2">
      <c r="A148" s="59">
        <v>8</v>
      </c>
      <c r="B148" s="69">
        <f t="shared" si="50"/>
        <v>2599.8354211176838</v>
      </c>
      <c r="C148" s="69">
        <f t="shared" si="45"/>
        <v>4227.7481489078737</v>
      </c>
      <c r="D148" s="70">
        <f t="shared" si="45"/>
        <v>4817.5716010057686</v>
      </c>
      <c r="E148" s="69"/>
      <c r="F148" s="73"/>
      <c r="G148" s="74"/>
      <c r="H148" s="59">
        <v>8</v>
      </c>
      <c r="I148" s="69">
        <f t="shared" si="51"/>
        <v>5298.5465532922153</v>
      </c>
      <c r="J148" s="69">
        <f t="shared" si="46"/>
        <v>7087.897484032389</v>
      </c>
      <c r="K148" s="70">
        <f t="shared" si="46"/>
        <v>7736.2130386483941</v>
      </c>
      <c r="L148" s="69"/>
      <c r="O148" s="59">
        <v>8</v>
      </c>
      <c r="P148" s="69">
        <f t="shared" si="52"/>
        <v>3972.9604074413628</v>
      </c>
      <c r="Q148" s="69">
        <f t="shared" si="47"/>
        <v>5738.674748161794</v>
      </c>
      <c r="R148" s="70">
        <f t="shared" si="47"/>
        <v>6378.4263208865887</v>
      </c>
      <c r="T148" s="59">
        <v>8</v>
      </c>
      <c r="U148" s="69">
        <f t="shared" si="53"/>
        <v>3925.4215669685364</v>
      </c>
      <c r="V148" s="69">
        <f t="shared" si="48"/>
        <v>5576.9708847784686</v>
      </c>
      <c r="W148" s="70">
        <f t="shared" si="54"/>
        <v>6175.358318767574</v>
      </c>
    </row>
    <row r="149" spans="1:23" x14ac:dyDescent="0.2">
      <c r="A149" s="59">
        <v>9</v>
      </c>
      <c r="B149" s="69">
        <f t="shared" si="50"/>
        <v>2675.8684930587278</v>
      </c>
      <c r="C149" s="69">
        <f t="shared" si="45"/>
        <v>4402.5306865592274</v>
      </c>
      <c r="D149" s="70">
        <f t="shared" si="45"/>
        <v>5028.1329305811478</v>
      </c>
      <c r="E149" s="69"/>
      <c r="F149" s="73"/>
      <c r="G149" s="74"/>
      <c r="H149" s="59">
        <v>9</v>
      </c>
      <c r="I149" s="69">
        <f t="shared" si="51"/>
        <v>5687.2307975617405</v>
      </c>
      <c r="J149" s="69">
        <f t="shared" si="46"/>
        <v>7585.1240631349965</v>
      </c>
      <c r="K149" s="70">
        <f t="shared" si="46"/>
        <v>8272.7665506615394</v>
      </c>
      <c r="L149" s="69"/>
      <c r="O149" s="59">
        <v>9</v>
      </c>
      <c r="P149" s="69">
        <f t="shared" si="52"/>
        <v>4199.5609770914052</v>
      </c>
      <c r="Q149" s="69">
        <f t="shared" si="47"/>
        <v>6072.3838530340317</v>
      </c>
      <c r="R149" s="70">
        <f t="shared" si="47"/>
        <v>6750.9428660567219</v>
      </c>
      <c r="T149" s="59">
        <v>9</v>
      </c>
      <c r="U149" s="69">
        <f t="shared" si="53"/>
        <v>4163.5383135290631</v>
      </c>
      <c r="V149" s="69">
        <f t="shared" si="48"/>
        <v>5915.2708966601922</v>
      </c>
      <c r="W149" s="70">
        <f t="shared" si="54"/>
        <v>6549.9566151859644</v>
      </c>
    </row>
    <row r="150" spans="1:23" x14ac:dyDescent="0.2">
      <c r="A150" s="59">
        <v>10</v>
      </c>
      <c r="B150" s="69">
        <f t="shared" si="50"/>
        <v>2739.1858634498744</v>
      </c>
      <c r="C150" s="69">
        <f t="shared" si="45"/>
        <v>4559.2476238378613</v>
      </c>
      <c r="D150" s="70">
        <f t="shared" si="45"/>
        <v>5218.6902906451023</v>
      </c>
      <c r="E150" s="69"/>
      <c r="F150" s="73"/>
      <c r="G150" s="74"/>
      <c r="H150" s="59">
        <v>10</v>
      </c>
      <c r="I150" s="69">
        <f t="shared" si="51"/>
        <v>6061.9383390173443</v>
      </c>
      <c r="J150" s="69">
        <f t="shared" si="46"/>
        <v>8062.4934973861182</v>
      </c>
      <c r="K150" s="70">
        <f t="shared" si="46"/>
        <v>8787.33232288205</v>
      </c>
      <c r="L150" s="69"/>
      <c r="O150" s="59">
        <v>10</v>
      </c>
      <c r="P150" s="69">
        <f t="shared" si="52"/>
        <v>4412.3694704245236</v>
      </c>
      <c r="Q150" s="69">
        <f t="shared" si="47"/>
        <v>6386.4981177730779</v>
      </c>
      <c r="R150" s="70">
        <f t="shared" si="47"/>
        <v>7101.7621204355983</v>
      </c>
      <c r="T150" s="59">
        <v>10</v>
      </c>
      <c r="U150" s="69">
        <f t="shared" si="53"/>
        <v>4388.7547320426957</v>
      </c>
      <c r="V150" s="69">
        <f t="shared" si="48"/>
        <v>6235.2430034509007</v>
      </c>
      <c r="W150" s="70">
        <f t="shared" si="54"/>
        <v>6904.2604930915531</v>
      </c>
    </row>
    <row r="151" spans="1:23" x14ac:dyDescent="0.2">
      <c r="A151" s="59">
        <v>11</v>
      </c>
      <c r="B151" s="69">
        <f t="shared" si="50"/>
        <v>2791.6543990966225</v>
      </c>
      <c r="C151" s="69">
        <f t="shared" si="45"/>
        <v>4700.5512776076857</v>
      </c>
      <c r="D151" s="70">
        <f t="shared" si="45"/>
        <v>5392.1805814160425</v>
      </c>
      <c r="E151" s="69"/>
      <c r="F151" s="73"/>
      <c r="G151" s="74"/>
      <c r="H151" s="59">
        <v>11</v>
      </c>
      <c r="I151" s="69">
        <f t="shared" si="51"/>
        <v>6424.7211794641362</v>
      </c>
      <c r="J151" s="69">
        <f t="shared" si="46"/>
        <v>8522.9211308137455</v>
      </c>
      <c r="K151" s="70">
        <f t="shared" si="46"/>
        <v>9283.1385044911403</v>
      </c>
      <c r="L151" s="69"/>
      <c r="O151" s="59">
        <v>11</v>
      </c>
      <c r="P151" s="69">
        <f t="shared" si="52"/>
        <v>4613.4107831457586</v>
      </c>
      <c r="Q151" s="69">
        <f t="shared" si="47"/>
        <v>6683.8943759110944</v>
      </c>
      <c r="R151" s="70">
        <f t="shared" si="47"/>
        <v>7434.0695906811434</v>
      </c>
      <c r="T151" s="59">
        <v>11</v>
      </c>
      <c r="U151" s="69">
        <f t="shared" si="53"/>
        <v>4602.9647954150005</v>
      </c>
      <c r="V151" s="69">
        <f t="shared" si="48"/>
        <v>6539.5780325103378</v>
      </c>
      <c r="W151" s="70">
        <f t="shared" si="54"/>
        <v>7241.2494952260404</v>
      </c>
    </row>
    <row r="152" spans="1:23" x14ac:dyDescent="0.2">
      <c r="A152" s="59">
        <v>12</v>
      </c>
      <c r="B152" s="69">
        <f t="shared" si="50"/>
        <v>2834.7244698042086</v>
      </c>
      <c r="C152" s="69">
        <f t="shared" si="45"/>
        <v>4828.5022342383354</v>
      </c>
      <c r="D152" s="70">
        <f t="shared" si="45"/>
        <v>5550.8854822217145</v>
      </c>
      <c r="E152" s="69"/>
      <c r="F152" s="4"/>
      <c r="G152" s="5"/>
      <c r="H152" s="59">
        <v>12</v>
      </c>
      <c r="I152" s="69">
        <f t="shared" si="51"/>
        <v>6777.1735201861402</v>
      </c>
      <c r="J152" s="69">
        <f t="shared" si="46"/>
        <v>8968.6718957299345</v>
      </c>
      <c r="K152" s="70">
        <f t="shared" si="46"/>
        <v>9762.6930462892815</v>
      </c>
      <c r="L152" s="69"/>
      <c r="O152" s="59">
        <v>12</v>
      </c>
      <c r="P152" s="69">
        <f t="shared" si="52"/>
        <v>4804.2580577957006</v>
      </c>
      <c r="Q152" s="69">
        <f t="shared" si="47"/>
        <v>6966.8076409356299</v>
      </c>
      <c r="R152" s="70">
        <f t="shared" si="47"/>
        <v>7750.3400985950238</v>
      </c>
      <c r="T152" s="59">
        <v>12</v>
      </c>
      <c r="U152" s="69">
        <f t="shared" si="53"/>
        <v>4807.6399321946492</v>
      </c>
      <c r="V152" s="69">
        <f t="shared" si="48"/>
        <v>6830.366489032639</v>
      </c>
      <c r="W152" s="70">
        <f t="shared" si="54"/>
        <v>7563.2384299159721</v>
      </c>
    </row>
    <row r="153" spans="1:23" x14ac:dyDescent="0.2">
      <c r="A153" s="59">
        <v>13</v>
      </c>
      <c r="B153" s="69">
        <f t="shared" si="50"/>
        <v>2869.5494785404703</v>
      </c>
      <c r="C153" s="69">
        <f t="shared" si="45"/>
        <v>4944.739169897528</v>
      </c>
      <c r="D153" s="70">
        <f t="shared" si="45"/>
        <v>5696.6194928529849</v>
      </c>
      <c r="E153" s="69"/>
      <c r="F153" s="4"/>
      <c r="G153" s="5"/>
      <c r="H153" s="59">
        <v>13</v>
      </c>
      <c r="I153" s="69">
        <f t="shared" si="51"/>
        <v>7120.5631457757272</v>
      </c>
      <c r="J153" s="69">
        <f t="shared" si="46"/>
        <v>9401.5469739031159</v>
      </c>
      <c r="K153" s="70">
        <f t="shared" si="46"/>
        <v>10227.990389891302</v>
      </c>
      <c r="L153" s="69"/>
      <c r="O153" s="59">
        <v>13</v>
      </c>
      <c r="P153" s="69">
        <f t="shared" si="52"/>
        <v>4986.1623320535637</v>
      </c>
      <c r="Q153" s="69">
        <f t="shared" si="47"/>
        <v>7237.0153017445891</v>
      </c>
      <c r="R153" s="70">
        <f t="shared" si="47"/>
        <v>8052.5417400384376</v>
      </c>
      <c r="T153" s="59">
        <v>13</v>
      </c>
      <c r="U153" s="69">
        <f t="shared" si="53"/>
        <v>5003.9502922626343</v>
      </c>
      <c r="V153" s="69">
        <f t="shared" si="48"/>
        <v>7109.2708420560548</v>
      </c>
      <c r="W153" s="70">
        <f t="shared" si="54"/>
        <v>7872.0681427058498</v>
      </c>
    </row>
    <row r="154" spans="1:23" x14ac:dyDescent="0.2">
      <c r="A154" s="59">
        <v>14</v>
      </c>
      <c r="B154" s="69">
        <f t="shared" si="50"/>
        <v>2897.0645999977596</v>
      </c>
      <c r="C154" s="69">
        <f t="shared" si="45"/>
        <v>5050.5907169225729</v>
      </c>
      <c r="D154" s="70">
        <f t="shared" si="45"/>
        <v>5830.8538027648974</v>
      </c>
      <c r="E154" s="69"/>
      <c r="F154" s="4"/>
      <c r="G154" s="5"/>
      <c r="H154" s="59">
        <v>14</v>
      </c>
      <c r="I154" s="69">
        <f t="shared" si="51"/>
        <v>7455.9179711067072</v>
      </c>
      <c r="J154" s="69">
        <f t="shared" si="46"/>
        <v>9823.0067565869376</v>
      </c>
      <c r="K154" s="70">
        <f t="shared" si="46"/>
        <v>10680.64762089137</v>
      </c>
      <c r="L154" s="69"/>
      <c r="O154" s="59">
        <v>14</v>
      </c>
      <c r="P154" s="69">
        <f t="shared" si="52"/>
        <v>5160.1379424603547</v>
      </c>
      <c r="Q154" s="69">
        <f t="shared" si="47"/>
        <v>7495.9584584236682</v>
      </c>
      <c r="R154" s="70">
        <f t="shared" si="47"/>
        <v>8342.2702395697979</v>
      </c>
      <c r="T154" s="59">
        <v>14</v>
      </c>
      <c r="U154" s="69">
        <f t="shared" si="53"/>
        <v>5192.8446286441122</v>
      </c>
      <c r="V154" s="69">
        <f t="shared" si="48"/>
        <v>7377.6390150858433</v>
      </c>
      <c r="W154" s="70">
        <f t="shared" si="54"/>
        <v>8169.2311840864695</v>
      </c>
    </row>
    <row r="155" spans="1:23" x14ac:dyDescent="0.2">
      <c r="A155" s="59">
        <v>15</v>
      </c>
      <c r="B155" s="69">
        <f t="shared" si="50"/>
        <v>2918.0405522087422</v>
      </c>
      <c r="C155" s="69">
        <f t="shared" si="45"/>
        <v>5147.1518588598765</v>
      </c>
      <c r="D155" s="70">
        <f t="shared" si="45"/>
        <v>5954.8008830088384</v>
      </c>
      <c r="E155" s="69"/>
      <c r="F155" s="4"/>
      <c r="G155" s="5"/>
      <c r="H155" s="59">
        <v>15</v>
      </c>
      <c r="I155" s="69">
        <f t="shared" si="51"/>
        <v>7784.0851454184403</v>
      </c>
      <c r="J155" s="69">
        <f t="shared" si="46"/>
        <v>10234.254815566585</v>
      </c>
      <c r="K155" s="70">
        <f t="shared" si="46"/>
        <v>11121.997449678231</v>
      </c>
      <c r="L155" s="69"/>
      <c r="O155" s="59">
        <v>15</v>
      </c>
      <c r="P155" s="69">
        <f t="shared" si="52"/>
        <v>5327.0208477623237</v>
      </c>
      <c r="Q155" s="69">
        <f t="shared" si="47"/>
        <v>7744.8247840696795</v>
      </c>
      <c r="R155" s="70">
        <f t="shared" si="47"/>
        <v>8620.8407030216204</v>
      </c>
      <c r="T155" s="59">
        <v>15</v>
      </c>
      <c r="U155" s="69">
        <f t="shared" si="53"/>
        <v>5375.1048498648597</v>
      </c>
      <c r="V155" s="69">
        <f t="shared" si="48"/>
        <v>7636.5818903567806</v>
      </c>
      <c r="W155" s="70">
        <f t="shared" si="54"/>
        <v>8455.9576296654468</v>
      </c>
    </row>
    <row r="156" spans="1:23" x14ac:dyDescent="0.2">
      <c r="A156" s="59">
        <v>16</v>
      </c>
      <c r="B156" s="69">
        <f t="shared" si="50"/>
        <v>2933.1214450893845</v>
      </c>
      <c r="C156" s="69">
        <f t="shared" si="45"/>
        <v>5235.337703090051</v>
      </c>
      <c r="D156" s="70">
        <f t="shared" si="45"/>
        <v>6069.4740284526115</v>
      </c>
      <c r="E156" s="69"/>
      <c r="F156" s="4"/>
      <c r="G156" s="5"/>
      <c r="H156" s="59">
        <v>16</v>
      </c>
      <c r="I156" s="69">
        <f t="shared" si="51"/>
        <v>8105.772654254597</v>
      </c>
      <c r="J156" s="69">
        <f t="shared" si="46"/>
        <v>10636.297008352272</v>
      </c>
      <c r="K156" s="70">
        <f t="shared" si="46"/>
        <v>11553.153658387662</v>
      </c>
      <c r="L156" s="69"/>
      <c r="O156" s="59">
        <v>16</v>
      </c>
      <c r="P156" s="69">
        <f t="shared" si="52"/>
        <v>5487.5096813052314</v>
      </c>
      <c r="Q156" s="69">
        <f t="shared" si="47"/>
        <v>7984.6068492287322</v>
      </c>
      <c r="R156" s="70">
        <f t="shared" si="47"/>
        <v>8889.3521999256536</v>
      </c>
      <c r="T156" s="59">
        <v>16</v>
      </c>
      <c r="U156" s="69">
        <f t="shared" si="53"/>
        <v>5551.3844180387496</v>
      </c>
      <c r="V156" s="69">
        <f t="shared" si="48"/>
        <v>7887.0278622135902</v>
      </c>
      <c r="W156" s="70">
        <f t="shared" si="54"/>
        <v>8733.2754869146211</v>
      </c>
    </row>
    <row r="157" spans="1:23" x14ac:dyDescent="0.2">
      <c r="A157" s="59">
        <v>17</v>
      </c>
      <c r="B157" s="69">
        <f t="shared" si="50"/>
        <v>2942.8521156708671</v>
      </c>
      <c r="C157" s="69">
        <f t="shared" si="50"/>
        <v>5315.9223168586141</v>
      </c>
      <c r="D157" s="70">
        <f t="shared" si="50"/>
        <v>6175.7303607672184</v>
      </c>
      <c r="E157" s="69"/>
      <c r="F157" s="4"/>
      <c r="G157" s="5"/>
      <c r="H157" s="59">
        <v>17</v>
      </c>
      <c r="I157" s="69">
        <f t="shared" si="51"/>
        <v>8421.5793654980844</v>
      </c>
      <c r="J157" s="69">
        <f t="shared" si="51"/>
        <v>11029.984165533737</v>
      </c>
      <c r="K157" s="70">
        <f t="shared" si="51"/>
        <v>11975.058368445209</v>
      </c>
      <c r="L157" s="69"/>
      <c r="O157" s="59">
        <v>17</v>
      </c>
      <c r="P157" s="69">
        <f t="shared" si="52"/>
        <v>5642.1954001735021</v>
      </c>
      <c r="Q157" s="69">
        <f t="shared" si="52"/>
        <v>8216.1442453683303</v>
      </c>
      <c r="R157" s="70">
        <f t="shared" si="52"/>
        <v>9148.7344066708047</v>
      </c>
      <c r="T157" s="59">
        <v>17</v>
      </c>
      <c r="U157" s="69">
        <f t="shared" si="53"/>
        <v>5722.2360809954489</v>
      </c>
      <c r="V157" s="69">
        <f t="shared" si="48"/>
        <v>8129.7622370240206</v>
      </c>
      <c r="W157" s="70">
        <f t="shared" si="54"/>
        <v>9002.0543225416241</v>
      </c>
    </row>
    <row r="158" spans="1:23" x14ac:dyDescent="0.2">
      <c r="A158" s="59">
        <v>18</v>
      </c>
      <c r="B158" s="69">
        <f t="shared" si="50"/>
        <v>2947.6983131931456</v>
      </c>
      <c r="C158" s="69">
        <f t="shared" si="50"/>
        <v>5389.5674048784304</v>
      </c>
      <c r="D158" s="70">
        <f t="shared" si="50"/>
        <v>6274.3025830252718</v>
      </c>
      <c r="E158" s="69"/>
      <c r="F158" s="4"/>
      <c r="G158" s="5"/>
      <c r="H158" s="59">
        <v>18</v>
      </c>
      <c r="I158" s="69">
        <f t="shared" si="51"/>
        <v>8732.0172161967366</v>
      </c>
      <c r="J158" s="69">
        <f t="shared" si="51"/>
        <v>11416.043612306999</v>
      </c>
      <c r="K158" s="70">
        <f t="shared" si="51"/>
        <v>12388.516944231007</v>
      </c>
      <c r="L158" s="69"/>
      <c r="O158" s="59">
        <v>18</v>
      </c>
      <c r="P158" s="69">
        <f t="shared" si="52"/>
        <v>5791.5831789370804</v>
      </c>
      <c r="Q158" s="69">
        <f t="shared" si="52"/>
        <v>8440.1546900177254</v>
      </c>
      <c r="R158" s="70">
        <f t="shared" si="52"/>
        <v>9399.782049104917</v>
      </c>
      <c r="T158" s="59">
        <v>18</v>
      </c>
      <c r="U158" s="69">
        <f t="shared" si="53"/>
        <v>5888.1323504528027</v>
      </c>
      <c r="V158" s="69">
        <f t="shared" si="48"/>
        <v>8365.4563271677052</v>
      </c>
      <c r="W158" s="70">
        <f t="shared" si="54"/>
        <v>9263.0374781513638</v>
      </c>
    </row>
    <row r="159" spans="1:23" x14ac:dyDescent="0.2">
      <c r="A159" s="59">
        <v>19</v>
      </c>
      <c r="B159" s="69">
        <f t="shared" si="50"/>
        <v>2948.0618951917922</v>
      </c>
      <c r="C159" s="69">
        <f t="shared" si="50"/>
        <v>5456.8438988921098</v>
      </c>
      <c r="D159" s="70">
        <f t="shared" si="50"/>
        <v>6365.8228857400491</v>
      </c>
      <c r="E159" s="69"/>
      <c r="F159" s="4"/>
      <c r="G159" s="5"/>
      <c r="H159" s="59">
        <v>19</v>
      </c>
      <c r="I159" s="69">
        <f t="shared" si="51"/>
        <v>9037.5279156283505</v>
      </c>
      <c r="J159" s="69">
        <f t="shared" si="51"/>
        <v>11795.102899048426</v>
      </c>
      <c r="K159" s="70">
        <f t="shared" si="51"/>
        <v>12794.224269852803</v>
      </c>
      <c r="L159" s="69"/>
      <c r="O159" s="59">
        <v>19</v>
      </c>
      <c r="P159" s="69">
        <f t="shared" si="52"/>
        <v>5936.1088920758275</v>
      </c>
      <c r="Q159" s="69">
        <f t="shared" si="52"/>
        <v>8657.2574438708671</v>
      </c>
      <c r="R159" s="70">
        <f t="shared" si="52"/>
        <v>9643.1808322024044</v>
      </c>
      <c r="T159" s="59">
        <v>19</v>
      </c>
      <c r="U159" s="69">
        <f t="shared" si="53"/>
        <v>6049.4809187443161</v>
      </c>
      <c r="V159" s="69">
        <f t="shared" si="48"/>
        <v>8594.689354069671</v>
      </c>
      <c r="W159" s="70">
        <f t="shared" si="54"/>
        <v>9516.8663233904481</v>
      </c>
    </row>
    <row r="160" spans="1:23" x14ac:dyDescent="0.2">
      <c r="A160" s="59">
        <v>20</v>
      </c>
      <c r="B160" s="69">
        <f t="shared" si="50"/>
        <v>2944.292463709955</v>
      </c>
      <c r="C160" s="69">
        <f t="shared" si="50"/>
        <v>5518.2484896072983</v>
      </c>
      <c r="D160" s="70">
        <f t="shared" si="50"/>
        <v>6450.8412526135799</v>
      </c>
      <c r="E160" s="69"/>
      <c r="F160" s="4"/>
      <c r="G160" s="5"/>
      <c r="H160" s="59">
        <v>20</v>
      </c>
      <c r="I160" s="69">
        <f t="shared" si="51"/>
        <v>9338.4957354621747</v>
      </c>
      <c r="J160" s="69">
        <f t="shared" si="51"/>
        <v>12167.707972702749</v>
      </c>
      <c r="K160" s="70">
        <f t="shared" si="51"/>
        <v>13192.784870253679</v>
      </c>
      <c r="L160" s="69"/>
      <c r="O160" s="59">
        <v>20</v>
      </c>
      <c r="P160" s="69">
        <f t="shared" si="52"/>
        <v>6076.1517351882503</v>
      </c>
      <c r="Q160" s="69">
        <f t="shared" si="52"/>
        <v>8867.9912421378285</v>
      </c>
      <c r="R160" s="70">
        <f t="shared" si="52"/>
        <v>9879.5272953804306</v>
      </c>
      <c r="T160" s="59">
        <v>20</v>
      </c>
      <c r="U160" s="69">
        <f t="shared" si="53"/>
        <v>6206.6364639838794</v>
      </c>
      <c r="V160" s="69">
        <f t="shared" si="48"/>
        <v>8817.9652201722165</v>
      </c>
      <c r="W160" s="70">
        <f t="shared" si="54"/>
        <v>9764.0988274868287</v>
      </c>
    </row>
    <row r="161" spans="1:23" x14ac:dyDescent="0.2">
      <c r="A161" s="59">
        <v>21</v>
      </c>
      <c r="B161" s="69">
        <f t="shared" si="50"/>
        <v>2936.6964107616159</v>
      </c>
      <c r="C161" s="69">
        <f t="shared" si="50"/>
        <v>5574.2164778731239</v>
      </c>
      <c r="D161" s="70">
        <f t="shared" si="50"/>
        <v>6529.8396905946856</v>
      </c>
      <c r="E161" s="69"/>
      <c r="F161" s="4"/>
      <c r="G161" s="5"/>
      <c r="H161" s="59">
        <v>21</v>
      </c>
      <c r="I161" s="69">
        <f t="shared" si="51"/>
        <v>9635.2574522501836</v>
      </c>
      <c r="J161" s="69">
        <f t="shared" si="51"/>
        <v>12534.337302395637</v>
      </c>
      <c r="K161" s="70">
        <f t="shared" si="51"/>
        <v>13584.728552448341</v>
      </c>
      <c r="L161" s="69"/>
      <c r="O161" s="59">
        <v>21</v>
      </c>
      <c r="P161" s="69">
        <f t="shared" si="52"/>
        <v>6212.0440361465589</v>
      </c>
      <c r="Q161" s="69">
        <f t="shared" si="52"/>
        <v>9072.8282335638851</v>
      </c>
      <c r="R161" s="70">
        <f t="shared" si="52"/>
        <v>10109.344247120887</v>
      </c>
      <c r="T161" s="59">
        <v>21</v>
      </c>
      <c r="U161" s="69">
        <f t="shared" si="53"/>
        <v>6359.9098268652415</v>
      </c>
      <c r="V161" s="69">
        <f t="shared" si="48"/>
        <v>9035.7255467048763</v>
      </c>
      <c r="W161" s="70">
        <f t="shared" si="54"/>
        <v>10005.223995922141</v>
      </c>
    </row>
    <row r="162" spans="1:23" x14ac:dyDescent="0.2">
      <c r="A162" s="59">
        <v>22</v>
      </c>
      <c r="B162" s="69">
        <f t="shared" si="50"/>
        <v>2925.5440449952916</v>
      </c>
      <c r="C162" s="69">
        <f t="shared" si="50"/>
        <v>5625.1318997573035</v>
      </c>
      <c r="D162" s="70">
        <f t="shared" si="50"/>
        <v>6603.2434413377414</v>
      </c>
      <c r="E162" s="69"/>
      <c r="F162" s="4"/>
      <c r="G162" s="5"/>
      <c r="H162" s="59">
        <v>22</v>
      </c>
      <c r="I162" s="69">
        <f t="shared" si="51"/>
        <v>9928.1101808337044</v>
      </c>
      <c r="J162" s="69">
        <f t="shared" si="51"/>
        <v>12895.413008602891</v>
      </c>
      <c r="K162" s="70">
        <f t="shared" si="51"/>
        <v>13970.522728809116</v>
      </c>
      <c r="L162" s="69"/>
      <c r="O162" s="59">
        <v>22</v>
      </c>
      <c r="P162" s="69">
        <f t="shared" si="52"/>
        <v>6344.0789850272013</v>
      </c>
      <c r="Q162" s="69">
        <f t="shared" si="52"/>
        <v>9272.1849625869108</v>
      </c>
      <c r="R162" s="70">
        <f t="shared" si="52"/>
        <v>10333.092925470866</v>
      </c>
      <c r="T162" s="59">
        <v>22</v>
      </c>
      <c r="U162" s="69">
        <f t="shared" si="53"/>
        <v>6509.5752408017943</v>
      </c>
      <c r="V162" s="69">
        <f t="shared" si="48"/>
        <v>9248.3599457732817</v>
      </c>
      <c r="W162" s="70">
        <f t="shared" si="54"/>
        <v>10240.673244675991</v>
      </c>
    </row>
    <row r="163" spans="1:23" x14ac:dyDescent="0.2">
      <c r="A163" s="59">
        <v>23</v>
      </c>
      <c r="B163" s="69">
        <f t="shared" si="50"/>
        <v>2911.0752747660085</v>
      </c>
      <c r="C163" s="69">
        <f t="shared" si="50"/>
        <v>5671.33560066667</v>
      </c>
      <c r="D163" s="70">
        <f t="shared" si="50"/>
        <v>6671.42992164517</v>
      </c>
      <c r="E163" s="69"/>
      <c r="F163" s="4"/>
      <c r="G163" s="5"/>
      <c r="H163" s="59">
        <v>23</v>
      </c>
      <c r="I163" s="69">
        <f t="shared" si="51"/>
        <v>10217.317620998998</v>
      </c>
      <c r="J163" s="69">
        <f t="shared" si="51"/>
        <v>13251.309737972044</v>
      </c>
      <c r="K163" s="70">
        <f t="shared" si="51"/>
        <v>14350.582244121697</v>
      </c>
      <c r="L163" s="69"/>
      <c r="O163" s="59">
        <v>23</v>
      </c>
      <c r="P163" s="69">
        <f t="shared" si="52"/>
        <v>6472.5167982506864</v>
      </c>
      <c r="Q163" s="69">
        <f t="shared" si="52"/>
        <v>9466.4311269262962</v>
      </c>
      <c r="R163" s="70">
        <f t="shared" si="52"/>
        <v>10551.182695287025</v>
      </c>
      <c r="T163" s="59">
        <v>23</v>
      </c>
      <c r="U163" s="69">
        <f t="shared" si="53"/>
        <v>6655.8760975143196</v>
      </c>
      <c r="V163" s="69">
        <f t="shared" si="48"/>
        <v>9456.2142117124185</v>
      </c>
      <c r="W163" s="70">
        <f t="shared" si="54"/>
        <v>10470.829470479843</v>
      </c>
    </row>
    <row r="164" spans="1:23" x14ac:dyDescent="0.2">
      <c r="A164" s="59">
        <v>24</v>
      </c>
      <c r="B164" s="69">
        <f t="shared" si="50"/>
        <v>2893.504189698177</v>
      </c>
      <c r="C164" s="69">
        <f t="shared" si="50"/>
        <v>5713.1317445188279</v>
      </c>
      <c r="D164" s="70">
        <f t="shared" si="50"/>
        <v>6734.7359310480488</v>
      </c>
      <c r="E164" s="69"/>
      <c r="F164" s="4"/>
      <c r="G164" s="5"/>
      <c r="H164" s="59">
        <v>24</v>
      </c>
      <c r="I164" s="69">
        <f t="shared" si="51"/>
        <v>10503.115093388345</v>
      </c>
      <c r="J164" s="69">
        <f t="shared" si="51"/>
        <v>13602.361818000985</v>
      </c>
      <c r="K164" s="70">
        <f t="shared" si="51"/>
        <v>14725.277297933106</v>
      </c>
      <c r="L164" s="69"/>
      <c r="O164" s="59">
        <v>24</v>
      </c>
      <c r="P164" s="69">
        <f t="shared" si="52"/>
        <v>6597.5896879703814</v>
      </c>
      <c r="Q164" s="69">
        <f t="shared" si="52"/>
        <v>9655.8966377511515</v>
      </c>
      <c r="R164" s="70">
        <f t="shared" si="52"/>
        <v>10763.97886593259</v>
      </c>
      <c r="T164" s="59">
        <v>24</v>
      </c>
      <c r="U164" s="69">
        <f t="shared" si="53"/>
        <v>6799.0295951161406</v>
      </c>
      <c r="V164" s="69">
        <f t="shared" si="48"/>
        <v>9659.5969247686608</v>
      </c>
      <c r="W164" s="70">
        <f t="shared" si="54"/>
        <v>10696.034363048566</v>
      </c>
    </row>
    <row r="165" spans="1:23" x14ac:dyDescent="0.2">
      <c r="A165" s="59">
        <v>25</v>
      </c>
      <c r="B165" s="69">
        <f t="shared" si="50"/>
        <v>2873.0227909589144</v>
      </c>
      <c r="C165" s="69">
        <f t="shared" si="50"/>
        <v>5750.7931134597475</v>
      </c>
      <c r="D165" s="70">
        <f t="shared" si="50"/>
        <v>6793.4635201629471</v>
      </c>
      <c r="E165" s="69"/>
      <c r="F165" s="4"/>
      <c r="G165" s="5"/>
      <c r="H165" s="59">
        <v>25</v>
      </c>
      <c r="I165" s="69">
        <f t="shared" si="51"/>
        <v>10785.713639700261</v>
      </c>
      <c r="J165" s="69">
        <f t="shared" si="51"/>
        <v>13948.869082322353</v>
      </c>
      <c r="K165" s="70">
        <f t="shared" si="51"/>
        <v>15094.939894866589</v>
      </c>
      <c r="L165" s="69"/>
      <c r="O165" s="59">
        <v>25</v>
      </c>
      <c r="P165" s="69">
        <f t="shared" si="52"/>
        <v>6719.5059081107365</v>
      </c>
      <c r="Q165" s="69">
        <f t="shared" si="52"/>
        <v>9840.8773680151135</v>
      </c>
      <c r="R165" s="70">
        <f t="shared" si="52"/>
        <v>10971.809056386264</v>
      </c>
      <c r="T165" s="59">
        <v>25</v>
      </c>
      <c r="U165" s="69">
        <f t="shared" si="53"/>
        <v>6939.2305225484388</v>
      </c>
      <c r="V165" s="69">
        <f t="shared" si="48"/>
        <v>9858.7848277669873</v>
      </c>
      <c r="W165" s="70">
        <f t="shared" si="54"/>
        <v>10916.594358643273</v>
      </c>
    </row>
    <row r="166" spans="1:23" x14ac:dyDescent="0.2">
      <c r="A166" s="59">
        <v>26</v>
      </c>
      <c r="B166" s="69">
        <f t="shared" si="50"/>
        <v>2849.8040559386081</v>
      </c>
      <c r="C166" s="69">
        <f t="shared" si="50"/>
        <v>5784.5654619525976</v>
      </c>
      <c r="D166" s="70">
        <f t="shared" si="50"/>
        <v>6847.8848119576651</v>
      </c>
      <c r="E166" s="69"/>
      <c r="F166" s="4"/>
      <c r="G166" s="5"/>
      <c r="H166" s="59">
        <v>26</v>
      </c>
      <c r="I166" s="69">
        <f t="shared" si="51"/>
        <v>11065.303391290798</v>
      </c>
      <c r="J166" s="69">
        <f t="shared" si="51"/>
        <v>14291.101656582252</v>
      </c>
      <c r="K166" s="70">
        <f t="shared" si="51"/>
        <v>15459.869144006694</v>
      </c>
      <c r="L166" s="69"/>
      <c r="O166" s="59">
        <v>26</v>
      </c>
      <c r="P166" s="69">
        <f t="shared" si="52"/>
        <v>6838.4530784707777</v>
      </c>
      <c r="Q166" s="69">
        <f t="shared" si="52"/>
        <v>10021.639875115579</v>
      </c>
      <c r="R166" s="70">
        <f t="shared" si="52"/>
        <v>11174.968424624567</v>
      </c>
      <c r="T166" s="59">
        <v>26</v>
      </c>
      <c r="U166" s="69">
        <f t="shared" si="53"/>
        <v>7076.6543687586282</v>
      </c>
      <c r="V166" s="69">
        <f t="shared" si="48"/>
        <v>10054.02724341927</v>
      </c>
      <c r="W166" s="70">
        <f t="shared" si="54"/>
        <v>11132.785531339792</v>
      </c>
    </row>
    <row r="167" spans="1:23" x14ac:dyDescent="0.2">
      <c r="A167" s="59">
        <v>27</v>
      </c>
      <c r="B167" s="69">
        <f t="shared" si="50"/>
        <v>2824.0044769812462</v>
      </c>
      <c r="C167" s="69">
        <f t="shared" si="50"/>
        <v>5814.6711236324363</v>
      </c>
      <c r="D167" s="70">
        <f t="shared" si="50"/>
        <v>6898.2459956075036</v>
      </c>
      <c r="E167" s="69"/>
      <c r="F167" s="4"/>
      <c r="G167" s="5"/>
      <c r="H167" s="59">
        <v>27</v>
      </c>
      <c r="I167" s="69">
        <f t="shared" si="51"/>
        <v>11342.056359666836</v>
      </c>
      <c r="J167" s="69">
        <f t="shared" si="51"/>
        <v>14629.303922982528</v>
      </c>
      <c r="K167" s="70">
        <f t="shared" si="51"/>
        <v>15820.335648821549</v>
      </c>
      <c r="L167" s="69"/>
      <c r="O167" s="59">
        <v>27</v>
      </c>
      <c r="P167" s="69">
        <f t="shared" si="52"/>
        <v>6954.600938356105</v>
      </c>
      <c r="Q167" s="69">
        <f t="shared" si="52"/>
        <v>10198.425313066</v>
      </c>
      <c r="R167" s="70">
        <f t="shared" si="52"/>
        <v>11373.72399955509</v>
      </c>
      <c r="T167" s="59">
        <v>27</v>
      </c>
      <c r="U167" s="69">
        <f t="shared" si="53"/>
        <v>7211.4598982919779</v>
      </c>
      <c r="V167" s="69">
        <f t="shared" si="48"/>
        <v>10245.549733548964</v>
      </c>
      <c r="W167" s="70">
        <f t="shared" si="54"/>
        <v>11344.857644873964</v>
      </c>
    </row>
    <row r="168" spans="1:23" x14ac:dyDescent="0.2">
      <c r="A168" s="59">
        <v>28</v>
      </c>
      <c r="B168" s="69">
        <f t="shared" si="50"/>
        <v>2795.7661804496997</v>
      </c>
      <c r="C168" s="69">
        <f t="shared" si="50"/>
        <v>5841.3120219294387</v>
      </c>
      <c r="D168" s="70">
        <f t="shared" si="50"/>
        <v>6944.7706601467353</v>
      </c>
      <c r="E168" s="69"/>
      <c r="F168" s="4"/>
      <c r="G168" s="5"/>
      <c r="H168" s="59">
        <v>28</v>
      </c>
      <c r="I168" s="69">
        <f t="shared" si="51"/>
        <v>11616.128765696572</v>
      </c>
      <c r="J168" s="69">
        <f t="shared" si="51"/>
        <v>14963.697829463972</v>
      </c>
      <c r="K168" s="70">
        <f t="shared" si="51"/>
        <v>16176.585171408686</v>
      </c>
      <c r="L168" s="69"/>
      <c r="O168" s="59">
        <v>28</v>
      </c>
      <c r="P168" s="69">
        <f t="shared" si="52"/>
        <v>7068.1036450214906</v>
      </c>
      <c r="Q168" s="69">
        <f t="shared" si="52"/>
        <v>10371.45269796613</v>
      </c>
      <c r="R168" s="70">
        <f t="shared" si="52"/>
        <v>11568.318296859115</v>
      </c>
      <c r="T168" s="59">
        <v>28</v>
      </c>
      <c r="U168" s="69">
        <f t="shared" si="53"/>
        <v>7343.791301124782</v>
      </c>
      <c r="V168" s="69">
        <f t="shared" si="48"/>
        <v>10433.55715342728</v>
      </c>
      <c r="W168" s="70">
        <f t="shared" si="54"/>
        <v>11553.037534696306</v>
      </c>
    </row>
    <row r="169" spans="1:23" x14ac:dyDescent="0.2">
      <c r="A169" s="59">
        <v>29</v>
      </c>
      <c r="B169" s="69">
        <f t="shared" si="50"/>
        <v>2765.218707923395</v>
      </c>
      <c r="C169" s="69">
        <f t="shared" si="50"/>
        <v>5864.6722006729133</v>
      </c>
      <c r="D169" s="70">
        <f t="shared" si="50"/>
        <v>6987.6625965966523</v>
      </c>
      <c r="E169" s="69"/>
      <c r="F169" s="4"/>
      <c r="G169" s="5"/>
      <c r="H169" s="59">
        <v>29</v>
      </c>
      <c r="I169" s="69">
        <f t="shared" si="51"/>
        <v>11887.662997446496</v>
      </c>
      <c r="J169" s="69">
        <f t="shared" si="51"/>
        <v>15294.485671267388</v>
      </c>
      <c r="K169" s="70">
        <f t="shared" si="51"/>
        <v>16528.841712506844</v>
      </c>
      <c r="L169" s="69"/>
      <c r="O169" s="59">
        <v>29</v>
      </c>
      <c r="P169" s="69">
        <f t="shared" si="52"/>
        <v>7179.1017056456049</v>
      </c>
      <c r="Q169" s="69">
        <f t="shared" si="52"/>
        <v>10540.921652819825</v>
      </c>
      <c r="R169" s="70">
        <f t="shared" si="52"/>
        <v>11758.972358317729</v>
      </c>
      <c r="T169" s="59">
        <v>29</v>
      </c>
      <c r="U169" s="69">
        <f t="shared" si="53"/>
        <v>7473.7799997242864</v>
      </c>
      <c r="V169" s="69">
        <f t="shared" si="48"/>
        <v>10618.236219120476</v>
      </c>
      <c r="W169" s="70">
        <f t="shared" si="54"/>
        <v>11757.531950785768</v>
      </c>
    </row>
    <row r="170" spans="1:23" x14ac:dyDescent="0.2">
      <c r="A170" s="59">
        <v>30</v>
      </c>
      <c r="B170" s="69">
        <f t="shared" si="50"/>
        <v>2732.4805231260075</v>
      </c>
      <c r="C170" s="69">
        <f t="shared" si="50"/>
        <v>5884.9199650312539</v>
      </c>
      <c r="D170" s="70">
        <f t="shared" si="50"/>
        <v>7027.1081686201114</v>
      </c>
      <c r="E170" s="69"/>
      <c r="F170" s="4"/>
      <c r="G170" s="5"/>
      <c r="H170" s="59">
        <v>30</v>
      </c>
      <c r="I170" s="69">
        <f t="shared" si="51"/>
        <v>12156.789266549322</v>
      </c>
      <c r="J170" s="69">
        <f t="shared" si="51"/>
        <v>15621.852444188042</v>
      </c>
      <c r="K170" s="70">
        <f t="shared" si="51"/>
        <v>16877.310117245546</v>
      </c>
      <c r="L170" s="69"/>
      <c r="O170" s="59">
        <v>30</v>
      </c>
      <c r="P170" s="69">
        <f t="shared" si="52"/>
        <v>7287.7236118190485</v>
      </c>
      <c r="Q170" s="69">
        <f t="shared" si="52"/>
        <v>10707.014729703968</v>
      </c>
      <c r="R170" s="70">
        <f t="shared" si="52"/>
        <v>11945.888323140533</v>
      </c>
      <c r="T170" s="59">
        <v>30</v>
      </c>
      <c r="U170" s="69">
        <f t="shared" si="53"/>
        <v>7601.5461778562803</v>
      </c>
      <c r="V170" s="69">
        <f t="shared" si="48"/>
        <v>10799.757679515327</v>
      </c>
      <c r="W170" s="70">
        <f t="shared" si="54"/>
        <v>11958.529962725124</v>
      </c>
    </row>
    <row r="171" spans="1:23" x14ac:dyDescent="0.2">
      <c r="A171" s="59">
        <v>31</v>
      </c>
      <c r="B171" s="69">
        <f t="shared" si="50"/>
        <v>2697.6602944994083</v>
      </c>
      <c r="C171" s="69">
        <f t="shared" si="50"/>
        <v>5902.2097037054091</v>
      </c>
      <c r="D171" s="70">
        <f t="shared" si="50"/>
        <v>7063.278330229321</v>
      </c>
      <c r="E171" s="69"/>
      <c r="F171" s="4"/>
      <c r="G171" s="5"/>
      <c r="H171" s="59">
        <v>31</v>
      </c>
      <c r="I171" s="69">
        <f t="shared" si="51"/>
        <v>12423.627017969327</v>
      </c>
      <c r="J171" s="69">
        <f t="shared" si="51"/>
        <v>15945.96784747395</v>
      </c>
      <c r="K171" s="70">
        <f t="shared" si="51"/>
        <v>17222.178292946643</v>
      </c>
      <c r="L171" s="69"/>
      <c r="O171" s="59">
        <v>31</v>
      </c>
      <c r="P171" s="69">
        <f t="shared" si="52"/>
        <v>7394.0872306872252</v>
      </c>
      <c r="Q171" s="69">
        <f t="shared" si="52"/>
        <v>10869.899386209288</v>
      </c>
      <c r="R171" s="70">
        <f t="shared" si="52"/>
        <v>12129.251616470905</v>
      </c>
      <c r="T171" s="59">
        <v>31</v>
      </c>
      <c r="U171" s="69">
        <f t="shared" si="53"/>
        <v>7727.2000817815106</v>
      </c>
      <c r="V171" s="69">
        <f t="shared" si="48"/>
        <v>10978.278164970072</v>
      </c>
      <c r="W171" s="70">
        <f t="shared" si="54"/>
        <v>12156.205006705059</v>
      </c>
    </row>
    <row r="172" spans="1:23" x14ac:dyDescent="0.2">
      <c r="A172" s="59">
        <v>32</v>
      </c>
      <c r="B172" s="69">
        <f t="shared" si="50"/>
        <v>2660.8579929463572</v>
      </c>
      <c r="C172" s="69">
        <f t="shared" si="50"/>
        <v>5916.6834485267364</v>
      </c>
      <c r="D172" s="70">
        <f t="shared" si="50"/>
        <v>7096.3303527225262</v>
      </c>
      <c r="E172" s="69"/>
      <c r="F172" s="4"/>
      <c r="G172" s="5"/>
      <c r="H172" s="59">
        <v>32</v>
      </c>
      <c r="I172" s="69">
        <f t="shared" si="51"/>
        <v>12688.286136606876</v>
      </c>
      <c r="J172" s="69">
        <f t="shared" si="51"/>
        <v>16266.987998087223</v>
      </c>
      <c r="K172" s="70">
        <f t="shared" si="51"/>
        <v>17563.619107319231</v>
      </c>
      <c r="L172" s="69"/>
      <c r="O172" s="59">
        <v>32</v>
      </c>
      <c r="P172" s="69">
        <f t="shared" si="52"/>
        <v>7498.3009956161568</v>
      </c>
      <c r="Q172" s="69">
        <f t="shared" si="52"/>
        <v>11029.729677057019</v>
      </c>
      <c r="R172" s="70">
        <f t="shared" si="52"/>
        <v>12309.232822506607</v>
      </c>
      <c r="T172" s="59">
        <v>32</v>
      </c>
      <c r="U172" s="69">
        <f t="shared" si="53"/>
        <v>7850.8431339370763</v>
      </c>
      <c r="V172" s="69">
        <f t="shared" si="48"/>
        <v>11153.941769556941</v>
      </c>
      <c r="W172" s="70">
        <f t="shared" si="54"/>
        <v>12350.71663753515</v>
      </c>
    </row>
    <row r="173" spans="1:23" x14ac:dyDescent="0.2">
      <c r="A173" s="59">
        <v>33</v>
      </c>
      <c r="B173" s="69">
        <f t="shared" si="50"/>
        <v>2622.1658362905537</v>
      </c>
      <c r="C173" s="69">
        <f t="shared" si="50"/>
        <v>5928.4722162813505</v>
      </c>
      <c r="D173" s="70">
        <f t="shared" si="50"/>
        <v>7126.4093104809135</v>
      </c>
      <c r="E173" s="69"/>
      <c r="F173" s="4"/>
      <c r="G173" s="5"/>
      <c r="H173" s="59">
        <v>33</v>
      </c>
      <c r="I173" s="69">
        <f t="shared" si="51"/>
        <v>12950.86798541948</v>
      </c>
      <c r="J173" s="69">
        <f t="shared" si="51"/>
        <v>16585.056905595549</v>
      </c>
      <c r="K173" s="70">
        <f t="shared" si="51"/>
        <v>17901.792021601374</v>
      </c>
      <c r="L173" s="69"/>
      <c r="O173" s="59">
        <v>33</v>
      </c>
      <c r="P173" s="69">
        <f t="shared" si="52"/>
        <v>7600.4649306003685</v>
      </c>
      <c r="Q173" s="69">
        <f t="shared" si="52"/>
        <v>11186.647709507679</v>
      </c>
      <c r="R173" s="70">
        <f t="shared" si="52"/>
        <v>12485.989296068301</v>
      </c>
      <c r="T173" s="59">
        <v>33</v>
      </c>
      <c r="U173" s="69">
        <f t="shared" ref="U173:U204" si="55">B173+I173-P173</f>
        <v>7972.568891109664</v>
      </c>
      <c r="V173" s="69">
        <f t="shared" ref="V173:V204" si="56">C173+J173-Q173</f>
        <v>11326.881412369219</v>
      </c>
      <c r="W173" s="70">
        <f t="shared" si="54"/>
        <v>12542.212036013987</v>
      </c>
    </row>
    <row r="174" spans="1:23" x14ac:dyDescent="0.2">
      <c r="A174" s="59">
        <v>34</v>
      </c>
      <c r="B174" s="69">
        <f t="shared" ref="B174:D205" si="57">$H$127*(-$D$131*$A174+B$134*$D$129*SQRT($A174))</f>
        <v>2581.6691058295237</v>
      </c>
      <c r="C174" s="69">
        <f t="shared" si="57"/>
        <v>5937.697168812686</v>
      </c>
      <c r="D174" s="70">
        <f t="shared" si="57"/>
        <v>7153.6493655457134</v>
      </c>
      <c r="E174" s="69"/>
      <c r="F174" s="4"/>
      <c r="G174" s="5"/>
      <c r="H174" s="59">
        <v>34</v>
      </c>
      <c r="I174" s="69">
        <f t="shared" ref="I174:K205" si="58">$O$127*(-$K$131*$H174+I$134*$K$129*SQRT($H174))</f>
        <v>13211.466302951296</v>
      </c>
      <c r="J174" s="69">
        <f t="shared" si="58"/>
        <v>16900.3077473208</v>
      </c>
      <c r="K174" s="70">
        <f t="shared" si="58"/>
        <v>18236.844502527143</v>
      </c>
      <c r="L174" s="69"/>
      <c r="O174" s="59">
        <v>34</v>
      </c>
      <c r="P174" s="69">
        <f t="shared" ref="P174:R205" si="59">$Q$127*(-$R$131*$O174+P$134*$R$129*SQRT($O174))</f>
        <v>7700.671535936387</v>
      </c>
      <c r="Q174" s="69">
        <f t="shared" si="59"/>
        <v>11340.784901665482</v>
      </c>
      <c r="R174" s="70">
        <f t="shared" si="59"/>
        <v>12659.666555915153</v>
      </c>
      <c r="T174" s="59">
        <v>34</v>
      </c>
      <c r="U174" s="69">
        <f t="shared" si="55"/>
        <v>8092.4638728444324</v>
      </c>
      <c r="V174" s="69">
        <f t="shared" si="56"/>
        <v>11497.220014468005</v>
      </c>
      <c r="W174" s="70">
        <f t="shared" si="54"/>
        <v>12730.827312157702</v>
      </c>
    </row>
    <row r="175" spans="1:23" x14ac:dyDescent="0.2">
      <c r="A175" s="59">
        <v>35</v>
      </c>
      <c r="B175" s="69">
        <f t="shared" si="57"/>
        <v>2539.4468555356616</v>
      </c>
      <c r="C175" s="69">
        <f t="shared" si="57"/>
        <v>5944.4706206059091</v>
      </c>
      <c r="D175" s="70">
        <f t="shared" si="57"/>
        <v>7178.1748833125212</v>
      </c>
      <c r="E175" s="69"/>
      <c r="F175" s="4"/>
      <c r="G175" s="5"/>
      <c r="H175" s="59">
        <v>35</v>
      </c>
      <c r="I175" s="69">
        <f t="shared" si="58"/>
        <v>13470.167982864778</v>
      </c>
      <c r="J175" s="69">
        <f t="shared" si="58"/>
        <v>17212.863975844393</v>
      </c>
      <c r="K175" s="70">
        <f t="shared" si="58"/>
        <v>18568.913248663099</v>
      </c>
      <c r="L175" s="69"/>
      <c r="O175" s="59">
        <v>35</v>
      </c>
      <c r="P175" s="69">
        <f t="shared" si="59"/>
        <v>7799.006557457119</v>
      </c>
      <c r="Q175" s="69">
        <f t="shared" si="59"/>
        <v>11492.263075354002</v>
      </c>
      <c r="R175" s="70">
        <f t="shared" si="59"/>
        <v>12830.399494881858</v>
      </c>
      <c r="T175" s="59">
        <v>35</v>
      </c>
      <c r="U175" s="69">
        <f t="shared" si="55"/>
        <v>8210.608280943321</v>
      </c>
      <c r="V175" s="69">
        <f t="shared" si="56"/>
        <v>11665.071521096301</v>
      </c>
      <c r="W175" s="70">
        <f t="shared" si="54"/>
        <v>12916.688637093761</v>
      </c>
    </row>
    <row r="176" spans="1:23" x14ac:dyDescent="0.2">
      <c r="A176" s="59">
        <v>36</v>
      </c>
      <c r="B176" s="69">
        <f t="shared" si="57"/>
        <v>2495.5725306673194</v>
      </c>
      <c r="C176" s="69">
        <f t="shared" si="57"/>
        <v>5948.8969176683186</v>
      </c>
      <c r="D176" s="70">
        <f t="shared" si="57"/>
        <v>7200.1014057121574</v>
      </c>
      <c r="E176" s="69"/>
      <c r="F176" s="4"/>
      <c r="G176" s="5"/>
      <c r="H176" s="59">
        <v>36</v>
      </c>
      <c r="I176" s="69">
        <f t="shared" si="58"/>
        <v>13727.053753898728</v>
      </c>
      <c r="J176" s="69">
        <f t="shared" si="58"/>
        <v>17522.84028504524</v>
      </c>
      <c r="K176" s="70">
        <f t="shared" si="58"/>
        <v>18898.125260098328</v>
      </c>
      <c r="L176" s="69"/>
      <c r="O176" s="59">
        <v>36</v>
      </c>
      <c r="P176" s="69">
        <f t="shared" si="59"/>
        <v>7895.5496575079205</v>
      </c>
      <c r="Q176" s="69">
        <f t="shared" si="59"/>
        <v>11641.195409393173</v>
      </c>
      <c r="R176" s="70">
        <f t="shared" si="59"/>
        <v>12998.313435438555</v>
      </c>
      <c r="T176" s="59">
        <v>36</v>
      </c>
      <c r="U176" s="69">
        <f t="shared" si="55"/>
        <v>8327.0766270581262</v>
      </c>
      <c r="V176" s="69">
        <f t="shared" si="56"/>
        <v>11830.541793320384</v>
      </c>
      <c r="W176" s="70">
        <f t="shared" si="54"/>
        <v>13099.913230371931</v>
      </c>
    </row>
    <row r="177" spans="1:23" x14ac:dyDescent="0.2">
      <c r="A177" s="59">
        <v>37</v>
      </c>
      <c r="B177" s="69">
        <f t="shared" si="57"/>
        <v>2450.1145095438455</v>
      </c>
      <c r="C177" s="69">
        <f t="shared" si="57"/>
        <v>5951.0732072463024</v>
      </c>
      <c r="D177" s="70">
        <f t="shared" si="57"/>
        <v>7219.53650351531</v>
      </c>
      <c r="E177" s="69"/>
      <c r="F177" s="4"/>
      <c r="G177" s="5"/>
      <c r="H177" s="59">
        <v>37</v>
      </c>
      <c r="I177" s="69">
        <f t="shared" si="58"/>
        <v>13982.198775370522</v>
      </c>
      <c r="J177" s="69">
        <f t="shared" si="58"/>
        <v>17830.343456148632</v>
      </c>
      <c r="K177" s="70">
        <f t="shared" si="58"/>
        <v>19224.598775271133</v>
      </c>
      <c r="L177" s="69"/>
      <c r="O177" s="59">
        <v>37</v>
      </c>
      <c r="P177" s="69">
        <f t="shared" si="59"/>
        <v>7990.3750025824929</v>
      </c>
      <c r="Q177" s="69">
        <f t="shared" si="59"/>
        <v>11787.687274472211</v>
      </c>
      <c r="R177" s="70">
        <f t="shared" si="59"/>
        <v>13163.525054142399</v>
      </c>
      <c r="T177" s="59">
        <v>37</v>
      </c>
      <c r="U177" s="69">
        <f t="shared" si="55"/>
        <v>8441.9382823318738</v>
      </c>
      <c r="V177" s="69">
        <f t="shared" si="56"/>
        <v>11993.729388922724</v>
      </c>
      <c r="W177" s="70">
        <f t="shared" si="54"/>
        <v>13280.610224644046</v>
      </c>
    </row>
    <row r="178" spans="1:23" x14ac:dyDescent="0.2">
      <c r="A178" s="59">
        <v>38</v>
      </c>
      <c r="B178" s="69">
        <f t="shared" si="57"/>
        <v>2403.1365798366846</v>
      </c>
      <c r="C178" s="69">
        <f t="shared" si="57"/>
        <v>5951.0901145072221</v>
      </c>
      <c r="D178" s="70">
        <f t="shared" si="57"/>
        <v>7236.5805256197355</v>
      </c>
      <c r="E178" s="69"/>
      <c r="F178" s="4"/>
      <c r="G178" s="5"/>
      <c r="H178" s="59">
        <v>38</v>
      </c>
      <c r="I178" s="69">
        <f t="shared" si="58"/>
        <v>14235.673160700446</v>
      </c>
      <c r="J178" s="69">
        <f t="shared" si="58"/>
        <v>18135.473101513879</v>
      </c>
      <c r="K178" s="70">
        <f t="shared" si="58"/>
        <v>19548.444094562226</v>
      </c>
      <c r="L178" s="69"/>
      <c r="O178" s="59">
        <v>38</v>
      </c>
      <c r="P178" s="69">
        <f t="shared" si="59"/>
        <v>8083.5517799316667</v>
      </c>
      <c r="Q178" s="69">
        <f t="shared" si="59"/>
        <v>11931.836967112118</v>
      </c>
      <c r="R178" s="70">
        <f t="shared" si="59"/>
        <v>13326.143194351411</v>
      </c>
      <c r="T178" s="59">
        <v>38</v>
      </c>
      <c r="U178" s="69">
        <f t="shared" si="55"/>
        <v>8555.2579606054642</v>
      </c>
      <c r="V178" s="69">
        <f t="shared" si="56"/>
        <v>12154.726248908984</v>
      </c>
      <c r="W178" s="70">
        <f t="shared" si="54"/>
        <v>13458.88142583055</v>
      </c>
    </row>
    <row r="179" spans="1:23" x14ac:dyDescent="0.2">
      <c r="A179" s="59">
        <v>39</v>
      </c>
      <c r="B179" s="69">
        <f t="shared" si="57"/>
        <v>2354.6983587981945</v>
      </c>
      <c r="C179" s="69">
        <f t="shared" si="57"/>
        <v>5949.0323395717978</v>
      </c>
      <c r="D179" s="70">
        <f t="shared" si="57"/>
        <v>7251.327260141943</v>
      </c>
      <c r="E179" s="69"/>
      <c r="F179" s="4"/>
      <c r="G179" s="5"/>
      <c r="H179" s="59">
        <v>39</v>
      </c>
      <c r="I179" s="69">
        <f t="shared" si="58"/>
        <v>14487.542439314106</v>
      </c>
      <c r="J179" s="69">
        <f t="shared" si="58"/>
        <v>18438.3223208737</v>
      </c>
      <c r="K179" s="70">
        <f t="shared" si="58"/>
        <v>19869.764306946017</v>
      </c>
      <c r="L179" s="69"/>
      <c r="O179" s="59">
        <v>39</v>
      </c>
      <c r="P179" s="69">
        <f t="shared" si="59"/>
        <v>8175.1446533642829</v>
      </c>
      <c r="Q179" s="69">
        <f t="shared" si="59"/>
        <v>12073.736357236428</v>
      </c>
      <c r="R179" s="70">
        <f t="shared" si="59"/>
        <v>13486.269583277061</v>
      </c>
      <c r="T179" s="59">
        <v>39</v>
      </c>
      <c r="U179" s="69">
        <f t="shared" si="55"/>
        <v>8667.0961447480167</v>
      </c>
      <c r="V179" s="69">
        <f t="shared" si="56"/>
        <v>12313.618303209068</v>
      </c>
      <c r="W179" s="70">
        <f t="shared" si="54"/>
        <v>13634.821983810902</v>
      </c>
    </row>
    <row r="180" spans="1:23" x14ac:dyDescent="0.2">
      <c r="A180" s="59">
        <v>40</v>
      </c>
      <c r="B180" s="69">
        <f t="shared" si="57"/>
        <v>2304.8556652884863</v>
      </c>
      <c r="C180" s="69">
        <f t="shared" si="57"/>
        <v>5944.9791860644609</v>
      </c>
      <c r="D180" s="70">
        <f t="shared" si="57"/>
        <v>7263.864519678943</v>
      </c>
      <c r="E180" s="69"/>
      <c r="F180" s="4"/>
      <c r="G180" s="5"/>
      <c r="H180" s="59">
        <v>40</v>
      </c>
      <c r="I180" s="69">
        <f t="shared" si="58"/>
        <v>14737.867965562742</v>
      </c>
      <c r="J180" s="69">
        <f t="shared" si="58"/>
        <v>18738.97828230029</v>
      </c>
      <c r="K180" s="70">
        <f t="shared" si="58"/>
        <v>20188.655933292157</v>
      </c>
      <c r="L180" s="69"/>
      <c r="O180" s="59">
        <v>40</v>
      </c>
      <c r="P180" s="69">
        <f t="shared" si="59"/>
        <v>8265.2141667658361</v>
      </c>
      <c r="Q180" s="69">
        <f t="shared" si="59"/>
        <v>12213.471461462945</v>
      </c>
      <c r="R180" s="70">
        <f t="shared" si="59"/>
        <v>13643.999466787986</v>
      </c>
      <c r="T180" s="59">
        <v>40</v>
      </c>
      <c r="U180" s="69">
        <f t="shared" si="55"/>
        <v>8777.5094640853931</v>
      </c>
      <c r="V180" s="69">
        <f t="shared" si="56"/>
        <v>12470.486006901807</v>
      </c>
      <c r="W180" s="70">
        <f t="shared" si="54"/>
        <v>13808.520986183115</v>
      </c>
    </row>
    <row r="181" spans="1:23" x14ac:dyDescent="0.2">
      <c r="A181" s="59">
        <v>41</v>
      </c>
      <c r="B181" s="69">
        <f t="shared" si="57"/>
        <v>2253.6608501904884</v>
      </c>
      <c r="C181" s="69">
        <f t="shared" si="57"/>
        <v>5939.0050305444938</v>
      </c>
      <c r="D181" s="70">
        <f t="shared" si="57"/>
        <v>7274.2746611075399</v>
      </c>
      <c r="E181" s="69"/>
      <c r="F181" s="4"/>
      <c r="G181" s="5"/>
      <c r="H181" s="59">
        <v>41</v>
      </c>
      <c r="I181" s="69">
        <f t="shared" si="58"/>
        <v>14986.707281905175</v>
      </c>
      <c r="J181" s="69">
        <f t="shared" si="58"/>
        <v>19037.522738189407</v>
      </c>
      <c r="K181" s="70">
        <f t="shared" si="58"/>
        <v>20505.209497712684</v>
      </c>
      <c r="L181" s="69"/>
      <c r="O181" s="59">
        <v>41</v>
      </c>
      <c r="P181" s="69">
        <f t="shared" si="59"/>
        <v>8353.8171024829189</v>
      </c>
      <c r="Q181" s="69">
        <f t="shared" si="59"/>
        <v>12351.122952271893</v>
      </c>
      <c r="R181" s="70">
        <f t="shared" si="59"/>
        <v>13799.42217320993</v>
      </c>
      <c r="T181" s="59">
        <v>41</v>
      </c>
      <c r="U181" s="69">
        <f t="shared" si="55"/>
        <v>8886.551029612745</v>
      </c>
      <c r="V181" s="69">
        <f t="shared" si="56"/>
        <v>12625.404816462007</v>
      </c>
      <c r="W181" s="70">
        <f t="shared" si="54"/>
        <v>13980.061985610295</v>
      </c>
    </row>
    <row r="182" spans="1:23" x14ac:dyDescent="0.2">
      <c r="A182" s="59">
        <v>42</v>
      </c>
      <c r="B182" s="69">
        <f t="shared" si="57"/>
        <v>2201.1630907642889</v>
      </c>
      <c r="C182" s="69">
        <f t="shared" si="57"/>
        <v>5931.1797407045815</v>
      </c>
      <c r="D182" s="70">
        <f t="shared" si="57"/>
        <v>7282.6350486539604</v>
      </c>
      <c r="E182" s="69"/>
      <c r="F182" s="4"/>
      <c r="G182" s="5"/>
      <c r="H182" s="59">
        <v>42</v>
      </c>
      <c r="I182" s="69">
        <f t="shared" si="58"/>
        <v>15234.114442452908</v>
      </c>
      <c r="J182" s="69">
        <f t="shared" si="58"/>
        <v>19334.032484931173</v>
      </c>
      <c r="K182" s="70">
        <f t="shared" si="58"/>
        <v>20819.510036553736</v>
      </c>
      <c r="L182" s="69"/>
      <c r="O182" s="59">
        <v>42</v>
      </c>
      <c r="P182" s="69">
        <f t="shared" si="59"/>
        <v>8441.0068005944522</v>
      </c>
      <c r="Q182" s="69">
        <f t="shared" si="59"/>
        <v>12486.766611604664</v>
      </c>
      <c r="R182" s="70">
        <f t="shared" si="59"/>
        <v>13952.621615593873</v>
      </c>
      <c r="T182" s="59">
        <v>42</v>
      </c>
      <c r="U182" s="69">
        <f t="shared" si="55"/>
        <v>8994.2707326227464</v>
      </c>
      <c r="V182" s="69">
        <f t="shared" si="56"/>
        <v>12778.44561403109</v>
      </c>
      <c r="W182" s="70">
        <f t="shared" si="54"/>
        <v>14149.523469613823</v>
      </c>
    </row>
    <row r="183" spans="1:23" x14ac:dyDescent="0.2">
      <c r="A183" s="59">
        <v>43</v>
      </c>
      <c r="B183" s="69">
        <f t="shared" si="57"/>
        <v>2147.4086536373275</v>
      </c>
      <c r="C183" s="69">
        <f t="shared" si="57"/>
        <v>5921.5690490093175</v>
      </c>
      <c r="D183" s="70">
        <f t="shared" si="57"/>
        <v>7289.0184676223571</v>
      </c>
      <c r="E183" s="69"/>
      <c r="F183" s="4"/>
      <c r="G183" s="5"/>
      <c r="H183" s="59">
        <v>43</v>
      </c>
      <c r="I183" s="69">
        <f t="shared" si="58"/>
        <v>15480.14030204076</v>
      </c>
      <c r="J183" s="69">
        <f t="shared" si="58"/>
        <v>19628.579773601894</v>
      </c>
      <c r="K183" s="70">
        <f t="shared" si="58"/>
        <v>21131.637553153028</v>
      </c>
      <c r="L183" s="69"/>
      <c r="O183" s="59">
        <v>43</v>
      </c>
      <c r="P183" s="69">
        <f t="shared" si="59"/>
        <v>8526.8334441637999</v>
      </c>
      <c r="Q183" s="69">
        <f t="shared" si="59"/>
        <v>12620.473736130545</v>
      </c>
      <c r="R183" s="70">
        <f t="shared" si="59"/>
        <v>14103.676740466326</v>
      </c>
      <c r="T183" s="59">
        <v>43</v>
      </c>
      <c r="U183" s="69">
        <f t="shared" si="55"/>
        <v>9100.7155115142887</v>
      </c>
      <c r="V183" s="69">
        <f t="shared" si="56"/>
        <v>12929.675086480667</v>
      </c>
      <c r="W183" s="70">
        <f t="shared" si="54"/>
        <v>14316.97928030906</v>
      </c>
    </row>
    <row r="184" spans="1:23" x14ac:dyDescent="0.2">
      <c r="A184" s="59">
        <v>44</v>
      </c>
      <c r="B184" s="69">
        <f t="shared" si="57"/>
        <v>2092.4411304208556</v>
      </c>
      <c r="C184" s="69">
        <f t="shared" si="57"/>
        <v>5910.2348874429817</v>
      </c>
      <c r="D184" s="70">
        <f t="shared" si="57"/>
        <v>7293.4934950596953</v>
      </c>
      <c r="E184" s="69"/>
      <c r="F184" s="4"/>
      <c r="G184" s="5"/>
      <c r="H184" s="59">
        <v>44</v>
      </c>
      <c r="I184" s="69">
        <f t="shared" si="58"/>
        <v>15724.832775209134</v>
      </c>
      <c r="J184" s="69">
        <f t="shared" si="58"/>
        <v>19921.232677908349</v>
      </c>
      <c r="K184" s="70">
        <f t="shared" si="58"/>
        <v>21441.667425263142</v>
      </c>
      <c r="L184" s="69"/>
      <c r="O184" s="59">
        <v>44</v>
      </c>
      <c r="P184" s="69">
        <f t="shared" si="59"/>
        <v>8611.3443147999842</v>
      </c>
      <c r="Q184" s="69">
        <f t="shared" si="59"/>
        <v>12752.311500330656</v>
      </c>
      <c r="R184" s="70">
        <f t="shared" si="59"/>
        <v>14252.661929870756</v>
      </c>
      <c r="T184" s="59">
        <v>44</v>
      </c>
      <c r="U184" s="69">
        <f t="shared" si="55"/>
        <v>9205.9295908300064</v>
      </c>
      <c r="V184" s="69">
        <f t="shared" si="56"/>
        <v>13079.156065020674</v>
      </c>
      <c r="W184" s="70">
        <f t="shared" si="54"/>
        <v>14482.498990452081</v>
      </c>
    </row>
    <row r="185" spans="1:23" x14ac:dyDescent="0.2">
      <c r="A185" s="59">
        <v>45</v>
      </c>
      <c r="B185" s="69">
        <f t="shared" si="57"/>
        <v>2036.3016493564858</v>
      </c>
      <c r="C185" s="69">
        <f t="shared" si="57"/>
        <v>5897.2356882024987</v>
      </c>
      <c r="D185" s="70">
        <f t="shared" si="57"/>
        <v>7296.1248327119238</v>
      </c>
      <c r="E185" s="69"/>
      <c r="F185" s="4"/>
      <c r="G185" s="5"/>
      <c r="H185" s="59">
        <v>45</v>
      </c>
      <c r="I185" s="69">
        <f t="shared" si="58"/>
        <v>15968.237068839302</v>
      </c>
      <c r="J185" s="69">
        <f t="shared" si="58"/>
        <v>20212.055424700164</v>
      </c>
      <c r="K185" s="70">
        <f t="shared" si="58"/>
        <v>21749.670771026565</v>
      </c>
      <c r="L185" s="69"/>
      <c r="O185" s="59">
        <v>45</v>
      </c>
      <c r="P185" s="69">
        <f t="shared" si="59"/>
        <v>8694.5840222199677</v>
      </c>
      <c r="Q185" s="69">
        <f t="shared" si="59"/>
        <v>12882.343282644333</v>
      </c>
      <c r="R185" s="70">
        <f t="shared" si="59"/>
        <v>14399.647362508236</v>
      </c>
      <c r="T185" s="59">
        <v>45</v>
      </c>
      <c r="U185" s="69">
        <f t="shared" si="55"/>
        <v>9309.9546959758209</v>
      </c>
      <c r="V185" s="69">
        <f t="shared" si="56"/>
        <v>13226.947830258328</v>
      </c>
      <c r="W185" s="70">
        <f t="shared" si="54"/>
        <v>14646.148241230254</v>
      </c>
    </row>
    <row r="186" spans="1:23" x14ac:dyDescent="0.2">
      <c r="A186" s="59">
        <v>46</v>
      </c>
      <c r="B186" s="69">
        <f t="shared" si="57"/>
        <v>1979.029065907594</v>
      </c>
      <c r="C186" s="69">
        <f t="shared" si="57"/>
        <v>5882.6266544766868</v>
      </c>
      <c r="D186" s="70">
        <f t="shared" si="57"/>
        <v>7296.9736068567945</v>
      </c>
      <c r="E186" s="69"/>
      <c r="F186" s="4"/>
      <c r="G186" s="5"/>
      <c r="H186" s="59">
        <v>46</v>
      </c>
      <c r="I186" s="69">
        <f t="shared" si="58"/>
        <v>16210.395891645538</v>
      </c>
      <c r="J186" s="69">
        <f t="shared" si="58"/>
        <v>20501.108691601879</v>
      </c>
      <c r="K186" s="70">
        <f t="shared" si="58"/>
        <v>22055.71477854258</v>
      </c>
      <c r="L186" s="69"/>
      <c r="O186" s="59">
        <v>46</v>
      </c>
      <c r="P186" s="69">
        <f t="shared" si="59"/>
        <v>8776.5947109734698</v>
      </c>
      <c r="Q186" s="69">
        <f t="shared" si="59"/>
        <v>13010.628959169657</v>
      </c>
      <c r="R186" s="70">
        <f t="shared" si="59"/>
        <v>14544.699338950886</v>
      </c>
      <c r="T186" s="59">
        <v>46</v>
      </c>
      <c r="U186" s="69">
        <f t="shared" si="55"/>
        <v>9412.8302465796623</v>
      </c>
      <c r="V186" s="69">
        <f t="shared" si="56"/>
        <v>13373.10638690891</v>
      </c>
      <c r="W186" s="70">
        <f t="shared" si="54"/>
        <v>14807.989046448489</v>
      </c>
    </row>
    <row r="187" spans="1:23" x14ac:dyDescent="0.2">
      <c r="A187" s="59">
        <v>47</v>
      </c>
      <c r="B187" s="69">
        <f t="shared" si="57"/>
        <v>1920.6601348004031</v>
      </c>
      <c r="C187" s="69">
        <f t="shared" si="57"/>
        <v>5866.4600048704897</v>
      </c>
      <c r="D187" s="70">
        <f t="shared" si="57"/>
        <v>7296.0976389538519</v>
      </c>
      <c r="E187" s="69"/>
      <c r="F187" s="4"/>
      <c r="G187" s="5"/>
      <c r="H187" s="59">
        <v>47</v>
      </c>
      <c r="I187" s="69">
        <f t="shared" si="58"/>
        <v>16451.349643277314</v>
      </c>
      <c r="J187" s="69">
        <f t="shared" si="58"/>
        <v>20788.449875676466</v>
      </c>
      <c r="K187" s="70">
        <f t="shared" si="58"/>
        <v>22359.863003357317</v>
      </c>
      <c r="L187" s="69"/>
      <c r="O187" s="59">
        <v>47</v>
      </c>
      <c r="P187" s="69">
        <f t="shared" si="59"/>
        <v>8857.4162470472074</v>
      </c>
      <c r="Q187" s="69">
        <f t="shared" si="59"/>
        <v>13137.225168777997</v>
      </c>
      <c r="R187" s="70">
        <f t="shared" si="59"/>
        <v>14687.880575202198</v>
      </c>
      <c r="T187" s="59">
        <v>47</v>
      </c>
      <c r="U187" s="69">
        <f t="shared" si="55"/>
        <v>9514.5935310305103</v>
      </c>
      <c r="V187" s="69">
        <f t="shared" si="56"/>
        <v>13517.684711768958</v>
      </c>
      <c r="W187" s="70">
        <f t="shared" si="54"/>
        <v>14968.080067108971</v>
      </c>
    </row>
    <row r="188" spans="1:23" x14ac:dyDescent="0.2">
      <c r="A188" s="59">
        <v>48</v>
      </c>
      <c r="B188" s="69">
        <f t="shared" si="57"/>
        <v>1861.2296656749018</v>
      </c>
      <c r="C188" s="69">
        <f t="shared" si="57"/>
        <v>5848.7851945431539</v>
      </c>
      <c r="D188" s="70">
        <f t="shared" si="57"/>
        <v>7293.551690509913</v>
      </c>
      <c r="E188" s="69"/>
      <c r="F188" s="4"/>
      <c r="G188" s="5"/>
      <c r="H188" s="59">
        <v>48</v>
      </c>
      <c r="I188" s="69">
        <f t="shared" si="58"/>
        <v>16691.136585405948</v>
      </c>
      <c r="J188" s="69">
        <f t="shared" si="58"/>
        <v>21074.133336493534</v>
      </c>
      <c r="K188" s="70">
        <f t="shared" si="58"/>
        <v>22662.175637612228</v>
      </c>
      <c r="L188" s="69"/>
      <c r="O188" s="59">
        <v>48</v>
      </c>
      <c r="P188" s="69">
        <f t="shared" si="59"/>
        <v>8937.0863866915479</v>
      </c>
      <c r="Q188" s="69">
        <f t="shared" si="59"/>
        <v>13262.185552971405</v>
      </c>
      <c r="R188" s="70">
        <f t="shared" si="59"/>
        <v>14829.250468290193</v>
      </c>
      <c r="T188" s="59">
        <v>48</v>
      </c>
      <c r="U188" s="69">
        <f t="shared" si="55"/>
        <v>9615.279864389302</v>
      </c>
      <c r="V188" s="69">
        <f t="shared" si="56"/>
        <v>13660.732978065284</v>
      </c>
      <c r="W188" s="70">
        <f t="shared" si="54"/>
        <v>15126.47685983195</v>
      </c>
    </row>
    <row r="189" spans="1:23" x14ac:dyDescent="0.2">
      <c r="A189" s="59">
        <v>49</v>
      </c>
      <c r="B189" s="69">
        <f t="shared" si="57"/>
        <v>1800.7706642145974</v>
      </c>
      <c r="C189" s="69">
        <f t="shared" si="57"/>
        <v>5829.6491157157634</v>
      </c>
      <c r="D189" s="70">
        <f t="shared" si="57"/>
        <v>7289.3876851002442</v>
      </c>
      <c r="E189" s="69"/>
      <c r="F189" s="4"/>
      <c r="G189" s="5"/>
      <c r="H189" s="59">
        <v>49</v>
      </c>
      <c r="I189" s="69">
        <f t="shared" si="58"/>
        <v>16929.792996850007</v>
      </c>
      <c r="J189" s="69">
        <f t="shared" si="58"/>
        <v>21358.210616520933</v>
      </c>
      <c r="K189" s="70">
        <f t="shared" si="58"/>
        <v>22962.709754082865</v>
      </c>
      <c r="L189" s="69"/>
      <c r="O189" s="59">
        <v>49</v>
      </c>
      <c r="P189" s="69">
        <f t="shared" si="59"/>
        <v>9015.6409294967816</v>
      </c>
      <c r="Q189" s="69">
        <f t="shared" si="59"/>
        <v>13385.56097336291</v>
      </c>
      <c r="R189" s="70">
        <f t="shared" si="59"/>
        <v>14968.865337082523</v>
      </c>
      <c r="T189" s="59">
        <v>49</v>
      </c>
      <c r="U189" s="69">
        <f t="shared" si="55"/>
        <v>9714.9227315678218</v>
      </c>
      <c r="V189" s="69">
        <f t="shared" si="56"/>
        <v>13802.298758873789</v>
      </c>
      <c r="W189" s="70">
        <f t="shared" si="54"/>
        <v>15283.232102100588</v>
      </c>
    </row>
    <row r="190" spans="1:23" x14ac:dyDescent="0.2">
      <c r="A190" s="59">
        <v>50</v>
      </c>
      <c r="B190" s="69">
        <f t="shared" si="57"/>
        <v>1739.3144603773155</v>
      </c>
      <c r="C190" s="69">
        <f t="shared" si="57"/>
        <v>5809.0962798527889</v>
      </c>
      <c r="D190" s="70">
        <f t="shared" si="57"/>
        <v>7283.6549100975244</v>
      </c>
      <c r="E190" s="69"/>
      <c r="F190" s="73"/>
      <c r="G190" s="74"/>
      <c r="H190" s="59">
        <v>50</v>
      </c>
      <c r="I190" s="69">
        <f t="shared" si="58"/>
        <v>17167.353314522617</v>
      </c>
      <c r="J190" s="69">
        <f t="shared" si="58"/>
        <v>21640.730641373051</v>
      </c>
      <c r="K190" s="70">
        <f t="shared" si="58"/>
        <v>23261.519527913071</v>
      </c>
      <c r="L190" s="69"/>
      <c r="O190" s="59">
        <v>50</v>
      </c>
      <c r="P190" s="69">
        <f t="shared" si="59"/>
        <v>9093.1138574785891</v>
      </c>
      <c r="Q190" s="69">
        <f t="shared" si="59"/>
        <v>13507.399709279669</v>
      </c>
      <c r="R190" s="70">
        <f t="shared" si="59"/>
        <v>15106.778641091651</v>
      </c>
      <c r="T190" s="59">
        <v>50</v>
      </c>
      <c r="U190" s="69">
        <f t="shared" si="55"/>
        <v>9813.5539174213427</v>
      </c>
      <c r="V190" s="69">
        <f t="shared" si="56"/>
        <v>13942.427211946169</v>
      </c>
      <c r="W190" s="70">
        <f t="shared" si="54"/>
        <v>15438.395796918945</v>
      </c>
    </row>
    <row r="191" spans="1:23" x14ac:dyDescent="0.2">
      <c r="A191" s="59">
        <v>51</v>
      </c>
      <c r="B191" s="69">
        <f t="shared" si="57"/>
        <v>1676.8908251393875</v>
      </c>
      <c r="C191" s="69">
        <f t="shared" si="57"/>
        <v>5787.1689835242623</v>
      </c>
      <c r="D191" s="70">
        <f t="shared" si="57"/>
        <v>7276.4002003303776</v>
      </c>
      <c r="E191" s="69"/>
      <c r="F191" s="4"/>
      <c r="G191" s="5"/>
      <c r="H191" s="59">
        <v>51</v>
      </c>
      <c r="I191" s="69">
        <f t="shared" si="58"/>
        <v>17403.850261753058</v>
      </c>
      <c r="J191" s="69">
        <f t="shared" si="58"/>
        <v>21921.73990212135</v>
      </c>
      <c r="K191" s="70">
        <f t="shared" si="58"/>
        <v>23558.656438486672</v>
      </c>
      <c r="L191" s="69"/>
      <c r="O191" s="59">
        <v>51</v>
      </c>
      <c r="P191" s="69">
        <f t="shared" si="59"/>
        <v>9169.5374617045072</v>
      </c>
      <c r="Q191" s="69">
        <f t="shared" si="59"/>
        <v>13627.747637665192</v>
      </c>
      <c r="R191" s="70">
        <f t="shared" si="59"/>
        <v>15243.041179679931</v>
      </c>
      <c r="T191" s="59">
        <v>51</v>
      </c>
      <c r="U191" s="69">
        <f t="shared" si="55"/>
        <v>9911.2036251879381</v>
      </c>
      <c r="V191" s="69">
        <f t="shared" si="56"/>
        <v>14081.161247980419</v>
      </c>
      <c r="W191" s="70">
        <f t="shared" si="54"/>
        <v>15592.015459137117</v>
      </c>
    </row>
    <row r="192" spans="1:23" x14ac:dyDescent="0.2">
      <c r="A192" s="59">
        <v>52</v>
      </c>
      <c r="B192" s="69">
        <f t="shared" si="57"/>
        <v>1613.5280769862993</v>
      </c>
      <c r="C192" s="69">
        <f t="shared" si="57"/>
        <v>5763.9074597004155</v>
      </c>
      <c r="D192" s="70">
        <f t="shared" si="57"/>
        <v>7267.6681056113275</v>
      </c>
      <c r="E192" s="69"/>
      <c r="F192" s="4"/>
      <c r="G192" s="5"/>
      <c r="H192" s="59">
        <v>52</v>
      </c>
      <c r="I192" s="69">
        <f t="shared" si="58"/>
        <v>17639.314965337926</v>
      </c>
      <c r="J192" s="69">
        <f t="shared" si="58"/>
        <v>22201.282621592702</v>
      </c>
      <c r="K192" s="70">
        <f t="shared" si="58"/>
        <v>23854.169453569073</v>
      </c>
      <c r="L192" s="69"/>
      <c r="O192" s="59">
        <v>52</v>
      </c>
      <c r="P192" s="69">
        <f t="shared" si="59"/>
        <v>9244.9424577989521</v>
      </c>
      <c r="Q192" s="69">
        <f t="shared" si="59"/>
        <v>13746.648397181001</v>
      </c>
      <c r="R192" s="70">
        <f t="shared" si="59"/>
        <v>15377.7012737687</v>
      </c>
      <c r="T192" s="59">
        <v>52</v>
      </c>
      <c r="U192" s="69">
        <f t="shared" si="55"/>
        <v>10007.900584525272</v>
      </c>
      <c r="V192" s="69">
        <f t="shared" si="56"/>
        <v>14218.541684112115</v>
      </c>
      <c r="W192" s="70">
        <f t="shared" si="54"/>
        <v>15744.1362854117</v>
      </c>
    </row>
    <row r="193" spans="1:23" x14ac:dyDescent="0.2">
      <c r="A193" s="59">
        <v>53</v>
      </c>
      <c r="B193" s="69">
        <f t="shared" si="57"/>
        <v>1549.2531792294947</v>
      </c>
      <c r="C193" s="69">
        <f t="shared" si="57"/>
        <v>5739.3500160127551</v>
      </c>
      <c r="D193" s="70">
        <f t="shared" si="57"/>
        <v>7257.5010438327745</v>
      </c>
      <c r="E193" s="69"/>
      <c r="F193" s="4"/>
      <c r="G193" s="5"/>
      <c r="H193" s="59">
        <v>53</v>
      </c>
      <c r="I193" s="69">
        <f t="shared" si="58"/>
        <v>17873.777062508747</v>
      </c>
      <c r="J193" s="69">
        <f t="shared" si="58"/>
        <v>22479.400906341663</v>
      </c>
      <c r="K193" s="70">
        <f t="shared" si="58"/>
        <v>24148.105197585479</v>
      </c>
      <c r="L193" s="69"/>
      <c r="O193" s="59">
        <v>53</v>
      </c>
      <c r="P193" s="69">
        <f t="shared" si="59"/>
        <v>9319.3580914978174</v>
      </c>
      <c r="Q193" s="69">
        <f t="shared" si="59"/>
        <v>13864.14353817138</v>
      </c>
      <c r="R193" s="70">
        <f t="shared" si="59"/>
        <v>15510.804931893688</v>
      </c>
      <c r="T193" s="59">
        <v>53</v>
      </c>
      <c r="U193" s="69">
        <f t="shared" si="55"/>
        <v>10103.672150240423</v>
      </c>
      <c r="V193" s="69">
        <f t="shared" si="56"/>
        <v>14354.607384183038</v>
      </c>
      <c r="W193" s="70">
        <f t="shared" si="54"/>
        <v>15894.801309524564</v>
      </c>
    </row>
    <row r="194" spans="1:23" x14ac:dyDescent="0.2">
      <c r="A194" s="59">
        <v>54</v>
      </c>
      <c r="B194" s="69">
        <f t="shared" si="57"/>
        <v>1484.0918290971297</v>
      </c>
      <c r="C194" s="69">
        <f t="shared" si="57"/>
        <v>5713.5331613281069</v>
      </c>
      <c r="D194" s="70">
        <f t="shared" si="57"/>
        <v>7245.9394411219409</v>
      </c>
      <c r="E194" s="69"/>
      <c r="F194" s="4"/>
      <c r="G194" s="5"/>
      <c r="H194" s="59">
        <v>54</v>
      </c>
      <c r="I194" s="69">
        <f t="shared" si="58"/>
        <v>18107.26479885777</v>
      </c>
      <c r="J194" s="69">
        <f t="shared" si="58"/>
        <v>22756.13488577673</v>
      </c>
      <c r="K194" s="70">
        <f t="shared" si="58"/>
        <v>24440.508105674908</v>
      </c>
      <c r="L194" s="69"/>
      <c r="O194" s="59">
        <v>54</v>
      </c>
      <c r="P194" s="69">
        <f t="shared" si="59"/>
        <v>9392.812235280684</v>
      </c>
      <c r="Q194" s="69">
        <f t="shared" si="59"/>
        <v>13980.272659951839</v>
      </c>
      <c r="R194" s="70">
        <f t="shared" si="59"/>
        <v>15642.396002223999</v>
      </c>
      <c r="T194" s="59">
        <v>54</v>
      </c>
      <c r="U194" s="69">
        <f t="shared" si="55"/>
        <v>10198.544392674217</v>
      </c>
      <c r="V194" s="69">
        <f t="shared" si="56"/>
        <v>14489.395387152999</v>
      </c>
      <c r="W194" s="70">
        <f t="shared" si="54"/>
        <v>16044.051544572849</v>
      </c>
    </row>
    <row r="195" spans="1:23" x14ac:dyDescent="0.2">
      <c r="A195" s="59">
        <v>55</v>
      </c>
      <c r="B195" s="69">
        <f t="shared" si="57"/>
        <v>1418.0685394330083</v>
      </c>
      <c r="C195" s="69">
        <f t="shared" si="57"/>
        <v>5686.4917218209021</v>
      </c>
      <c r="D195" s="70">
        <f t="shared" si="57"/>
        <v>7233.021860367242</v>
      </c>
      <c r="E195" s="69"/>
      <c r="F195" s="4"/>
      <c r="G195" s="5"/>
      <c r="H195" s="59">
        <v>55</v>
      </c>
      <c r="I195" s="69">
        <f t="shared" si="58"/>
        <v>18339.805118138873</v>
      </c>
      <c r="J195" s="69">
        <f t="shared" si="58"/>
        <v>23031.522839743349</v>
      </c>
      <c r="K195" s="70">
        <f t="shared" si="58"/>
        <v>24731.420564962365</v>
      </c>
      <c r="L195" s="69"/>
      <c r="O195" s="59">
        <v>55</v>
      </c>
      <c r="P195" s="69">
        <f t="shared" si="59"/>
        <v>9465.331476985526</v>
      </c>
      <c r="Q195" s="69">
        <f t="shared" si="59"/>
        <v>14095.07353670681</v>
      </c>
      <c r="R195" s="70">
        <f t="shared" si="59"/>
        <v>15772.516311968146</v>
      </c>
      <c r="T195" s="59">
        <v>55</v>
      </c>
      <c r="U195" s="69">
        <f t="shared" si="55"/>
        <v>10292.542180586353</v>
      </c>
      <c r="V195" s="69">
        <f t="shared" si="56"/>
        <v>14622.94102485744</v>
      </c>
      <c r="W195" s="70">
        <f t="shared" si="54"/>
        <v>16191.926113361464</v>
      </c>
    </row>
    <row r="196" spans="1:23" x14ac:dyDescent="0.2">
      <c r="A196" s="59">
        <v>56</v>
      </c>
      <c r="B196" s="69">
        <f t="shared" si="57"/>
        <v>1351.2067137397516</v>
      </c>
      <c r="C196" s="69">
        <f t="shared" si="57"/>
        <v>5658.2589475893783</v>
      </c>
      <c r="D196" s="70">
        <f t="shared" si="57"/>
        <v>7218.7851192740263</v>
      </c>
      <c r="E196" s="69"/>
      <c r="F196" s="4"/>
      <c r="G196" s="5"/>
      <c r="H196" s="59">
        <v>56</v>
      </c>
      <c r="I196" s="69">
        <f t="shared" si="58"/>
        <v>18571.42374475269</v>
      </c>
      <c r="J196" s="69">
        <f t="shared" si="58"/>
        <v>23305.601315713153</v>
      </c>
      <c r="K196" s="70">
        <f t="shared" si="58"/>
        <v>25020.883044322014</v>
      </c>
      <c r="L196" s="69"/>
      <c r="O196" s="59">
        <v>56</v>
      </c>
      <c r="P196" s="69">
        <f t="shared" si="59"/>
        <v>9536.9412012042139</v>
      </c>
      <c r="Q196" s="69">
        <f t="shared" si="59"/>
        <v>14208.582233130843</v>
      </c>
      <c r="R196" s="70">
        <f t="shared" si="59"/>
        <v>15901.205795423102</v>
      </c>
      <c r="T196" s="59">
        <v>56</v>
      </c>
      <c r="U196" s="69">
        <f t="shared" si="55"/>
        <v>10385.68925728823</v>
      </c>
      <c r="V196" s="69">
        <f t="shared" si="56"/>
        <v>14755.278030171687</v>
      </c>
      <c r="W196" s="70">
        <f t="shared" si="54"/>
        <v>16338.462368172939</v>
      </c>
    </row>
    <row r="197" spans="1:23" x14ac:dyDescent="0.2">
      <c r="A197" s="59">
        <v>57</v>
      </c>
      <c r="B197" s="69">
        <f t="shared" si="57"/>
        <v>1283.5287152171397</v>
      </c>
      <c r="C197" s="69">
        <f t="shared" si="57"/>
        <v>5628.8666107405388</v>
      </c>
      <c r="D197" s="70">
        <f t="shared" si="57"/>
        <v>7203.2643989736553</v>
      </c>
      <c r="E197" s="69"/>
      <c r="F197" s="4"/>
      <c r="G197" s="5"/>
      <c r="H197" s="59">
        <v>57</v>
      </c>
      <c r="I197" s="69">
        <f t="shared" si="58"/>
        <v>18802.145259631383</v>
      </c>
      <c r="J197" s="69">
        <f t="shared" si="58"/>
        <v>23578.40523659586</v>
      </c>
      <c r="K197" s="70">
        <f t="shared" si="58"/>
        <v>25308.934213756904</v>
      </c>
      <c r="L197" s="69"/>
      <c r="O197" s="59">
        <v>57</v>
      </c>
      <c r="P197" s="69">
        <f t="shared" si="59"/>
        <v>9607.6656641649133</v>
      </c>
      <c r="Q197" s="69">
        <f t="shared" si="59"/>
        <v>14320.833210816396</v>
      </c>
      <c r="R197" s="70">
        <f t="shared" si="59"/>
        <v>16028.502611777078</v>
      </c>
      <c r="T197" s="59">
        <v>57</v>
      </c>
      <c r="U197" s="69">
        <f t="shared" si="55"/>
        <v>10478.00831068361</v>
      </c>
      <c r="V197" s="69">
        <f t="shared" si="56"/>
        <v>14886.438636520004</v>
      </c>
      <c r="W197" s="70">
        <f t="shared" si="54"/>
        <v>16483.696000953481</v>
      </c>
    </row>
    <row r="198" spans="1:23" x14ac:dyDescent="0.2">
      <c r="A198" s="59">
        <v>58</v>
      </c>
      <c r="B198" s="69">
        <f t="shared" si="57"/>
        <v>1215.0559303726825</v>
      </c>
      <c r="C198" s="69">
        <f t="shared" si="57"/>
        <v>5598.3450957637124</v>
      </c>
      <c r="D198" s="70">
        <f t="shared" si="57"/>
        <v>7186.4933440937966</v>
      </c>
      <c r="E198" s="69"/>
      <c r="F198" s="4"/>
      <c r="G198" s="5"/>
      <c r="H198" s="59">
        <v>58</v>
      </c>
      <c r="I198" s="69">
        <f t="shared" si="58"/>
        <v>19031.993170157431</v>
      </c>
      <c r="J198" s="69">
        <f t="shared" si="58"/>
        <v>23849.96800007511</v>
      </c>
      <c r="K198" s="70">
        <f t="shared" si="58"/>
        <v>25595.611054393106</v>
      </c>
      <c r="L198" s="69"/>
      <c r="O198" s="59">
        <v>58</v>
      </c>
      <c r="P198" s="69">
        <f t="shared" si="59"/>
        <v>9677.5280627272405</v>
      </c>
      <c r="Q198" s="69">
        <f t="shared" si="59"/>
        <v>14431.859426277424</v>
      </c>
      <c r="R198" s="70">
        <f t="shared" si="59"/>
        <v>16154.443253650679</v>
      </c>
      <c r="T198" s="59">
        <v>58</v>
      </c>
      <c r="U198" s="69">
        <f t="shared" si="55"/>
        <v>10569.521037802875</v>
      </c>
      <c r="V198" s="69">
        <f t="shared" si="56"/>
        <v>15016.453669561397</v>
      </c>
      <c r="W198" s="70">
        <f t="shared" si="54"/>
        <v>16627.661144836224</v>
      </c>
    </row>
    <row r="199" spans="1:23" x14ac:dyDescent="0.2">
      <c r="A199" s="59">
        <v>59</v>
      </c>
      <c r="B199" s="69">
        <f t="shared" si="57"/>
        <v>1145.8088277170298</v>
      </c>
      <c r="C199" s="69">
        <f t="shared" si="57"/>
        <v>5566.7234829209783</v>
      </c>
      <c r="D199" s="70">
        <f t="shared" si="57"/>
        <v>7168.5041550963206</v>
      </c>
      <c r="E199" s="69"/>
      <c r="F199" s="4"/>
      <c r="G199" s="5"/>
      <c r="H199" s="59">
        <v>59</v>
      </c>
      <c r="I199" s="69">
        <f t="shared" si="58"/>
        <v>19260.989974679753</v>
      </c>
      <c r="J199" s="69">
        <f t="shared" si="58"/>
        <v>24120.321570268581</v>
      </c>
      <c r="K199" s="70">
        <f t="shared" si="58"/>
        <v>25880.948959974681</v>
      </c>
      <c r="L199" s="69"/>
      <c r="O199" s="59">
        <v>59</v>
      </c>
      <c r="P199" s="69">
        <f t="shared" si="59"/>
        <v>9746.5505980461821</v>
      </c>
      <c r="Q199" s="69">
        <f t="shared" si="59"/>
        <v>14541.69242139877</v>
      </c>
      <c r="R199" s="70">
        <f t="shared" si="59"/>
        <v>16279.062647251158</v>
      </c>
      <c r="T199" s="59">
        <v>59</v>
      </c>
      <c r="U199" s="69">
        <f t="shared" si="55"/>
        <v>10660.248204350599</v>
      </c>
      <c r="V199" s="69">
        <f t="shared" si="56"/>
        <v>15145.352631790789</v>
      </c>
      <c r="W199" s="70">
        <f t="shared" si="54"/>
        <v>16770.390467819845</v>
      </c>
    </row>
    <row r="200" spans="1:23" x14ac:dyDescent="0.2">
      <c r="A200" s="59">
        <v>60</v>
      </c>
      <c r="B200" s="69">
        <f t="shared" si="57"/>
        <v>1075.8070120005898</v>
      </c>
      <c r="C200" s="69">
        <f t="shared" si="57"/>
        <v>5534.02962530286</v>
      </c>
      <c r="D200" s="70">
        <f t="shared" si="57"/>
        <v>7149.327673600782</v>
      </c>
      <c r="E200" s="69"/>
      <c r="F200" s="4"/>
      <c r="G200" s="5"/>
      <c r="H200" s="59">
        <v>60</v>
      </c>
      <c r="I200" s="69">
        <f t="shared" si="58"/>
        <v>19489.157222128964</v>
      </c>
      <c r="J200" s="69">
        <f t="shared" si="58"/>
        <v>24389.496562425251</v>
      </c>
      <c r="K200" s="70">
        <f t="shared" si="58"/>
        <v>26164.981830648543</v>
      </c>
      <c r="L200" s="69"/>
      <c r="O200" s="59">
        <v>60</v>
      </c>
      <c r="P200" s="69">
        <f t="shared" si="59"/>
        <v>9814.7545343998299</v>
      </c>
      <c r="Q200" s="69">
        <f t="shared" si="59"/>
        <v>14650.362407014543</v>
      </c>
      <c r="R200" s="70">
        <f t="shared" si="59"/>
        <v>16402.394244918425</v>
      </c>
      <c r="T200" s="59">
        <v>60</v>
      </c>
      <c r="U200" s="69">
        <f t="shared" si="55"/>
        <v>10750.209699729725</v>
      </c>
      <c r="V200" s="69">
        <f t="shared" si="56"/>
        <v>15273.163780713568</v>
      </c>
      <c r="W200" s="70">
        <f t="shared" si="54"/>
        <v>16911.915259330897</v>
      </c>
    </row>
    <row r="201" spans="1:23" x14ac:dyDescent="0.2">
      <c r="A201" s="59">
        <v>61</v>
      </c>
      <c r="B201" s="69">
        <f t="shared" si="57"/>
        <v>1005.0692743984894</v>
      </c>
      <c r="C201" s="69">
        <f t="shared" si="57"/>
        <v>5500.2902201276738</v>
      </c>
      <c r="D201" s="70">
        <f t="shared" si="57"/>
        <v>7128.9934613338983</v>
      </c>
      <c r="E201" s="69"/>
      <c r="F201" s="4"/>
      <c r="G201" s="5"/>
      <c r="H201" s="59">
        <v>61</v>
      </c>
      <c r="I201" s="69">
        <f t="shared" si="58"/>
        <v>19716.515567179053</v>
      </c>
      <c r="J201" s="69">
        <f t="shared" si="58"/>
        <v>24657.522321295368</v>
      </c>
      <c r="K201" s="70">
        <f t="shared" si="58"/>
        <v>26447.742159743309</v>
      </c>
      <c r="L201" s="69"/>
      <c r="O201" s="59">
        <v>61</v>
      </c>
      <c r="P201" s="69">
        <f t="shared" si="59"/>
        <v>9882.1602536224364</v>
      </c>
      <c r="Q201" s="69">
        <f t="shared" si="59"/>
        <v>14757.898340242928</v>
      </c>
      <c r="R201" s="70">
        <f t="shared" si="59"/>
        <v>16524.470110757593</v>
      </c>
      <c r="T201" s="59">
        <v>61</v>
      </c>
      <c r="U201" s="69">
        <f t="shared" si="55"/>
        <v>10839.424587955107</v>
      </c>
      <c r="V201" s="69">
        <f t="shared" si="56"/>
        <v>15399.914201180114</v>
      </c>
      <c r="W201" s="70">
        <f t="shared" si="54"/>
        <v>17052.265510319612</v>
      </c>
    </row>
    <row r="202" spans="1:23" x14ac:dyDescent="0.2">
      <c r="A202" s="59">
        <v>62</v>
      </c>
      <c r="B202" s="69">
        <f t="shared" si="57"/>
        <v>933.61363900777076</v>
      </c>
      <c r="C202" s="69">
        <f t="shared" si="57"/>
        <v>5465.5308748015859</v>
      </c>
      <c r="D202" s="70">
        <f t="shared" si="57"/>
        <v>7107.5298732776018</v>
      </c>
      <c r="E202" s="69"/>
      <c r="F202" s="4"/>
      <c r="G202" s="5"/>
      <c r="H202" s="59">
        <v>62</v>
      </c>
      <c r="I202" s="69">
        <f t="shared" si="58"/>
        <v>19943.084821355715</v>
      </c>
      <c r="J202" s="69">
        <f t="shared" si="58"/>
        <v>24924.426993741647</v>
      </c>
      <c r="K202" s="70">
        <f t="shared" si="58"/>
        <v>26729.261114171339</v>
      </c>
      <c r="L202" s="69"/>
      <c r="O202" s="59">
        <v>62</v>
      </c>
      <c r="P202" s="69">
        <f t="shared" si="59"/>
        <v>9948.7873055375803</v>
      </c>
      <c r="Q202" s="69">
        <f t="shared" si="59"/>
        <v>14864.327996138143</v>
      </c>
      <c r="R202" s="70">
        <f t="shared" si="59"/>
        <v>16645.320999978925</v>
      </c>
      <c r="T202" s="59">
        <v>62</v>
      </c>
      <c r="U202" s="69">
        <f t="shared" si="55"/>
        <v>10927.911154825904</v>
      </c>
      <c r="V202" s="69">
        <f t="shared" si="56"/>
        <v>15525.629872405088</v>
      </c>
      <c r="W202" s="70">
        <f t="shared" si="54"/>
        <v>17191.469987470016</v>
      </c>
    </row>
    <row r="203" spans="1:23" x14ac:dyDescent="0.2">
      <c r="A203" s="59">
        <v>63</v>
      </c>
      <c r="B203" s="69">
        <f t="shared" si="57"/>
        <v>861.45740598272266</v>
      </c>
      <c r="C203" s="69">
        <f t="shared" si="57"/>
        <v>5429.776168202332</v>
      </c>
      <c r="D203" s="70">
        <f t="shared" si="57"/>
        <v>7084.9641255282786</v>
      </c>
      <c r="E203" s="69"/>
      <c r="F203" s="4"/>
      <c r="G203" s="5"/>
      <c r="H203" s="59">
        <v>63</v>
      </c>
      <c r="I203" s="69">
        <f t="shared" si="58"/>
        <v>20168.884000449318</v>
      </c>
      <c r="J203" s="69">
        <f t="shared" si="58"/>
        <v>25190.237596100415</v>
      </c>
      <c r="K203" s="70">
        <f t="shared" si="58"/>
        <v>27009.568609017482</v>
      </c>
      <c r="L203" s="69"/>
      <c r="O203" s="59">
        <v>63</v>
      </c>
      <c r="P203" s="69">
        <f t="shared" si="59"/>
        <v>10014.654454744863</v>
      </c>
      <c r="Q203" s="69">
        <f t="shared" si="59"/>
        <v>14969.678034161823</v>
      </c>
      <c r="R203" s="70">
        <f t="shared" si="59"/>
        <v>16764.976432501302</v>
      </c>
      <c r="T203" s="59">
        <v>63</v>
      </c>
      <c r="U203" s="69">
        <f t="shared" si="55"/>
        <v>11015.686951687176</v>
      </c>
      <c r="V203" s="69">
        <f t="shared" si="56"/>
        <v>15650.335730140925</v>
      </c>
      <c r="W203" s="70">
        <f t="shared" si="54"/>
        <v>17329.556302044461</v>
      </c>
    </row>
    <row r="204" spans="1:23" x14ac:dyDescent="0.2">
      <c r="A204" s="59">
        <v>64</v>
      </c>
      <c r="B204" s="69">
        <f t="shared" si="57"/>
        <v>788.61719160074824</v>
      </c>
      <c r="C204" s="69">
        <f t="shared" si="57"/>
        <v>5393.0497076020811</v>
      </c>
      <c r="D204" s="70">
        <f t="shared" si="57"/>
        <v>7061.3223583272011</v>
      </c>
      <c r="E204" s="69"/>
      <c r="F204" s="4"/>
      <c r="G204" s="5"/>
      <c r="H204" s="59">
        <v>64</v>
      </c>
      <c r="I204" s="69">
        <f t="shared" si="58"/>
        <v>20393.931368554084</v>
      </c>
      <c r="J204" s="69">
        <f t="shared" si="58"/>
        <v>25454.980076749431</v>
      </c>
      <c r="K204" s="70">
        <f t="shared" si="58"/>
        <v>27288.693376820214</v>
      </c>
      <c r="L204" s="69"/>
      <c r="O204" s="59">
        <v>64</v>
      </c>
      <c r="P204" s="69">
        <f t="shared" si="59"/>
        <v>10079.779724077325</v>
      </c>
      <c r="Q204" s="69">
        <f t="shared" si="59"/>
        <v>15073.974059924327</v>
      </c>
      <c r="R204" s="70">
        <f t="shared" si="59"/>
        <v>16883.46476131817</v>
      </c>
      <c r="T204" s="59">
        <v>64</v>
      </c>
      <c r="U204" s="69">
        <f t="shared" si="55"/>
        <v>11102.768836077506</v>
      </c>
      <c r="V204" s="69">
        <f t="shared" si="56"/>
        <v>15774.055724427184</v>
      </c>
      <c r="W204" s="70">
        <f t="shared" si="54"/>
        <v>17466.550973829249</v>
      </c>
    </row>
    <row r="205" spans="1:23" x14ac:dyDescent="0.2">
      <c r="A205" s="59">
        <v>65</v>
      </c>
      <c r="B205" s="69">
        <f t="shared" si="57"/>
        <v>715.10896552158658</v>
      </c>
      <c r="C205" s="69">
        <f t="shared" si="57"/>
        <v>5355.3741816027796</v>
      </c>
      <c r="D205" s="70">
        <f t="shared" si="57"/>
        <v>7036.629694675672</v>
      </c>
      <c r="E205" s="69"/>
      <c r="F205" s="4"/>
      <c r="G205" s="5"/>
      <c r="H205" s="59">
        <v>65</v>
      </c>
      <c r="I205" s="69">
        <f t="shared" si="58"/>
        <v>20618.244479022243</v>
      </c>
      <c r="J205" s="69">
        <f t="shared" si="58"/>
        <v>25718.67937429278</v>
      </c>
      <c r="K205" s="70">
        <f t="shared" si="58"/>
        <v>27566.663031999502</v>
      </c>
      <c r="L205" s="69"/>
      <c r="O205" s="59">
        <v>65</v>
      </c>
      <c r="P205" s="69">
        <f t="shared" si="59"/>
        <v>10144.180435014638</v>
      </c>
      <c r="Q205" s="69">
        <f t="shared" si="59"/>
        <v>15177.240682601039</v>
      </c>
      <c r="R205" s="70">
        <f t="shared" si="59"/>
        <v>17000.813236074377</v>
      </c>
      <c r="T205" s="59">
        <v>65</v>
      </c>
      <c r="U205" s="69">
        <f t="shared" ref="U205:U240" si="60">B205+I205-P205</f>
        <v>11189.173009529193</v>
      </c>
      <c r="V205" s="69">
        <f t="shared" ref="V205:V240" si="61">C205+J205-Q205</f>
        <v>15896.812873294521</v>
      </c>
      <c r="W205" s="70">
        <f t="shared" si="54"/>
        <v>17602.479490600796</v>
      </c>
    </row>
    <row r="206" spans="1:23" x14ac:dyDescent="0.2">
      <c r="A206" s="59">
        <v>66</v>
      </c>
      <c r="B206" s="69">
        <f t="shared" ref="B206:D239" si="62">$H$127*(-$D$131*$A206+B$134*$D$129*SQRT($A206))</f>
        <v>640.94808547649711</v>
      </c>
      <c r="C206" s="69">
        <f t="shared" si="62"/>
        <v>5316.7714094201738</v>
      </c>
      <c r="D206" s="70">
        <f t="shared" si="62"/>
        <v>7010.9102949070129</v>
      </c>
      <c r="E206" s="69"/>
      <c r="F206" s="4"/>
      <c r="G206" s="5"/>
      <c r="H206" s="59">
        <v>66</v>
      </c>
      <c r="I206" s="69">
        <f t="shared" ref="I206:K240" si="63">$O$127*(-$K$131*$H206+I$134*$K$129*SQRT($H206))</f>
        <v>20841.840212593317</v>
      </c>
      <c r="J206" s="69">
        <f t="shared" si="63"/>
        <v>25981.359471732347</v>
      </c>
      <c r="K206" s="70">
        <f t="shared" si="63"/>
        <v>27843.504130840691</v>
      </c>
      <c r="L206" s="69"/>
      <c r="O206" s="59">
        <v>66</v>
      </c>
      <c r="P206" s="69">
        <f t="shared" ref="P206:R240" si="64">$Q$127*(-$R$131*$O206+P$134*$R$129*SQRT($O206))</f>
        <v>10207.873245308692</v>
      </c>
      <c r="Q206" s="69">
        <f t="shared" si="64"/>
        <v>15279.501568388247</v>
      </c>
      <c r="R206" s="70">
        <f t="shared" si="64"/>
        <v>17117.048062257651</v>
      </c>
      <c r="T206" s="59">
        <v>66</v>
      </c>
      <c r="U206" s="69">
        <f t="shared" si="60"/>
        <v>11274.915052761124</v>
      </c>
      <c r="V206" s="69">
        <f t="shared" si="61"/>
        <v>16018.629312764273</v>
      </c>
      <c r="W206" s="70">
        <f t="shared" ref="W206:W240" si="65">D206+K206-R206</f>
        <v>17737.366363490051</v>
      </c>
    </row>
    <row r="207" spans="1:23" x14ac:dyDescent="0.2">
      <c r="A207" s="59">
        <v>67</v>
      </c>
      <c r="B207" s="69">
        <f t="shared" si="62"/>
        <v>566.14932960079784</v>
      </c>
      <c r="C207" s="69">
        <f t="shared" si="62"/>
        <v>5277.2623868196915</v>
      </c>
      <c r="D207" s="70">
        <f t="shared" si="62"/>
        <v>6984.1874075511732</v>
      </c>
      <c r="E207" s="69"/>
      <c r="F207" s="4"/>
      <c r="G207" s="5"/>
      <c r="H207" s="59">
        <v>67</v>
      </c>
      <c r="I207" s="69">
        <f t="shared" si="63"/>
        <v>21064.734812933038</v>
      </c>
      <c r="J207" s="69">
        <f t="shared" si="63"/>
        <v>26243.043446959076</v>
      </c>
      <c r="K207" s="70">
        <f t="shared" si="63"/>
        <v>28119.242227403287</v>
      </c>
      <c r="L207" s="69"/>
      <c r="O207" s="59">
        <v>67</v>
      </c>
      <c r="P207" s="69">
        <f t="shared" si="64"/>
        <v>10270.874184053077</v>
      </c>
      <c r="Q207" s="69">
        <f t="shared" si="64"/>
        <v>15380.779490327446</v>
      </c>
      <c r="R207" s="70">
        <f t="shared" si="64"/>
        <v>17232.194456368885</v>
      </c>
      <c r="T207" s="59">
        <v>67</v>
      </c>
      <c r="U207" s="69">
        <f t="shared" si="60"/>
        <v>11360.009958480759</v>
      </c>
      <c r="V207" s="69">
        <f t="shared" si="61"/>
        <v>16139.52634345132</v>
      </c>
      <c r="W207" s="70">
        <f t="shared" si="65"/>
        <v>17871.235178585575</v>
      </c>
    </row>
    <row r="208" spans="1:23" x14ac:dyDescent="0.2">
      <c r="A208" s="59">
        <v>68</v>
      </c>
      <c r="B208" s="69">
        <f t="shared" si="62"/>
        <v>490.72692660258792</v>
      </c>
      <c r="C208" s="69">
        <f t="shared" si="62"/>
        <v>5236.8673289780827</v>
      </c>
      <c r="D208" s="70">
        <f t="shared" si="62"/>
        <v>6956.4834167952904</v>
      </c>
      <c r="E208" s="69"/>
      <c r="F208" s="4"/>
      <c r="G208" s="5"/>
      <c r="H208" s="59">
        <v>68</v>
      </c>
      <c r="I208" s="69">
        <f t="shared" si="63"/>
        <v>21286.943919793859</v>
      </c>
      <c r="J208" s="69">
        <f t="shared" si="63"/>
        <v>26503.753519865168</v>
      </c>
      <c r="K208" s="70">
        <f t="shared" si="63"/>
        <v>28393.901925688111</v>
      </c>
      <c r="L208" s="69"/>
      <c r="O208" s="59">
        <v>68</v>
      </c>
      <c r="P208" s="69">
        <f t="shared" si="64"/>
        <v>10333.198684405545</v>
      </c>
      <c r="Q208" s="69">
        <f t="shared" si="64"/>
        <v>15481.096374795203</v>
      </c>
      <c r="R208" s="70">
        <f t="shared" si="64"/>
        <v>17346.276697400153</v>
      </c>
      <c r="T208" s="59">
        <v>68</v>
      </c>
      <c r="U208" s="69">
        <f t="shared" si="60"/>
        <v>11444.472161990901</v>
      </c>
      <c r="V208" s="69">
        <f t="shared" si="61"/>
        <v>16259.524474048047</v>
      </c>
      <c r="W208" s="70">
        <f t="shared" si="65"/>
        <v>18004.108645083248</v>
      </c>
    </row>
    <row r="209" spans="1:23" x14ac:dyDescent="0.2">
      <c r="A209" s="59">
        <v>69</v>
      </c>
      <c r="B209" s="69">
        <f t="shared" si="62"/>
        <v>414.69458394198136</v>
      </c>
      <c r="C209" s="69">
        <f t="shared" si="62"/>
        <v>5195.6057105185528</v>
      </c>
      <c r="D209" s="70">
        <f t="shared" si="62"/>
        <v>6927.8198868144118</v>
      </c>
      <c r="E209" s="69"/>
      <c r="F209" s="4"/>
      <c r="G209" s="5"/>
      <c r="H209" s="59">
        <v>69</v>
      </c>
      <c r="I209" s="69">
        <f t="shared" si="63"/>
        <v>21508.482599988696</v>
      </c>
      <c r="J209" s="69">
        <f t="shared" si="63"/>
        <v>26763.51109634947</v>
      </c>
      <c r="K209" s="70">
        <f t="shared" si="63"/>
        <v>28667.506928364248</v>
      </c>
      <c r="L209" s="69"/>
      <c r="O209" s="59">
        <v>69</v>
      </c>
      <c r="P209" s="69">
        <f t="shared" si="64"/>
        <v>10394.861614152609</v>
      </c>
      <c r="Q209" s="69">
        <f t="shared" si="64"/>
        <v>15580.473344927235</v>
      </c>
      <c r="R209" s="70">
        <f t="shared" si="64"/>
        <v>17459.318174918044</v>
      </c>
      <c r="T209" s="59">
        <v>69</v>
      </c>
      <c r="U209" s="69">
        <f t="shared" si="60"/>
        <v>11528.315569778069</v>
      </c>
      <c r="V209" s="69">
        <f t="shared" si="61"/>
        <v>16378.643461940788</v>
      </c>
      <c r="W209" s="70">
        <f t="shared" si="65"/>
        <v>18136.008640260618</v>
      </c>
    </row>
    <row r="210" spans="1:23" x14ac:dyDescent="0.2">
      <c r="A210" s="59">
        <v>70</v>
      </c>
      <c r="B210" s="69">
        <f t="shared" si="62"/>
        <v>338.06551417894525</v>
      </c>
      <c r="C210" s="69">
        <f t="shared" si="62"/>
        <v>5153.4963029439887</v>
      </c>
      <c r="D210" s="70">
        <f t="shared" si="62"/>
        <v>6898.2176032211801</v>
      </c>
      <c r="E210" s="69"/>
      <c r="F210" s="4"/>
      <c r="G210" s="5"/>
      <c r="H210" s="59">
        <v>70</v>
      </c>
      <c r="I210" s="69">
        <f t="shared" si="63"/>
        <v>21729.365376351649</v>
      </c>
      <c r="J210" s="69">
        <f t="shared" si="63"/>
        <v>27022.336809462864</v>
      </c>
      <c r="K210" s="70">
        <f t="shared" si="63"/>
        <v>28940.080082329245</v>
      </c>
      <c r="L210" s="69"/>
      <c r="O210" s="59">
        <v>70</v>
      </c>
      <c r="P210" s="69">
        <f t="shared" si="64"/>
        <v>10455.877304287704</v>
      </c>
      <c r="Q210" s="69">
        <f t="shared" si="64"/>
        <v>15678.930761220307</v>
      </c>
      <c r="R210" s="70">
        <f t="shared" si="64"/>
        <v>17571.341434021979</v>
      </c>
      <c r="T210" s="59">
        <v>70</v>
      </c>
      <c r="U210" s="69">
        <f t="shared" si="60"/>
        <v>11611.553586242891</v>
      </c>
      <c r="V210" s="69">
        <f t="shared" si="61"/>
        <v>16496.902351186545</v>
      </c>
      <c r="W210" s="70">
        <f t="shared" si="65"/>
        <v>18266.956251528445</v>
      </c>
    </row>
    <row r="211" spans="1:23" x14ac:dyDescent="0.2">
      <c r="A211" s="59">
        <v>71</v>
      </c>
      <c r="B211" s="69">
        <f t="shared" si="62"/>
        <v>260.852459633129</v>
      </c>
      <c r="C211" s="69">
        <f t="shared" si="62"/>
        <v>5110.5572096719397</v>
      </c>
      <c r="D211" s="70">
        <f t="shared" si="62"/>
        <v>6867.6966118599148</v>
      </c>
      <c r="E211" s="69"/>
      <c r="F211" s="4"/>
      <c r="G211" s="5"/>
      <c r="H211" s="59">
        <v>71</v>
      </c>
      <c r="I211" s="69">
        <f t="shared" si="63"/>
        <v>21949.606254843322</v>
      </c>
      <c r="J211" s="69">
        <f t="shared" si="63"/>
        <v>27280.250557917661</v>
      </c>
      <c r="K211" s="70">
        <f t="shared" si="63"/>
        <v>29211.6434213504</v>
      </c>
      <c r="L211" s="69"/>
      <c r="O211" s="59">
        <v>71</v>
      </c>
      <c r="P211" s="69">
        <f t="shared" si="64"/>
        <v>10516.25957575845</v>
      </c>
      <c r="Q211" s="69">
        <f t="shared" si="64"/>
        <v>15776.488259532933</v>
      </c>
      <c r="R211" s="70">
        <f t="shared" si="64"/>
        <v>17682.368217422241</v>
      </c>
      <c r="T211" s="59">
        <v>71</v>
      </c>
      <c r="U211" s="69">
        <f t="shared" si="60"/>
        <v>11694.199138718002</v>
      </c>
      <c r="V211" s="69">
        <f t="shared" si="61"/>
        <v>16614.319508056669</v>
      </c>
      <c r="W211" s="70">
        <f t="shared" si="65"/>
        <v>18396.971815788071</v>
      </c>
    </row>
    <row r="212" spans="1:23" x14ac:dyDescent="0.2">
      <c r="A212" s="59">
        <v>72</v>
      </c>
      <c r="B212" s="69">
        <f t="shared" si="62"/>
        <v>183.0677154860183</v>
      </c>
      <c r="C212" s="69">
        <f t="shared" si="62"/>
        <v>5066.8058988565881</v>
      </c>
      <c r="D212" s="70">
        <f t="shared" si="62"/>
        <v>6836.2762551502701</v>
      </c>
      <c r="E212" s="69"/>
      <c r="F212" s="4"/>
      <c r="G212" s="5"/>
      <c r="H212" s="59">
        <v>72</v>
      </c>
      <c r="I212" s="69">
        <f t="shared" si="63"/>
        <v>22169.218749943971</v>
      </c>
      <c r="J212" s="69">
        <f t="shared" si="63"/>
        <v>27537.271542164497</v>
      </c>
      <c r="K212" s="70">
        <f t="shared" si="63"/>
        <v>29482.218206012509</v>
      </c>
      <c r="L212" s="69"/>
      <c r="O212" s="59">
        <v>72</v>
      </c>
      <c r="P212" s="69">
        <f t="shared" si="64"/>
        <v>10576.021764524381</v>
      </c>
      <c r="Q212" s="69">
        <f t="shared" si="64"/>
        <v>15873.164786685671</v>
      </c>
      <c r="R212" s="70">
        <f t="shared" si="64"/>
        <v>17792.419504860052</v>
      </c>
      <c r="T212" s="59">
        <v>72</v>
      </c>
      <c r="U212" s="69">
        <f t="shared" si="60"/>
        <v>11776.264700905607</v>
      </c>
      <c r="V212" s="69">
        <f t="shared" si="61"/>
        <v>16730.912654335414</v>
      </c>
      <c r="W212" s="70">
        <f t="shared" si="65"/>
        <v>18526.074956302728</v>
      </c>
    </row>
    <row r="213" spans="1:23" x14ac:dyDescent="0.2">
      <c r="A213" s="59">
        <v>73</v>
      </c>
      <c r="B213" s="69">
        <f t="shared" si="62"/>
        <v>104.72315144400199</v>
      </c>
      <c r="C213" s="69">
        <f t="shared" si="62"/>
        <v>5022.259234166153</v>
      </c>
      <c r="D213" s="70">
        <f t="shared" si="62"/>
        <v>6803.9752061669315</v>
      </c>
      <c r="E213" s="69"/>
      <c r="F213" s="4"/>
      <c r="G213" s="5"/>
      <c r="H213" s="59">
        <v>73</v>
      </c>
      <c r="I213" s="69">
        <f t="shared" si="63"/>
        <v>22388.215908464903</v>
      </c>
      <c r="J213" s="69">
        <f t="shared" si="63"/>
        <v>27793.418298221844</v>
      </c>
      <c r="K213" s="70">
        <f t="shared" si="63"/>
        <v>29751.824961177259</v>
      </c>
      <c r="L213" s="69"/>
      <c r="O213" s="59">
        <v>73</v>
      </c>
      <c r="P213" s="69">
        <f t="shared" si="64"/>
        <v>10635.176745053786</v>
      </c>
      <c r="Q213" s="69">
        <f t="shared" si="64"/>
        <v>15968.978633843835</v>
      </c>
      <c r="R213" s="70">
        <f t="shared" si="64"/>
        <v>17901.515550072116</v>
      </c>
      <c r="T213" s="59">
        <v>73</v>
      </c>
      <c r="U213" s="69">
        <f t="shared" si="60"/>
        <v>11857.762314855119</v>
      </c>
      <c r="V213" s="69">
        <f t="shared" si="61"/>
        <v>16846.698898544164</v>
      </c>
      <c r="W213" s="70">
        <f t="shared" si="65"/>
        <v>18654.284617272075</v>
      </c>
    </row>
    <row r="214" spans="1:23" x14ac:dyDescent="0.2">
      <c r="A214" s="59">
        <v>74</v>
      </c>
      <c r="B214" s="69">
        <f t="shared" si="62"/>
        <v>25.830232070410553</v>
      </c>
      <c r="C214" s="69">
        <f t="shared" si="62"/>
        <v>4976.9335036692755</v>
      </c>
      <c r="D214" s="70">
        <f t="shared" si="62"/>
        <v>6770.8115006253856</v>
      </c>
      <c r="E214" s="69"/>
      <c r="F214" s="4"/>
      <c r="G214" s="5"/>
      <c r="H214" s="59">
        <v>74</v>
      </c>
      <c r="I214" s="69">
        <f t="shared" si="63"/>
        <v>22606.610331896802</v>
      </c>
      <c r="J214" s="69">
        <f t="shared" si="63"/>
        <v>28048.70872942709</v>
      </c>
      <c r="K214" s="70">
        <f t="shared" si="63"/>
        <v>30020.483511140963</v>
      </c>
      <c r="L214" s="69"/>
      <c r="O214" s="59">
        <v>74</v>
      </c>
      <c r="P214" s="69">
        <f t="shared" si="64"/>
        <v>10693.736952376839</v>
      </c>
      <c r="Q214" s="69">
        <f t="shared" si="64"/>
        <v>16063.94746784907</v>
      </c>
      <c r="R214" s="70">
        <f t="shared" si="64"/>
        <v>18009.675915483938</v>
      </c>
      <c r="T214" s="59">
        <v>74</v>
      </c>
      <c r="U214" s="69">
        <f t="shared" si="60"/>
        <v>11938.703611590372</v>
      </c>
      <c r="V214" s="69">
        <f t="shared" si="61"/>
        <v>16961.694765247299</v>
      </c>
      <c r="W214" s="70">
        <f t="shared" si="65"/>
        <v>18781.619096282411</v>
      </c>
    </row>
    <row r="215" spans="1:23" x14ac:dyDescent="0.2">
      <c r="A215" s="59">
        <v>75</v>
      </c>
      <c r="B215" s="69">
        <f t="shared" si="62"/>
        <v>-53.59996411481707</v>
      </c>
      <c r="C215" s="69">
        <f t="shared" si="62"/>
        <v>4930.8444469704982</v>
      </c>
      <c r="D215" s="70">
        <f t="shared" si="62"/>
        <v>6736.8025669289464</v>
      </c>
      <c r="E215" s="69"/>
      <c r="F215" s="4"/>
      <c r="G215" s="5"/>
      <c r="H215" s="59">
        <v>75</v>
      </c>
      <c r="I215" s="69">
        <f t="shared" si="63"/>
        <v>22824.414197403476</v>
      </c>
      <c r="J215" s="69">
        <f t="shared" si="63"/>
        <v>28303.160136262963</v>
      </c>
      <c r="K215" s="70">
        <f t="shared" si="63"/>
        <v>30288.21301266133</v>
      </c>
      <c r="L215" s="69"/>
      <c r="O215" s="59">
        <v>75</v>
      </c>
      <c r="P215" s="69">
        <f t="shared" si="64"/>
        <v>10751.714402802028</v>
      </c>
      <c r="Q215" s="69">
        <f t="shared" si="64"/>
        <v>16158.088360651851</v>
      </c>
      <c r="R215" s="70">
        <f t="shared" si="64"/>
        <v>18116.919504800338</v>
      </c>
      <c r="T215" s="59">
        <v>75</v>
      </c>
      <c r="U215" s="69">
        <f t="shared" si="60"/>
        <v>12019.099830486632</v>
      </c>
      <c r="V215" s="69">
        <f t="shared" si="61"/>
        <v>17075.916222581607</v>
      </c>
      <c r="W215" s="70">
        <f t="shared" si="65"/>
        <v>18908.096074789937</v>
      </c>
    </row>
    <row r="216" spans="1:23" x14ac:dyDescent="0.2">
      <c r="A216" s="59">
        <v>76</v>
      </c>
      <c r="B216" s="69">
        <f t="shared" si="62"/>
        <v>-133.55672667781491</v>
      </c>
      <c r="C216" s="69">
        <f t="shared" si="62"/>
        <v>4884.0072807228207</v>
      </c>
      <c r="D216" s="70">
        <f t="shared" si="62"/>
        <v>6701.9652544186993</v>
      </c>
      <c r="E216" s="69"/>
      <c r="F216" s="4"/>
      <c r="G216" s="5"/>
      <c r="H216" s="59">
        <v>76</v>
      </c>
      <c r="I216" s="69">
        <f t="shared" si="63"/>
        <v>23041.639277560007</v>
      </c>
      <c r="J216" s="69">
        <f t="shared" si="63"/>
        <v>28556.789244400155</v>
      </c>
      <c r="K216" s="70">
        <f t="shared" si="63"/>
        <v>30555.031986008904</v>
      </c>
      <c r="L216" s="69"/>
      <c r="O216" s="59">
        <v>76</v>
      </c>
      <c r="P216" s="69">
        <f t="shared" si="64"/>
        <v>10809.120713393553</v>
      </c>
      <c r="Q216" s="69">
        <f t="shared" si="64"/>
        <v>16251.417816983634</v>
      </c>
      <c r="R216" s="70">
        <f t="shared" si="64"/>
        <v>18223.264593646705</v>
      </c>
      <c r="T216" s="59">
        <v>76</v>
      </c>
      <c r="U216" s="69">
        <f t="shared" si="60"/>
        <v>12098.961837488638</v>
      </c>
      <c r="V216" s="69">
        <f t="shared" si="61"/>
        <v>17189.378708139342</v>
      </c>
      <c r="W216" s="70">
        <f t="shared" si="65"/>
        <v>19033.7326467809</v>
      </c>
    </row>
    <row r="217" spans="1:23" x14ac:dyDescent="0.2">
      <c r="A217" s="59">
        <v>77</v>
      </c>
      <c r="B217" s="69">
        <f t="shared" si="62"/>
        <v>-214.02969637334806</v>
      </c>
      <c r="C217" s="69">
        <f t="shared" si="62"/>
        <v>4836.436722634402</v>
      </c>
      <c r="D217" s="70">
        <f t="shared" si="62"/>
        <v>6666.3158599560511</v>
      </c>
      <c r="E217" s="69"/>
      <c r="F217" s="4"/>
      <c r="G217" s="5"/>
      <c r="H217" s="59">
        <v>77</v>
      </c>
      <c r="I217" s="69">
        <f t="shared" si="63"/>
        <v>23258.296958925872</v>
      </c>
      <c r="J217" s="69">
        <f t="shared" si="63"/>
        <v>28809.612231084757</v>
      </c>
      <c r="K217" s="70">
        <f t="shared" si="63"/>
        <v>30820.958344185805</v>
      </c>
      <c r="L217" s="69"/>
      <c r="O217" s="59">
        <v>77</v>
      </c>
      <c r="P217" s="69">
        <f t="shared" si="64"/>
        <v>10865.967120299121</v>
      </c>
      <c r="Q217" s="69">
        <f t="shared" si="64"/>
        <v>16343.951800395738</v>
      </c>
      <c r="R217" s="70">
        <f t="shared" si="64"/>
        <v>18328.728858401755</v>
      </c>
      <c r="T217" s="59">
        <v>77</v>
      </c>
      <c r="U217" s="69">
        <f t="shared" si="60"/>
        <v>12178.300142253402</v>
      </c>
      <c r="V217" s="69">
        <f t="shared" si="61"/>
        <v>17302.097153323422</v>
      </c>
      <c r="W217" s="70">
        <f t="shared" si="65"/>
        <v>19158.545345740098</v>
      </c>
    </row>
    <row r="218" spans="1:23" x14ac:dyDescent="0.2">
      <c r="A218" s="59">
        <v>78</v>
      </c>
      <c r="B218" s="69">
        <f t="shared" si="62"/>
        <v>-295.00884923182645</v>
      </c>
      <c r="C218" s="69">
        <f t="shared" si="62"/>
        <v>4788.1470140766778</v>
      </c>
      <c r="D218" s="70">
        <f t="shared" si="62"/>
        <v>6629.8701529565706</v>
      </c>
      <c r="E218" s="69"/>
      <c r="F218" s="4"/>
      <c r="G218" s="5"/>
      <c r="H218" s="59">
        <v>78</v>
      </c>
      <c r="I218" s="69">
        <f t="shared" si="63"/>
        <v>23474.39825953601</v>
      </c>
      <c r="J218" s="69">
        <f t="shared" si="63"/>
        <v>29061.644749988362</v>
      </c>
      <c r="K218" s="70">
        <f t="shared" si="63"/>
        <v>31086.009420442115</v>
      </c>
      <c r="L218" s="69"/>
      <c r="O218" s="59">
        <v>78</v>
      </c>
      <c r="P218" s="69">
        <f t="shared" si="64"/>
        <v>10922.264496009968</v>
      </c>
      <c r="Q218" s="69">
        <f t="shared" si="64"/>
        <v>16435.70575778119</v>
      </c>
      <c r="R218" s="70">
        <f t="shared" si="64"/>
        <v>18433.329403350472</v>
      </c>
      <c r="T218" s="59">
        <v>78</v>
      </c>
      <c r="U218" s="69">
        <f t="shared" si="60"/>
        <v>12257.124914294214</v>
      </c>
      <c r="V218" s="69">
        <f t="shared" si="61"/>
        <v>17414.086006283851</v>
      </c>
      <c r="W218" s="70">
        <f t="shared" si="65"/>
        <v>19282.550170048213</v>
      </c>
    </row>
    <row r="219" spans="1:23" x14ac:dyDescent="0.2">
      <c r="A219" s="59">
        <v>79</v>
      </c>
      <c r="B219" s="69">
        <f t="shared" si="62"/>
        <v>-376.48448156154797</v>
      </c>
      <c r="C219" s="69">
        <f t="shared" si="62"/>
        <v>4739.1519413921278</v>
      </c>
      <c r="D219" s="70">
        <f t="shared" si="62"/>
        <v>6592.6433989840416</v>
      </c>
      <c r="E219" s="69"/>
      <c r="F219" s="4"/>
      <c r="G219" s="5"/>
      <c r="H219" s="59">
        <v>79</v>
      </c>
      <c r="I219" s="69">
        <f t="shared" si="63"/>
        <v>23689.953845385895</v>
      </c>
      <c r="J219" s="69">
        <f t="shared" si="63"/>
        <v>29312.901954628916</v>
      </c>
      <c r="K219" s="70">
        <f t="shared" si="63"/>
        <v>31350.201994209721</v>
      </c>
      <c r="L219" s="69"/>
      <c r="O219" s="59">
        <v>79</v>
      </c>
      <c r="P219" s="69">
        <f t="shared" si="64"/>
        <v>10978.023365628149</v>
      </c>
      <c r="Q219" s="69">
        <f t="shared" si="64"/>
        <v>16526.694642486207</v>
      </c>
      <c r="R219" s="70">
        <f t="shared" si="64"/>
        <v>18537.082786275361</v>
      </c>
      <c r="T219" s="59">
        <v>79</v>
      </c>
      <c r="U219" s="69">
        <f t="shared" si="60"/>
        <v>12335.445998196199</v>
      </c>
      <c r="V219" s="69">
        <f t="shared" si="61"/>
        <v>17525.35925353484</v>
      </c>
      <c r="W219" s="70">
        <f t="shared" si="65"/>
        <v>19405.762606918401</v>
      </c>
    </row>
    <row r="220" spans="1:23" x14ac:dyDescent="0.2">
      <c r="A220" s="59">
        <v>80</v>
      </c>
      <c r="B220" s="69">
        <f t="shared" si="62"/>
        <v>-458.44719580261523</v>
      </c>
      <c r="C220" s="69">
        <f t="shared" si="62"/>
        <v>4689.4648559920706</v>
      </c>
      <c r="D220" s="70">
        <f t="shared" si="62"/>
        <v>6554.6503820046355</v>
      </c>
      <c r="E220" s="69"/>
      <c r="F220" s="4"/>
      <c r="G220" s="5"/>
      <c r="H220" s="59">
        <v>80</v>
      </c>
      <c r="I220" s="69">
        <f t="shared" si="63"/>
        <v>23904.974045980456</v>
      </c>
      <c r="J220" s="69">
        <f t="shared" si="63"/>
        <v>29563.398520461604</v>
      </c>
      <c r="K220" s="70">
        <f t="shared" si="63"/>
        <v>31613.552315563473</v>
      </c>
      <c r="L220" s="69"/>
      <c r="O220" s="59">
        <v>80</v>
      </c>
      <c r="P220" s="69">
        <f t="shared" si="64"/>
        <v>11033.253922210079</v>
      </c>
      <c r="Q220" s="69">
        <f t="shared" si="64"/>
        <v>16616.932936109235</v>
      </c>
      <c r="R220" s="70">
        <f t="shared" si="64"/>
        <v>18640.005042594439</v>
      </c>
      <c r="T220" s="59">
        <v>80</v>
      </c>
      <c r="U220" s="69">
        <f t="shared" si="60"/>
        <v>12413.272927967762</v>
      </c>
      <c r="V220" s="69">
        <f t="shared" si="61"/>
        <v>17635.930440344437</v>
      </c>
      <c r="W220" s="70">
        <f t="shared" si="65"/>
        <v>19528.197654973668</v>
      </c>
    </row>
    <row r="221" spans="1:23" x14ac:dyDescent="0.2">
      <c r="A221" s="59">
        <v>81</v>
      </c>
      <c r="B221" s="69">
        <f t="shared" si="62"/>
        <v>-540.8878871742271</v>
      </c>
      <c r="C221" s="69">
        <f t="shared" si="62"/>
        <v>4639.0986933272725</v>
      </c>
      <c r="D221" s="70">
        <f t="shared" si="62"/>
        <v>6515.9054253930317</v>
      </c>
      <c r="E221" s="69"/>
      <c r="F221" s="4"/>
      <c r="G221" s="5"/>
      <c r="H221" s="59">
        <v>81</v>
      </c>
      <c r="I221" s="69">
        <f t="shared" si="63"/>
        <v>24119.468869010965</v>
      </c>
      <c r="J221" s="69">
        <f t="shared" si="63"/>
        <v>29813.148665730736</v>
      </c>
      <c r="K221" s="70">
        <f t="shared" si="63"/>
        <v>31876.07612831036</v>
      </c>
      <c r="L221" s="69"/>
      <c r="O221" s="59">
        <v>81</v>
      </c>
      <c r="P221" s="69">
        <f t="shared" si="64"/>
        <v>11087.966041249547</v>
      </c>
      <c r="Q221" s="69">
        <f t="shared" si="64"/>
        <v>16706.434669077422</v>
      </c>
      <c r="R221" s="70">
        <f t="shared" si="64"/>
        <v>18742.111708145494</v>
      </c>
      <c r="T221" s="59">
        <v>81</v>
      </c>
      <c r="U221" s="69">
        <f t="shared" si="60"/>
        <v>12490.614940587191</v>
      </c>
      <c r="V221" s="69">
        <f t="shared" si="61"/>
        <v>17745.812689980583</v>
      </c>
      <c r="W221" s="70">
        <f t="shared" si="65"/>
        <v>19649.8698455579</v>
      </c>
    </row>
    <row r="222" spans="1:23" x14ac:dyDescent="0.2">
      <c r="A222" s="59">
        <v>82</v>
      </c>
      <c r="B222" s="69">
        <f t="shared" si="62"/>
        <v>-623.79773106153596</v>
      </c>
      <c r="C222" s="69">
        <f t="shared" si="62"/>
        <v>4588.0659908078569</v>
      </c>
      <c r="D222" s="70">
        <f t="shared" si="62"/>
        <v>6476.4224117750282</v>
      </c>
      <c r="E222" s="69"/>
      <c r="F222" s="4"/>
      <c r="G222" s="5"/>
      <c r="H222" s="59">
        <v>82</v>
      </c>
      <c r="I222" s="69">
        <f t="shared" si="63"/>
        <v>24333.448014219015</v>
      </c>
      <c r="J222" s="69">
        <f t="shared" si="63"/>
        <v>30062.166171166733</v>
      </c>
      <c r="K222" s="70">
        <f t="shared" si="63"/>
        <v>32137.788691799971</v>
      </c>
      <c r="L222" s="69"/>
      <c r="O222" s="59">
        <v>82</v>
      </c>
      <c r="P222" s="69">
        <f t="shared" si="64"/>
        <v>11142.169294358544</v>
      </c>
      <c r="Q222" s="69">
        <f t="shared" si="64"/>
        <v>16795.213440083418</v>
      </c>
      <c r="R222" s="70">
        <f t="shared" si="64"/>
        <v>18843.417840708375</v>
      </c>
      <c r="T222" s="59">
        <v>82</v>
      </c>
      <c r="U222" s="69">
        <f t="shared" si="60"/>
        <v>12567.480988798936</v>
      </c>
      <c r="V222" s="69">
        <f t="shared" si="61"/>
        <v>17855.018721891174</v>
      </c>
      <c r="W222" s="70">
        <f t="shared" si="65"/>
        <v>19770.793262866624</v>
      </c>
    </row>
    <row r="223" spans="1:23" x14ac:dyDescent="0.2">
      <c r="A223" s="59">
        <v>83</v>
      </c>
      <c r="B223" s="69">
        <f t="shared" si="62"/>
        <v>-707.16817109269039</v>
      </c>
      <c r="C223" s="69">
        <f t="shared" si="62"/>
        <v>4536.3789047426117</v>
      </c>
      <c r="D223" s="70">
        <f t="shared" si="62"/>
        <v>6436.2148017843856</v>
      </c>
      <c r="E223" s="69"/>
      <c r="F223" s="4"/>
      <c r="G223" s="5"/>
      <c r="H223" s="59">
        <v>83</v>
      </c>
      <c r="I223" s="69">
        <f t="shared" si="63"/>
        <v>24546.920886501855</v>
      </c>
      <c r="J223" s="69">
        <f t="shared" si="63"/>
        <v>30310.464398605327</v>
      </c>
      <c r="K223" s="70">
        <f t="shared" si="63"/>
        <v>32398.704801541367</v>
      </c>
      <c r="L223" s="69"/>
      <c r="O223" s="59">
        <v>83</v>
      </c>
      <c r="P223" s="69">
        <f t="shared" si="64"/>
        <v>11195.87296219949</v>
      </c>
      <c r="Q223" s="69">
        <f t="shared" si="64"/>
        <v>16883.28243445859</v>
      </c>
      <c r="R223" s="70">
        <f t="shared" si="64"/>
        <v>18943.938040349567</v>
      </c>
      <c r="T223" s="59">
        <v>83</v>
      </c>
      <c r="U223" s="69">
        <f t="shared" si="60"/>
        <v>12643.879753209676</v>
      </c>
      <c r="V223" s="69">
        <f t="shared" si="61"/>
        <v>17963.560868889348</v>
      </c>
      <c r="W223" s="70">
        <f t="shared" si="65"/>
        <v>19890.981562976187</v>
      </c>
    </row>
    <row r="224" spans="1:23" x14ac:dyDescent="0.2">
      <c r="A224" s="59">
        <v>84</v>
      </c>
      <c r="B224" s="69">
        <f t="shared" si="62"/>
        <v>-790.99090786042018</v>
      </c>
      <c r="C224" s="69">
        <f t="shared" si="62"/>
        <v>4484.0492263625974</v>
      </c>
      <c r="D224" s="70">
        <f t="shared" si="62"/>
        <v>6395.295651805719</v>
      </c>
      <c r="E224" s="69"/>
      <c r="F224" s="4"/>
      <c r="G224" s="5"/>
      <c r="H224" s="59">
        <v>84</v>
      </c>
      <c r="I224" s="69">
        <f t="shared" si="63"/>
        <v>24759.896608309278</v>
      </c>
      <c r="J224" s="69">
        <f t="shared" si="63"/>
        <v>30558.056308600193</v>
      </c>
      <c r="K224" s="70">
        <f t="shared" si="63"/>
        <v>32658.838808705601</v>
      </c>
      <c r="L224" s="69"/>
      <c r="O224" s="59">
        <v>84</v>
      </c>
      <c r="P224" s="69">
        <f t="shared" si="64"/>
        <v>11249.086046718374</v>
      </c>
      <c r="Q224" s="69">
        <f t="shared" si="64"/>
        <v>16970.654441553022</v>
      </c>
      <c r="R224" s="70">
        <f t="shared" si="64"/>
        <v>19043.686468667027</v>
      </c>
      <c r="T224" s="59">
        <v>84</v>
      </c>
      <c r="U224" s="69">
        <f t="shared" si="60"/>
        <v>12719.819653730483</v>
      </c>
      <c r="V224" s="69">
        <f t="shared" si="61"/>
        <v>18071.451093409771</v>
      </c>
      <c r="W224" s="70">
        <f t="shared" si="65"/>
        <v>20010.447991844292</v>
      </c>
    </row>
    <row r="225" spans="1:23" x14ac:dyDescent="0.2">
      <c r="A225" s="59">
        <v>85</v>
      </c>
      <c r="B225" s="69">
        <f t="shared" si="62"/>
        <v>-875.25788824606798</v>
      </c>
      <c r="C225" s="69">
        <f t="shared" si="62"/>
        <v>4431.0883969888346</v>
      </c>
      <c r="D225" s="70">
        <f t="shared" si="62"/>
        <v>6353.6776307695973</v>
      </c>
      <c r="E225" s="69"/>
      <c r="F225" s="4"/>
      <c r="G225" s="5"/>
      <c r="H225" s="59">
        <v>85</v>
      </c>
      <c r="I225" s="69">
        <f t="shared" si="63"/>
        <v>24972.384031378304</v>
      </c>
      <c r="J225" s="69">
        <f t="shared" si="63"/>
        <v>30804.954477094769</v>
      </c>
      <c r="K225" s="70">
        <f t="shared" si="63"/>
        <v>32918.204638586249</v>
      </c>
      <c r="L225" s="69"/>
      <c r="O225" s="59">
        <v>85</v>
      </c>
      <c r="P225" s="69">
        <f t="shared" si="64"/>
        <v>11301.817282724414</v>
      </c>
      <c r="Q225" s="69">
        <f t="shared" si="64"/>
        <v>17057.341871187135</v>
      </c>
      <c r="R225" s="70">
        <f t="shared" si="64"/>
        <v>19142.676867006961</v>
      </c>
      <c r="T225" s="59">
        <v>85</v>
      </c>
      <c r="U225" s="69">
        <f t="shared" si="60"/>
        <v>12795.30886040782</v>
      </c>
      <c r="V225" s="69">
        <f t="shared" si="61"/>
        <v>18178.701002896472</v>
      </c>
      <c r="W225" s="70">
        <f t="shared" si="65"/>
        <v>20129.205402348885</v>
      </c>
    </row>
    <row r="226" spans="1:23" x14ac:dyDescent="0.2">
      <c r="A226" s="59">
        <v>86</v>
      </c>
      <c r="B226" s="69">
        <f t="shared" si="62"/>
        <v>-959.96129530725261</v>
      </c>
      <c r="C226" s="69">
        <f t="shared" si="62"/>
        <v>4377.5075223992208</v>
      </c>
      <c r="D226" s="70">
        <f t="shared" si="62"/>
        <v>6311.3730360609852</v>
      </c>
      <c r="E226" s="69"/>
      <c r="F226" s="4"/>
      <c r="G226" s="5"/>
      <c r="H226" s="59">
        <v>86</v>
      </c>
      <c r="I226" s="69">
        <f t="shared" si="63"/>
        <v>25184.39174784836</v>
      </c>
      <c r="J226" s="69">
        <f t="shared" si="63"/>
        <v>31051.171111213986</v>
      </c>
      <c r="K226" s="70">
        <f t="shared" si="63"/>
        <v>33176.815808085594</v>
      </c>
      <c r="L226" s="69"/>
      <c r="O226" s="59">
        <v>86</v>
      </c>
      <c r="P226" s="69">
        <f t="shared" si="64"/>
        <v>11354.075148858401</v>
      </c>
      <c r="Q226" s="69">
        <f t="shared" si="64"/>
        <v>17143.356769234728</v>
      </c>
      <c r="R226" s="70">
        <f t="shared" si="64"/>
        <v>19240.922573718908</v>
      </c>
      <c r="T226" s="59">
        <v>86</v>
      </c>
      <c r="U226" s="69">
        <f t="shared" si="60"/>
        <v>12870.355303682705</v>
      </c>
      <c r="V226" s="69">
        <f t="shared" si="61"/>
        <v>18285.321864378478</v>
      </c>
      <c r="W226" s="70">
        <f t="shared" si="65"/>
        <v>20247.26627042767</v>
      </c>
    </row>
    <row r="227" spans="1:23" x14ac:dyDescent="0.2">
      <c r="A227" s="59">
        <v>87</v>
      </c>
      <c r="B227" s="69">
        <f t="shared" si="62"/>
        <v>-1045.0935386931526</v>
      </c>
      <c r="C227" s="69">
        <f t="shared" si="62"/>
        <v>4323.3173864458313</v>
      </c>
      <c r="D227" s="70">
        <f t="shared" si="62"/>
        <v>6268.3938085976361</v>
      </c>
      <c r="E227" s="69"/>
      <c r="F227" s="4"/>
      <c r="G227" s="5"/>
      <c r="H227" s="59">
        <v>87</v>
      </c>
      <c r="I227" s="69">
        <f t="shared" si="63"/>
        <v>25395.928100796486</v>
      </c>
      <c r="J227" s="69">
        <f t="shared" si="63"/>
        <v>31296.718064231922</v>
      </c>
      <c r="K227" s="70">
        <f t="shared" si="63"/>
        <v>33434.685442288246</v>
      </c>
      <c r="L227" s="69"/>
      <c r="O227" s="59">
        <v>87</v>
      </c>
      <c r="P227" s="69">
        <f t="shared" si="64"/>
        <v>11405.867877988756</v>
      </c>
      <c r="Q227" s="69">
        <f t="shared" si="64"/>
        <v>17228.710832393022</v>
      </c>
      <c r="R227" s="70">
        <f t="shared" si="64"/>
        <v>19338.436540510513</v>
      </c>
      <c r="T227" s="59">
        <v>87</v>
      </c>
      <c r="U227" s="69">
        <f t="shared" si="60"/>
        <v>12944.966684114577</v>
      </c>
      <c r="V227" s="69">
        <f t="shared" si="61"/>
        <v>18391.324618284729</v>
      </c>
      <c r="W227" s="70">
        <f t="shared" si="65"/>
        <v>20364.642710375367</v>
      </c>
    </row>
    <row r="228" spans="1:23" x14ac:dyDescent="0.2">
      <c r="A228" s="59">
        <v>88</v>
      </c>
      <c r="B228" s="69">
        <f t="shared" si="62"/>
        <v>-1130.6472455541946</v>
      </c>
      <c r="C228" s="69">
        <f t="shared" si="62"/>
        <v>4268.5284639698293</v>
      </c>
      <c r="D228" s="70">
        <f t="shared" si="62"/>
        <v>6224.7515471307061</v>
      </c>
      <c r="E228" s="69"/>
      <c r="F228" s="4"/>
      <c r="G228" s="5"/>
      <c r="H228" s="59">
        <v>88</v>
      </c>
      <c r="I228" s="69">
        <f t="shared" si="63"/>
        <v>25607.001194229128</v>
      </c>
      <c r="J228" s="69">
        <f t="shared" si="63"/>
        <v>31541.606849767493</v>
      </c>
      <c r="K228" s="70">
        <f t="shared" si="63"/>
        <v>33691.826290179954</v>
      </c>
      <c r="L228" s="69"/>
      <c r="O228" s="59">
        <v>88</v>
      </c>
      <c r="P228" s="69">
        <f t="shared" si="64"/>
        <v>11457.203467071338</v>
      </c>
      <c r="Q228" s="69">
        <f t="shared" si="64"/>
        <v>17313.415422190759</v>
      </c>
      <c r="R228" s="70">
        <f t="shared" si="64"/>
        <v>19435.231347958666</v>
      </c>
      <c r="T228" s="59">
        <v>88</v>
      </c>
      <c r="U228" s="69">
        <f t="shared" si="60"/>
        <v>13019.150481603594</v>
      </c>
      <c r="V228" s="69">
        <f t="shared" si="61"/>
        <v>18496.719891546563</v>
      </c>
      <c r="W228" s="70">
        <f t="shared" si="65"/>
        <v>20481.346489351992</v>
      </c>
    </row>
    <row r="229" spans="1:23" x14ac:dyDescent="0.2">
      <c r="A229" s="59">
        <v>89</v>
      </c>
      <c r="B229" s="69">
        <f t="shared" si="62"/>
        <v>-1216.6152519153095</v>
      </c>
      <c r="C229" s="69">
        <f t="shared" si="62"/>
        <v>4213.1509330577501</v>
      </c>
      <c r="D229" s="70">
        <f t="shared" si="62"/>
        <v>6180.4575218161071</v>
      </c>
      <c r="E229" s="69"/>
      <c r="F229" s="4"/>
      <c r="G229" s="5"/>
      <c r="H229" s="59">
        <v>89</v>
      </c>
      <c r="I229" s="69">
        <f t="shared" si="63"/>
        <v>25817.618902564402</v>
      </c>
      <c r="J229" s="69">
        <f t="shared" si="63"/>
        <v>31785.848655256195</v>
      </c>
      <c r="K229" s="70">
        <f t="shared" si="63"/>
        <v>33948.250739564821</v>
      </c>
      <c r="L229" s="69"/>
      <c r="O229" s="59">
        <v>89</v>
      </c>
      <c r="P229" s="69">
        <f t="shared" si="64"/>
        <v>11508.089686506435</v>
      </c>
      <c r="Q229" s="69">
        <f t="shared" si="64"/>
        <v>17397.481578282008</v>
      </c>
      <c r="R229" s="70">
        <f t="shared" si="64"/>
        <v>19531.319220229681</v>
      </c>
      <c r="T229" s="59">
        <v>89</v>
      </c>
      <c r="U229" s="69">
        <f t="shared" si="60"/>
        <v>13092.913964142655</v>
      </c>
      <c r="V229" s="69">
        <f t="shared" si="61"/>
        <v>18601.518010031941</v>
      </c>
      <c r="W229" s="70">
        <f t="shared" si="65"/>
        <v>20597.389041151244</v>
      </c>
    </row>
    <row r="230" spans="1:23" x14ac:dyDescent="0.2">
      <c r="A230" s="59">
        <v>90</v>
      </c>
      <c r="B230" s="69">
        <f t="shared" si="62"/>
        <v>-1302.9905944841657</v>
      </c>
      <c r="C230" s="69">
        <f t="shared" si="62"/>
        <v>4157.1946866797953</v>
      </c>
      <c r="D230" s="70">
        <f t="shared" si="62"/>
        <v>6135.5226871015211</v>
      </c>
      <c r="E230" s="69"/>
      <c r="F230" s="4"/>
      <c r="G230" s="5"/>
      <c r="H230" s="59">
        <v>90</v>
      </c>
      <c r="I230" s="69">
        <f t="shared" si="63"/>
        <v>26027.788879636195</v>
      </c>
      <c r="J230" s="69">
        <f t="shared" si="63"/>
        <v>32029.454354742513</v>
      </c>
      <c r="K230" s="70">
        <f t="shared" si="63"/>
        <v>34203.970831230312</v>
      </c>
      <c r="L230" s="69"/>
      <c r="O230" s="59">
        <v>90</v>
      </c>
      <c r="P230" s="69">
        <f t="shared" si="64"/>
        <v>11558.534089023937</v>
      </c>
      <c r="Q230" s="69">
        <f t="shared" si="64"/>
        <v>17480.9200310696</v>
      </c>
      <c r="R230" s="70">
        <f t="shared" si="64"/>
        <v>19626.712039057158</v>
      </c>
      <c r="T230" s="59">
        <v>90</v>
      </c>
      <c r="U230" s="69">
        <f t="shared" si="60"/>
        <v>13166.264196128091</v>
      </c>
      <c r="V230" s="69">
        <f t="shared" si="61"/>
        <v>18705.729010352708</v>
      </c>
      <c r="W230" s="70">
        <f t="shared" si="65"/>
        <v>20712.781479274672</v>
      </c>
    </row>
    <row r="231" spans="1:23" x14ac:dyDescent="0.2">
      <c r="A231" s="59">
        <v>91</v>
      </c>
      <c r="B231" s="69">
        <f t="shared" si="62"/>
        <v>-1389.7665028679367</v>
      </c>
      <c r="C231" s="69">
        <f t="shared" si="62"/>
        <v>4100.6693437477234</v>
      </c>
      <c r="D231" s="70">
        <f t="shared" si="62"/>
        <v>6089.9576939707904</v>
      </c>
      <c r="E231" s="69"/>
      <c r="F231" s="4"/>
      <c r="G231" s="5"/>
      <c r="H231" s="59">
        <v>91</v>
      </c>
      <c r="I231" s="69">
        <f t="shared" si="63"/>
        <v>26237.518567249281</v>
      </c>
      <c r="J231" s="69">
        <f t="shared" si="63"/>
        <v>32272.434521034455</v>
      </c>
      <c r="K231" s="70">
        <f t="shared" si="63"/>
        <v>34458.998272405894</v>
      </c>
      <c r="L231" s="69"/>
      <c r="O231" s="59">
        <v>91</v>
      </c>
      <c r="P231" s="69">
        <f t="shared" si="64"/>
        <v>11608.544018125438</v>
      </c>
      <c r="Q231" s="69">
        <f t="shared" si="64"/>
        <v>17563.74121369909</v>
      </c>
      <c r="R231" s="70">
        <f t="shared" si="64"/>
        <v>19721.421357022879</v>
      </c>
      <c r="T231" s="59">
        <v>91</v>
      </c>
      <c r="U231" s="69">
        <f t="shared" si="60"/>
        <v>13239.208046255906</v>
      </c>
      <c r="V231" s="69">
        <f t="shared" si="61"/>
        <v>18809.362651083087</v>
      </c>
      <c r="W231" s="70">
        <f t="shared" si="65"/>
        <v>20827.534609353806</v>
      </c>
    </row>
    <row r="232" spans="1:23" x14ac:dyDescent="0.2">
      <c r="A232" s="59">
        <v>92</v>
      </c>
      <c r="B232" s="69">
        <f t="shared" si="62"/>
        <v>-1476.936392173888</v>
      </c>
      <c r="C232" s="69">
        <f t="shared" si="62"/>
        <v>4043.5842596274347</v>
      </c>
      <c r="D232" s="70">
        <f t="shared" si="62"/>
        <v>6043.7729015844343</v>
      </c>
      <c r="E232" s="69"/>
      <c r="F232" s="4"/>
      <c r="G232" s="5"/>
      <c r="H232" s="59">
        <v>92</v>
      </c>
      <c r="I232" s="69">
        <f t="shared" si="63"/>
        <v>26446.815203312515</v>
      </c>
      <c r="J232" s="69">
        <f t="shared" si="63"/>
        <v>32514.799437258607</v>
      </c>
      <c r="K232" s="70">
        <f t="shared" si="63"/>
        <v>34713.344449557917</v>
      </c>
      <c r="L232" s="69"/>
      <c r="O232" s="59">
        <v>92</v>
      </c>
      <c r="P232" s="69">
        <f t="shared" si="64"/>
        <v>11658.126616109988</v>
      </c>
      <c r="Q232" s="69">
        <f t="shared" si="64"/>
        <v>17645.955273461208</v>
      </c>
      <c r="R232" s="70">
        <f t="shared" si="64"/>
        <v>19815.458410182666</v>
      </c>
      <c r="T232" s="59">
        <v>92</v>
      </c>
      <c r="U232" s="69">
        <f t="shared" si="60"/>
        <v>13311.752195028639</v>
      </c>
      <c r="V232" s="69">
        <f t="shared" si="61"/>
        <v>18912.428423424833</v>
      </c>
      <c r="W232" s="70">
        <f t="shared" si="65"/>
        <v>20941.658940959689</v>
      </c>
    </row>
    <row r="233" spans="1:23" x14ac:dyDescent="0.2">
      <c r="A233" s="59">
        <v>93</v>
      </c>
      <c r="B233" s="69">
        <f t="shared" si="62"/>
        <v>-1564.4938559709581</v>
      </c>
      <c r="C233" s="69">
        <f t="shared" si="62"/>
        <v>3985.9485361386628</v>
      </c>
      <c r="D233" s="70">
        <f t="shared" si="62"/>
        <v>5996.9783883522923</v>
      </c>
      <c r="E233" s="69"/>
      <c r="F233" s="4"/>
      <c r="G233" s="5"/>
      <c r="H233" s="59">
        <v>93</v>
      </c>
      <c r="I233" s="69">
        <f t="shared" si="63"/>
        <v>26655.685829575235</v>
      </c>
      <c r="J233" s="69">
        <f t="shared" si="63"/>
        <v>32756.559107851546</v>
      </c>
      <c r="K233" s="70">
        <f t="shared" si="63"/>
        <v>34967.020440560358</v>
      </c>
      <c r="L233" s="69"/>
      <c r="O233" s="59">
        <v>93</v>
      </c>
      <c r="P233" s="69">
        <f t="shared" si="64"/>
        <v>11707.288831708313</v>
      </c>
      <c r="Q233" s="69">
        <f t="shared" si="64"/>
        <v>17727.57208263802</v>
      </c>
      <c r="R233" s="70">
        <f t="shared" si="64"/>
        <v>19908.83413007632</v>
      </c>
      <c r="T233" s="59">
        <v>93</v>
      </c>
      <c r="U233" s="69">
        <f t="shared" si="60"/>
        <v>13383.903141895964</v>
      </c>
      <c r="V233" s="69">
        <f t="shared" si="61"/>
        <v>19014.935561352191</v>
      </c>
      <c r="W233" s="70">
        <f t="shared" si="65"/>
        <v>21055.164698836328</v>
      </c>
    </row>
    <row r="234" spans="1:23" x14ac:dyDescent="0.2">
      <c r="A234" s="59">
        <v>94</v>
      </c>
      <c r="B234" s="69">
        <f t="shared" si="62"/>
        <v>-1652.4326595910447</v>
      </c>
      <c r="C234" s="69">
        <f t="shared" si="62"/>
        <v>3927.7710310720686</v>
      </c>
      <c r="D234" s="70">
        <f t="shared" si="62"/>
        <v>5949.5839624717446</v>
      </c>
      <c r="E234" s="69"/>
      <c r="F234" s="4"/>
      <c r="G234" s="5"/>
      <c r="H234" s="59">
        <v>94</v>
      </c>
      <c r="I234" s="69">
        <f t="shared" si="63"/>
        <v>26864.137298990303</v>
      </c>
      <c r="J234" s="69">
        <f t="shared" si="63"/>
        <v>32997.72326902068</v>
      </c>
      <c r="K234" s="70">
        <f t="shared" si="63"/>
        <v>35220.037026278063</v>
      </c>
      <c r="L234" s="69"/>
      <c r="O234" s="59">
        <v>94</v>
      </c>
      <c r="P234" s="69">
        <f t="shared" si="64"/>
        <v>11756.037427348587</v>
      </c>
      <c r="Q234" s="69">
        <f t="shared" si="64"/>
        <v>17808.601248825646</v>
      </c>
      <c r="R234" s="70">
        <f t="shared" si="64"/>
        <v>20001.559155157916</v>
      </c>
      <c r="T234" s="59">
        <v>94</v>
      </c>
      <c r="U234" s="69">
        <f t="shared" si="60"/>
        <v>13455.66721205067</v>
      </c>
      <c r="V234" s="69">
        <f t="shared" si="61"/>
        <v>19116.8930512671</v>
      </c>
      <c r="W234" s="70">
        <f t="shared" si="65"/>
        <v>21168.061833591895</v>
      </c>
    </row>
    <row r="235" spans="1:23" x14ac:dyDescent="0.2">
      <c r="A235" s="59">
        <v>95</v>
      </c>
      <c r="B235" s="69">
        <f t="shared" si="62"/>
        <v>-1740.7467337501073</v>
      </c>
      <c r="C235" s="69">
        <f t="shared" si="62"/>
        <v>3869.0603672519278</v>
      </c>
      <c r="D235" s="70">
        <f t="shared" si="62"/>
        <v>5901.59917196281</v>
      </c>
      <c r="E235" s="69"/>
      <c r="F235" s="4"/>
      <c r="G235" s="5"/>
      <c r="H235" s="59">
        <v>95</v>
      </c>
      <c r="I235" s="69">
        <f t="shared" si="63"/>
        <v>27072.176282725552</v>
      </c>
      <c r="J235" s="69">
        <f t="shared" si="63"/>
        <v>33238.301398705698</v>
      </c>
      <c r="K235" s="70">
        <f t="shared" si="63"/>
        <v>35472.404701597057</v>
      </c>
      <c r="L235" s="69"/>
      <c r="O235" s="59">
        <v>95</v>
      </c>
      <c r="P235" s="69">
        <f t="shared" si="64"/>
        <v>11804.378986075264</v>
      </c>
      <c r="Q235" s="69">
        <f t="shared" si="64"/>
        <v>17889.052124764079</v>
      </c>
      <c r="R235" s="70">
        <f t="shared" si="64"/>
        <v>20093.643841680321</v>
      </c>
      <c r="T235" s="59">
        <v>95</v>
      </c>
      <c r="U235" s="69">
        <f t="shared" si="60"/>
        <v>13527.05056290018</v>
      </c>
      <c r="V235" s="69">
        <f t="shared" si="61"/>
        <v>19218.309641193548</v>
      </c>
      <c r="W235" s="70">
        <f t="shared" si="65"/>
        <v>21280.360031879543</v>
      </c>
    </row>
    <row r="236" spans="1:23" x14ac:dyDescent="0.2">
      <c r="A236" s="59">
        <v>96</v>
      </c>
      <c r="B236" s="69">
        <f t="shared" si="62"/>
        <v>-1829.430168470677</v>
      </c>
      <c r="C236" s="69">
        <f t="shared" si="62"/>
        <v>3809.8249411706238</v>
      </c>
      <c r="D236" s="70">
        <f t="shared" si="62"/>
        <v>5853.0333142290674</v>
      </c>
      <c r="E236" s="69"/>
      <c r="F236" s="4"/>
      <c r="G236" s="5"/>
      <c r="H236" s="59">
        <v>96</v>
      </c>
      <c r="I236" s="69">
        <f t="shared" si="63"/>
        <v>27279.809276844022</v>
      </c>
      <c r="J236" s="69">
        <f t="shared" si="63"/>
        <v>33478.302726069305</v>
      </c>
      <c r="K236" s="70">
        <f t="shared" si="63"/>
        <v>35724.133685933535</v>
      </c>
      <c r="L236" s="69"/>
      <c r="O236" s="59">
        <v>96</v>
      </c>
      <c r="P236" s="69">
        <f t="shared" si="64"/>
        <v>11852.319918141058</v>
      </c>
      <c r="Q236" s="69">
        <f t="shared" si="64"/>
        <v>17968.9338177026</v>
      </c>
      <c r="R236" s="70">
        <f t="shared" si="64"/>
        <v>20185.098274065473</v>
      </c>
      <c r="T236" s="59">
        <v>96</v>
      </c>
      <c r="U236" s="69">
        <f t="shared" si="60"/>
        <v>13598.059190232287</v>
      </c>
      <c r="V236" s="69">
        <f t="shared" si="61"/>
        <v>19319.193849537325</v>
      </c>
      <c r="W236" s="70">
        <f t="shared" si="65"/>
        <v>21392.068726097132</v>
      </c>
    </row>
    <row r="237" spans="1:23" x14ac:dyDescent="0.2">
      <c r="A237" s="59">
        <v>97</v>
      </c>
      <c r="B237" s="69">
        <f t="shared" si="62"/>
        <v>-1918.4772072885476</v>
      </c>
      <c r="C237" s="69">
        <f t="shared" si="62"/>
        <v>3750.0729312193753</v>
      </c>
      <c r="D237" s="70">
        <f t="shared" si="62"/>
        <v>5803.8954451715208</v>
      </c>
      <c r="E237" s="69"/>
      <c r="F237" s="4"/>
      <c r="G237" s="5"/>
      <c r="H237" s="59">
        <v>97</v>
      </c>
      <c r="I237" s="69">
        <f t="shared" si="63"/>
        <v>27487.042608671745</v>
      </c>
      <c r="J237" s="69">
        <f t="shared" si="63"/>
        <v>33717.736240544225</v>
      </c>
      <c r="K237" s="70">
        <f t="shared" si="63"/>
        <v>35975.233933251649</v>
      </c>
      <c r="L237" s="69"/>
      <c r="O237" s="59">
        <v>97</v>
      </c>
      <c r="P237" s="69">
        <f t="shared" si="64"/>
        <v>11899.866467290625</v>
      </c>
      <c r="Q237" s="69">
        <f t="shared" si="64"/>
        <v>18048.255198327206</v>
      </c>
      <c r="R237" s="70">
        <f t="shared" si="64"/>
        <v>20275.932274789742</v>
      </c>
      <c r="T237" s="59">
        <v>97</v>
      </c>
      <c r="U237" s="69">
        <f t="shared" si="60"/>
        <v>13668.698934092574</v>
      </c>
      <c r="V237" s="69">
        <f t="shared" si="61"/>
        <v>19419.553973436392</v>
      </c>
      <c r="W237" s="70">
        <f t="shared" si="65"/>
        <v>21503.197103633425</v>
      </c>
    </row>
    <row r="238" spans="1:23" x14ac:dyDescent="0.2">
      <c r="A238" s="59">
        <v>98</v>
      </c>
      <c r="B238" s="69">
        <f t="shared" si="62"/>
        <v>-2007.8822417275253</v>
      </c>
      <c r="C238" s="69">
        <f t="shared" si="62"/>
        <v>3689.8123055381388</v>
      </c>
      <c r="D238" s="70">
        <f t="shared" si="62"/>
        <v>5754.1943878807679</v>
      </c>
      <c r="E238" s="69"/>
      <c r="F238" s="4"/>
      <c r="G238" s="5"/>
      <c r="H238" s="59">
        <v>98</v>
      </c>
      <c r="I238" s="69">
        <f t="shared" si="63"/>
        <v>27693.882442870941</v>
      </c>
      <c r="J238" s="69">
        <f t="shared" si="63"/>
        <v>33956.610700461555</v>
      </c>
      <c r="K238" s="70">
        <f t="shared" si="63"/>
        <v>36225.715141617569</v>
      </c>
      <c r="L238" s="69"/>
      <c r="O238" s="59">
        <v>98</v>
      </c>
      <c r="P238" s="69">
        <f t="shared" si="64"/>
        <v>11947.024716753531</v>
      </c>
      <c r="Q238" s="69">
        <f t="shared" si="64"/>
        <v>18127.024909275038</v>
      </c>
      <c r="R238" s="70">
        <f t="shared" si="64"/>
        <v>20366.155413811819</v>
      </c>
      <c r="T238" s="59">
        <v>98</v>
      </c>
      <c r="U238" s="69">
        <f t="shared" si="60"/>
        <v>13738.975484389885</v>
      </c>
      <c r="V238" s="69">
        <f t="shared" si="61"/>
        <v>19519.398096724653</v>
      </c>
      <c r="W238" s="70">
        <f t="shared" si="65"/>
        <v>21613.754115686515</v>
      </c>
    </row>
    <row r="239" spans="1:23" x14ac:dyDescent="0.2">
      <c r="A239" s="59">
        <v>99</v>
      </c>
      <c r="B239" s="69">
        <f t="shared" si="62"/>
        <v>-2097.6398060273023</v>
      </c>
      <c r="C239" s="69">
        <f t="shared" si="62"/>
        <v>3629.0508295058899</v>
      </c>
      <c r="D239" s="70">
        <f t="shared" si="62"/>
        <v>5703.9387409309566</v>
      </c>
      <c r="E239" s="69"/>
      <c r="F239" s="4"/>
      <c r="G239" s="5"/>
      <c r="H239" s="59">
        <v>99</v>
      </c>
      <c r="I239" s="69">
        <f t="shared" si="63"/>
        <v>27900.334787234991</v>
      </c>
      <c r="J239" s="69">
        <f t="shared" si="63"/>
        <v>34194.934641283813</v>
      </c>
      <c r="K239" s="70">
        <f t="shared" si="63"/>
        <v>36475.586762316001</v>
      </c>
      <c r="L239" s="69"/>
      <c r="O239" s="59">
        <v>99</v>
      </c>
      <c r="P239" s="69">
        <f t="shared" si="64"/>
        <v>11993.800594962679</v>
      </c>
      <c r="Q239" s="69">
        <f t="shared" si="64"/>
        <v>18205.251373258685</v>
      </c>
      <c r="R239" s="70">
        <f t="shared" si="64"/>
        <v>20455.777017568835</v>
      </c>
      <c r="T239" s="59">
        <v>99</v>
      </c>
      <c r="U239" s="69">
        <f t="shared" si="60"/>
        <v>13808.894386245011</v>
      </c>
      <c r="V239" s="69">
        <f t="shared" si="61"/>
        <v>19618.734097531018</v>
      </c>
      <c r="W239" s="70">
        <f t="shared" si="65"/>
        <v>21723.748485678123</v>
      </c>
    </row>
    <row r="240" spans="1:23" x14ac:dyDescent="0.2">
      <c r="A240" s="60">
        <v>100</v>
      </c>
      <c r="B240" s="71">
        <f>$H$127*(-$D$131*$A240+B$134*$D$129*SQRT($A240))</f>
        <v>-2187.7445721103286</v>
      </c>
      <c r="C240" s="71">
        <f t="shared" ref="C240:D240" si="66">$H$127*(-$D$131*$A240+C$134*$D$129*SQRT($A240))</f>
        <v>3567.7960728913386</v>
      </c>
      <c r="D240" s="72">
        <f t="shared" si="66"/>
        <v>5653.1368862977388</v>
      </c>
      <c r="E240" s="69"/>
      <c r="F240" s="73"/>
      <c r="G240" s="74"/>
      <c r="H240" s="60">
        <v>100</v>
      </c>
      <c r="I240" s="71">
        <f t="shared" si="63"/>
        <v>28106.405498220658</v>
      </c>
      <c r="J240" s="71">
        <f t="shared" si="63"/>
        <v>34432.716383464838</v>
      </c>
      <c r="K240" s="72">
        <f t="shared" si="63"/>
        <v>36724.85800855331</v>
      </c>
      <c r="L240" s="69"/>
      <c r="O240" s="60">
        <v>100</v>
      </c>
      <c r="P240" s="71">
        <f t="shared" si="64"/>
        <v>12040.199881013448</v>
      </c>
      <c r="Q240" s="71">
        <f t="shared" si="64"/>
        <v>18282.942800822198</v>
      </c>
      <c r="R240" s="72">
        <f t="shared" si="64"/>
        <v>20544.8061775645</v>
      </c>
      <c r="T240" s="60">
        <v>100</v>
      </c>
      <c r="U240" s="71">
        <f t="shared" si="60"/>
        <v>13878.461045096881</v>
      </c>
      <c r="V240" s="71">
        <f t="shared" si="61"/>
        <v>19717.569655533978</v>
      </c>
      <c r="W240" s="72">
        <f t="shared" si="65"/>
        <v>21833.18871728655</v>
      </c>
    </row>
  </sheetData>
  <sortState xmlns:xlrd2="http://schemas.microsoft.com/office/spreadsheetml/2017/richdata2" ref="A3:Q127">
    <sortCondition ref="A3:A127"/>
  </sortState>
  <mergeCells count="4">
    <mergeCell ref="B139:D139"/>
    <mergeCell ref="I139:K139"/>
    <mergeCell ref="P139:R139"/>
    <mergeCell ref="U139:W1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33EA-BA76-384A-9644-FA4D4357C5C9}">
  <sheetPr codeName="Foglio4"/>
  <dimension ref="A1:W122"/>
  <sheetViews>
    <sheetView topLeftCell="N2" workbookViewId="0">
      <selection activeCell="U14" sqref="U14:W18"/>
    </sheetView>
  </sheetViews>
  <sheetFormatPr baseColWidth="10" defaultRowHeight="15" x14ac:dyDescent="0.2"/>
  <sheetData>
    <row r="1" spans="1:23" x14ac:dyDescent="0.2">
      <c r="A1" t="s">
        <v>31</v>
      </c>
      <c r="B1">
        <v>3.0883995714037654E-3</v>
      </c>
    </row>
    <row r="2" spans="1:23" x14ac:dyDescent="0.2">
      <c r="A2" t="s">
        <v>32</v>
      </c>
      <c r="B2">
        <v>-2.5438817435686641E-3</v>
      </c>
    </row>
    <row r="3" spans="1:23" x14ac:dyDescent="0.2">
      <c r="A3" t="s">
        <v>33</v>
      </c>
      <c r="B3">
        <v>1.5359891946215317E-2</v>
      </c>
    </row>
    <row r="4" spans="1:23" x14ac:dyDescent="0.2">
      <c r="A4" t="s">
        <v>34</v>
      </c>
      <c r="B4">
        <v>1.688041024345199E-2</v>
      </c>
    </row>
    <row r="5" spans="1:23" x14ac:dyDescent="0.2">
      <c r="A5" t="s">
        <v>20</v>
      </c>
      <c r="B5">
        <v>-0.18431301625893881</v>
      </c>
    </row>
    <row r="6" spans="1:23" x14ac:dyDescent="0.2">
      <c r="A6" t="s">
        <v>35</v>
      </c>
      <c r="B6">
        <v>0.5</v>
      </c>
    </row>
    <row r="7" spans="1:23" x14ac:dyDescent="0.2">
      <c r="A7" t="s">
        <v>36</v>
      </c>
      <c r="B7">
        <v>0.5</v>
      </c>
    </row>
    <row r="8" spans="1:23" x14ac:dyDescent="0.2">
      <c r="A8" t="s">
        <v>12</v>
      </c>
      <c r="B8">
        <v>102756.00641172248</v>
      </c>
      <c r="C8" t="s">
        <v>38</v>
      </c>
      <c r="D8">
        <f>B8/2</f>
        <v>51378.003205861241</v>
      </c>
    </row>
    <row r="9" spans="1:23" x14ac:dyDescent="0.2">
      <c r="A9" t="s">
        <v>37</v>
      </c>
      <c r="B9">
        <v>10000</v>
      </c>
    </row>
    <row r="12" spans="1:23" x14ac:dyDescent="0.2">
      <c r="A12" s="123" t="s">
        <v>28</v>
      </c>
      <c r="B12" s="124"/>
      <c r="C12" s="119" t="s">
        <v>22</v>
      </c>
      <c r="D12" s="119"/>
      <c r="E12" s="120"/>
      <c r="G12" s="123" t="s">
        <v>15</v>
      </c>
      <c r="H12" s="124"/>
      <c r="I12" s="119" t="s">
        <v>22</v>
      </c>
      <c r="J12" s="119"/>
      <c r="K12" s="120"/>
      <c r="M12" s="123" t="s">
        <v>39</v>
      </c>
      <c r="N12" s="124"/>
      <c r="O12" s="119" t="s">
        <v>22</v>
      </c>
      <c r="P12" s="119"/>
      <c r="Q12" s="120"/>
      <c r="S12" s="127" t="s">
        <v>40</v>
      </c>
      <c r="T12" s="128"/>
      <c r="U12" s="119" t="s">
        <v>22</v>
      </c>
      <c r="V12" s="119"/>
      <c r="W12" s="120"/>
    </row>
    <row r="13" spans="1:23" x14ac:dyDescent="0.2">
      <c r="A13" s="125"/>
      <c r="B13" s="126"/>
      <c r="C13">
        <v>0.95</v>
      </c>
      <c r="D13">
        <v>0.99</v>
      </c>
      <c r="E13" s="99">
        <v>0.995</v>
      </c>
      <c r="G13" s="125"/>
      <c r="H13" s="126"/>
      <c r="I13">
        <v>0.95</v>
      </c>
      <c r="J13">
        <v>0.99</v>
      </c>
      <c r="K13" s="99">
        <v>0.995</v>
      </c>
      <c r="M13" s="125"/>
      <c r="N13" s="126"/>
      <c r="O13">
        <v>0.95</v>
      </c>
      <c r="P13">
        <v>0.99</v>
      </c>
      <c r="Q13" s="99">
        <v>0.995</v>
      </c>
      <c r="S13" s="129"/>
      <c r="T13" s="130"/>
      <c r="U13">
        <v>0.95</v>
      </c>
      <c r="V13">
        <v>0.99</v>
      </c>
      <c r="W13" s="99">
        <v>0.995</v>
      </c>
    </row>
    <row r="14" spans="1:23" x14ac:dyDescent="0.2">
      <c r="A14" s="121" t="s">
        <v>23</v>
      </c>
      <c r="B14">
        <v>1</v>
      </c>
      <c r="C14" s="69" cm="1">
        <f t="array" ref="C14">montecarloVAR_single($B$9,$B14,C$13,$B$1,$B$3,$D$8)</f>
        <v>1147.4857077779011</v>
      </c>
      <c r="D14" s="69" cm="1">
        <f t="array" ref="D14">montecarloVAR_single($B$9,$B14,D$13,$B$1,$B$3,$D$8)</f>
        <v>1653.0221888669566</v>
      </c>
      <c r="E14" s="70" cm="1">
        <f t="array" ref="E14">montecarloVAR_single($B$9,$B14,E$13,$B$1,$B$3,$D$8)</f>
        <v>1833.7911341453228</v>
      </c>
      <c r="G14" s="121" t="s">
        <v>23</v>
      </c>
      <c r="H14">
        <v>1</v>
      </c>
      <c r="I14" s="69" cm="1">
        <f t="array" ref="I14">montecarloVAR_single($B$9,$H14,I$13,$B$2,$B$4,$D$8)</f>
        <v>1581.3221345994791</v>
      </c>
      <c r="J14" s="69" cm="1">
        <f t="array" ref="J14">montecarloVAR_single($B$9,$H14,J$13,$B$2,$B$4,$D$8)</f>
        <v>2154.5993737477484</v>
      </c>
      <c r="K14" s="70" cm="1">
        <f t="array" ref="K14">montecarloVAR_single($B$9,$H14,K$13,$B$2,$B$4,$D$8)</f>
        <v>2368.2891059357903</v>
      </c>
      <c r="M14" s="121" t="s">
        <v>23</v>
      </c>
      <c r="N14">
        <v>1</v>
      </c>
      <c r="O14" s="69" cm="1">
        <f t="array" ref="O14">montecarloVAR($B$9,$N14,O$13,$B$1,$B$2,$B$3,$B$4,$B$5,$B$6,$B$7,$B$8)</f>
        <v>1716.0461179445012</v>
      </c>
      <c r="P14" s="69" cm="1">
        <f t="array" ref="P14">montecarloVAR($B$9,$N14,P$13,$B$1,$B$2,$B$3,$B$4,$B$5,$B$6,$B$7,$B$8)</f>
        <v>2447.6941199366752</v>
      </c>
      <c r="Q14" s="70" cm="1">
        <f t="array" ref="Q14">montecarloVAR($B$9,$N14,Q$13,$B$1,$B$2,$B$3,$B$4,$B$5,$B$6,$B$7,$B$8)</f>
        <v>2632.9500509658224</v>
      </c>
      <c r="S14" s="121" t="s">
        <v>23</v>
      </c>
      <c r="T14">
        <v>1</v>
      </c>
      <c r="U14" s="69">
        <f>C14+I14-O14</f>
        <v>1012.7617244328792</v>
      </c>
      <c r="V14" s="69">
        <f t="shared" ref="V14:W14" si="0">D14+J14-P14</f>
        <v>1359.9274426780298</v>
      </c>
      <c r="W14" s="70">
        <f t="shared" si="0"/>
        <v>1569.1301891152912</v>
      </c>
    </row>
    <row r="15" spans="1:23" x14ac:dyDescent="0.2">
      <c r="A15" s="121"/>
      <c r="B15">
        <v>5</v>
      </c>
      <c r="C15" s="69" cm="1">
        <f t="array" ref="C15">montecarloVAR_single($B$9,$B15,C$13,$B$1,$B$3,$D$8)</f>
        <v>2157.2409191800161</v>
      </c>
      <c r="D15" s="69" cm="1">
        <f t="array" ref="D15">montecarloVAR_single($B$9,$B15,D$13,$B$1,$B$3,$D$8)</f>
        <v>3349.2188591061258</v>
      </c>
      <c r="E15" s="70" cm="1">
        <f t="array" ref="E15">montecarloVAR_single($B$9,$B15,E$13,$B$1,$B$3,$D$8)</f>
        <v>3842.1160708440002</v>
      </c>
      <c r="G15" s="121"/>
      <c r="H15">
        <v>5</v>
      </c>
      <c r="I15" s="69" cm="1">
        <f t="array" ref="I15">montecarloVAR_single($B$9,$H15,I$13,$B$2,$B$4,$D$8)</f>
        <v>3956.7215365280181</v>
      </c>
      <c r="J15" s="69" cm="1">
        <f t="array" ref="J15">montecarloVAR_single($B$9,$H15,J$13,$B$2,$B$4,$D$8)</f>
        <v>5126.7300119926031</v>
      </c>
      <c r="K15" s="70" cm="1">
        <f t="array" ref="K15">montecarloVAR_single($B$9,$H15,K$13,$B$2,$B$4,$D$8)</f>
        <v>5800.757752423453</v>
      </c>
      <c r="M15" s="121"/>
      <c r="N15">
        <v>5</v>
      </c>
      <c r="O15" s="69" cm="1">
        <f t="array" ref="O15">montecarloVAR($B$9,$N15,O$13,$B$1,$B$2,$B$3,$B$4,$B$5,$B$6,$B$7,$B$8)</f>
        <v>3724.6879646749471</v>
      </c>
      <c r="P15" s="69" cm="1">
        <f t="array" ref="P15">montecarloVAR($B$9,$N15,P$13,$B$1,$B$2,$B$3,$B$4,$B$5,$B$6,$B$7,$B$8)</f>
        <v>5378.1449828829436</v>
      </c>
      <c r="Q15" s="70" cm="1">
        <f t="array" ref="Q15">montecarloVAR($B$9,$N15,Q$13,$B$1,$B$2,$B$3,$B$4,$B$5,$B$6,$B$7,$B$8)</f>
        <v>6083.0357585134407</v>
      </c>
      <c r="S15" s="121"/>
      <c r="T15">
        <v>5</v>
      </c>
      <c r="U15" s="69">
        <f t="shared" ref="U15:U18" si="1">C15+I15-O15</f>
        <v>2389.2744910330871</v>
      </c>
      <c r="V15" s="69">
        <f t="shared" ref="V15:V18" si="2">D15+J15-P15</f>
        <v>3097.8038882157844</v>
      </c>
      <c r="W15" s="70">
        <f t="shared" ref="W15:W18" si="3">E15+K15-Q15</f>
        <v>3559.8380647540125</v>
      </c>
    </row>
    <row r="16" spans="1:23" x14ac:dyDescent="0.2">
      <c r="A16" s="121"/>
      <c r="B16">
        <v>10</v>
      </c>
      <c r="C16" s="69" cm="1">
        <f t="array" ref="C16">montecarloVAR_single($B$9,$B16,C$13,$B$1,$B$3,$D$8)</f>
        <v>2588.993976474494</v>
      </c>
      <c r="D16" s="69" cm="1">
        <f t="array" ref="D16">montecarloVAR_single($B$9,$B16,D$13,$B$1,$B$3,$D$8)</f>
        <v>4308.4091989172339</v>
      </c>
      <c r="E16" s="70" cm="1">
        <f t="array" ref="E16">montecarloVAR_single($B$9,$B16,E$13,$B$1,$B$3,$D$8)</f>
        <v>4907.6428468541671</v>
      </c>
      <c r="G16" s="121"/>
      <c r="H16">
        <v>10</v>
      </c>
      <c r="I16" s="69" cm="1">
        <f t="array" ref="I16">montecarloVAR_single($B$9,$H16,I$13,$B$2,$B$4,$D$8)</f>
        <v>5775.2817503591787</v>
      </c>
      <c r="J16" s="69" cm="1">
        <f t="array" ref="J16">montecarloVAR_single($B$9,$H16,J$13,$B$2,$B$4,$D$8)</f>
        <v>7794.9865901541298</v>
      </c>
      <c r="K16" s="70" cm="1">
        <f t="array" ref="K16">montecarloVAR_single($B$9,$H16,K$13,$B$2,$B$4,$D$8)</f>
        <v>8417.1096934381185</v>
      </c>
      <c r="M16" s="121"/>
      <c r="N16">
        <v>10</v>
      </c>
      <c r="O16" s="69" cm="1">
        <f t="array" ref="O16">montecarloVAR($B$9,$N16,O$13,$B$1,$B$2,$B$3,$B$4,$B$5,$B$6,$B$7,$B$8)</f>
        <v>5201.0742313898581</v>
      </c>
      <c r="P16" s="69" cm="1">
        <f t="array" ref="P16">montecarloVAR($B$9,$N16,P$13,$B$1,$B$2,$B$3,$B$4,$B$5,$B$6,$B$7,$B$8)</f>
        <v>7478.6614032684811</v>
      </c>
      <c r="Q16" s="70" cm="1">
        <f t="array" ref="Q16">montecarloVAR($B$9,$N16,Q$13,$B$1,$B$2,$B$3,$B$4,$B$5,$B$6,$B$7,$B$8)</f>
        <v>8217.0085764910764</v>
      </c>
      <c r="S16" s="121"/>
      <c r="T16">
        <v>10</v>
      </c>
      <c r="U16" s="69">
        <f t="shared" si="1"/>
        <v>3163.2014954438137</v>
      </c>
      <c r="V16" s="69">
        <f t="shared" si="2"/>
        <v>4624.7343858028835</v>
      </c>
      <c r="W16" s="70">
        <f t="shared" si="3"/>
        <v>5107.7439638012092</v>
      </c>
    </row>
    <row r="17" spans="1:23" x14ac:dyDescent="0.2">
      <c r="A17" s="121"/>
      <c r="B17">
        <v>50</v>
      </c>
      <c r="C17" s="69" cm="1">
        <f t="array" ref="C17">montecarloVAR_single($B$9,$B17,C$13,$B$1,$B$3,$D$8)</f>
        <v>1135.3151293816138</v>
      </c>
      <c r="D17" s="69" cm="1">
        <f t="array" ref="D17">montecarloVAR_single($B$9,$B17,D$13,$B$1,$B$3,$D$8)</f>
        <v>5120.6357720125725</v>
      </c>
      <c r="E17" s="70" cm="1">
        <f t="array" ref="E17">montecarloVAR_single($B$9,$B17,E$13,$B$1,$B$3,$D$8)</f>
        <v>6189.7207580908398</v>
      </c>
      <c r="G17" s="121"/>
      <c r="H17">
        <v>50</v>
      </c>
      <c r="I17" s="69" cm="1">
        <f t="array" ref="I17">montecarloVAR_single($B$9,$H17,I$13,$B$2,$B$4,$D$8)</f>
        <v>16502.834270492142</v>
      </c>
      <c r="J17" s="69" cm="1">
        <f t="array" ref="J17">montecarloVAR_single($B$9,$H17,J$13,$B$2,$B$4,$D$8)</f>
        <v>20571.499856401773</v>
      </c>
      <c r="K17" s="70" cm="1">
        <f t="array" ref="K17">montecarloVAR_single($B$9,$H17,K$13,$B$2,$B$4,$D$8)</f>
        <v>22168.438046525611</v>
      </c>
      <c r="M17" s="121"/>
      <c r="N17">
        <v>50</v>
      </c>
      <c r="O17" s="69" cm="1">
        <f t="array" ref="O17">montecarloVAR($B$9,$N17,O$13,$B$1,$B$2,$B$3,$B$4,$B$5,$B$6,$B$7,$B$8)</f>
        <v>10711.712752619758</v>
      </c>
      <c r="P17" s="69" cm="1">
        <f t="array" ref="P17">montecarloVAR($B$9,$N17,P$13,$B$1,$B$2,$B$3,$B$4,$B$5,$B$6,$B$7,$B$8)</f>
        <v>16043.293674495162</v>
      </c>
      <c r="Q17" s="70" cm="1">
        <f t="array" ref="Q17">montecarloVAR($B$9,$N17,Q$13,$B$1,$B$2,$B$3,$B$4,$B$5,$B$6,$B$7,$B$8)</f>
        <v>17952.913651146559</v>
      </c>
      <c r="S17" s="121"/>
      <c r="T17">
        <v>50</v>
      </c>
      <c r="U17" s="69">
        <f t="shared" si="1"/>
        <v>6926.4366472539987</v>
      </c>
      <c r="V17" s="69">
        <f t="shared" si="2"/>
        <v>9648.8419539191855</v>
      </c>
      <c r="W17" s="70">
        <f t="shared" si="3"/>
        <v>10405.245153469892</v>
      </c>
    </row>
    <row r="18" spans="1:23" x14ac:dyDescent="0.2">
      <c r="A18" s="122"/>
      <c r="B18" s="100">
        <v>100</v>
      </c>
      <c r="C18" s="71" cm="1">
        <f t="array" ref="C18">montecarloVAR_single($B$9,$B18,C$13,$B$1,$B$3,$D$8)</f>
        <v>-3020.8593474040881</v>
      </c>
      <c r="D18" s="71" cm="1">
        <f t="array" ref="D18">montecarloVAR_single($B$9,$B18,D$13,$B$1,$B$3,$D$8)</f>
        <v>2845.9300222899778</v>
      </c>
      <c r="E18" s="72" cm="1">
        <f t="array" ref="E18">montecarloVAR_single($B$9,$B18,E$13,$B$1,$B$3,$D$8)</f>
        <v>4302.0410535046885</v>
      </c>
      <c r="G18" s="122"/>
      <c r="H18" s="100">
        <v>100</v>
      </c>
      <c r="I18" s="71" cm="1">
        <f t="array" ref="I18">montecarloVAR_single($B$9,$H18,I$13,$B$2,$B$4,$D$8)</f>
        <v>27136.19109570995</v>
      </c>
      <c r="J18" s="71" cm="1">
        <f t="array" ref="J18">montecarloVAR_single($B$9,$H18,J$13,$B$2,$B$4,$D$8)</f>
        <v>33782.706710320439</v>
      </c>
      <c r="K18" s="72" cm="1">
        <f t="array" ref="K18">montecarloVAR_single($B$9,$H18,K$13,$B$2,$B$4,$D$8)</f>
        <v>35612.353949921162</v>
      </c>
      <c r="M18" s="122"/>
      <c r="N18" s="100">
        <v>100</v>
      </c>
      <c r="O18" s="71" cm="1">
        <f t="array" ref="O18">montecarloVAR($B$9,$N18,O$13,$B$1,$B$2,$B$3,$B$4,$B$5,$B$6,$B$7,$B$8)</f>
        <v>14881.138999740126</v>
      </c>
      <c r="P18" s="71" cm="1">
        <f t="array" ref="P18">montecarloVAR($B$9,$N18,P$13,$B$1,$B$2,$B$3,$B$4,$B$5,$B$6,$B$7,$B$8)</f>
        <v>21602.397143278893</v>
      </c>
      <c r="Q18" s="72" cm="1">
        <f t="array" ref="Q18">montecarloVAR($B$9,$N18,Q$13,$B$1,$B$2,$B$3,$B$4,$B$5,$B$6,$B$7,$B$8)</f>
        <v>24289.341214927652</v>
      </c>
      <c r="S18" s="122"/>
      <c r="T18" s="100">
        <v>100</v>
      </c>
      <c r="U18" s="71">
        <f t="shared" si="1"/>
        <v>9234.1927485657379</v>
      </c>
      <c r="V18" s="71">
        <f t="shared" si="2"/>
        <v>15026.239589331522</v>
      </c>
      <c r="W18" s="72">
        <f t="shared" si="3"/>
        <v>15625.0537884982</v>
      </c>
    </row>
    <row r="21" spans="1:23" x14ac:dyDescent="0.2">
      <c r="A21" s="123" t="s">
        <v>28</v>
      </c>
      <c r="B21" s="124"/>
      <c r="C21" s="119" t="s">
        <v>22</v>
      </c>
      <c r="D21" s="119"/>
      <c r="E21" s="120"/>
      <c r="G21" s="123" t="s">
        <v>15</v>
      </c>
      <c r="H21" s="124"/>
      <c r="I21" s="119" t="s">
        <v>22</v>
      </c>
      <c r="J21" s="119"/>
      <c r="K21" s="120"/>
      <c r="M21" s="123" t="s">
        <v>39</v>
      </c>
      <c r="N21" s="124"/>
      <c r="O21" s="119" t="s">
        <v>22</v>
      </c>
      <c r="P21" s="119"/>
      <c r="Q21" s="120"/>
      <c r="S21" s="127" t="s">
        <v>40</v>
      </c>
      <c r="T21" s="128"/>
      <c r="U21" s="119" t="s">
        <v>22</v>
      </c>
      <c r="V21" s="119"/>
      <c r="W21" s="120"/>
    </row>
    <row r="22" spans="1:23" x14ac:dyDescent="0.2">
      <c r="A22" s="125"/>
      <c r="B22" s="126"/>
      <c r="C22">
        <v>0.95</v>
      </c>
      <c r="D22">
        <v>0.99</v>
      </c>
      <c r="E22" s="99">
        <v>0.995</v>
      </c>
      <c r="G22" s="125"/>
      <c r="H22" s="126"/>
      <c r="I22">
        <v>0.95</v>
      </c>
      <c r="J22">
        <v>0.99</v>
      </c>
      <c r="K22" s="99">
        <v>0.995</v>
      </c>
      <c r="M22" s="125"/>
      <c r="N22" s="126"/>
      <c r="O22">
        <v>0.95</v>
      </c>
      <c r="P22">
        <v>0.99</v>
      </c>
      <c r="Q22" s="99">
        <v>0.995</v>
      </c>
      <c r="S22" s="129"/>
      <c r="T22" s="130"/>
      <c r="U22">
        <v>0.95</v>
      </c>
      <c r="V22">
        <v>0.99</v>
      </c>
      <c r="W22" s="99">
        <v>0.995</v>
      </c>
    </row>
    <row r="23" spans="1:23" x14ac:dyDescent="0.2">
      <c r="A23" s="101" t="s">
        <v>23</v>
      </c>
      <c r="B23">
        <v>1</v>
      </c>
      <c r="C23" s="69" cm="1">
        <f t="array" ref="C23">montecarloVAR_single($B$9,$B23,C$13,$B$1,$B$3,$D$8)</f>
        <v>1149.4719698480981</v>
      </c>
      <c r="D23" s="69" cm="1">
        <f t="array" ref="D23">montecarloVAR_single($B$9,$B23,D$13,$B$1,$B$3,$D$8)</f>
        <v>1678.4968110265902</v>
      </c>
      <c r="E23" s="70" cm="1">
        <f t="array" ref="E23">montecarloVAR_single($B$9,$B23,E$13,$B$1,$B$3,$D$8)</f>
        <v>1886.6958434745063</v>
      </c>
      <c r="G23" s="101" t="s">
        <v>23</v>
      </c>
      <c r="H23">
        <v>1</v>
      </c>
      <c r="I23" s="69" cm="1">
        <f t="array" ref="I23">montecarloVAR_single($B$9,$H23,I$13,$B$2,$B$4,$D$8)</f>
        <v>1566.7936396282539</v>
      </c>
      <c r="J23" s="69" cm="1">
        <f t="array" ref="J23">montecarloVAR_single($B$9,$H23,J$13,$B$2,$B$4,$D$8)</f>
        <v>2190.9033976357669</v>
      </c>
      <c r="K23" s="70" cm="1">
        <f t="array" ref="K23">montecarloVAR_single($B$9,$H23,K$13,$B$2,$B$4,$D$8)</f>
        <v>2384.0669395501614</v>
      </c>
      <c r="M23" s="101" t="s">
        <v>23</v>
      </c>
      <c r="N23">
        <v>1</v>
      </c>
      <c r="O23" s="69" cm="1">
        <f t="array" ref="O23">montecarloVAR($B$9,$N23,O$13,$B$1,$B$2,$B$3,$B$4,$B$5,$B$6,$B$7,$B$8)</f>
        <v>1757.6026879483491</v>
      </c>
      <c r="P23" s="69" cm="1">
        <f t="array" ref="P23">montecarloVAR($B$9,$N23,P$13,$B$1,$B$2,$B$3,$B$4,$B$5,$B$6,$B$7,$B$8)</f>
        <v>2489.0283905234833</v>
      </c>
      <c r="Q23" s="70" cm="1">
        <f t="array" ref="Q23">montecarloVAR($B$9,$N23,Q$13,$B$1,$B$2,$B$3,$B$4,$B$5,$B$6,$B$7,$B$8)</f>
        <v>2711.7669955901192</v>
      </c>
      <c r="S23" s="101" t="s">
        <v>23</v>
      </c>
      <c r="T23">
        <v>1</v>
      </c>
      <c r="U23" s="69">
        <f>C23+I23-O23</f>
        <v>958.66292152800293</v>
      </c>
      <c r="V23" s="69">
        <f t="shared" ref="V23:V27" si="4">D23+J23-P23</f>
        <v>1380.3718181388736</v>
      </c>
      <c r="W23" s="70">
        <f t="shared" ref="W23:W27" si="5">E23+K23-Q23</f>
        <v>1558.9957874345482</v>
      </c>
    </row>
    <row r="24" spans="1:23" x14ac:dyDescent="0.2">
      <c r="A24" s="101"/>
      <c r="B24">
        <v>2</v>
      </c>
      <c r="C24" s="69" cm="1">
        <f t="array" ref="C24">montecarloVAR_single($B$9,$B24,C$13,$B$1,$B$3,$D$8)</f>
        <v>1493.2359233166533</v>
      </c>
      <c r="D24" s="69" cm="1">
        <f t="array" ref="D24">montecarloVAR_single($B$9,$B24,D$13,$B$1,$B$3,$D$8)</f>
        <v>2348.4861933890938</v>
      </c>
      <c r="E24" s="70" cm="1">
        <f t="array" ref="E24">montecarloVAR_single($B$9,$B24,E$13,$B$1,$B$3,$D$8)</f>
        <v>2485.041304956671</v>
      </c>
      <c r="G24" s="101"/>
      <c r="H24">
        <v>2</v>
      </c>
      <c r="I24" s="69" cm="1">
        <f t="array" ref="I24">montecarloVAR_single($B$9,$H24,I$13,$B$2,$B$4,$D$8)</f>
        <v>2281.52965918154</v>
      </c>
      <c r="J24" s="69" cm="1">
        <f t="array" ref="J24">montecarloVAR_single($B$9,$H24,J$13,$B$2,$B$4,$D$8)</f>
        <v>3116.9062920274996</v>
      </c>
      <c r="K24" s="70" cm="1">
        <f t="array" ref="K24">montecarloVAR_single($B$9,$H24,K$13,$B$2,$B$4,$D$8)</f>
        <v>3495.7823210983479</v>
      </c>
      <c r="M24" s="101"/>
      <c r="N24">
        <v>2</v>
      </c>
      <c r="O24" s="69" cm="1">
        <f t="array" ref="O24">montecarloVAR($B$9,$N24,O$13,$B$1,$B$2,$B$3,$B$4,$B$5,$B$6,$B$7,$B$8)</f>
        <v>2471.6224790971628</v>
      </c>
      <c r="P24" s="69" cm="1">
        <f t="array" ref="P24">montecarloVAR($B$9,$N24,P$13,$B$1,$B$2,$B$3,$B$4,$B$5,$B$6,$B$7,$B$8)</f>
        <v>3483.9271808730932</v>
      </c>
      <c r="Q24" s="70" cm="1">
        <f t="array" ref="Q24">montecarloVAR($B$9,$N24,Q$13,$B$1,$B$2,$B$3,$B$4,$B$5,$B$6,$B$7,$B$8)</f>
        <v>3860.6125932126811</v>
      </c>
      <c r="S24" s="101"/>
      <c r="T24">
        <v>2</v>
      </c>
      <c r="U24" s="69">
        <f t="shared" ref="U24:U27" si="6">C24+I24-O24</f>
        <v>1303.1431034010302</v>
      </c>
      <c r="V24" s="69">
        <f t="shared" si="4"/>
        <v>1981.4653045435002</v>
      </c>
      <c r="W24" s="70">
        <f t="shared" si="5"/>
        <v>2120.2110328423373</v>
      </c>
    </row>
    <row r="25" spans="1:23" x14ac:dyDescent="0.2">
      <c r="A25" s="101"/>
      <c r="B25">
        <v>3</v>
      </c>
      <c r="C25" s="69" cm="1">
        <f t="array" ref="C25">montecarloVAR_single($B$9,$B25,C$13,$B$1,$B$3,$D$8)</f>
        <v>1815.6726272639889</v>
      </c>
      <c r="D25" s="69" cm="1">
        <f t="array" ref="D25">montecarloVAR_single($B$9,$B25,D$13,$B$1,$B$3,$D$8)</f>
        <v>2667.8560961900221</v>
      </c>
      <c r="E25" s="70" cm="1">
        <f t="array" ref="E25">montecarloVAR_single($B$9,$B25,E$13,$B$1,$B$3,$D$8)</f>
        <v>3157.3783338315388</v>
      </c>
      <c r="G25" s="101"/>
      <c r="H25">
        <v>3</v>
      </c>
      <c r="I25" s="69" cm="1">
        <f t="array" ref="I25">montecarloVAR_single($B$9,$H25,I$13,$B$2,$B$4,$D$8)</f>
        <v>2855.4029053981703</v>
      </c>
      <c r="J25" s="69" cm="1">
        <f t="array" ref="J25">montecarloVAR_single($B$9,$H25,J$13,$B$2,$B$4,$D$8)</f>
        <v>3928.2368206530805</v>
      </c>
      <c r="K25" s="70" cm="1">
        <f t="array" ref="K25">montecarloVAR_single($B$9,$H25,K$13,$B$2,$B$4,$D$8)</f>
        <v>4344.2139558111639</v>
      </c>
      <c r="M25" s="101"/>
      <c r="N25">
        <v>3</v>
      </c>
      <c r="O25" s="69" cm="1">
        <f t="array" ref="O25">montecarloVAR($B$9,$N25,O$13,$B$1,$B$2,$B$3,$B$4,$B$5,$B$6,$B$7,$B$8)</f>
        <v>2888.4252952697266</v>
      </c>
      <c r="P25" s="69" cm="1">
        <f t="array" ref="P25">montecarloVAR($B$9,$N25,P$13,$B$1,$B$2,$B$3,$B$4,$B$5,$B$6,$B$7,$B$8)</f>
        <v>4289.2856048989861</v>
      </c>
      <c r="Q25" s="70" cm="1">
        <f t="array" ref="Q25">montecarloVAR($B$9,$N25,Q$13,$B$1,$B$2,$B$3,$B$4,$B$5,$B$6,$B$7,$B$8)</f>
        <v>4646.2803275168844</v>
      </c>
      <c r="S25" s="101"/>
      <c r="T25">
        <v>3</v>
      </c>
      <c r="U25" s="69">
        <f t="shared" si="6"/>
        <v>1782.6502373924327</v>
      </c>
      <c r="V25" s="69">
        <f t="shared" si="4"/>
        <v>2306.8073119441169</v>
      </c>
      <c r="W25" s="70">
        <f t="shared" si="5"/>
        <v>2855.3119621258184</v>
      </c>
    </row>
    <row r="26" spans="1:23" x14ac:dyDescent="0.2">
      <c r="A26" s="101"/>
      <c r="B26">
        <v>4</v>
      </c>
      <c r="C26" s="69" cm="1">
        <f t="array" ref="C26">montecarloVAR_single($B$9,$B26,C$13,$B$1,$B$3,$D$8)</f>
        <v>1947.8315741540923</v>
      </c>
      <c r="D26" s="69" cm="1">
        <f t="array" ref="D26">montecarloVAR_single($B$9,$B26,D$13,$B$1,$B$3,$D$8)</f>
        <v>3044.9280921547911</v>
      </c>
      <c r="E26" s="70" cm="1">
        <f t="array" ref="E26">montecarloVAR_single($B$9,$B26,E$13,$B$1,$B$3,$D$8)</f>
        <v>3487.4603855736932</v>
      </c>
      <c r="G26" s="101"/>
      <c r="H26">
        <v>4</v>
      </c>
      <c r="I26" s="69" cm="1">
        <f t="array" ref="I26">montecarloVAR_single($B$9,$H26,I$13,$B$2,$B$4,$D$8)</f>
        <v>3351.6152248787362</v>
      </c>
      <c r="J26" s="69" cm="1">
        <f t="array" ref="J26">montecarloVAR_single($B$9,$H26,J$13,$B$2,$B$4,$D$8)</f>
        <v>4545.7316383981424</v>
      </c>
      <c r="K26" s="70" cm="1">
        <f t="array" ref="K26">montecarloVAR_single($B$9,$H26,K$13,$B$2,$B$4,$D$8)</f>
        <v>4900.1433485142461</v>
      </c>
      <c r="M26" s="101"/>
      <c r="N26">
        <v>4</v>
      </c>
      <c r="O26" s="69" cm="1">
        <f t="array" ref="O26">montecarloVAR($B$9,$N26,O$13,$B$1,$B$2,$B$3,$B$4,$B$5,$B$6,$B$7,$B$8)</f>
        <v>3469.7580489302586</v>
      </c>
      <c r="P26" s="69" cm="1">
        <f t="array" ref="P26">montecarloVAR($B$9,$N26,P$13,$B$1,$B$2,$B$3,$B$4,$B$5,$B$6,$B$7,$B$8)</f>
        <v>4772.0851387719395</v>
      </c>
      <c r="Q26" s="70" cm="1">
        <f t="array" ref="Q26">montecarloVAR($B$9,$N26,Q$13,$B$1,$B$2,$B$3,$B$4,$B$5,$B$6,$B$7,$B$8)</f>
        <v>5178.567820038631</v>
      </c>
      <c r="S26" s="101"/>
      <c r="T26">
        <v>4</v>
      </c>
      <c r="U26" s="69">
        <f t="shared" si="6"/>
        <v>1829.6887501025699</v>
      </c>
      <c r="V26" s="69">
        <f t="shared" si="4"/>
        <v>2818.5745917809945</v>
      </c>
      <c r="W26" s="70">
        <f t="shared" si="5"/>
        <v>3209.0359140493083</v>
      </c>
    </row>
    <row r="27" spans="1:23" x14ac:dyDescent="0.2">
      <c r="A27" s="101"/>
      <c r="B27">
        <v>5</v>
      </c>
      <c r="C27" s="69" cm="1">
        <f t="array" ref="C27">montecarloVAR_single($B$9,$B27,C$13,$B$1,$B$3,$D$8)</f>
        <v>2127.1863038586912</v>
      </c>
      <c r="D27" s="69" cm="1">
        <f t="array" ref="D27">montecarloVAR_single($B$9,$B27,D$13,$B$1,$B$3,$D$8)</f>
        <v>3338.9052085316066</v>
      </c>
      <c r="E27" s="70" cm="1">
        <f t="array" ref="E27">montecarloVAR_single($B$9,$B27,E$13,$B$1,$B$3,$D$8)</f>
        <v>3913.9485460437554</v>
      </c>
      <c r="G27" s="101"/>
      <c r="H27">
        <v>5</v>
      </c>
      <c r="I27" s="69" cm="1">
        <f t="array" ref="I27">montecarloVAR_single($B$9,$H27,I$13,$B$2,$B$4,$D$8)</f>
        <v>3857.74453239783</v>
      </c>
      <c r="J27" s="69" cm="1">
        <f t="array" ref="J27">montecarloVAR_single($B$9,$H27,J$13,$B$2,$B$4,$D$8)</f>
        <v>5223.5193039325159</v>
      </c>
      <c r="K27" s="70" cm="1">
        <f t="array" ref="K27">montecarloVAR_single($B$9,$H27,K$13,$B$2,$B$4,$D$8)</f>
        <v>5736.9617130918341</v>
      </c>
      <c r="M27" s="101"/>
      <c r="N27">
        <v>5</v>
      </c>
      <c r="O27" s="69" cm="1">
        <f t="array" ref="O27">montecarloVAR($B$9,$N27,O$13,$B$1,$B$2,$B$3,$B$4,$B$5,$B$6,$B$7,$B$8)</f>
        <v>3792.1429168504837</v>
      </c>
      <c r="P27" s="69" cm="1">
        <f t="array" ref="P27">montecarloVAR($B$9,$N27,P$13,$B$1,$B$2,$B$3,$B$4,$B$5,$B$6,$B$7,$B$8)</f>
        <v>5414.4615051337914</v>
      </c>
      <c r="Q27" s="70" cm="1">
        <f t="array" ref="Q27">montecarloVAR($B$9,$N27,Q$13,$B$1,$B$2,$B$3,$B$4,$B$5,$B$6,$B$7,$B$8)</f>
        <v>5975.7528223825248</v>
      </c>
      <c r="S27" s="101"/>
      <c r="T27">
        <v>5</v>
      </c>
      <c r="U27" s="69">
        <f t="shared" si="6"/>
        <v>2192.787919406037</v>
      </c>
      <c r="V27" s="69">
        <f t="shared" si="4"/>
        <v>3147.9630073303306</v>
      </c>
      <c r="W27" s="70">
        <f t="shared" si="5"/>
        <v>3675.1574367530648</v>
      </c>
    </row>
    <row r="28" spans="1:23" x14ac:dyDescent="0.2">
      <c r="A28" s="59"/>
      <c r="B28">
        <v>6</v>
      </c>
      <c r="C28" s="69" cm="1">
        <f t="array" ref="C28">montecarloVAR_single($B$9,$B28,C$13,$B$1,$B$3,$D$8)</f>
        <v>2264.2142462243455</v>
      </c>
      <c r="D28" s="69" cm="1">
        <f t="array" ref="D28">montecarloVAR_single($B$9,$B28,D$13,$B$1,$B$3,$D$8)</f>
        <v>3502.7572817551018</v>
      </c>
      <c r="E28" s="70" cm="1">
        <f t="array" ref="E28">montecarloVAR_single($B$9,$B28,E$13,$B$1,$B$3,$D$8)</f>
        <v>4057.6884372573218</v>
      </c>
      <c r="G28" s="59"/>
      <c r="H28">
        <v>6</v>
      </c>
      <c r="I28" s="69" cm="1">
        <f t="array" ref="I28">montecarloVAR_single($B$9,$H28,I$13,$B$2,$B$4,$D$8)</f>
        <v>4306.5582037822842</v>
      </c>
      <c r="J28" s="69" cm="1">
        <f t="array" ref="J28">montecarloVAR_single($B$9,$H28,J$13,$B$2,$B$4,$D$8)</f>
        <v>5702.8254866848747</v>
      </c>
      <c r="K28" s="70" cm="1">
        <f t="array" ref="K28">montecarloVAR_single($B$9,$H28,K$13,$B$2,$B$4,$D$8)</f>
        <v>6198.6994859330644</v>
      </c>
      <c r="M28" s="59"/>
      <c r="N28">
        <v>6</v>
      </c>
      <c r="O28" s="69" cm="1">
        <f t="array" ref="O28">montecarloVAR($B$9,$N28,O$13,$B$1,$B$2,$B$3,$B$4,$B$5,$B$6,$B$7,$B$8)</f>
        <v>4047.5011728451509</v>
      </c>
      <c r="P28" s="69" cm="1">
        <f t="array" ref="P28">montecarloVAR($B$9,$N28,P$13,$B$1,$B$2,$B$3,$B$4,$B$5,$B$6,$B$7,$B$8)</f>
        <v>5879.712364075137</v>
      </c>
      <c r="Q28" s="70" cm="1">
        <f t="array" ref="Q28">montecarloVAR($B$9,$N28,Q$13,$B$1,$B$2,$B$3,$B$4,$B$5,$B$6,$B$7,$B$8)</f>
        <v>6855.1867501213665</v>
      </c>
      <c r="S28" s="59"/>
      <c r="T28">
        <v>6</v>
      </c>
      <c r="U28" s="69">
        <f t="shared" ref="U28:U91" si="7">C28+I28-O28</f>
        <v>2523.2712771614788</v>
      </c>
      <c r="V28" s="69">
        <f t="shared" ref="V28:V91" si="8">D28+J28-P28</f>
        <v>3325.8704043648404</v>
      </c>
      <c r="W28" s="70">
        <f t="shared" ref="W28:W91" si="9">E28+K28-Q28</f>
        <v>3401.2011730690201</v>
      </c>
    </row>
    <row r="29" spans="1:23" x14ac:dyDescent="0.2">
      <c r="A29" s="59"/>
      <c r="B29">
        <v>7</v>
      </c>
      <c r="C29" s="69" cm="1">
        <f t="array" ref="C29">montecarloVAR_single($B$9,$B29,C$13,$B$1,$B$3,$D$8)</f>
        <v>2288.2791132397633</v>
      </c>
      <c r="D29" s="69" cm="1">
        <f t="array" ref="D29">montecarloVAR_single($B$9,$B29,D$13,$B$1,$B$3,$D$8)</f>
        <v>3752.9245235231347</v>
      </c>
      <c r="E29" s="70" cm="1">
        <f t="array" ref="E29">montecarloVAR_single($B$9,$B29,E$13,$B$1,$B$3,$D$8)</f>
        <v>4260.5034422071039</v>
      </c>
      <c r="G29" s="59"/>
      <c r="H29">
        <v>7</v>
      </c>
      <c r="I29" s="69" cm="1">
        <f t="array" ref="I29">montecarloVAR_single($B$9,$H29,I$13,$B$2,$B$4,$D$8)</f>
        <v>4722.2626957787897</v>
      </c>
      <c r="J29" s="69" cm="1">
        <f t="array" ref="J29">montecarloVAR_single($B$9,$H29,J$13,$B$2,$B$4,$D$8)</f>
        <v>6103.3417726659973</v>
      </c>
      <c r="K29" s="70" cm="1">
        <f t="array" ref="K29">montecarloVAR_single($B$9,$H29,K$13,$B$2,$B$4,$D$8)</f>
        <v>6807.7354995576652</v>
      </c>
      <c r="M29" s="59"/>
      <c r="N29">
        <v>7</v>
      </c>
      <c r="O29" s="69" cm="1">
        <f t="array" ref="O29">montecarloVAR($B$9,$N29,O$13,$B$1,$B$2,$B$3,$B$4,$B$5,$B$6,$B$7,$B$8)</f>
        <v>4457.6065553070894</v>
      </c>
      <c r="P29" s="69" cm="1">
        <f t="array" ref="P29">montecarloVAR($B$9,$N29,P$13,$B$1,$B$2,$B$3,$B$4,$B$5,$B$6,$B$7,$B$8)</f>
        <v>6437.0390719562583</v>
      </c>
      <c r="Q29" s="70" cm="1">
        <f t="array" ref="Q29">montecarloVAR($B$9,$N29,Q$13,$B$1,$B$2,$B$3,$B$4,$B$5,$B$6,$B$7,$B$8)</f>
        <v>6986.1800778278912</v>
      </c>
      <c r="S29" s="59"/>
      <c r="T29">
        <v>7</v>
      </c>
      <c r="U29" s="69">
        <f t="shared" si="7"/>
        <v>2552.9352537114637</v>
      </c>
      <c r="V29" s="69">
        <f t="shared" si="8"/>
        <v>3419.2272242328745</v>
      </c>
      <c r="W29" s="70">
        <f t="shared" si="9"/>
        <v>4082.0588639368771</v>
      </c>
    </row>
    <row r="30" spans="1:23" x14ac:dyDescent="0.2">
      <c r="A30" s="59"/>
      <c r="B30">
        <v>8</v>
      </c>
      <c r="C30" s="69" cm="1">
        <f t="array" ref="C30">montecarloVAR_single($B$9,$B30,C$13,$B$1,$B$3,$D$8)</f>
        <v>2425.745291059487</v>
      </c>
      <c r="D30" s="69" cm="1">
        <f t="array" ref="D30">montecarloVAR_single($B$9,$B30,D$13,$B$1,$B$3,$D$8)</f>
        <v>3945.4364453117742</v>
      </c>
      <c r="E30" s="70" cm="1">
        <f t="array" ref="E30">montecarloVAR_single($B$9,$B30,E$13,$B$1,$B$3,$D$8)</f>
        <v>4307.0363895799828</v>
      </c>
      <c r="G30" s="59"/>
      <c r="H30">
        <v>8</v>
      </c>
      <c r="I30" s="69" cm="1">
        <f t="array" ref="I30">montecarloVAR_single($B$9,$H30,I$13,$B$2,$B$4,$D$8)</f>
        <v>5038.3053958017663</v>
      </c>
      <c r="J30" s="69" cm="1">
        <f t="array" ref="J30">montecarloVAR_single($B$9,$H30,J$13,$B$2,$B$4,$D$8)</f>
        <v>6731.6289277398846</v>
      </c>
      <c r="K30" s="70" cm="1">
        <f t="array" ref="K30">montecarloVAR_single($B$9,$H30,K$13,$B$2,$B$4,$D$8)</f>
        <v>7517.1781372558871</v>
      </c>
      <c r="M30" s="59"/>
      <c r="N30">
        <v>8</v>
      </c>
      <c r="O30" s="69" cm="1">
        <f t="array" ref="O30">montecarloVAR($B$9,$N30,O$13,$B$1,$B$2,$B$3,$B$4,$B$5,$B$6,$B$7,$B$8)</f>
        <v>4701.6589432551073</v>
      </c>
      <c r="P30" s="69" cm="1">
        <f t="array" ref="P30">montecarloVAR($B$9,$N30,P$13,$B$1,$B$2,$B$3,$B$4,$B$5,$B$6,$B$7,$B$8)</f>
        <v>6646.5559667284451</v>
      </c>
      <c r="Q30" s="70" cm="1">
        <f t="array" ref="Q30">montecarloVAR($B$9,$N30,Q$13,$B$1,$B$2,$B$3,$B$4,$B$5,$B$6,$B$7,$B$8)</f>
        <v>7433.592684385957</v>
      </c>
      <c r="S30" s="59"/>
      <c r="T30">
        <v>8</v>
      </c>
      <c r="U30" s="69">
        <f t="shared" si="7"/>
        <v>2762.3917436061465</v>
      </c>
      <c r="V30" s="69">
        <f t="shared" si="8"/>
        <v>4030.5094063232136</v>
      </c>
      <c r="W30" s="70">
        <f t="shared" si="9"/>
        <v>4390.621842449912</v>
      </c>
    </row>
    <row r="31" spans="1:23" x14ac:dyDescent="0.2">
      <c r="A31" s="59"/>
      <c r="B31">
        <v>9</v>
      </c>
      <c r="C31" s="69" cm="1">
        <f t="array" ref="C31">montecarloVAR_single($B$9,$B31,C$13,$B$1,$B$3,$D$8)</f>
        <v>2429.3168519766928</v>
      </c>
      <c r="D31" s="69" cm="1">
        <f t="array" ref="D31">montecarloVAR_single($B$9,$B31,D$13,$B$1,$B$3,$D$8)</f>
        <v>3983.847158049909</v>
      </c>
      <c r="E31" s="70" cm="1">
        <f t="array" ref="E31">montecarloVAR_single($B$9,$B31,E$13,$B$1,$B$3,$D$8)</f>
        <v>4692.1521214476397</v>
      </c>
      <c r="G31" s="59"/>
      <c r="H31">
        <v>9</v>
      </c>
      <c r="I31" s="69" cm="1">
        <f t="array" ref="I31">montecarloVAR_single($B$9,$H31,I$13,$B$2,$B$4,$D$8)</f>
        <v>5446.1528723708725</v>
      </c>
      <c r="J31" s="69" cm="1">
        <f t="array" ref="J31">montecarloVAR_single($B$9,$H31,J$13,$B$2,$B$4,$D$8)</f>
        <v>7307.3610428606198</v>
      </c>
      <c r="K31" s="70" cm="1">
        <f t="array" ref="K31">montecarloVAR_single($B$9,$H31,K$13,$B$2,$B$4,$D$8)</f>
        <v>7915.3919657855558</v>
      </c>
      <c r="M31" s="59"/>
      <c r="N31">
        <v>9</v>
      </c>
      <c r="O31" s="69" cm="1">
        <f t="array" ref="O31">montecarloVAR($B$9,$N31,O$13,$B$1,$B$2,$B$3,$B$4,$B$5,$B$6,$B$7,$B$8)</f>
        <v>4994.607564151469</v>
      </c>
      <c r="P31" s="69" cm="1">
        <f t="array" ref="P31">montecarloVAR($B$9,$N31,P$13,$B$1,$B$2,$B$3,$B$4,$B$5,$B$6,$B$7,$B$8)</f>
        <v>7257.546601023646</v>
      </c>
      <c r="Q31" s="70" cm="1">
        <f t="array" ref="Q31">montecarloVAR($B$9,$N31,Q$13,$B$1,$B$2,$B$3,$B$4,$B$5,$B$6,$B$7,$B$8)</f>
        <v>8066.8564181370111</v>
      </c>
      <c r="S31" s="59"/>
      <c r="T31">
        <v>9</v>
      </c>
      <c r="U31" s="69">
        <f t="shared" si="7"/>
        <v>2880.8621601960967</v>
      </c>
      <c r="V31" s="69">
        <f t="shared" si="8"/>
        <v>4033.6615998868829</v>
      </c>
      <c r="W31" s="70">
        <f t="shared" si="9"/>
        <v>4540.6876690961853</v>
      </c>
    </row>
    <row r="32" spans="1:23" x14ac:dyDescent="0.2">
      <c r="A32" s="59"/>
      <c r="B32">
        <v>10</v>
      </c>
      <c r="C32" s="69" cm="1">
        <f t="array" ref="C32">montecarloVAR_single($B$9,$B32,C$13,$B$1,$B$3,$D$8)</f>
        <v>2463.3909378780922</v>
      </c>
      <c r="D32" s="69" cm="1">
        <f t="array" ref="D32">montecarloVAR_single($B$9,$B32,D$13,$B$1,$B$3,$D$8)</f>
        <v>4313.4422707434223</v>
      </c>
      <c r="E32" s="70" cm="1">
        <f t="array" ref="E32">montecarloVAR_single($B$9,$B32,E$13,$B$1,$B$3,$D$8)</f>
        <v>4870.5494626766713</v>
      </c>
      <c r="G32" s="59"/>
      <c r="H32">
        <v>10</v>
      </c>
      <c r="I32" s="69" cm="1">
        <f t="array" ref="I32">montecarloVAR_single($B$9,$H32,I$13,$B$2,$B$4,$D$8)</f>
        <v>5774.835313854207</v>
      </c>
      <c r="J32" s="69" cm="1">
        <f t="array" ref="J32">montecarloVAR_single($B$9,$H32,J$13,$B$2,$B$4,$D$8)</f>
        <v>7618.8718852967822</v>
      </c>
      <c r="K32" s="70" cm="1">
        <f t="array" ref="K32">montecarloVAR_single($B$9,$H32,K$13,$B$2,$B$4,$D$8)</f>
        <v>8317.143705017219</v>
      </c>
      <c r="M32" s="59"/>
      <c r="N32">
        <v>10</v>
      </c>
      <c r="O32" s="69" cm="1">
        <f t="array" ref="O32">montecarloVAR($B$9,$N32,O$13,$B$1,$B$2,$B$3,$B$4,$B$5,$B$6,$B$7,$B$8)</f>
        <v>5293.6022456611545</v>
      </c>
      <c r="P32" s="69" cm="1">
        <f t="array" ref="P32">montecarloVAR($B$9,$N32,P$13,$B$1,$B$2,$B$3,$B$4,$B$5,$B$6,$B$7,$B$8)</f>
        <v>7522.2232916297362</v>
      </c>
      <c r="Q32" s="70" cm="1">
        <f t="array" ref="Q32">montecarloVAR($B$9,$N32,Q$13,$B$1,$B$2,$B$3,$B$4,$B$5,$B$6,$B$7,$B$8)</f>
        <v>8340.0757761465829</v>
      </c>
      <c r="S32" s="59"/>
      <c r="T32">
        <v>10</v>
      </c>
      <c r="U32" s="69">
        <f t="shared" si="7"/>
        <v>2944.6240060711452</v>
      </c>
      <c r="V32" s="69">
        <f t="shared" si="8"/>
        <v>4410.0908644104675</v>
      </c>
      <c r="W32" s="70">
        <f t="shared" si="9"/>
        <v>4847.6173915473082</v>
      </c>
    </row>
    <row r="33" spans="1:23" x14ac:dyDescent="0.2">
      <c r="A33" s="59"/>
      <c r="B33">
        <v>11</v>
      </c>
      <c r="C33" s="69" cm="1">
        <f t="array" ref="C33">montecarloVAR_single($B$9,$B33,C$13,$B$1,$B$3,$D$8)</f>
        <v>2588.4626226575883</v>
      </c>
      <c r="D33" s="69" cm="1">
        <f t="array" ref="D33">montecarloVAR_single($B$9,$B33,D$13,$B$1,$B$3,$D$8)</f>
        <v>4427.3151498335483</v>
      </c>
      <c r="E33" s="70" cm="1">
        <f t="array" ref="E33">montecarloVAR_single($B$9,$B33,E$13,$B$1,$B$3,$D$8)</f>
        <v>4851.0768692760521</v>
      </c>
      <c r="G33" s="59"/>
      <c r="H33">
        <v>11</v>
      </c>
      <c r="I33" s="69" cm="1">
        <f t="array" ref="I33">montecarloVAR_single($B$9,$H33,I$13,$B$2,$B$4,$D$8)</f>
        <v>6057.6368854274024</v>
      </c>
      <c r="J33" s="69" cm="1">
        <f t="array" ref="J33">montecarloVAR_single($B$9,$H33,J$13,$B$2,$B$4,$D$8)</f>
        <v>8083.1737401443861</v>
      </c>
      <c r="K33" s="70" cm="1">
        <f t="array" ref="K33">montecarloVAR_single($B$9,$H33,K$13,$B$2,$B$4,$D$8)</f>
        <v>8921.5687664961952</v>
      </c>
      <c r="M33" s="59"/>
      <c r="N33">
        <v>11</v>
      </c>
      <c r="O33" s="69" cm="1">
        <f t="array" ref="O33">montecarloVAR($B$9,$N33,O$13,$B$1,$B$2,$B$3,$B$4,$B$5,$B$6,$B$7,$B$8)</f>
        <v>5431.6904777664522</v>
      </c>
      <c r="P33" s="69" cm="1">
        <f t="array" ref="P33">montecarloVAR($B$9,$N33,P$13,$B$1,$B$2,$B$3,$B$4,$B$5,$B$6,$B$7,$B$8)</f>
        <v>7746.4251850035744</v>
      </c>
      <c r="Q33" s="70" cm="1">
        <f t="array" ref="Q33">montecarloVAR($B$9,$N33,Q$13,$B$1,$B$2,$B$3,$B$4,$B$5,$B$6,$B$7,$B$8)</f>
        <v>8522.3353766367291</v>
      </c>
      <c r="S33" s="59"/>
      <c r="T33">
        <v>11</v>
      </c>
      <c r="U33" s="69">
        <f t="shared" si="7"/>
        <v>3214.4090303185376</v>
      </c>
      <c r="V33" s="69">
        <f t="shared" si="8"/>
        <v>4764.06370497436</v>
      </c>
      <c r="W33" s="70">
        <f t="shared" si="9"/>
        <v>5250.3102591355182</v>
      </c>
    </row>
    <row r="34" spans="1:23" x14ac:dyDescent="0.2">
      <c r="A34" s="59"/>
      <c r="B34">
        <v>12</v>
      </c>
      <c r="C34" s="69" cm="1">
        <f t="array" ref="C34">montecarloVAR_single($B$9,$B34,C$13,$B$1,$B$3,$D$8)</f>
        <v>2587.9406066878005</v>
      </c>
      <c r="D34" s="69" cm="1">
        <f t="array" ref="D34">montecarloVAR_single($B$9,$B34,D$13,$B$1,$B$3,$D$8)</f>
        <v>4610.3314814597315</v>
      </c>
      <c r="E34" s="70" cm="1">
        <f t="array" ref="E34">montecarloVAR_single($B$9,$B34,E$13,$B$1,$B$3,$D$8)</f>
        <v>5176.7653288955435</v>
      </c>
      <c r="G34" s="59"/>
      <c r="H34">
        <v>12</v>
      </c>
      <c r="I34" s="69" cm="1">
        <f t="array" ref="I34">montecarloVAR_single($B$9,$H34,I$13,$B$2,$B$4,$D$8)</f>
        <v>6536.3074046136107</v>
      </c>
      <c r="J34" s="69" cm="1">
        <f t="array" ref="J34">montecarloVAR_single($B$9,$H34,J$13,$B$2,$B$4,$D$8)</f>
        <v>8489.3982046742804</v>
      </c>
      <c r="K34" s="70" cm="1">
        <f t="array" ref="K34">montecarloVAR_single($B$9,$H34,K$13,$B$2,$B$4,$D$8)</f>
        <v>9437.6165269918365</v>
      </c>
      <c r="M34" s="59"/>
      <c r="N34">
        <v>12</v>
      </c>
      <c r="O34" s="69" cm="1">
        <f t="array" ref="O34">montecarloVAR($B$9,$N34,O$13,$B$1,$B$2,$B$3,$B$4,$B$5,$B$6,$B$7,$B$8)</f>
        <v>5651.120830852914</v>
      </c>
      <c r="P34" s="69" cm="1">
        <f t="array" ref="P34">montecarloVAR($B$9,$N34,P$13,$B$1,$B$2,$B$3,$B$4,$B$5,$B$6,$B$7,$B$8)</f>
        <v>8012.4787093126852</v>
      </c>
      <c r="Q34" s="70" cm="1">
        <f t="array" ref="Q34">montecarloVAR($B$9,$N34,Q$13,$B$1,$B$2,$B$3,$B$4,$B$5,$B$6,$B$7,$B$8)</f>
        <v>9172.995330239919</v>
      </c>
      <c r="S34" s="59"/>
      <c r="T34">
        <v>12</v>
      </c>
      <c r="U34" s="69">
        <f t="shared" si="7"/>
        <v>3473.1271804484977</v>
      </c>
      <c r="V34" s="69">
        <f t="shared" si="8"/>
        <v>5087.2509768213258</v>
      </c>
      <c r="W34" s="70">
        <f t="shared" si="9"/>
        <v>5441.3865256474601</v>
      </c>
    </row>
    <row r="35" spans="1:23" x14ac:dyDescent="0.2">
      <c r="A35" s="59"/>
      <c r="B35">
        <v>13</v>
      </c>
      <c r="C35" s="69" cm="1">
        <f t="array" ref="C35">montecarloVAR_single($B$9,$B35,C$13,$B$1,$B$3,$D$8)</f>
        <v>2644.5758603763711</v>
      </c>
      <c r="D35" s="69" cm="1">
        <f t="array" ref="D35">montecarloVAR_single($B$9,$B35,D$13,$B$1,$B$3,$D$8)</f>
        <v>4694.6014960511948</v>
      </c>
      <c r="E35" s="70" cm="1">
        <f t="array" ref="E35">montecarloVAR_single($B$9,$B35,E$13,$B$1,$B$3,$D$8)</f>
        <v>5097.213150259463</v>
      </c>
      <c r="G35" s="59"/>
      <c r="H35">
        <v>13</v>
      </c>
      <c r="I35" s="69" cm="1">
        <f t="array" ref="I35">montecarloVAR_single($B$9,$H35,I$13,$B$2,$B$4,$D$8)</f>
        <v>6947.026579766346</v>
      </c>
      <c r="J35" s="69" cm="1">
        <f t="array" ref="J35">montecarloVAR_single($B$9,$H35,J$13,$B$2,$B$4,$D$8)</f>
        <v>8860.2361345439767</v>
      </c>
      <c r="K35" s="70" cm="1">
        <f t="array" ref="K35">montecarloVAR_single($B$9,$H35,K$13,$B$2,$B$4,$D$8)</f>
        <v>9727.4071038421971</v>
      </c>
      <c r="M35" s="59"/>
      <c r="N35">
        <v>13</v>
      </c>
      <c r="O35" s="69" cm="1">
        <f t="array" ref="O35">montecarloVAR($B$9,$N35,O$13,$B$1,$B$2,$B$3,$B$4,$B$5,$B$6,$B$7,$B$8)</f>
        <v>5888.1741837484469</v>
      </c>
      <c r="P35" s="69" cm="1">
        <f t="array" ref="P35">montecarloVAR($B$9,$N35,P$13,$B$1,$B$2,$B$3,$B$4,$B$5,$B$6,$B$7,$B$8)</f>
        <v>8218.9542375298315</v>
      </c>
      <c r="Q35" s="70" cm="1">
        <f t="array" ref="Q35">montecarloVAR($B$9,$N35,Q$13,$B$1,$B$2,$B$3,$B$4,$B$5,$B$6,$B$7,$B$8)</f>
        <v>9337.9679284339909</v>
      </c>
      <c r="S35" s="59"/>
      <c r="T35">
        <v>13</v>
      </c>
      <c r="U35" s="69">
        <f t="shared" si="7"/>
        <v>3703.4282563942697</v>
      </c>
      <c r="V35" s="69">
        <f t="shared" si="8"/>
        <v>5335.88339306534</v>
      </c>
      <c r="W35" s="70">
        <f t="shared" si="9"/>
        <v>5486.6523256676701</v>
      </c>
    </row>
    <row r="36" spans="1:23" x14ac:dyDescent="0.2">
      <c r="A36" s="59"/>
      <c r="B36">
        <v>14</v>
      </c>
      <c r="C36" s="69" cm="1">
        <f t="array" ref="C36">montecarloVAR_single($B$9,$B36,C$13,$B$1,$B$3,$D$8)</f>
        <v>2606.5444053889082</v>
      </c>
      <c r="D36" s="69" cm="1">
        <f t="array" ref="D36">montecarloVAR_single($B$9,$B36,D$13,$B$1,$B$3,$D$8)</f>
        <v>4502.5746482601035</v>
      </c>
      <c r="E36" s="70" cm="1">
        <f t="array" ref="E36">montecarloVAR_single($B$9,$B36,E$13,$B$1,$B$3,$D$8)</f>
        <v>5344.2760609438437</v>
      </c>
      <c r="G36" s="59"/>
      <c r="H36">
        <v>14</v>
      </c>
      <c r="I36" s="69" cm="1">
        <f t="array" ref="I36">montecarloVAR_single($B$9,$H36,I$13,$B$2,$B$4,$D$8)</f>
        <v>6976.9269381464792</v>
      </c>
      <c r="J36" s="69" cm="1">
        <f t="array" ref="J36">montecarloVAR_single($B$9,$H36,J$13,$B$2,$B$4,$D$8)</f>
        <v>9368.9515861426753</v>
      </c>
      <c r="K36" s="70" cm="1">
        <f t="array" ref="K36">montecarloVAR_single($B$9,$H36,K$13,$B$2,$B$4,$D$8)</f>
        <v>10080.390024678112</v>
      </c>
      <c r="M36" s="59"/>
      <c r="N36">
        <v>14</v>
      </c>
      <c r="O36" s="69" cm="1">
        <f t="array" ref="O36">montecarloVAR($B$9,$N36,O$13,$B$1,$B$2,$B$3,$B$4,$B$5,$B$6,$B$7,$B$8)</f>
        <v>6189.3868944162195</v>
      </c>
      <c r="P36" s="69" cm="1">
        <f t="array" ref="P36">montecarloVAR($B$9,$N36,P$13,$B$1,$B$2,$B$3,$B$4,$B$5,$B$6,$B$7,$B$8)</f>
        <v>8893.5986625570022</v>
      </c>
      <c r="Q36" s="70" cm="1">
        <f t="array" ref="Q36">montecarloVAR($B$9,$N36,Q$13,$B$1,$B$2,$B$3,$B$4,$B$5,$B$6,$B$7,$B$8)</f>
        <v>10021.171340569364</v>
      </c>
      <c r="S36" s="59"/>
      <c r="T36">
        <v>14</v>
      </c>
      <c r="U36" s="69">
        <f t="shared" si="7"/>
        <v>3394.0844491191683</v>
      </c>
      <c r="V36" s="69">
        <f t="shared" si="8"/>
        <v>4977.9275718457775</v>
      </c>
      <c r="W36" s="70">
        <f t="shared" si="9"/>
        <v>5403.4947450525924</v>
      </c>
    </row>
    <row r="37" spans="1:23" x14ac:dyDescent="0.2">
      <c r="A37" s="59"/>
      <c r="B37">
        <v>15</v>
      </c>
      <c r="C37" s="69" cm="1">
        <f t="array" ref="C37">montecarloVAR_single($B$9,$B37,C$13,$B$1,$B$3,$D$8)</f>
        <v>2612.8199126176687</v>
      </c>
      <c r="D37" s="69" cm="1">
        <f t="array" ref="D37">montecarloVAR_single($B$9,$B37,D$13,$B$1,$B$3,$D$8)</f>
        <v>4546.7408533605412</v>
      </c>
      <c r="E37" s="70" cm="1">
        <f t="array" ref="E37">montecarloVAR_single($B$9,$B37,E$13,$B$1,$B$3,$D$8)</f>
        <v>5416.9038463417846</v>
      </c>
      <c r="G37" s="59"/>
      <c r="H37">
        <v>15</v>
      </c>
      <c r="I37" s="69" cm="1">
        <f t="array" ref="I37">montecarloVAR_single($B$9,$H37,I$13,$B$2,$B$4,$D$8)</f>
        <v>7393.34623553642</v>
      </c>
      <c r="J37" s="69" cm="1">
        <f t="array" ref="J37">montecarloVAR_single($B$9,$H37,J$13,$B$2,$B$4,$D$8)</f>
        <v>9489.1335612575713</v>
      </c>
      <c r="K37" s="70" cm="1">
        <f t="array" ref="K37">montecarloVAR_single($B$9,$H37,K$13,$B$2,$B$4,$D$8)</f>
        <v>10135.222299373449</v>
      </c>
      <c r="M37" s="59"/>
      <c r="N37">
        <v>15</v>
      </c>
      <c r="O37" s="69" cm="1">
        <f t="array" ref="O37">montecarloVAR($B$9,$N37,O$13,$B$1,$B$2,$B$3,$B$4,$B$5,$B$6,$B$7,$B$8)</f>
        <v>6198.6538639062055</v>
      </c>
      <c r="P37" s="69" cm="1">
        <f t="array" ref="P37">montecarloVAR($B$9,$N37,P$13,$B$1,$B$2,$B$3,$B$4,$B$5,$B$6,$B$7,$B$8)</f>
        <v>9276.3399941259031</v>
      </c>
      <c r="Q37" s="70" cm="1">
        <f t="array" ref="Q37">montecarloVAR($B$9,$N37,Q$13,$B$1,$B$2,$B$3,$B$4,$B$5,$B$6,$B$7,$B$8)</f>
        <v>9969.523451020319</v>
      </c>
      <c r="S37" s="59"/>
      <c r="T37">
        <v>15</v>
      </c>
      <c r="U37" s="69">
        <f t="shared" si="7"/>
        <v>3807.5122842478831</v>
      </c>
      <c r="V37" s="69">
        <f t="shared" si="8"/>
        <v>4759.5344204922094</v>
      </c>
      <c r="W37" s="70">
        <f t="shared" si="9"/>
        <v>5582.6026946949132</v>
      </c>
    </row>
    <row r="38" spans="1:23" x14ac:dyDescent="0.2">
      <c r="A38" s="59"/>
      <c r="B38">
        <v>16</v>
      </c>
      <c r="C38" s="69" cm="1">
        <f t="array" ref="C38">montecarloVAR_single($B$9,$B38,C$13,$B$1,$B$3,$D$8)</f>
        <v>2736.8530841175011</v>
      </c>
      <c r="D38" s="69" cm="1">
        <f t="array" ref="D38">montecarloVAR_single($B$9,$B38,D$13,$B$1,$B$3,$D$8)</f>
        <v>4715.5439451034108</v>
      </c>
      <c r="E38" s="70" cm="1">
        <f t="array" ref="E38">montecarloVAR_single($B$9,$B38,E$13,$B$1,$B$3,$D$8)</f>
        <v>5699.6585493248012</v>
      </c>
      <c r="G38" s="59"/>
      <c r="H38">
        <v>16</v>
      </c>
      <c r="I38" s="69" cm="1">
        <f t="array" ref="I38">montecarloVAR_single($B$9,$H38,I$13,$B$2,$B$4,$D$8)</f>
        <v>7723.2710324973159</v>
      </c>
      <c r="J38" s="69" cm="1">
        <f t="array" ref="J38">montecarloVAR_single($B$9,$H38,J$13,$B$2,$B$4,$D$8)</f>
        <v>10383.690998274069</v>
      </c>
      <c r="K38" s="70" cm="1">
        <f t="array" ref="K38">montecarloVAR_single($B$9,$H38,K$13,$B$2,$B$4,$D$8)</f>
        <v>10975.42157014815</v>
      </c>
      <c r="M38" s="59"/>
      <c r="N38">
        <v>16</v>
      </c>
      <c r="O38" s="69" cm="1">
        <f t="array" ref="O38">montecarloVAR($B$9,$N38,O$13,$B$1,$B$2,$B$3,$B$4,$B$5,$B$6,$B$7,$B$8)</f>
        <v>6666.6229538175676</v>
      </c>
      <c r="P38" s="69" cm="1">
        <f t="array" ref="P38">montecarloVAR($B$9,$N38,P$13,$B$1,$B$2,$B$3,$B$4,$B$5,$B$6,$B$7,$B$8)</f>
        <v>9226.0500775761466</v>
      </c>
      <c r="Q38" s="70" cm="1">
        <f t="array" ref="Q38">montecarloVAR($B$9,$N38,Q$13,$B$1,$B$2,$B$3,$B$4,$B$5,$B$6,$B$7,$B$8)</f>
        <v>10269.225404879111</v>
      </c>
      <c r="S38" s="59"/>
      <c r="T38">
        <v>16</v>
      </c>
      <c r="U38" s="69">
        <f t="shared" si="7"/>
        <v>3793.5011627972499</v>
      </c>
      <c r="V38" s="69">
        <f t="shared" si="8"/>
        <v>5873.1848658013332</v>
      </c>
      <c r="W38" s="70">
        <f t="shared" si="9"/>
        <v>6405.8547145938392</v>
      </c>
    </row>
    <row r="39" spans="1:23" x14ac:dyDescent="0.2">
      <c r="A39" s="59"/>
      <c r="B39">
        <v>17</v>
      </c>
      <c r="C39" s="69" cm="1">
        <f t="array" ref="C39">montecarloVAR_single($B$9,$B39,C$13,$B$1,$B$3,$D$8)</f>
        <v>2584.3084927074892</v>
      </c>
      <c r="D39" s="69" cm="1">
        <f t="array" ref="D39">montecarloVAR_single($B$9,$B39,D$13,$B$1,$B$3,$D$8)</f>
        <v>5070.128534245413</v>
      </c>
      <c r="E39" s="70" cm="1">
        <f t="array" ref="E39">montecarloVAR_single($B$9,$B39,E$13,$B$1,$B$3,$D$8)</f>
        <v>5741.4267437175431</v>
      </c>
      <c r="G39" s="59"/>
      <c r="H39">
        <v>17</v>
      </c>
      <c r="I39" s="69" cm="1">
        <f t="array" ref="I39">montecarloVAR_single($B$9,$H39,I$13,$B$2,$B$4,$D$8)</f>
        <v>8130.3320134558899</v>
      </c>
      <c r="J39" s="69" cm="1">
        <f t="array" ref="J39">montecarloVAR_single($B$9,$H39,J$13,$B$2,$B$4,$D$8)</f>
        <v>10572.863841815066</v>
      </c>
      <c r="K39" s="70" cm="1">
        <f t="array" ref="K39">montecarloVAR_single($B$9,$H39,K$13,$B$2,$B$4,$D$8)</f>
        <v>11430.37193323463</v>
      </c>
      <c r="M39" s="59"/>
      <c r="N39">
        <v>17</v>
      </c>
      <c r="O39" s="69" cm="1">
        <f t="array" ref="O39">montecarloVAR($B$9,$N39,O$13,$B$1,$B$2,$B$3,$B$4,$B$5,$B$6,$B$7,$B$8)</f>
        <v>6764.3189615698229</v>
      </c>
      <c r="P39" s="69" cm="1">
        <f t="array" ref="P39">montecarloVAR($B$9,$N39,P$13,$B$1,$B$2,$B$3,$B$4,$B$5,$B$6,$B$7,$B$8)</f>
        <v>9506.3310431340396</v>
      </c>
      <c r="Q39" s="70" cm="1">
        <f t="array" ref="Q39">montecarloVAR($B$9,$N39,Q$13,$B$1,$B$2,$B$3,$B$4,$B$5,$B$6,$B$7,$B$8)</f>
        <v>10568.683153018859</v>
      </c>
      <c r="S39" s="59"/>
      <c r="T39">
        <v>17</v>
      </c>
      <c r="U39" s="69">
        <f t="shared" si="7"/>
        <v>3950.3215445935566</v>
      </c>
      <c r="V39" s="69">
        <f t="shared" si="8"/>
        <v>6136.6613329264401</v>
      </c>
      <c r="W39" s="70">
        <f t="shared" si="9"/>
        <v>6603.1155239333148</v>
      </c>
    </row>
    <row r="40" spans="1:23" x14ac:dyDescent="0.2">
      <c r="A40" s="59"/>
      <c r="B40">
        <v>18</v>
      </c>
      <c r="C40" s="69" cm="1">
        <f t="array" ref="C40">montecarloVAR_single($B$9,$B40,C$13,$B$1,$B$3,$D$8)</f>
        <v>2784.8571129364618</v>
      </c>
      <c r="D40" s="69" cm="1">
        <f t="array" ref="D40">montecarloVAR_single($B$9,$B40,D$13,$B$1,$B$3,$D$8)</f>
        <v>4861.3564208668686</v>
      </c>
      <c r="E40" s="70" cm="1">
        <f t="array" ref="E40">montecarloVAR_single($B$9,$B40,E$13,$B$1,$B$3,$D$8)</f>
        <v>5590.9794781418695</v>
      </c>
      <c r="G40" s="59"/>
      <c r="H40">
        <v>18</v>
      </c>
      <c r="I40" s="69" cm="1">
        <f t="array" ref="I40">montecarloVAR_single($B$9,$H40,I$13,$B$2,$B$4,$D$8)</f>
        <v>8417.0402376249622</v>
      </c>
      <c r="J40" s="69" cm="1">
        <f t="array" ref="J40">montecarloVAR_single($B$9,$H40,J$13,$B$2,$B$4,$D$8)</f>
        <v>10655.443204098783</v>
      </c>
      <c r="K40" s="70" cm="1">
        <f t="array" ref="K40">montecarloVAR_single($B$9,$H40,K$13,$B$2,$B$4,$D$8)</f>
        <v>11738.147429556924</v>
      </c>
      <c r="M40" s="59"/>
      <c r="N40">
        <v>18</v>
      </c>
      <c r="O40" s="69" cm="1">
        <f t="array" ref="O40">montecarloVAR($B$9,$N40,O$13,$B$1,$B$2,$B$3,$B$4,$B$5,$B$6,$B$7,$B$8)</f>
        <v>6935.8587920121126</v>
      </c>
      <c r="P40" s="69" cm="1">
        <f t="array" ref="P40">montecarloVAR($B$9,$N40,P$13,$B$1,$B$2,$B$3,$B$4,$B$5,$B$6,$B$7,$B$8)</f>
        <v>10023.088484572352</v>
      </c>
      <c r="Q40" s="70" cm="1">
        <f t="array" ref="Q40">montecarloVAR($B$9,$N40,Q$13,$B$1,$B$2,$B$3,$B$4,$B$5,$B$6,$B$7,$B$8)</f>
        <v>10858.964179489567</v>
      </c>
      <c r="S40" s="59"/>
      <c r="T40">
        <v>18</v>
      </c>
      <c r="U40" s="69">
        <f t="shared" si="7"/>
        <v>4266.0385585493104</v>
      </c>
      <c r="V40" s="69">
        <f t="shared" si="8"/>
        <v>5493.7111403932995</v>
      </c>
      <c r="W40" s="70">
        <f t="shared" si="9"/>
        <v>6470.1627282092286</v>
      </c>
    </row>
    <row r="41" spans="1:23" x14ac:dyDescent="0.2">
      <c r="A41" s="59"/>
      <c r="B41">
        <v>19</v>
      </c>
      <c r="C41" s="69" cm="1">
        <f t="array" ref="C41">montecarloVAR_single($B$9,$B41,C$13,$B$1,$B$3,$D$8)</f>
        <v>2676.2294848114198</v>
      </c>
      <c r="D41" s="69" cm="1">
        <f t="array" ref="D41">montecarloVAR_single($B$9,$B41,D$13,$B$1,$B$3,$D$8)</f>
        <v>4869.6846517070635</v>
      </c>
      <c r="E41" s="70" cm="1">
        <f t="array" ref="E41">montecarloVAR_single($B$9,$B41,E$13,$B$1,$B$3,$D$8)</f>
        <v>5877.755757793082</v>
      </c>
      <c r="G41" s="59"/>
      <c r="H41">
        <v>19</v>
      </c>
      <c r="I41" s="69" cm="1">
        <f t="array" ref="I41">montecarloVAR_single($B$9,$H41,I$13,$B$2,$B$4,$D$8)</f>
        <v>8588.4291659184128</v>
      </c>
      <c r="J41" s="69" cm="1">
        <f t="array" ref="J41">montecarloVAR_single($B$9,$H41,J$13,$B$2,$B$4,$D$8)</f>
        <v>11129.724192640386</v>
      </c>
      <c r="K41" s="70" cm="1">
        <f t="array" ref="K41">montecarloVAR_single($B$9,$H41,K$13,$B$2,$B$4,$D$8)</f>
        <v>12443.183651117663</v>
      </c>
      <c r="M41" s="59"/>
      <c r="N41">
        <v>19</v>
      </c>
      <c r="O41" s="69" cm="1">
        <f t="array" ref="O41">montecarloVAR($B$9,$N41,O$13,$B$1,$B$2,$B$3,$B$4,$B$5,$B$6,$B$7,$B$8)</f>
        <v>6862.5242113507829</v>
      </c>
      <c r="P41" s="69" cm="1">
        <f t="array" ref="P41">montecarloVAR($B$9,$N41,P$13,$B$1,$B$2,$B$3,$B$4,$B$5,$B$6,$B$7,$B$8)</f>
        <v>10328.026666503985</v>
      </c>
      <c r="Q41" s="70" cm="1">
        <f t="array" ref="Q41">montecarloVAR($B$9,$N41,Q$13,$B$1,$B$2,$B$3,$B$4,$B$5,$B$6,$B$7,$B$8)</f>
        <v>11502.274466103438</v>
      </c>
      <c r="S41" s="59"/>
      <c r="T41">
        <v>19</v>
      </c>
      <c r="U41" s="69">
        <f t="shared" si="7"/>
        <v>4402.1344393790496</v>
      </c>
      <c r="V41" s="69">
        <f t="shared" si="8"/>
        <v>5671.3821778434649</v>
      </c>
      <c r="W41" s="70">
        <f t="shared" si="9"/>
        <v>6818.6649428073069</v>
      </c>
    </row>
    <row r="42" spans="1:23" x14ac:dyDescent="0.2">
      <c r="A42" s="59"/>
      <c r="B42">
        <v>20</v>
      </c>
      <c r="C42" s="69" cm="1">
        <f t="array" ref="C42">montecarloVAR_single($B$9,$B42,C$13,$B$1,$B$3,$D$8)</f>
        <v>2557.0538310521988</v>
      </c>
      <c r="D42" s="69" cm="1">
        <f t="array" ref="D42">montecarloVAR_single($B$9,$B42,D$13,$B$1,$B$3,$D$8)</f>
        <v>5057.5311783139341</v>
      </c>
      <c r="E42" s="70" cm="1">
        <f t="array" ref="E42">montecarloVAR_single($B$9,$B42,E$13,$B$1,$B$3,$D$8)</f>
        <v>6025.0050312083313</v>
      </c>
      <c r="G42" s="59"/>
      <c r="H42">
        <v>20</v>
      </c>
      <c r="I42" s="69" cm="1">
        <f t="array" ref="I42">montecarloVAR_single($B$9,$H42,I$13,$B$2,$B$4,$D$8)</f>
        <v>9123.5629027913765</v>
      </c>
      <c r="J42" s="69" cm="1">
        <f t="array" ref="J42">montecarloVAR_single($B$9,$H42,J$13,$B$2,$B$4,$D$8)</f>
        <v>11638.245756177623</v>
      </c>
      <c r="K42" s="70" cm="1">
        <f t="array" ref="K42">montecarloVAR_single($B$9,$H42,K$13,$B$2,$B$4,$D$8)</f>
        <v>12743.239894574408</v>
      </c>
      <c r="M42" s="59"/>
      <c r="N42">
        <v>20</v>
      </c>
      <c r="O42" s="69" cm="1">
        <f t="array" ref="O42">montecarloVAR($B$9,$N42,O$13,$B$1,$B$2,$B$3,$B$4,$B$5,$B$6,$B$7,$B$8)</f>
        <v>7338.2140040111644</v>
      </c>
      <c r="P42" s="69" cm="1">
        <f t="array" ref="P42">montecarloVAR($B$9,$N42,P$13,$B$1,$B$2,$B$3,$B$4,$B$5,$B$6,$B$7,$B$8)</f>
        <v>10454.487067994753</v>
      </c>
      <c r="Q42" s="70" cm="1">
        <f t="array" ref="Q42">montecarloVAR($B$9,$N42,Q$13,$B$1,$B$2,$B$3,$B$4,$B$5,$B$6,$B$7,$B$8)</f>
        <v>12069.93870065304</v>
      </c>
      <c r="S42" s="59"/>
      <c r="T42">
        <v>20</v>
      </c>
      <c r="U42" s="69">
        <f t="shared" si="7"/>
        <v>4342.4027298324108</v>
      </c>
      <c r="V42" s="69">
        <f t="shared" si="8"/>
        <v>6241.2898664968052</v>
      </c>
      <c r="W42" s="70">
        <f t="shared" si="9"/>
        <v>6698.3062251296997</v>
      </c>
    </row>
    <row r="43" spans="1:23" x14ac:dyDescent="0.2">
      <c r="A43" s="59"/>
      <c r="B43">
        <v>21</v>
      </c>
      <c r="C43" s="69" cm="1">
        <f t="array" ref="C43">montecarloVAR_single($B$9,$B43,C$13,$B$1,$B$3,$D$8)</f>
        <v>2650.9743833463303</v>
      </c>
      <c r="D43" s="69" cm="1">
        <f t="array" ref="D43">montecarloVAR_single($B$9,$B43,D$13,$B$1,$B$3,$D$8)</f>
        <v>4933.4957280009849</v>
      </c>
      <c r="E43" s="70" cm="1">
        <f t="array" ref="E43">montecarloVAR_single($B$9,$B43,E$13,$B$1,$B$3,$D$8)</f>
        <v>5722.5541534936592</v>
      </c>
      <c r="G43" s="59"/>
      <c r="H43">
        <v>21</v>
      </c>
      <c r="I43" s="69" cm="1">
        <f t="array" ref="I43">montecarloVAR_single($B$9,$H43,I$13,$B$2,$B$4,$D$8)</f>
        <v>9281.215373593368</v>
      </c>
      <c r="J43" s="69" cm="1">
        <f t="array" ref="J43">montecarloVAR_single($B$9,$H43,J$13,$B$2,$B$4,$D$8)</f>
        <v>11833.256294859322</v>
      </c>
      <c r="K43" s="70" cm="1">
        <f t="array" ref="K43">montecarloVAR_single($B$9,$H43,K$13,$B$2,$B$4,$D$8)</f>
        <v>13246.032507520498</v>
      </c>
      <c r="M43" s="59"/>
      <c r="N43">
        <v>21</v>
      </c>
      <c r="O43" s="69" cm="1">
        <f t="array" ref="O43">montecarloVAR($B$9,$N43,O$13,$B$1,$B$2,$B$3,$B$4,$B$5,$B$6,$B$7,$B$8)</f>
        <v>7315.7390602368378</v>
      </c>
      <c r="P43" s="69" cm="1">
        <f t="array" ref="P43">montecarloVAR($B$9,$N43,P$13,$B$1,$B$2,$B$3,$B$4,$B$5,$B$6,$B$7,$B$8)</f>
        <v>10654.21859579728</v>
      </c>
      <c r="Q43" s="70" cm="1">
        <f t="array" ref="Q43">montecarloVAR($B$9,$N43,Q$13,$B$1,$B$2,$B$3,$B$4,$B$5,$B$6,$B$7,$B$8)</f>
        <v>11996.228147079462</v>
      </c>
      <c r="S43" s="59"/>
      <c r="T43">
        <v>21</v>
      </c>
      <c r="U43" s="69">
        <f t="shared" si="7"/>
        <v>4616.450696702861</v>
      </c>
      <c r="V43" s="69">
        <f t="shared" si="8"/>
        <v>6112.5334270630265</v>
      </c>
      <c r="W43" s="70">
        <f t="shared" si="9"/>
        <v>6972.3585139346942</v>
      </c>
    </row>
    <row r="44" spans="1:23" x14ac:dyDescent="0.2">
      <c r="A44" s="59"/>
      <c r="B44">
        <v>22</v>
      </c>
      <c r="C44" s="69" cm="1">
        <f t="array" ref="C44">montecarloVAR_single($B$9,$B44,C$13,$B$1,$B$3,$D$8)</f>
        <v>2559.0411110306168</v>
      </c>
      <c r="D44" s="69" cm="1">
        <f t="array" ref="D44">montecarloVAR_single($B$9,$B44,D$13,$B$1,$B$3,$D$8)</f>
        <v>5062.0779124470318</v>
      </c>
      <c r="E44" s="70" cm="1">
        <f t="array" ref="E44">montecarloVAR_single($B$9,$B44,E$13,$B$1,$B$3,$D$8)</f>
        <v>5707.7820731834072</v>
      </c>
      <c r="G44" s="59"/>
      <c r="H44">
        <v>22</v>
      </c>
      <c r="I44" s="69" cm="1">
        <f t="array" ref="I44">montecarloVAR_single($B$9,$H44,I$13,$B$2,$B$4,$D$8)</f>
        <v>9568.3419671031206</v>
      </c>
      <c r="J44" s="69" cm="1">
        <f t="array" ref="J44">montecarloVAR_single($B$9,$H44,J$13,$B$2,$B$4,$D$8)</f>
        <v>12374.532373548194</v>
      </c>
      <c r="K44" s="70" cm="1">
        <f t="array" ref="K44">montecarloVAR_single($B$9,$H44,K$13,$B$2,$B$4,$D$8)</f>
        <v>13125.167611857411</v>
      </c>
      <c r="M44" s="59"/>
      <c r="N44">
        <v>22</v>
      </c>
      <c r="O44" s="69" cm="1">
        <f t="array" ref="O44">montecarloVAR($B$9,$N44,O$13,$B$1,$B$2,$B$3,$B$4,$B$5,$B$6,$B$7,$B$8)</f>
        <v>7568.8479345300493</v>
      </c>
      <c r="P44" s="69" cm="1">
        <f t="array" ref="P44">montecarloVAR($B$9,$N44,P$13,$B$1,$B$2,$B$3,$B$4,$B$5,$B$6,$B$7,$B$8)</f>
        <v>10672.346012428417</v>
      </c>
      <c r="Q44" s="70" cm="1">
        <f t="array" ref="Q44">montecarloVAR($B$9,$N44,Q$13,$B$1,$B$2,$B$3,$B$4,$B$5,$B$6,$B$7,$B$8)</f>
        <v>12646.660029722763</v>
      </c>
      <c r="S44" s="59"/>
      <c r="T44">
        <v>22</v>
      </c>
      <c r="U44" s="69">
        <f t="shared" si="7"/>
        <v>4558.535143603689</v>
      </c>
      <c r="V44" s="69">
        <f t="shared" si="8"/>
        <v>6764.2642735668087</v>
      </c>
      <c r="W44" s="70">
        <f t="shared" si="9"/>
        <v>6186.2896553180544</v>
      </c>
    </row>
    <row r="45" spans="1:23" x14ac:dyDescent="0.2">
      <c r="A45" s="59"/>
      <c r="B45">
        <v>23</v>
      </c>
      <c r="C45" s="69" cm="1">
        <f t="array" ref="C45">montecarloVAR_single($B$9,$B45,C$13,$B$1,$B$3,$D$8)</f>
        <v>2442.3542749554445</v>
      </c>
      <c r="D45" s="69" cm="1">
        <f t="array" ref="D45">montecarloVAR_single($B$9,$B45,D$13,$B$1,$B$3,$D$8)</f>
        <v>5346.1908780160475</v>
      </c>
      <c r="E45" s="70" cm="1">
        <f t="array" ref="E45">montecarloVAR_single($B$9,$B45,E$13,$B$1,$B$3,$D$8)</f>
        <v>5820.6760779651122</v>
      </c>
      <c r="G45" s="59"/>
      <c r="H45">
        <v>23</v>
      </c>
      <c r="I45" s="69" cm="1">
        <f t="array" ref="I45">montecarloVAR_single($B$9,$H45,I$13,$B$2,$B$4,$D$8)</f>
        <v>9775.9193855260819</v>
      </c>
      <c r="J45" s="69" cm="1">
        <f t="array" ref="J45">montecarloVAR_single($B$9,$H45,J$13,$B$2,$B$4,$D$8)</f>
        <v>12819.282471493532</v>
      </c>
      <c r="K45" s="70" cm="1">
        <f t="array" ref="K45">montecarloVAR_single($B$9,$H45,K$13,$B$2,$B$4,$D$8)</f>
        <v>13477.365943545879</v>
      </c>
      <c r="M45" s="59"/>
      <c r="N45">
        <v>23</v>
      </c>
      <c r="O45" s="69" cm="1">
        <f t="array" ref="O45">montecarloVAR($B$9,$N45,O$13,$B$1,$B$2,$B$3,$B$4,$B$5,$B$6,$B$7,$B$8)</f>
        <v>7649.4951188650221</v>
      </c>
      <c r="P45" s="69" cm="1">
        <f t="array" ref="P45">montecarloVAR($B$9,$N45,P$13,$B$1,$B$2,$B$3,$B$4,$B$5,$B$6,$B$7,$B$8)</f>
        <v>11091.633858145002</v>
      </c>
      <c r="Q45" s="70" cm="1">
        <f t="array" ref="Q45">montecarloVAR($B$9,$N45,Q$13,$B$1,$B$2,$B$3,$B$4,$B$5,$B$6,$B$7,$B$8)</f>
        <v>12343.061049880413</v>
      </c>
      <c r="S45" s="59"/>
      <c r="T45">
        <v>23</v>
      </c>
      <c r="U45" s="69">
        <f t="shared" si="7"/>
        <v>4568.7785416165034</v>
      </c>
      <c r="V45" s="69">
        <f t="shared" si="8"/>
        <v>7073.839491364577</v>
      </c>
      <c r="W45" s="70">
        <f t="shared" si="9"/>
        <v>6954.980971630579</v>
      </c>
    </row>
    <row r="46" spans="1:23" x14ac:dyDescent="0.2">
      <c r="A46" s="59"/>
      <c r="B46">
        <v>24</v>
      </c>
      <c r="C46" s="69" cm="1">
        <f t="array" ref="C46">montecarloVAR_single($B$9,$B46,C$13,$B$1,$B$3,$D$8)</f>
        <v>2590.5482742330323</v>
      </c>
      <c r="D46" s="69" cm="1">
        <f t="array" ref="D46">montecarloVAR_single($B$9,$B46,D$13,$B$1,$B$3,$D$8)</f>
        <v>5276.0014910938289</v>
      </c>
      <c r="E46" s="70" cm="1">
        <f t="array" ref="E46">montecarloVAR_single($B$9,$B46,E$13,$B$1,$B$3,$D$8)</f>
        <v>6400.1703574676621</v>
      </c>
      <c r="G46" s="59"/>
      <c r="H46">
        <v>24</v>
      </c>
      <c r="I46" s="69" cm="1">
        <f t="array" ref="I46">montecarloVAR_single($B$9,$H46,I$13,$B$2,$B$4,$D$8)</f>
        <v>10185.50453949296</v>
      </c>
      <c r="J46" s="69" cm="1">
        <f t="array" ref="J46">montecarloVAR_single($B$9,$H46,J$13,$B$2,$B$4,$D$8)</f>
        <v>13127.321208938252</v>
      </c>
      <c r="K46" s="70" cm="1">
        <f t="array" ref="K46">montecarloVAR_single($B$9,$H46,K$13,$B$2,$B$4,$D$8)</f>
        <v>14154.549071498677</v>
      </c>
      <c r="M46" s="59"/>
      <c r="N46">
        <v>24</v>
      </c>
      <c r="O46" s="69" cm="1">
        <f t="array" ref="O46">montecarloVAR($B$9,$N46,O$13,$B$1,$B$2,$B$3,$B$4,$B$5,$B$6,$B$7,$B$8)</f>
        <v>7756.3703383751126</v>
      </c>
      <c r="P46" s="69" cm="1">
        <f t="array" ref="P46">montecarloVAR($B$9,$N46,P$13,$B$1,$B$2,$B$3,$B$4,$B$5,$B$6,$B$7,$B$8)</f>
        <v>11306.052534523549</v>
      </c>
      <c r="Q46" s="70" cm="1">
        <f t="array" ref="Q46">montecarloVAR($B$9,$N46,Q$13,$B$1,$B$2,$B$3,$B$4,$B$5,$B$6,$B$7,$B$8)</f>
        <v>12868.010162974517</v>
      </c>
      <c r="S46" s="59"/>
      <c r="T46">
        <v>24</v>
      </c>
      <c r="U46" s="69">
        <f t="shared" si="7"/>
        <v>5019.6824753508808</v>
      </c>
      <c r="V46" s="69">
        <f t="shared" si="8"/>
        <v>7097.2701655085311</v>
      </c>
      <c r="W46" s="70">
        <f t="shared" si="9"/>
        <v>7686.7092659918217</v>
      </c>
    </row>
    <row r="47" spans="1:23" x14ac:dyDescent="0.2">
      <c r="A47" s="59"/>
      <c r="B47">
        <v>25</v>
      </c>
      <c r="C47" s="69" cm="1">
        <f t="array" ref="C47">montecarloVAR_single($B$9,$B47,C$13,$B$1,$B$3,$D$8)</f>
        <v>2545.0081997764864</v>
      </c>
      <c r="D47" s="69" cm="1">
        <f t="array" ref="D47">montecarloVAR_single($B$9,$B47,D$13,$B$1,$B$3,$D$8)</f>
        <v>5148.4070076810995</v>
      </c>
      <c r="E47" s="70" cm="1">
        <f t="array" ref="E47">montecarloVAR_single($B$9,$B47,E$13,$B$1,$B$3,$D$8)</f>
        <v>6332.2783193580372</v>
      </c>
      <c r="G47" s="59"/>
      <c r="H47">
        <v>25</v>
      </c>
      <c r="I47" s="69" cm="1">
        <f t="array" ref="I47">montecarloVAR_single($B$9,$H47,I$13,$B$2,$B$4,$D$8)</f>
        <v>10286.460386023622</v>
      </c>
      <c r="J47" s="69" cm="1">
        <f t="array" ref="J47">montecarloVAR_single($B$9,$H47,J$13,$B$2,$B$4,$D$8)</f>
        <v>13313.627631738189</v>
      </c>
      <c r="K47" s="70" cm="1">
        <f t="array" ref="K47">montecarloVAR_single($B$9,$H47,K$13,$B$2,$B$4,$D$8)</f>
        <v>14359.459347671946</v>
      </c>
      <c r="M47" s="59"/>
      <c r="N47">
        <v>25</v>
      </c>
      <c r="O47" s="69" cm="1">
        <f t="array" ref="O47">montecarloVAR($B$9,$N47,O$13,$B$1,$B$2,$B$3,$B$4,$B$5,$B$6,$B$7,$B$8)</f>
        <v>8002.7604975056774</v>
      </c>
      <c r="P47" s="69" cm="1">
        <f t="array" ref="P47">montecarloVAR($B$9,$N47,P$13,$B$1,$B$2,$B$3,$B$4,$B$5,$B$6,$B$7,$B$8)</f>
        <v>11540.581012716984</v>
      </c>
      <c r="Q47" s="70" cm="1">
        <f t="array" ref="Q47">montecarloVAR($B$9,$N47,Q$13,$B$1,$B$2,$B$3,$B$4,$B$5,$B$6,$B$7,$B$8)</f>
        <v>13029.891882842241</v>
      </c>
      <c r="S47" s="59"/>
      <c r="T47">
        <v>25</v>
      </c>
      <c r="U47" s="69">
        <f t="shared" si="7"/>
        <v>4828.708088294431</v>
      </c>
      <c r="V47" s="69">
        <f t="shared" si="8"/>
        <v>6921.453626702305</v>
      </c>
      <c r="W47" s="70">
        <f t="shared" si="9"/>
        <v>7661.8457841877407</v>
      </c>
    </row>
    <row r="48" spans="1:23" x14ac:dyDescent="0.2">
      <c r="A48" s="59"/>
      <c r="B48">
        <v>26</v>
      </c>
      <c r="C48" s="69" cm="1">
        <f t="array" ref="C48">montecarloVAR_single($B$9,$B48,C$13,$B$1,$B$3,$D$8)</f>
        <v>2554.9111107231815</v>
      </c>
      <c r="D48" s="69" cm="1">
        <f t="array" ref="D48">montecarloVAR_single($B$9,$B48,D$13,$B$1,$B$3,$D$8)</f>
        <v>5091.6748465480077</v>
      </c>
      <c r="E48" s="70" cm="1">
        <f t="array" ref="E48">montecarloVAR_single($B$9,$B48,E$13,$B$1,$B$3,$D$8)</f>
        <v>5980.3596836271545</v>
      </c>
      <c r="G48" s="59"/>
      <c r="H48">
        <v>26</v>
      </c>
      <c r="I48" s="69" cm="1">
        <f t="array" ref="I48">montecarloVAR_single($B$9,$H48,I$13,$B$2,$B$4,$D$8)</f>
        <v>10668.603802223333</v>
      </c>
      <c r="J48" s="69" cm="1">
        <f t="array" ref="J48">montecarloVAR_single($B$9,$H48,J$13,$B$2,$B$4,$D$8)</f>
        <v>13332.186196173605</v>
      </c>
      <c r="K48" s="70" cm="1">
        <f t="array" ref="K48">montecarloVAR_single($B$9,$H48,K$13,$B$2,$B$4,$D$8)</f>
        <v>14348.125350729357</v>
      </c>
      <c r="M48" s="59"/>
      <c r="N48">
        <v>26</v>
      </c>
      <c r="O48" s="69" cm="1">
        <f t="array" ref="O48">montecarloVAR($B$9,$N48,O$13,$B$1,$B$2,$B$3,$B$4,$B$5,$B$6,$B$7,$B$8)</f>
        <v>8198.5531057333119</v>
      </c>
      <c r="P48" s="69" cm="1">
        <f t="array" ref="P48">montecarloVAR($B$9,$N48,P$13,$B$1,$B$2,$B$3,$B$4,$B$5,$B$6,$B$7,$B$8)</f>
        <v>12201.389452478295</v>
      </c>
      <c r="Q48" s="70" cm="1">
        <f t="array" ref="Q48">montecarloVAR($B$9,$N48,Q$13,$B$1,$B$2,$B$3,$B$4,$B$5,$B$6,$B$7,$B$8)</f>
        <v>13386.254364342598</v>
      </c>
      <c r="S48" s="59"/>
      <c r="T48">
        <v>26</v>
      </c>
      <c r="U48" s="69">
        <f t="shared" si="7"/>
        <v>5024.9618072132034</v>
      </c>
      <c r="V48" s="69">
        <f t="shared" si="8"/>
        <v>6222.4715902433163</v>
      </c>
      <c r="W48" s="70">
        <f t="shared" si="9"/>
        <v>6942.2306700139143</v>
      </c>
    </row>
    <row r="49" spans="1:23" x14ac:dyDescent="0.2">
      <c r="A49" s="59"/>
      <c r="B49">
        <v>27</v>
      </c>
      <c r="C49" s="69" cm="1">
        <f t="array" ref="C49">montecarloVAR_single($B$9,$B49,C$13,$B$1,$B$3,$D$8)</f>
        <v>2514.8318555376554</v>
      </c>
      <c r="D49" s="69" cm="1">
        <f t="array" ref="D49">montecarloVAR_single($B$9,$B49,D$13,$B$1,$B$3,$D$8)</f>
        <v>5391.6016481068245</v>
      </c>
      <c r="E49" s="70" cm="1">
        <f t="array" ref="E49">montecarloVAR_single($B$9,$B49,E$13,$B$1,$B$3,$D$8)</f>
        <v>6062.2803824157418</v>
      </c>
      <c r="G49" s="59"/>
      <c r="H49">
        <v>27</v>
      </c>
      <c r="I49" s="69" cm="1">
        <f t="array" ref="I49">montecarloVAR_single($B$9,$H49,I$13,$B$2,$B$4,$D$8)</f>
        <v>11031.567253587647</v>
      </c>
      <c r="J49" s="69" cm="1">
        <f t="array" ref="J49">montecarloVAR_single($B$9,$H49,J$13,$B$2,$B$4,$D$8)</f>
        <v>14171.57463600534</v>
      </c>
      <c r="K49" s="70" cm="1">
        <f t="array" ref="K49">montecarloVAR_single($B$9,$H49,K$13,$B$2,$B$4,$D$8)</f>
        <v>15125.273133772233</v>
      </c>
      <c r="M49" s="59"/>
      <c r="N49">
        <v>27</v>
      </c>
      <c r="O49" s="69" cm="1">
        <f t="array" ref="O49">montecarloVAR($B$9,$N49,O$13,$B$1,$B$2,$B$3,$B$4,$B$5,$B$6,$B$7,$B$8)</f>
        <v>8377.8838752039737</v>
      </c>
      <c r="P49" s="69" cm="1">
        <f t="array" ref="P49">montecarloVAR($B$9,$N49,P$13,$B$1,$B$2,$B$3,$B$4,$B$5,$B$6,$B$7,$B$8)</f>
        <v>12175.312014980269</v>
      </c>
      <c r="Q49" s="70" cm="1">
        <f t="array" ref="Q49">montecarloVAR($B$9,$N49,Q$13,$B$1,$B$2,$B$3,$B$4,$B$5,$B$6,$B$7,$B$8)</f>
        <v>13525.470030639686</v>
      </c>
      <c r="S49" s="59"/>
      <c r="T49">
        <v>27</v>
      </c>
      <c r="U49" s="69">
        <f t="shared" si="7"/>
        <v>5168.5152339213291</v>
      </c>
      <c r="V49" s="69">
        <f t="shared" si="8"/>
        <v>7387.8642691318946</v>
      </c>
      <c r="W49" s="70">
        <f t="shared" si="9"/>
        <v>7662.0834855482881</v>
      </c>
    </row>
    <row r="50" spans="1:23" x14ac:dyDescent="0.2">
      <c r="A50" s="59"/>
      <c r="B50">
        <v>28</v>
      </c>
      <c r="C50" s="69" cm="1">
        <f t="array" ref="C50">montecarloVAR_single($B$9,$B50,C$13,$B$1,$B$3,$D$8)</f>
        <v>2075.8848435630375</v>
      </c>
      <c r="D50" s="69" cm="1">
        <f t="array" ref="D50">montecarloVAR_single($B$9,$B50,D$13,$B$1,$B$3,$D$8)</f>
        <v>5393.8287159464935</v>
      </c>
      <c r="E50" s="70" cm="1">
        <f t="array" ref="E50">montecarloVAR_single($B$9,$B50,E$13,$B$1,$B$3,$D$8)</f>
        <v>6390.9670449941968</v>
      </c>
      <c r="G50" s="59"/>
      <c r="H50">
        <v>28</v>
      </c>
      <c r="I50" s="69" cm="1">
        <f t="array" ref="I50">montecarloVAR_single($B$9,$H50,I$13,$B$2,$B$4,$D$8)</f>
        <v>11333.528792156189</v>
      </c>
      <c r="J50" s="69" cm="1">
        <f t="array" ref="J50">montecarloVAR_single($B$9,$H50,J$13,$B$2,$B$4,$D$8)</f>
        <v>14050.8895526179</v>
      </c>
      <c r="K50" s="70" cm="1">
        <f t="array" ref="K50">montecarloVAR_single($B$9,$H50,K$13,$B$2,$B$4,$D$8)</f>
        <v>15711.541026263276</v>
      </c>
      <c r="M50" s="59"/>
      <c r="N50">
        <v>28</v>
      </c>
      <c r="O50" s="69" cm="1">
        <f t="array" ref="O50">montecarloVAR($B$9,$N50,O$13,$B$1,$B$2,$B$3,$B$4,$B$5,$B$6,$B$7,$B$8)</f>
        <v>8387.5986819935661</v>
      </c>
      <c r="P50" s="69" cm="1">
        <f t="array" ref="P50">montecarloVAR($B$9,$N50,P$13,$B$1,$B$2,$B$3,$B$4,$B$5,$B$6,$B$7,$B$8)</f>
        <v>12340.719328568808</v>
      </c>
      <c r="Q50" s="70" cm="1">
        <f t="array" ref="Q50">montecarloVAR($B$9,$N50,Q$13,$B$1,$B$2,$B$3,$B$4,$B$5,$B$6,$B$7,$B$8)</f>
        <v>13973.49076014813</v>
      </c>
      <c r="S50" s="59"/>
      <c r="T50">
        <v>28</v>
      </c>
      <c r="U50" s="69">
        <f t="shared" si="7"/>
        <v>5021.8149537256595</v>
      </c>
      <c r="V50" s="69">
        <f t="shared" si="8"/>
        <v>7103.9989399955848</v>
      </c>
      <c r="W50" s="70">
        <f t="shared" si="9"/>
        <v>8129.0173111093409</v>
      </c>
    </row>
    <row r="51" spans="1:23" x14ac:dyDescent="0.2">
      <c r="A51" s="59"/>
      <c r="B51">
        <v>29</v>
      </c>
      <c r="C51" s="69" cm="1">
        <f t="array" ref="C51">montecarloVAR_single($B$9,$B51,C$13,$B$1,$B$3,$D$8)</f>
        <v>2355.4795137743849</v>
      </c>
      <c r="D51" s="69" cm="1">
        <f t="array" ref="D51">montecarloVAR_single($B$9,$B51,D$13,$B$1,$B$3,$D$8)</f>
        <v>5251.9786106918991</v>
      </c>
      <c r="E51" s="70" cm="1">
        <f t="array" ref="E51">montecarloVAR_single($B$9,$B51,E$13,$B$1,$B$3,$D$8)</f>
        <v>6906.714067530901</v>
      </c>
      <c r="G51" s="59"/>
      <c r="H51">
        <v>29</v>
      </c>
      <c r="I51" s="69" cm="1">
        <f t="array" ref="I51">montecarloVAR_single($B$9,$H51,I$13,$B$2,$B$4,$D$8)</f>
        <v>11371.41187279879</v>
      </c>
      <c r="J51" s="69" cm="1">
        <f t="array" ref="J51">montecarloVAR_single($B$9,$H51,J$13,$B$2,$B$4,$D$8)</f>
        <v>14834.304495079936</v>
      </c>
      <c r="K51" s="70" cm="1">
        <f t="array" ref="K51">montecarloVAR_single($B$9,$H51,K$13,$B$2,$B$4,$D$8)</f>
        <v>15625.104575709027</v>
      </c>
      <c r="M51" s="59"/>
      <c r="N51">
        <v>29</v>
      </c>
      <c r="O51" s="69" cm="1">
        <f t="array" ref="O51">montecarloVAR($B$9,$N51,O$13,$B$1,$B$2,$B$3,$B$4,$B$5,$B$6,$B$7,$B$8)</f>
        <v>8582.3002730429125</v>
      </c>
      <c r="P51" s="69" cm="1">
        <f t="array" ref="P51">montecarloVAR($B$9,$N51,P$13,$B$1,$B$2,$B$3,$B$4,$B$5,$B$6,$B$7,$B$8)</f>
        <v>12727.203336832934</v>
      </c>
      <c r="Q51" s="70" cm="1">
        <f t="array" ref="Q51">montecarloVAR($B$9,$N51,Q$13,$B$1,$B$2,$B$3,$B$4,$B$5,$B$6,$B$7,$B$8)</f>
        <v>14103.102677982592</v>
      </c>
      <c r="S51" s="59"/>
      <c r="T51">
        <v>29</v>
      </c>
      <c r="U51" s="69">
        <f t="shared" si="7"/>
        <v>5144.5911135302613</v>
      </c>
      <c r="V51" s="69">
        <f t="shared" si="8"/>
        <v>7359.0797689389019</v>
      </c>
      <c r="W51" s="70">
        <f t="shared" si="9"/>
        <v>8428.7159652573355</v>
      </c>
    </row>
    <row r="52" spans="1:23" x14ac:dyDescent="0.2">
      <c r="A52" s="59"/>
      <c r="B52">
        <v>30</v>
      </c>
      <c r="C52" s="69" cm="1">
        <f t="array" ref="C52">montecarloVAR_single($B$9,$B52,C$13,$B$1,$B$3,$D$8)</f>
        <v>2360.0233907051825</v>
      </c>
      <c r="D52" s="69" cm="1">
        <f t="array" ref="D52">montecarloVAR_single($B$9,$B52,D$13,$B$1,$B$3,$D$8)</f>
        <v>5172.1671620341285</v>
      </c>
      <c r="E52" s="70" cm="1">
        <f t="array" ref="E52">montecarloVAR_single($B$9,$B52,E$13,$B$1,$B$3,$D$8)</f>
        <v>6407.8095653586925</v>
      </c>
      <c r="G52" s="59"/>
      <c r="H52">
        <v>30</v>
      </c>
      <c r="I52" s="69" cm="1">
        <f t="array" ref="I52">montecarloVAR_single($B$9,$H52,I$13,$B$2,$B$4,$D$8)</f>
        <v>11820.464355855791</v>
      </c>
      <c r="J52" s="69" cm="1">
        <f t="array" ref="J52">montecarloVAR_single($B$9,$H52,J$13,$B$2,$B$4,$D$8)</f>
        <v>15095.883851212953</v>
      </c>
      <c r="K52" s="70" cm="1">
        <f t="array" ref="K52">montecarloVAR_single($B$9,$H52,K$13,$B$2,$B$4,$D$8)</f>
        <v>16168.928463798697</v>
      </c>
      <c r="M52" s="59"/>
      <c r="N52">
        <v>30</v>
      </c>
      <c r="O52" s="69" cm="1">
        <f t="array" ref="O52">montecarloVAR($B$9,$N52,O$13,$B$1,$B$2,$B$3,$B$4,$B$5,$B$6,$B$7,$B$8)</f>
        <v>8509.5209563138305</v>
      </c>
      <c r="P52" s="69" cm="1">
        <f t="array" ref="P52">montecarloVAR($B$9,$N52,P$13,$B$1,$B$2,$B$3,$B$4,$B$5,$B$6,$B$7,$B$8)</f>
        <v>12474.888215566825</v>
      </c>
      <c r="Q52" s="70" cm="1">
        <f t="array" ref="Q52">montecarloVAR($B$9,$N52,Q$13,$B$1,$B$2,$B$3,$B$4,$B$5,$B$6,$B$7,$B$8)</f>
        <v>13682.16512592433</v>
      </c>
      <c r="S52" s="59"/>
      <c r="T52">
        <v>30</v>
      </c>
      <c r="U52" s="69">
        <f t="shared" si="7"/>
        <v>5670.9667902471429</v>
      </c>
      <c r="V52" s="69">
        <f t="shared" si="8"/>
        <v>7793.1627976802556</v>
      </c>
      <c r="W52" s="70">
        <f t="shared" si="9"/>
        <v>8894.5729032330601</v>
      </c>
    </row>
    <row r="53" spans="1:23" x14ac:dyDescent="0.2">
      <c r="A53" s="59"/>
      <c r="B53">
        <v>31</v>
      </c>
      <c r="C53" s="69" cm="1">
        <f t="array" ref="C53">montecarloVAR_single($B$9,$B53,C$13,$B$1,$B$3,$D$8)</f>
        <v>2434.1839957631005</v>
      </c>
      <c r="D53" s="69" cm="1">
        <f t="array" ref="D53">montecarloVAR_single($B$9,$B53,D$13,$B$1,$B$3,$D$8)</f>
        <v>5184.3572622946467</v>
      </c>
      <c r="E53" s="70" cm="1">
        <f t="array" ref="E53">montecarloVAR_single($B$9,$B53,E$13,$B$1,$B$3,$D$8)</f>
        <v>6365.2763395849643</v>
      </c>
      <c r="G53" s="59"/>
      <c r="H53">
        <v>31</v>
      </c>
      <c r="I53" s="69" cm="1">
        <f t="array" ref="I53">montecarloVAR_single($B$9,$H53,I$13,$B$2,$B$4,$D$8)</f>
        <v>11927.03603485139</v>
      </c>
      <c r="J53" s="69" cm="1">
        <f t="array" ref="J53">montecarloVAR_single($B$9,$H53,J$13,$B$2,$B$4,$D$8)</f>
        <v>15337.024234080567</v>
      </c>
      <c r="K53" s="70" cm="1">
        <f t="array" ref="K53">montecarloVAR_single($B$9,$H53,K$13,$B$2,$B$4,$D$8)</f>
        <v>16455.234933500305</v>
      </c>
      <c r="M53" s="59"/>
      <c r="N53">
        <v>31</v>
      </c>
      <c r="O53" s="69" cm="1">
        <f t="array" ref="O53">montecarloVAR($B$9,$N53,O$13,$B$1,$B$2,$B$3,$B$4,$B$5,$B$6,$B$7,$B$8)</f>
        <v>8773.1559551865357</v>
      </c>
      <c r="P53" s="69" cm="1">
        <f t="array" ref="P53">montecarloVAR($B$9,$N53,P$13,$B$1,$B$2,$B$3,$B$4,$B$5,$B$6,$B$7,$B$8)</f>
        <v>13007.731822424448</v>
      </c>
      <c r="Q53" s="70" cm="1">
        <f t="array" ref="Q53">montecarloVAR($B$9,$N53,Q$13,$B$1,$B$2,$B$3,$B$4,$B$5,$B$6,$B$7,$B$8)</f>
        <v>14558.833398864772</v>
      </c>
      <c r="S53" s="59"/>
      <c r="T53">
        <v>31</v>
      </c>
      <c r="U53" s="69">
        <f t="shared" si="7"/>
        <v>5588.0640754279539</v>
      </c>
      <c r="V53" s="69">
        <f t="shared" si="8"/>
        <v>7513.6496739507675</v>
      </c>
      <c r="W53" s="70">
        <f t="shared" si="9"/>
        <v>8261.6778742204988</v>
      </c>
    </row>
    <row r="54" spans="1:23" x14ac:dyDescent="0.2">
      <c r="A54" s="59"/>
      <c r="B54">
        <v>32</v>
      </c>
      <c r="C54" s="69" cm="1">
        <f t="array" ref="C54">montecarloVAR_single($B$9,$B54,C$13,$B$1,$B$3,$D$8)</f>
        <v>2319.283847335591</v>
      </c>
      <c r="D54" s="69" cm="1">
        <f t="array" ref="D54">montecarloVAR_single($B$9,$B54,D$13,$B$1,$B$3,$D$8)</f>
        <v>5095.8256593842652</v>
      </c>
      <c r="E54" s="70" cm="1">
        <f t="array" ref="E54">montecarloVAR_single($B$9,$B54,E$13,$B$1,$B$3,$D$8)</f>
        <v>6334.3792153779095</v>
      </c>
      <c r="G54" s="59"/>
      <c r="H54">
        <v>32</v>
      </c>
      <c r="I54" s="69" cm="1">
        <f t="array" ref="I54">montecarloVAR_single($B$9,$H54,I$13,$B$2,$B$4,$D$8)</f>
        <v>12158.201098792459</v>
      </c>
      <c r="J54" s="69" cm="1">
        <f t="array" ref="J54">montecarloVAR_single($B$9,$H54,J$13,$B$2,$B$4,$D$8)</f>
        <v>15718.225694560337</v>
      </c>
      <c r="K54" s="70" cm="1">
        <f t="array" ref="K54">montecarloVAR_single($B$9,$H54,K$13,$B$2,$B$4,$D$8)</f>
        <v>17034.198199621911</v>
      </c>
      <c r="M54" s="59"/>
      <c r="N54">
        <v>32</v>
      </c>
      <c r="O54" s="69" cm="1">
        <f t="array" ref="O54">montecarloVAR($B$9,$N54,O$13,$B$1,$B$2,$B$3,$B$4,$B$5,$B$6,$B$7,$B$8)</f>
        <v>9054.5370244896603</v>
      </c>
      <c r="P54" s="69" cm="1">
        <f t="array" ref="P54">montecarloVAR($B$9,$N54,P$13,$B$1,$B$2,$B$3,$B$4,$B$5,$B$6,$B$7,$B$8)</f>
        <v>12881.432520157239</v>
      </c>
      <c r="Q54" s="70" cm="1">
        <f t="array" ref="Q54">montecarloVAR($B$9,$N54,Q$13,$B$1,$B$2,$B$3,$B$4,$B$5,$B$6,$B$7,$B$8)</f>
        <v>14570.6749601051</v>
      </c>
      <c r="S54" s="59"/>
      <c r="T54">
        <v>32</v>
      </c>
      <c r="U54" s="69">
        <f t="shared" si="7"/>
        <v>5422.9479216383897</v>
      </c>
      <c r="V54" s="69">
        <f t="shared" si="8"/>
        <v>7932.6188337873646</v>
      </c>
      <c r="W54" s="70">
        <f t="shared" si="9"/>
        <v>8797.9024548947218</v>
      </c>
    </row>
    <row r="55" spans="1:23" x14ac:dyDescent="0.2">
      <c r="A55" s="59"/>
      <c r="B55">
        <v>33</v>
      </c>
      <c r="C55" s="69" cm="1">
        <f t="array" ref="C55">montecarloVAR_single($B$9,$B55,C$13,$B$1,$B$3,$D$8)</f>
        <v>2147.1578868582474</v>
      </c>
      <c r="D55" s="69" cm="1">
        <f t="array" ref="D55">montecarloVAR_single($B$9,$B55,D$13,$B$1,$B$3,$D$8)</f>
        <v>5261.3030540339605</v>
      </c>
      <c r="E55" s="70" cm="1">
        <f t="array" ref="E55">montecarloVAR_single($B$9,$B55,E$13,$B$1,$B$3,$D$8)</f>
        <v>6278.3327177431875</v>
      </c>
      <c r="G55" s="59"/>
      <c r="H55">
        <v>33</v>
      </c>
      <c r="I55" s="69" cm="1">
        <f t="array" ref="I55">montecarloVAR_single($B$9,$H55,I$13,$B$2,$B$4,$D$8)</f>
        <v>12571.741798494177</v>
      </c>
      <c r="J55" s="69" cm="1">
        <f t="array" ref="J55">montecarloVAR_single($B$9,$H55,J$13,$B$2,$B$4,$D$8)</f>
        <v>15679.499586198755</v>
      </c>
      <c r="K55" s="70" cm="1">
        <f t="array" ref="K55">montecarloVAR_single($B$9,$H55,K$13,$B$2,$B$4,$D$8)</f>
        <v>16984.729406458482</v>
      </c>
      <c r="M55" s="59"/>
      <c r="N55">
        <v>33</v>
      </c>
      <c r="O55" s="69" cm="1">
        <f t="array" ref="O55">montecarloVAR($B$9,$N55,O$13,$B$1,$B$2,$B$3,$B$4,$B$5,$B$6,$B$7,$B$8)</f>
        <v>8969.651030699566</v>
      </c>
      <c r="P55" s="69" cm="1">
        <f t="array" ref="P55">montecarloVAR($B$9,$N55,P$13,$B$1,$B$2,$B$3,$B$4,$B$5,$B$6,$B$7,$B$8)</f>
        <v>13368.217812933464</v>
      </c>
      <c r="Q55" s="70" cm="1">
        <f t="array" ref="Q55">montecarloVAR($B$9,$N55,Q$13,$B$1,$B$2,$B$3,$B$4,$B$5,$B$6,$B$7,$B$8)</f>
        <v>14452.821412515612</v>
      </c>
      <c r="S55" s="59"/>
      <c r="T55">
        <v>33</v>
      </c>
      <c r="U55" s="69">
        <f t="shared" si="7"/>
        <v>5749.248654652858</v>
      </c>
      <c r="V55" s="69">
        <f t="shared" si="8"/>
        <v>7572.5848272992516</v>
      </c>
      <c r="W55" s="70">
        <f t="shared" si="9"/>
        <v>8810.2407116860595</v>
      </c>
    </row>
    <row r="56" spans="1:23" x14ac:dyDescent="0.2">
      <c r="A56" s="59"/>
      <c r="B56">
        <v>34</v>
      </c>
      <c r="C56" s="69" cm="1">
        <f t="array" ref="C56">montecarloVAR_single($B$9,$B56,C$13,$B$1,$B$3,$D$8)</f>
        <v>2178.7813418015226</v>
      </c>
      <c r="D56" s="69" cm="1">
        <f t="array" ref="D56">montecarloVAR_single($B$9,$B56,D$13,$B$1,$B$3,$D$8)</f>
        <v>5256.1331338187065</v>
      </c>
      <c r="E56" s="70" cm="1">
        <f t="array" ref="E56">montecarloVAR_single($B$9,$B56,E$13,$B$1,$B$3,$D$8)</f>
        <v>6518.3296246262398</v>
      </c>
      <c r="G56" s="59"/>
      <c r="H56">
        <v>34</v>
      </c>
      <c r="I56" s="69" cm="1">
        <f t="array" ref="I56">montecarloVAR_single($B$9,$H56,I$13,$B$2,$B$4,$D$8)</f>
        <v>12736.813036669879</v>
      </c>
      <c r="J56" s="69" cm="1">
        <f t="array" ref="J56">montecarloVAR_single($B$9,$H56,J$13,$B$2,$B$4,$D$8)</f>
        <v>16170.2934162731</v>
      </c>
      <c r="K56" s="70" cm="1">
        <f t="array" ref="K56">montecarloVAR_single($B$9,$H56,K$13,$B$2,$B$4,$D$8)</f>
        <v>17317.342599386491</v>
      </c>
      <c r="M56" s="59"/>
      <c r="N56">
        <v>34</v>
      </c>
      <c r="O56" s="69" cm="1">
        <f t="array" ref="O56">montecarloVAR($B$9,$N56,O$13,$B$1,$B$2,$B$3,$B$4,$B$5,$B$6,$B$7,$B$8)</f>
        <v>9135.1335488292607</v>
      </c>
      <c r="P56" s="69" cm="1">
        <f t="array" ref="P56">montecarloVAR($B$9,$N56,P$13,$B$1,$B$2,$B$3,$B$4,$B$5,$B$6,$B$7,$B$8)</f>
        <v>13526.630987226385</v>
      </c>
      <c r="Q56" s="70" cm="1">
        <f t="array" ref="Q56">montecarloVAR($B$9,$N56,Q$13,$B$1,$B$2,$B$3,$B$4,$B$5,$B$6,$B$7,$B$8)</f>
        <v>14809.562828371798</v>
      </c>
      <c r="S56" s="59"/>
      <c r="T56">
        <v>34</v>
      </c>
      <c r="U56" s="69">
        <f t="shared" si="7"/>
        <v>5780.4608296421411</v>
      </c>
      <c r="V56" s="69">
        <f t="shared" si="8"/>
        <v>7899.7955628654199</v>
      </c>
      <c r="W56" s="70">
        <f t="shared" si="9"/>
        <v>9026.1093956409331</v>
      </c>
    </row>
    <row r="57" spans="1:23" x14ac:dyDescent="0.2">
      <c r="A57" s="59"/>
      <c r="B57">
        <v>35</v>
      </c>
      <c r="C57" s="69" cm="1">
        <f t="array" ref="C57">montecarloVAR_single($B$9,$B57,C$13,$B$1,$B$3,$D$8)</f>
        <v>2193.9457946764155</v>
      </c>
      <c r="D57" s="69" cm="1">
        <f t="array" ref="D57">montecarloVAR_single($B$9,$B57,D$13,$B$1,$B$3,$D$8)</f>
        <v>5139.1393335094463</v>
      </c>
      <c r="E57" s="70" cm="1">
        <f t="array" ref="E57">montecarloVAR_single($B$9,$B57,E$13,$B$1,$B$3,$D$8)</f>
        <v>6632.0514776737182</v>
      </c>
      <c r="G57" s="59"/>
      <c r="H57">
        <v>35</v>
      </c>
      <c r="I57" s="69" cm="1">
        <f t="array" ref="I57">montecarloVAR_single($B$9,$H57,I$13,$B$2,$B$4,$D$8)</f>
        <v>12967.850929046177</v>
      </c>
      <c r="J57" s="69" cm="1">
        <f t="array" ref="J57">montecarloVAR_single($B$9,$H57,J$13,$B$2,$B$4,$D$8)</f>
        <v>16086.192852912436</v>
      </c>
      <c r="K57" s="70" cm="1">
        <f t="array" ref="K57">montecarloVAR_single($B$9,$H57,K$13,$B$2,$B$4,$D$8)</f>
        <v>17910.095487260391</v>
      </c>
      <c r="M57" s="59"/>
      <c r="N57">
        <v>35</v>
      </c>
      <c r="O57" s="69" cm="1">
        <f t="array" ref="O57">montecarloVAR($B$9,$N57,O$13,$B$1,$B$2,$B$3,$B$4,$B$5,$B$6,$B$7,$B$8)</f>
        <v>9409.0294780082804</v>
      </c>
      <c r="P57" s="69" cm="1">
        <f t="array" ref="P57">montecarloVAR($B$9,$N57,P$13,$B$1,$B$2,$B$3,$B$4,$B$5,$B$6,$B$7,$B$8)</f>
        <v>13941.659433110368</v>
      </c>
      <c r="Q57" s="70" cm="1">
        <f t="array" ref="Q57">montecarloVAR($B$9,$N57,Q$13,$B$1,$B$2,$B$3,$B$4,$B$5,$B$6,$B$7,$B$8)</f>
        <v>15964.679704613973</v>
      </c>
      <c r="S57" s="59"/>
      <c r="T57">
        <v>35</v>
      </c>
      <c r="U57" s="69">
        <f t="shared" si="7"/>
        <v>5752.7672457143126</v>
      </c>
      <c r="V57" s="69">
        <f t="shared" si="8"/>
        <v>7283.6727533115136</v>
      </c>
      <c r="W57" s="70">
        <f t="shared" si="9"/>
        <v>8577.4672603201361</v>
      </c>
    </row>
    <row r="58" spans="1:23" x14ac:dyDescent="0.2">
      <c r="A58" s="59"/>
      <c r="B58">
        <v>36</v>
      </c>
      <c r="C58" s="69" cm="1">
        <f t="array" ref="C58">montecarloVAR_single($B$9,$B58,C$13,$B$1,$B$3,$D$8)</f>
        <v>2040.9173166175624</v>
      </c>
      <c r="D58" s="69" cm="1">
        <f t="array" ref="D58">montecarloVAR_single($B$9,$B58,D$13,$B$1,$B$3,$D$8)</f>
        <v>5222.8134233257806</v>
      </c>
      <c r="E58" s="70" cm="1">
        <f t="array" ref="E58">montecarloVAR_single($B$9,$B58,E$13,$B$1,$B$3,$D$8)</f>
        <v>6613.2158854405816</v>
      </c>
      <c r="G58" s="59"/>
      <c r="H58">
        <v>36</v>
      </c>
      <c r="I58" s="69" cm="1">
        <f t="array" ref="I58">montecarloVAR_single($B$9,$H58,I$13,$B$2,$B$4,$D$8)</f>
        <v>13221.922728546318</v>
      </c>
      <c r="J58" s="69" cm="1">
        <f t="array" ref="J58">montecarloVAR_single($B$9,$H58,J$13,$B$2,$B$4,$D$8)</f>
        <v>16743.263292969918</v>
      </c>
      <c r="K58" s="70" cm="1">
        <f t="array" ref="K58">montecarloVAR_single($B$9,$H58,K$13,$B$2,$B$4,$D$8)</f>
        <v>18409.078374881094</v>
      </c>
      <c r="M58" s="59"/>
      <c r="N58">
        <v>36</v>
      </c>
      <c r="O58" s="69" cm="1">
        <f t="array" ref="O58">montecarloVAR($B$9,$N58,O$13,$B$1,$B$2,$B$3,$B$4,$B$5,$B$6,$B$7,$B$8)</f>
        <v>9636.56741257455</v>
      </c>
      <c r="P58" s="69" cm="1">
        <f t="array" ref="P58">montecarloVAR($B$9,$N58,P$13,$B$1,$B$2,$B$3,$B$4,$B$5,$B$6,$B$7,$B$8)</f>
        <v>13608.065407740103</v>
      </c>
      <c r="Q58" s="70" cm="1">
        <f t="array" ref="Q58">montecarloVAR($B$9,$N58,Q$13,$B$1,$B$2,$B$3,$B$4,$B$5,$B$6,$B$7,$B$8)</f>
        <v>14981.801528268648</v>
      </c>
      <c r="S58" s="59"/>
      <c r="T58">
        <v>36</v>
      </c>
      <c r="U58" s="69">
        <f t="shared" si="7"/>
        <v>5626.2726325893309</v>
      </c>
      <c r="V58" s="69">
        <f t="shared" si="8"/>
        <v>8358.011308555595</v>
      </c>
      <c r="W58" s="70">
        <f t="shared" si="9"/>
        <v>10040.492732053028</v>
      </c>
    </row>
    <row r="59" spans="1:23" x14ac:dyDescent="0.2">
      <c r="A59" s="59"/>
      <c r="B59">
        <v>37</v>
      </c>
      <c r="C59" s="69" cm="1">
        <f t="array" ref="C59">montecarloVAR_single($B$9,$B59,C$13,$B$1,$B$3,$D$8)</f>
        <v>1745.5776119608047</v>
      </c>
      <c r="D59" s="69" cm="1">
        <f t="array" ref="D59">montecarloVAR_single($B$9,$B59,D$13,$B$1,$B$3,$D$8)</f>
        <v>5189.1525945191606</v>
      </c>
      <c r="E59" s="70" cm="1">
        <f t="array" ref="E59">montecarloVAR_single($B$9,$B59,E$13,$B$1,$B$3,$D$8)</f>
        <v>6567.2086201038419</v>
      </c>
      <c r="G59" s="59"/>
      <c r="H59">
        <v>37</v>
      </c>
      <c r="I59" s="69" cm="1">
        <f t="array" ref="I59">montecarloVAR_single($B$9,$H59,I$13,$B$2,$B$4,$D$8)</f>
        <v>13389.219621628514</v>
      </c>
      <c r="J59" s="69" cm="1">
        <f t="array" ref="J59">montecarloVAR_single($B$9,$H59,J$13,$B$2,$B$4,$D$8)</f>
        <v>17540.026424233234</v>
      </c>
      <c r="K59" s="70" cm="1">
        <f t="array" ref="K59">montecarloVAR_single($B$9,$H59,K$13,$B$2,$B$4,$D$8)</f>
        <v>18392.209731390307</v>
      </c>
      <c r="M59" s="59"/>
      <c r="N59">
        <v>37</v>
      </c>
      <c r="O59" s="69" cm="1">
        <f t="array" ref="O59">montecarloVAR($B$9,$N59,O$13,$B$1,$B$2,$B$3,$B$4,$B$5,$B$6,$B$7,$B$8)</f>
        <v>9314.548477008615</v>
      </c>
      <c r="P59" s="69" cm="1">
        <f t="array" ref="P59">montecarloVAR($B$9,$N59,P$13,$B$1,$B$2,$B$3,$B$4,$B$5,$B$6,$B$7,$B$8)</f>
        <v>13989.153392933908</v>
      </c>
      <c r="Q59" s="70" cm="1">
        <f t="array" ref="Q59">montecarloVAR($B$9,$N59,Q$13,$B$1,$B$2,$B$3,$B$4,$B$5,$B$6,$B$7,$B$8)</f>
        <v>15522.692139303244</v>
      </c>
      <c r="S59" s="59"/>
      <c r="T59">
        <v>37</v>
      </c>
      <c r="U59" s="69">
        <f t="shared" si="7"/>
        <v>5820.2487565807041</v>
      </c>
      <c r="V59" s="69">
        <f t="shared" si="8"/>
        <v>8740.0256258184872</v>
      </c>
      <c r="W59" s="70">
        <f t="shared" si="9"/>
        <v>9436.7262121909025</v>
      </c>
    </row>
    <row r="60" spans="1:23" x14ac:dyDescent="0.2">
      <c r="A60" s="59"/>
      <c r="B60">
        <v>38</v>
      </c>
      <c r="C60" s="69" cm="1">
        <f t="array" ref="C60">montecarloVAR_single($B$9,$B60,C$13,$B$1,$B$3,$D$8)</f>
        <v>1803.7169123837973</v>
      </c>
      <c r="D60" s="69" cm="1">
        <f t="array" ref="D60">montecarloVAR_single($B$9,$B60,D$13,$B$1,$B$3,$D$8)</f>
        <v>5368.9166565976529</v>
      </c>
      <c r="E60" s="70" cm="1">
        <f t="array" ref="E60">montecarloVAR_single($B$9,$B60,E$13,$B$1,$B$3,$D$8)</f>
        <v>6176.3366786901488</v>
      </c>
      <c r="G60" s="59"/>
      <c r="H60">
        <v>38</v>
      </c>
      <c r="I60" s="69" cm="1">
        <f t="array" ref="I60">montecarloVAR_single($B$9,$H60,I$13,$B$2,$B$4,$D$8)</f>
        <v>14102.934461394956</v>
      </c>
      <c r="J60" s="69" cm="1">
        <f t="array" ref="J60">montecarloVAR_single($B$9,$H60,J$13,$B$2,$B$4,$D$8)</f>
        <v>17405.59997404716</v>
      </c>
      <c r="K60" s="70" cm="1">
        <f t="array" ref="K60">montecarloVAR_single($B$9,$H60,K$13,$B$2,$B$4,$D$8)</f>
        <v>18576.459457104807</v>
      </c>
      <c r="M60" s="59"/>
      <c r="N60">
        <v>38</v>
      </c>
      <c r="O60" s="69" cm="1">
        <f t="array" ref="O60">montecarloVAR($B$9,$N60,O$13,$B$1,$B$2,$B$3,$B$4,$B$5,$B$6,$B$7,$B$8)</f>
        <v>9943.9151039873905</v>
      </c>
      <c r="P60" s="69" cm="1">
        <f t="array" ref="P60">montecarloVAR($B$9,$N60,P$13,$B$1,$B$2,$B$3,$B$4,$B$5,$B$6,$B$7,$B$8)</f>
        <v>13647.78689894534</v>
      </c>
      <c r="Q60" s="70" cm="1">
        <f t="array" ref="Q60">montecarloVAR($B$9,$N60,Q$13,$B$1,$B$2,$B$3,$B$4,$B$5,$B$6,$B$7,$B$8)</f>
        <v>15468.235877160601</v>
      </c>
      <c r="S60" s="59"/>
      <c r="T60">
        <v>38</v>
      </c>
      <c r="U60" s="69">
        <f t="shared" si="7"/>
        <v>5962.7362697913632</v>
      </c>
      <c r="V60" s="69">
        <f t="shared" si="8"/>
        <v>9126.7297316994718</v>
      </c>
      <c r="W60" s="70">
        <f t="shared" si="9"/>
        <v>9284.5602586343557</v>
      </c>
    </row>
    <row r="61" spans="1:23" x14ac:dyDescent="0.2">
      <c r="A61" s="59"/>
      <c r="B61">
        <v>39</v>
      </c>
      <c r="C61" s="69" cm="1">
        <f t="array" ref="C61">montecarloVAR_single($B$9,$B61,C$13,$B$1,$B$3,$D$8)</f>
        <v>1995.826734260283</v>
      </c>
      <c r="D61" s="69" cm="1">
        <f t="array" ref="D61">montecarloVAR_single($B$9,$B61,D$13,$B$1,$B$3,$D$8)</f>
        <v>5683.1383211918637</v>
      </c>
      <c r="E61" s="70" cm="1">
        <f t="array" ref="E61">montecarloVAR_single($B$9,$B61,E$13,$B$1,$B$3,$D$8)</f>
        <v>6292.5605340135508</v>
      </c>
      <c r="G61" s="59"/>
      <c r="H61">
        <v>39</v>
      </c>
      <c r="I61" s="69" cm="1">
        <f t="array" ref="I61">montecarloVAR_single($B$9,$H61,I$13,$B$2,$B$4,$D$8)</f>
        <v>14028.349343935432</v>
      </c>
      <c r="J61" s="69" cm="1">
        <f t="array" ref="J61">montecarloVAR_single($B$9,$H61,J$13,$B$2,$B$4,$D$8)</f>
        <v>17467.327690886523</v>
      </c>
      <c r="K61" s="70" cm="1">
        <f t="array" ref="K61">montecarloVAR_single($B$9,$H61,K$13,$B$2,$B$4,$D$8)</f>
        <v>19406.580432596824</v>
      </c>
      <c r="M61" s="59"/>
      <c r="N61">
        <v>39</v>
      </c>
      <c r="O61" s="69" cm="1">
        <f t="array" ref="O61">montecarloVAR($B$9,$N61,O$13,$B$1,$B$2,$B$3,$B$4,$B$5,$B$6,$B$7,$B$8)</f>
        <v>9917.519525075435</v>
      </c>
      <c r="P61" s="69" cm="1">
        <f t="array" ref="P61">montecarloVAR($B$9,$N61,P$13,$B$1,$B$2,$B$3,$B$4,$B$5,$B$6,$B$7,$B$8)</f>
        <v>14331.854360277255</v>
      </c>
      <c r="Q61" s="70" cm="1">
        <f t="array" ref="Q61">montecarloVAR($B$9,$N61,Q$13,$B$1,$B$2,$B$3,$B$4,$B$5,$B$6,$B$7,$B$8)</f>
        <v>16159.648234124423</v>
      </c>
      <c r="S61" s="59"/>
      <c r="T61">
        <v>39</v>
      </c>
      <c r="U61" s="69">
        <f t="shared" si="7"/>
        <v>6106.6565531202796</v>
      </c>
      <c r="V61" s="69">
        <f t="shared" si="8"/>
        <v>8818.6116518011331</v>
      </c>
      <c r="W61" s="70">
        <f t="shared" si="9"/>
        <v>9539.4927324859527</v>
      </c>
    </row>
    <row r="62" spans="1:23" x14ac:dyDescent="0.2">
      <c r="A62" s="59"/>
      <c r="B62">
        <v>40</v>
      </c>
      <c r="C62" s="69" cm="1">
        <f t="array" ref="C62">montecarloVAR_single($B$9,$B62,C$13,$B$1,$B$3,$D$8)</f>
        <v>2095.9218660399511</v>
      </c>
      <c r="D62" s="69" cm="1">
        <f t="array" ref="D62">montecarloVAR_single($B$9,$B62,D$13,$B$1,$B$3,$D$8)</f>
        <v>5364.2406570268822</v>
      </c>
      <c r="E62" s="70" cm="1">
        <f t="array" ref="E62">montecarloVAR_single($B$9,$B62,E$13,$B$1,$B$3,$D$8)</f>
        <v>6280.8199378694535</v>
      </c>
      <c r="G62" s="59"/>
      <c r="H62">
        <v>40</v>
      </c>
      <c r="I62" s="69" cm="1">
        <f t="array" ref="I62">montecarloVAR_single($B$9,$H62,I$13,$B$2,$B$4,$D$8)</f>
        <v>14336.67900329998</v>
      </c>
      <c r="J62" s="69" cm="1">
        <f t="array" ref="J62">montecarloVAR_single($B$9,$H62,J$13,$B$2,$B$4,$D$8)</f>
        <v>17805.212320073802</v>
      </c>
      <c r="K62" s="70" cm="1">
        <f t="array" ref="K62">montecarloVAR_single($B$9,$H62,K$13,$B$2,$B$4,$D$8)</f>
        <v>19464.251895027781</v>
      </c>
      <c r="M62" s="59"/>
      <c r="N62">
        <v>40</v>
      </c>
      <c r="O62" s="69" cm="1">
        <f t="array" ref="O62">montecarloVAR($B$9,$N62,O$13,$B$1,$B$2,$B$3,$B$4,$B$5,$B$6,$B$7,$B$8)</f>
        <v>9899.1660477382211</v>
      </c>
      <c r="P62" s="69" cm="1">
        <f t="array" ref="P62">montecarloVAR($B$9,$N62,P$13,$B$1,$B$2,$B$3,$B$4,$B$5,$B$6,$B$7,$B$8)</f>
        <v>14599.141627138608</v>
      </c>
      <c r="Q62" s="70" cm="1">
        <f t="array" ref="Q62">montecarloVAR($B$9,$N62,Q$13,$B$1,$B$2,$B$3,$B$4,$B$5,$B$6,$B$7,$B$8)</f>
        <v>16171.705798688672</v>
      </c>
      <c r="S62" s="59"/>
      <c r="T62">
        <v>40</v>
      </c>
      <c r="U62" s="69">
        <f t="shared" si="7"/>
        <v>6533.4348216017097</v>
      </c>
      <c r="V62" s="69">
        <f t="shared" si="8"/>
        <v>8570.3113499620777</v>
      </c>
      <c r="W62" s="70">
        <f t="shared" si="9"/>
        <v>9573.3660342085641</v>
      </c>
    </row>
    <row r="63" spans="1:23" x14ac:dyDescent="0.2">
      <c r="A63" s="59"/>
      <c r="B63">
        <v>41</v>
      </c>
      <c r="C63" s="69" cm="1">
        <f t="array" ref="C63">montecarloVAR_single($B$9,$B63,C$13,$B$1,$B$3,$D$8)</f>
        <v>1700.3369305180156</v>
      </c>
      <c r="D63" s="69" cm="1">
        <f t="array" ref="D63">montecarloVAR_single($B$9,$B63,D$13,$B$1,$B$3,$D$8)</f>
        <v>5377.3512380761076</v>
      </c>
      <c r="E63" s="70" cm="1">
        <f t="array" ref="E63">montecarloVAR_single($B$9,$B63,E$13,$B$1,$B$3,$D$8)</f>
        <v>6619.1581796999326</v>
      </c>
      <c r="G63" s="59"/>
      <c r="H63">
        <v>41</v>
      </c>
      <c r="I63" s="69" cm="1">
        <f t="array" ref="I63">montecarloVAR_single($B$9,$H63,I$13,$B$2,$B$4,$D$8)</f>
        <v>14612.760110457384</v>
      </c>
      <c r="J63" s="69" cm="1">
        <f t="array" ref="J63">montecarloVAR_single($B$9,$H63,J$13,$B$2,$B$4,$D$8)</f>
        <v>17985.448029839888</v>
      </c>
      <c r="K63" s="70" cm="1">
        <f t="array" ref="K63">montecarloVAR_single($B$9,$H63,K$13,$B$2,$B$4,$D$8)</f>
        <v>19391.475651965597</v>
      </c>
      <c r="M63" s="59"/>
      <c r="N63">
        <v>41</v>
      </c>
      <c r="O63" s="69" cm="1">
        <f t="array" ref="O63">montecarloVAR($B$9,$N63,O$13,$B$1,$B$2,$B$3,$B$4,$B$5,$B$6,$B$7,$B$8)</f>
        <v>10084.48978105264</v>
      </c>
      <c r="P63" s="69" cm="1">
        <f t="array" ref="P63">montecarloVAR($B$9,$N63,P$13,$B$1,$B$2,$B$3,$B$4,$B$5,$B$6,$B$7,$B$8)</f>
        <v>14598.259571916205</v>
      </c>
      <c r="Q63" s="70" cm="1">
        <f t="array" ref="Q63">montecarloVAR($B$9,$N63,Q$13,$B$1,$B$2,$B$3,$B$4,$B$5,$B$6,$B$7,$B$8)</f>
        <v>16322.471922306158</v>
      </c>
      <c r="S63" s="59"/>
      <c r="T63">
        <v>41</v>
      </c>
      <c r="U63" s="69">
        <f t="shared" si="7"/>
        <v>6228.6072599227591</v>
      </c>
      <c r="V63" s="69">
        <f t="shared" si="8"/>
        <v>8764.5396959997888</v>
      </c>
      <c r="W63" s="70">
        <f t="shared" si="9"/>
        <v>9688.1619093593727</v>
      </c>
    </row>
    <row r="64" spans="1:23" x14ac:dyDescent="0.2">
      <c r="A64" s="59"/>
      <c r="B64">
        <v>42</v>
      </c>
      <c r="C64" s="69" cm="1">
        <f t="array" ref="C64">montecarloVAR_single($B$9,$B64,C$13,$B$1,$B$3,$D$8)</f>
        <v>1807.6373226173428</v>
      </c>
      <c r="D64" s="69" cm="1">
        <f t="array" ref="D64">montecarloVAR_single($B$9,$B64,D$13,$B$1,$B$3,$D$8)</f>
        <v>5182.6208242623807</v>
      </c>
      <c r="E64" s="70" cm="1">
        <f t="array" ref="E64">montecarloVAR_single($B$9,$B64,E$13,$B$1,$B$3,$D$8)</f>
        <v>6455.5346292351778</v>
      </c>
      <c r="G64" s="59"/>
      <c r="H64">
        <v>42</v>
      </c>
      <c r="I64" s="69" cm="1">
        <f t="array" ref="I64">montecarloVAR_single($B$9,$H64,I$13,$B$2,$B$4,$D$8)</f>
        <v>14792.308483809744</v>
      </c>
      <c r="J64" s="69" cm="1">
        <f t="array" ref="J64">montecarloVAR_single($B$9,$H64,J$13,$B$2,$B$4,$D$8)</f>
        <v>18708.480027655365</v>
      </c>
      <c r="K64" s="70" cm="1">
        <f t="array" ref="K64">montecarloVAR_single($B$9,$H64,K$13,$B$2,$B$4,$D$8)</f>
        <v>19674.899248852962</v>
      </c>
      <c r="M64" s="59"/>
      <c r="N64">
        <v>42</v>
      </c>
      <c r="O64" s="69" cm="1">
        <f t="array" ref="O64">montecarloVAR($B$9,$N64,O$13,$B$1,$B$2,$B$3,$B$4,$B$5,$B$6,$B$7,$B$8)</f>
        <v>10116.211266667753</v>
      </c>
      <c r="P64" s="69" cm="1">
        <f t="array" ref="P64">montecarloVAR($B$9,$N64,P$13,$B$1,$B$2,$B$3,$B$4,$B$5,$B$6,$B$7,$B$8)</f>
        <v>14612.622120204529</v>
      </c>
      <c r="Q64" s="70" cm="1">
        <f t="array" ref="Q64">montecarloVAR($B$9,$N64,Q$13,$B$1,$B$2,$B$3,$B$4,$B$5,$B$6,$B$7,$B$8)</f>
        <v>16520.221734235249</v>
      </c>
      <c r="S64" s="59"/>
      <c r="T64">
        <v>42</v>
      </c>
      <c r="U64" s="69">
        <f t="shared" si="7"/>
        <v>6483.7345397593344</v>
      </c>
      <c r="V64" s="69">
        <f t="shared" si="8"/>
        <v>9278.4787317132159</v>
      </c>
      <c r="W64" s="70">
        <f t="shared" si="9"/>
        <v>9610.212143852892</v>
      </c>
    </row>
    <row r="65" spans="1:23" x14ac:dyDescent="0.2">
      <c r="A65" s="59"/>
      <c r="B65">
        <v>43</v>
      </c>
      <c r="C65" s="69" cm="1">
        <f t="array" ref="C65">montecarloVAR_single($B$9,$B65,C$13,$B$1,$B$3,$D$8)</f>
        <v>1571.3844458808235</v>
      </c>
      <c r="D65" s="69" cm="1">
        <f t="array" ref="D65">montecarloVAR_single($B$9,$B65,D$13,$B$1,$B$3,$D$8)</f>
        <v>4944.5445296111857</v>
      </c>
      <c r="E65" s="70" cm="1">
        <f t="array" ref="E65">montecarloVAR_single($B$9,$B65,E$13,$B$1,$B$3,$D$8)</f>
        <v>6433.1999578086843</v>
      </c>
      <c r="G65" s="59"/>
      <c r="H65">
        <v>43</v>
      </c>
      <c r="I65" s="69" cm="1">
        <f t="array" ref="I65">montecarloVAR_single($B$9,$H65,I$13,$B$2,$B$4,$D$8)</f>
        <v>14944.954293644249</v>
      </c>
      <c r="J65" s="69" cm="1">
        <f t="array" ref="J65">montecarloVAR_single($B$9,$H65,J$13,$B$2,$B$4,$D$8)</f>
        <v>18588.560485542948</v>
      </c>
      <c r="K65" s="70" cm="1">
        <f t="array" ref="K65">montecarloVAR_single($B$9,$H65,K$13,$B$2,$B$4,$D$8)</f>
        <v>19890.969159034401</v>
      </c>
      <c r="M65" s="59"/>
      <c r="N65">
        <v>43</v>
      </c>
      <c r="O65" s="69" cm="1">
        <f t="array" ref="O65">montecarloVAR($B$9,$N65,O$13,$B$1,$B$2,$B$3,$B$4,$B$5,$B$6,$B$7,$B$8)</f>
        <v>10453.176063420891</v>
      </c>
      <c r="P65" s="69" cm="1">
        <f t="array" ref="P65">montecarloVAR($B$9,$N65,P$13,$B$1,$B$2,$B$3,$B$4,$B$5,$B$6,$B$7,$B$8)</f>
        <v>14704.876454627898</v>
      </c>
      <c r="Q65" s="70" cm="1">
        <f t="array" ref="Q65">montecarloVAR($B$9,$N65,Q$13,$B$1,$B$2,$B$3,$B$4,$B$5,$B$6,$B$7,$B$8)</f>
        <v>16866.386286784324</v>
      </c>
      <c r="S65" s="59"/>
      <c r="T65">
        <v>43</v>
      </c>
      <c r="U65" s="69">
        <f t="shared" si="7"/>
        <v>6063.1626761041807</v>
      </c>
      <c r="V65" s="69">
        <f t="shared" si="8"/>
        <v>8828.2285605262368</v>
      </c>
      <c r="W65" s="70">
        <f t="shared" si="9"/>
        <v>9457.7828300587607</v>
      </c>
    </row>
    <row r="66" spans="1:23" x14ac:dyDescent="0.2">
      <c r="A66" s="59"/>
      <c r="B66">
        <v>44</v>
      </c>
      <c r="C66" s="69" cm="1">
        <f t="array" ref="C66">montecarloVAR_single($B$9,$B66,C$13,$B$1,$B$3,$D$8)</f>
        <v>1712.7369114880212</v>
      </c>
      <c r="D66" s="69" cm="1">
        <f t="array" ref="D66">montecarloVAR_single($B$9,$B66,D$13,$B$1,$B$3,$D$8)</f>
        <v>5197.4262814496997</v>
      </c>
      <c r="E66" s="70" cm="1">
        <f t="array" ref="E66">montecarloVAR_single($B$9,$B66,E$13,$B$1,$B$3,$D$8)</f>
        <v>6683.5028096382594</v>
      </c>
      <c r="G66" s="59"/>
      <c r="H66">
        <v>44</v>
      </c>
      <c r="I66" s="69" cm="1">
        <f t="array" ref="I66">montecarloVAR_single($B$9,$H66,I$13,$B$2,$B$4,$D$8)</f>
        <v>15292.860317809764</v>
      </c>
      <c r="J66" s="69" cm="1">
        <f t="array" ref="J66">montecarloVAR_single($B$9,$H66,J$13,$B$2,$B$4,$D$8)</f>
        <v>19310.94387662521</v>
      </c>
      <c r="K66" s="70" cm="1">
        <f t="array" ref="K66">montecarloVAR_single($B$9,$H66,K$13,$B$2,$B$4,$D$8)</f>
        <v>20421.477796805739</v>
      </c>
      <c r="M66" s="59"/>
      <c r="N66">
        <v>44</v>
      </c>
      <c r="O66" s="69" cm="1">
        <f t="array" ref="O66">montecarloVAR($B$9,$N66,O$13,$B$1,$B$2,$B$3,$B$4,$B$5,$B$6,$B$7,$B$8)</f>
        <v>10206.76115197016</v>
      </c>
      <c r="P66" s="69" cm="1">
        <f t="array" ref="P66">montecarloVAR($B$9,$N66,P$13,$B$1,$B$2,$B$3,$B$4,$B$5,$B$6,$B$7,$B$8)</f>
        <v>14913.181232223009</v>
      </c>
      <c r="Q66" s="70" cm="1">
        <f t="array" ref="Q66">montecarloVAR($B$9,$N66,Q$13,$B$1,$B$2,$B$3,$B$4,$B$5,$B$6,$B$7,$B$8)</f>
        <v>17073.492542864737</v>
      </c>
      <c r="S66" s="59"/>
      <c r="T66">
        <v>44</v>
      </c>
      <c r="U66" s="69">
        <f t="shared" si="7"/>
        <v>6798.8360773276254</v>
      </c>
      <c r="V66" s="69">
        <f t="shared" si="8"/>
        <v>9595.1889258519022</v>
      </c>
      <c r="W66" s="70">
        <f t="shared" si="9"/>
        <v>10031.488063579262</v>
      </c>
    </row>
    <row r="67" spans="1:23" x14ac:dyDescent="0.2">
      <c r="A67" s="59"/>
      <c r="B67">
        <v>45</v>
      </c>
      <c r="C67" s="69" cm="1">
        <f t="array" ref="C67">montecarloVAR_single($B$9,$B67,C$13,$B$1,$B$3,$D$8)</f>
        <v>1583.5573993841729</v>
      </c>
      <c r="D67" s="69" cm="1">
        <f t="array" ref="D67">montecarloVAR_single($B$9,$B67,D$13,$B$1,$B$3,$D$8)</f>
        <v>4988.6230176573963</v>
      </c>
      <c r="E67" s="70" cm="1">
        <f t="array" ref="E67">montecarloVAR_single($B$9,$B67,E$13,$B$1,$B$3,$D$8)</f>
        <v>6422.7139548758096</v>
      </c>
      <c r="G67" s="59"/>
      <c r="H67">
        <v>45</v>
      </c>
      <c r="I67" s="69" cm="1">
        <f t="array" ref="I67">montecarloVAR_single($B$9,$H67,I$13,$B$2,$B$4,$D$8)</f>
        <v>15636.884608036869</v>
      </c>
      <c r="J67" s="69" cm="1">
        <f t="array" ref="J67">montecarloVAR_single($B$9,$H67,J$13,$B$2,$B$4,$D$8)</f>
        <v>19282.353864681001</v>
      </c>
      <c r="K67" s="70" cm="1">
        <f t="array" ref="K67">montecarloVAR_single($B$9,$H67,K$13,$B$2,$B$4,$D$8)</f>
        <v>20590.527215299811</v>
      </c>
      <c r="M67" s="59"/>
      <c r="N67">
        <v>45</v>
      </c>
      <c r="O67" s="69" cm="1">
        <f t="array" ref="O67">montecarloVAR($B$9,$N67,O$13,$B$1,$B$2,$B$3,$B$4,$B$5,$B$6,$B$7,$B$8)</f>
        <v>10338.151451731201</v>
      </c>
      <c r="P67" s="69" cm="1">
        <f t="array" ref="P67">montecarloVAR($B$9,$N67,P$13,$B$1,$B$2,$B$3,$B$4,$B$5,$B$6,$B$7,$B$8)</f>
        <v>15007.873899385491</v>
      </c>
      <c r="Q67" s="70" cm="1">
        <f t="array" ref="Q67">montecarloVAR($B$9,$N67,Q$13,$B$1,$B$2,$B$3,$B$4,$B$5,$B$6,$B$7,$B$8)</f>
        <v>17073.376473552566</v>
      </c>
      <c r="S67" s="59"/>
      <c r="T67">
        <v>45</v>
      </c>
      <c r="U67" s="69">
        <f t="shared" si="7"/>
        <v>6882.2905556898422</v>
      </c>
      <c r="V67" s="69">
        <f t="shared" si="8"/>
        <v>9263.1029829529052</v>
      </c>
      <c r="W67" s="70">
        <f t="shared" si="9"/>
        <v>9939.8646966230554</v>
      </c>
    </row>
    <row r="68" spans="1:23" x14ac:dyDescent="0.2">
      <c r="A68" s="59"/>
      <c r="B68">
        <v>46</v>
      </c>
      <c r="C68" s="69" cm="1">
        <f t="array" ref="C68">montecarloVAR_single($B$9,$B68,C$13,$B$1,$B$3,$D$8)</f>
        <v>1513.695462421274</v>
      </c>
      <c r="D68" s="69" cm="1">
        <f t="array" ref="D68">montecarloVAR_single($B$9,$B68,D$13,$B$1,$B$3,$D$8)</f>
        <v>5214.9846065197944</v>
      </c>
      <c r="E68" s="70" cm="1">
        <f t="array" ref="E68">montecarloVAR_single($B$9,$B68,E$13,$B$1,$B$3,$D$8)</f>
        <v>6698.9977170471484</v>
      </c>
      <c r="G68" s="59"/>
      <c r="H68">
        <v>46</v>
      </c>
      <c r="I68" s="69" cm="1">
        <f t="array" ref="I68">montecarloVAR_single($B$9,$H68,I$13,$B$2,$B$4,$D$8)</f>
        <v>15576.932358444978</v>
      </c>
      <c r="J68" s="69" cm="1">
        <f t="array" ref="J68">montecarloVAR_single($B$9,$H68,J$13,$B$2,$B$4,$D$8)</f>
        <v>19520.739902997877</v>
      </c>
      <c r="K68" s="70" cm="1">
        <f t="array" ref="K68">montecarloVAR_single($B$9,$H68,K$13,$B$2,$B$4,$D$8)</f>
        <v>20999.128338599108</v>
      </c>
      <c r="M68" s="59"/>
      <c r="N68">
        <v>46</v>
      </c>
      <c r="O68" s="69" cm="1">
        <f t="array" ref="O68">montecarloVAR($B$9,$N68,O$13,$B$1,$B$2,$B$3,$B$4,$B$5,$B$6,$B$7,$B$8)</f>
        <v>10485.41603341249</v>
      </c>
      <c r="P68" s="69" cm="1">
        <f t="array" ref="P68">montecarloVAR($B$9,$N68,P$13,$B$1,$B$2,$B$3,$B$4,$B$5,$B$6,$B$7,$B$8)</f>
        <v>15314.090812737189</v>
      </c>
      <c r="Q68" s="70" cm="1">
        <f t="array" ref="Q68">montecarloVAR($B$9,$N68,Q$13,$B$1,$B$2,$B$3,$B$4,$B$5,$B$6,$B$7,$B$8)</f>
        <v>17632.672869969974</v>
      </c>
      <c r="S68" s="59"/>
      <c r="T68">
        <v>46</v>
      </c>
      <c r="U68" s="69">
        <f t="shared" si="7"/>
        <v>6605.2117874537616</v>
      </c>
      <c r="V68" s="69">
        <f t="shared" si="8"/>
        <v>9421.63369678048</v>
      </c>
      <c r="W68" s="70">
        <f t="shared" si="9"/>
        <v>10065.453185676284</v>
      </c>
    </row>
    <row r="69" spans="1:23" x14ac:dyDescent="0.2">
      <c r="A69" s="59"/>
      <c r="B69">
        <v>47</v>
      </c>
      <c r="C69" s="69" cm="1">
        <f t="array" ref="C69">montecarloVAR_single($B$9,$B69,C$13,$B$1,$B$3,$D$8)</f>
        <v>1327.7867820343972</v>
      </c>
      <c r="D69" s="69" cm="1">
        <f t="array" ref="D69">montecarloVAR_single($B$9,$B69,D$13,$B$1,$B$3,$D$8)</f>
        <v>5124.5273945187428</v>
      </c>
      <c r="E69" s="70" cm="1">
        <f t="array" ref="E69">montecarloVAR_single($B$9,$B69,E$13,$B$1,$B$3,$D$8)</f>
        <v>6501.0745923466557</v>
      </c>
      <c r="G69" s="59"/>
      <c r="H69">
        <v>47</v>
      </c>
      <c r="I69" s="69" cm="1">
        <f t="array" ref="I69">montecarloVAR_single($B$9,$H69,I$13,$B$2,$B$4,$D$8)</f>
        <v>15879.930220570195</v>
      </c>
      <c r="J69" s="69" cm="1">
        <f t="array" ref="J69">montecarloVAR_single($B$9,$H69,J$13,$B$2,$B$4,$D$8)</f>
        <v>20222.633931663615</v>
      </c>
      <c r="K69" s="70" cm="1">
        <f t="array" ref="K69">montecarloVAR_single($B$9,$H69,K$13,$B$2,$B$4,$D$8)</f>
        <v>20964.856181142335</v>
      </c>
      <c r="M69" s="59"/>
      <c r="N69">
        <v>47</v>
      </c>
      <c r="O69" s="69" cm="1">
        <f t="array" ref="O69">montecarloVAR($B$9,$N69,O$13,$B$1,$B$2,$B$3,$B$4,$B$5,$B$6,$B$7,$B$8)</f>
        <v>10802.860502051197</v>
      </c>
      <c r="P69" s="69" cm="1">
        <f t="array" ref="P69">montecarloVAR($B$9,$N69,P$13,$B$1,$B$2,$B$3,$B$4,$B$5,$B$6,$B$7,$B$8)</f>
        <v>15831.759351569501</v>
      </c>
      <c r="Q69" s="70" cm="1">
        <f t="array" ref="Q69">montecarloVAR($B$9,$N69,Q$13,$B$1,$B$2,$B$3,$B$4,$B$5,$B$6,$B$7,$B$8)</f>
        <v>17853.569632282448</v>
      </c>
      <c r="S69" s="59"/>
      <c r="T69">
        <v>47</v>
      </c>
      <c r="U69" s="69">
        <f t="shared" si="7"/>
        <v>6404.8565005533965</v>
      </c>
      <c r="V69" s="69">
        <f t="shared" si="8"/>
        <v>9515.4019746128579</v>
      </c>
      <c r="W69" s="70">
        <f t="shared" si="9"/>
        <v>9612.3611412065438</v>
      </c>
    </row>
    <row r="70" spans="1:23" x14ac:dyDescent="0.2">
      <c r="A70" s="59"/>
      <c r="B70">
        <v>48</v>
      </c>
      <c r="C70" s="69" cm="1">
        <f t="array" ref="C70">montecarloVAR_single($B$9,$B70,C$13,$B$1,$B$3,$D$8)</f>
        <v>1515.695145383537</v>
      </c>
      <c r="D70" s="69" cm="1">
        <f t="array" ref="D70">montecarloVAR_single($B$9,$B70,D$13,$B$1,$B$3,$D$8)</f>
        <v>5427.6533769380558</v>
      </c>
      <c r="E70" s="70" cm="1">
        <f t="array" ref="E70">montecarloVAR_single($B$9,$B70,E$13,$B$1,$B$3,$D$8)</f>
        <v>6282.5265474082653</v>
      </c>
      <c r="G70" s="59"/>
      <c r="H70">
        <v>48</v>
      </c>
      <c r="I70" s="69" cm="1">
        <f t="array" ref="I70">montecarloVAR_single($B$9,$H70,I$13,$B$2,$B$4,$D$8)</f>
        <v>16247.798168704323</v>
      </c>
      <c r="J70" s="69" cm="1">
        <f t="array" ref="J70">montecarloVAR_single($B$9,$H70,J$13,$B$2,$B$4,$D$8)</f>
        <v>20314.677488838101</v>
      </c>
      <c r="K70" s="70" cm="1">
        <f t="array" ref="K70">montecarloVAR_single($B$9,$H70,K$13,$B$2,$B$4,$D$8)</f>
        <v>21877.584870502935</v>
      </c>
      <c r="M70" s="59"/>
      <c r="N70">
        <v>48</v>
      </c>
      <c r="O70" s="69" cm="1">
        <f t="array" ref="O70">montecarloVAR($B$9,$N70,O$13,$B$1,$B$2,$B$3,$B$4,$B$5,$B$6,$B$7,$B$8)</f>
        <v>10739.558153881046</v>
      </c>
      <c r="P70" s="69" cm="1">
        <f t="array" ref="P70">montecarloVAR($B$9,$N70,P$13,$B$1,$B$2,$B$3,$B$4,$B$5,$B$6,$B$7,$B$8)</f>
        <v>16079.650308155649</v>
      </c>
      <c r="Q70" s="70" cm="1">
        <f t="array" ref="Q70">montecarloVAR($B$9,$N70,Q$13,$B$1,$B$2,$B$3,$B$4,$B$5,$B$6,$B$7,$B$8)</f>
        <v>18071.224023551731</v>
      </c>
      <c r="S70" s="59"/>
      <c r="T70">
        <v>48</v>
      </c>
      <c r="U70" s="69">
        <f t="shared" si="7"/>
        <v>7023.9351602068145</v>
      </c>
      <c r="V70" s="69">
        <f t="shared" si="8"/>
        <v>9662.6805576205061</v>
      </c>
      <c r="W70" s="70">
        <f t="shared" si="9"/>
        <v>10088.88739435947</v>
      </c>
    </row>
    <row r="71" spans="1:23" x14ac:dyDescent="0.2">
      <c r="A71" s="59"/>
      <c r="B71">
        <v>49</v>
      </c>
      <c r="C71" s="69" cm="1">
        <f t="array" ref="C71">montecarloVAR_single($B$9,$B71,C$13,$B$1,$B$3,$D$8)</f>
        <v>1154.6782959407426</v>
      </c>
      <c r="D71" s="69" cm="1">
        <f t="array" ref="D71">montecarloVAR_single($B$9,$B71,D$13,$B$1,$B$3,$D$8)</f>
        <v>5666.6331452110035</v>
      </c>
      <c r="E71" s="70" cm="1">
        <f t="array" ref="E71">montecarloVAR_single($B$9,$B71,E$13,$B$1,$B$3,$D$8)</f>
        <v>6613.4788641945397</v>
      </c>
      <c r="G71" s="59"/>
      <c r="H71">
        <v>49</v>
      </c>
      <c r="I71" s="69" cm="1">
        <f t="array" ref="I71">montecarloVAR_single($B$9,$H71,I$13,$B$2,$B$4,$D$8)</f>
        <v>16423.466094937499</v>
      </c>
      <c r="J71" s="69" cm="1">
        <f t="array" ref="J71">montecarloVAR_single($B$9,$H71,J$13,$B$2,$B$4,$D$8)</f>
        <v>20815.621823833946</v>
      </c>
      <c r="K71" s="70" cm="1">
        <f t="array" ref="K71">montecarloVAR_single($B$9,$H71,K$13,$B$2,$B$4,$D$8)</f>
        <v>22123.155983117871</v>
      </c>
      <c r="M71" s="59"/>
      <c r="N71">
        <v>49</v>
      </c>
      <c r="O71" s="69" cm="1">
        <f t="array" ref="O71">montecarloVAR($B$9,$N71,O$13,$B$1,$B$2,$B$3,$B$4,$B$5,$B$6,$B$7,$B$8)</f>
        <v>10864.997005478639</v>
      </c>
      <c r="P71" s="69" cm="1">
        <f t="array" ref="P71">montecarloVAR($B$9,$N71,P$13,$B$1,$B$2,$B$3,$B$4,$B$5,$B$6,$B$7,$B$8)</f>
        <v>15602.352885799826</v>
      </c>
      <c r="Q71" s="70" cm="1">
        <f t="array" ref="Q71">montecarloVAR($B$9,$N71,Q$13,$B$1,$B$2,$B$3,$B$4,$B$5,$B$6,$B$7,$B$8)</f>
        <v>17929.351143339416</v>
      </c>
      <c r="S71" s="59"/>
      <c r="T71">
        <v>49</v>
      </c>
      <c r="U71" s="69">
        <f t="shared" si="7"/>
        <v>6713.1473853996031</v>
      </c>
      <c r="V71" s="69">
        <f t="shared" si="8"/>
        <v>10879.902083245122</v>
      </c>
      <c r="W71" s="70">
        <f t="shared" si="9"/>
        <v>10807.283703972993</v>
      </c>
    </row>
    <row r="72" spans="1:23" x14ac:dyDescent="0.2">
      <c r="A72" s="59"/>
      <c r="B72">
        <v>50</v>
      </c>
      <c r="C72" s="69" cm="1">
        <f t="array" ref="C72">montecarloVAR_single($B$9,$B72,C$13,$B$1,$B$3,$D$8)</f>
        <v>1408.296160359238</v>
      </c>
      <c r="D72" s="69" cm="1">
        <f t="array" ref="D72">montecarloVAR_single($B$9,$B72,D$13,$B$1,$B$3,$D$8)</f>
        <v>5100.6107157478236</v>
      </c>
      <c r="E72" s="70" cm="1">
        <f t="array" ref="E72">montecarloVAR_single($B$9,$B72,E$13,$B$1,$B$3,$D$8)</f>
        <v>6378.9542535863784</v>
      </c>
      <c r="G72" s="59"/>
      <c r="H72">
        <v>50</v>
      </c>
      <c r="I72" s="69" cm="1">
        <f t="array" ref="I72">montecarloVAR_single($B$9,$H72,I$13,$B$2,$B$4,$D$8)</f>
        <v>16621.089957825112</v>
      </c>
      <c r="J72" s="69" cm="1">
        <f t="array" ref="J72">montecarloVAR_single($B$9,$H72,J$13,$B$2,$B$4,$D$8)</f>
        <v>21076.232707209678</v>
      </c>
      <c r="K72" s="70" cm="1">
        <f t="array" ref="K72">montecarloVAR_single($B$9,$H72,K$13,$B$2,$B$4,$D$8)</f>
        <v>22105.279558124243</v>
      </c>
      <c r="M72" s="59"/>
      <c r="N72">
        <v>50</v>
      </c>
      <c r="O72" s="69" cm="1">
        <f t="array" ref="O72">montecarloVAR($B$9,$N72,O$13,$B$1,$B$2,$B$3,$B$4,$B$5,$B$6,$B$7,$B$8)</f>
        <v>11216.167762584411</v>
      </c>
      <c r="P72" s="69" cm="1">
        <f t="array" ref="P72">montecarloVAR($B$9,$N72,P$13,$B$1,$B$2,$B$3,$B$4,$B$5,$B$6,$B$7,$B$8)</f>
        <v>15704.875563949803</v>
      </c>
      <c r="Q72" s="70" cm="1">
        <f t="array" ref="Q72">montecarloVAR($B$9,$N72,Q$13,$B$1,$B$2,$B$3,$B$4,$B$5,$B$6,$B$7,$B$8)</f>
        <v>17971.68352848533</v>
      </c>
      <c r="S72" s="59"/>
      <c r="T72">
        <v>50</v>
      </c>
      <c r="U72" s="69">
        <f t="shared" si="7"/>
        <v>6813.2183555999381</v>
      </c>
      <c r="V72" s="69">
        <f t="shared" si="8"/>
        <v>10471.967859007696</v>
      </c>
      <c r="W72" s="70">
        <f t="shared" si="9"/>
        <v>10512.55028322529</v>
      </c>
    </row>
    <row r="73" spans="1:23" x14ac:dyDescent="0.2">
      <c r="A73" s="59"/>
      <c r="B73">
        <v>51</v>
      </c>
      <c r="C73" s="69" cm="1">
        <f t="array" ref="C73">montecarloVAR_single($B$9,$B73,C$13,$B$1,$B$3,$D$8)</f>
        <v>900.1471390575457</v>
      </c>
      <c r="D73" s="69" cm="1">
        <f t="array" ref="D73">montecarloVAR_single($B$9,$B73,D$13,$B$1,$B$3,$D$8)</f>
        <v>5328.6439980338082</v>
      </c>
      <c r="E73" s="70" cm="1">
        <f t="array" ref="E73">montecarloVAR_single($B$9,$B73,E$13,$B$1,$B$3,$D$8)</f>
        <v>6602.3114024165388</v>
      </c>
      <c r="G73" s="59"/>
      <c r="H73">
        <v>51</v>
      </c>
      <c r="I73" s="69" cm="1">
        <f t="array" ref="I73">montecarloVAR_single($B$9,$H73,I$13,$B$2,$B$4,$D$8)</f>
        <v>16862.331207034738</v>
      </c>
      <c r="J73" s="69" cm="1">
        <f t="array" ref="J73">montecarloVAR_single($B$9,$H73,J$13,$B$2,$B$4,$D$8)</f>
        <v>21178.620561932741</v>
      </c>
      <c r="K73" s="70" cm="1">
        <f t="array" ref="K73">montecarloVAR_single($B$9,$H73,K$13,$B$2,$B$4,$D$8)</f>
        <v>22377.034785965614</v>
      </c>
      <c r="M73" s="59"/>
      <c r="N73">
        <v>51</v>
      </c>
      <c r="O73" s="69" cm="1">
        <f t="array" ref="O73">montecarloVAR($B$9,$N73,O$13,$B$1,$B$2,$B$3,$B$4,$B$5,$B$6,$B$7,$B$8)</f>
        <v>11174.58574896314</v>
      </c>
      <c r="P73" s="69" cm="1">
        <f t="array" ref="P73">montecarloVAR($B$9,$N73,P$13,$B$1,$B$2,$B$3,$B$4,$B$5,$B$6,$B$7,$B$8)</f>
        <v>15936.551665571447</v>
      </c>
      <c r="Q73" s="70" cm="1">
        <f t="array" ref="Q73">montecarloVAR($B$9,$N73,Q$13,$B$1,$B$2,$B$3,$B$4,$B$5,$B$6,$B$7,$B$8)</f>
        <v>18260.873959814679</v>
      </c>
      <c r="S73" s="59"/>
      <c r="T73">
        <v>51</v>
      </c>
      <c r="U73" s="69">
        <f t="shared" si="7"/>
        <v>6587.8925971291446</v>
      </c>
      <c r="V73" s="69">
        <f t="shared" si="8"/>
        <v>10570.712894395101</v>
      </c>
      <c r="W73" s="70">
        <f t="shared" si="9"/>
        <v>10718.472228567472</v>
      </c>
    </row>
    <row r="74" spans="1:23" x14ac:dyDescent="0.2">
      <c r="A74" s="59"/>
      <c r="B74">
        <v>52</v>
      </c>
      <c r="C74" s="69" cm="1">
        <f t="array" ref="C74">montecarloVAR_single($B$9,$B74,C$13,$B$1,$B$3,$D$8)</f>
        <v>1271.2585360990929</v>
      </c>
      <c r="D74" s="69" cm="1">
        <f t="array" ref="D74">montecarloVAR_single($B$9,$B74,D$13,$B$1,$B$3,$D$8)</f>
        <v>5071.7785780328722</v>
      </c>
      <c r="E74" s="70" cm="1">
        <f t="array" ref="E74">montecarloVAR_single($B$9,$B74,E$13,$B$1,$B$3,$D$8)</f>
        <v>6144.9471452489215</v>
      </c>
      <c r="G74" s="59"/>
      <c r="H74">
        <v>52</v>
      </c>
      <c r="I74" s="69" cm="1">
        <f t="array" ref="I74">montecarloVAR_single($B$9,$H74,I$13,$B$2,$B$4,$D$8)</f>
        <v>17018.489389414292</v>
      </c>
      <c r="J74" s="69" cm="1">
        <f t="array" ref="J74">montecarloVAR_single($B$9,$H74,J$13,$B$2,$B$4,$D$8)</f>
        <v>21306.461950038982</v>
      </c>
      <c r="K74" s="70" cm="1">
        <f t="array" ref="K74">montecarloVAR_single($B$9,$H74,K$13,$B$2,$B$4,$D$8)</f>
        <v>22808.656538187188</v>
      </c>
      <c r="M74" s="59"/>
      <c r="N74">
        <v>52</v>
      </c>
      <c r="O74" s="69" cm="1">
        <f t="array" ref="O74">montecarloVAR($B$9,$N74,O$13,$B$1,$B$2,$B$3,$B$4,$B$5,$B$6,$B$7,$B$8)</f>
        <v>11286.847318281536</v>
      </c>
      <c r="P74" s="69" cm="1">
        <f t="array" ref="P74">montecarloVAR($B$9,$N74,P$13,$B$1,$B$2,$B$3,$B$4,$B$5,$B$6,$B$7,$B$8)</f>
        <v>15793.883454640862</v>
      </c>
      <c r="Q74" s="70" cm="1">
        <f t="array" ref="Q74">montecarloVAR($B$9,$N74,Q$13,$B$1,$B$2,$B$3,$B$4,$B$5,$B$6,$B$7,$B$8)</f>
        <v>17352.228103199821</v>
      </c>
      <c r="S74" s="59"/>
      <c r="T74">
        <v>52</v>
      </c>
      <c r="U74" s="69">
        <f t="shared" si="7"/>
        <v>7002.900607231848</v>
      </c>
      <c r="V74" s="69">
        <f t="shared" si="8"/>
        <v>10584.357073430991</v>
      </c>
      <c r="W74" s="70">
        <f t="shared" si="9"/>
        <v>11601.375580236287</v>
      </c>
    </row>
    <row r="75" spans="1:23" x14ac:dyDescent="0.2">
      <c r="A75" s="59"/>
      <c r="B75">
        <v>53</v>
      </c>
      <c r="C75" s="69" cm="1">
        <f t="array" ref="C75">montecarloVAR_single($B$9,$B75,C$13,$B$1,$B$3,$D$8)</f>
        <v>1227.6774652722004</v>
      </c>
      <c r="D75" s="69" cm="1">
        <f t="array" ref="D75">montecarloVAR_single($B$9,$B75,D$13,$B$1,$B$3,$D$8)</f>
        <v>4712.4085693801226</v>
      </c>
      <c r="E75" s="70" cm="1">
        <f t="array" ref="E75">montecarloVAR_single($B$9,$B75,E$13,$B$1,$B$3,$D$8)</f>
        <v>6719.7996843243191</v>
      </c>
      <c r="G75" s="59"/>
      <c r="H75">
        <v>53</v>
      </c>
      <c r="I75" s="69" cm="1">
        <f t="array" ref="I75">montecarloVAR_single($B$9,$H75,I$13,$B$2,$B$4,$D$8)</f>
        <v>17352.598304745952</v>
      </c>
      <c r="J75" s="69" cm="1">
        <f t="array" ref="J75">montecarloVAR_single($B$9,$H75,J$13,$B$2,$B$4,$D$8)</f>
        <v>21274.924405900681</v>
      </c>
      <c r="K75" s="70" cm="1">
        <f t="array" ref="K75">montecarloVAR_single($B$9,$H75,K$13,$B$2,$B$4,$D$8)</f>
        <v>23220.291736425897</v>
      </c>
      <c r="M75" s="59"/>
      <c r="N75">
        <v>53</v>
      </c>
      <c r="O75" s="69" cm="1">
        <f t="array" ref="O75">montecarloVAR($B$9,$N75,O$13,$B$1,$B$2,$B$3,$B$4,$B$5,$B$6,$B$7,$B$8)</f>
        <v>11318.720419656003</v>
      </c>
      <c r="P75" s="69" cm="1">
        <f t="array" ref="P75">montecarloVAR($B$9,$N75,P$13,$B$1,$B$2,$B$3,$B$4,$B$5,$B$6,$B$7,$B$8)</f>
        <v>16447.506509099185</v>
      </c>
      <c r="Q75" s="70" cm="1">
        <f t="array" ref="Q75">montecarloVAR($B$9,$N75,Q$13,$B$1,$B$2,$B$3,$B$4,$B$5,$B$6,$B$7,$B$8)</f>
        <v>17748.351640480647</v>
      </c>
      <c r="S75" s="59"/>
      <c r="T75">
        <v>53</v>
      </c>
      <c r="U75" s="69">
        <f t="shared" si="7"/>
        <v>7261.5553503621504</v>
      </c>
      <c r="V75" s="69">
        <f t="shared" si="8"/>
        <v>9539.8264661816211</v>
      </c>
      <c r="W75" s="70">
        <f t="shared" si="9"/>
        <v>12191.73978026957</v>
      </c>
    </row>
    <row r="76" spans="1:23" x14ac:dyDescent="0.2">
      <c r="A76" s="59"/>
      <c r="B76">
        <v>54</v>
      </c>
      <c r="C76" s="69" cm="1">
        <f t="array" ref="C76">montecarloVAR_single($B$9,$B76,C$13,$B$1,$B$3,$D$8)</f>
        <v>805.84893127019109</v>
      </c>
      <c r="D76" s="69" cm="1">
        <f t="array" ref="D76">montecarloVAR_single($B$9,$B76,D$13,$B$1,$B$3,$D$8)</f>
        <v>4899.61392099769</v>
      </c>
      <c r="E76" s="70" cm="1">
        <f t="array" ref="E76">montecarloVAR_single($B$9,$B76,E$13,$B$1,$B$3,$D$8)</f>
        <v>6428.6210523171139</v>
      </c>
      <c r="G76" s="59"/>
      <c r="H76">
        <v>54</v>
      </c>
      <c r="I76" s="69" cm="1">
        <f t="array" ref="I76">montecarloVAR_single($B$9,$H76,I$13,$B$2,$B$4,$D$8)</f>
        <v>17567.972193423124</v>
      </c>
      <c r="J76" s="69" cm="1">
        <f t="array" ref="J76">montecarloVAR_single($B$9,$H76,J$13,$B$2,$B$4,$D$8)</f>
        <v>21620.025471452307</v>
      </c>
      <c r="K76" s="70" cm="1">
        <f t="array" ref="K76">montecarloVAR_single($B$9,$H76,K$13,$B$2,$B$4,$D$8)</f>
        <v>23065.641411477187</v>
      </c>
      <c r="M76" s="59"/>
      <c r="N76">
        <v>54</v>
      </c>
      <c r="O76" s="69" cm="1">
        <f t="array" ref="O76">montecarloVAR($B$9,$N76,O$13,$B$1,$B$2,$B$3,$B$4,$B$5,$B$6,$B$7,$B$8)</f>
        <v>11322.010494728147</v>
      </c>
      <c r="P76" s="69" cm="1">
        <f t="array" ref="P76">montecarloVAR($B$9,$N76,P$13,$B$1,$B$2,$B$3,$B$4,$B$5,$B$6,$B$7,$B$8)</f>
        <v>16792.181824172294</v>
      </c>
      <c r="Q76" s="70" cm="1">
        <f t="array" ref="Q76">montecarloVAR($B$9,$N76,Q$13,$B$1,$B$2,$B$3,$B$4,$B$5,$B$6,$B$7,$B$8)</f>
        <v>18726.511560342919</v>
      </c>
      <c r="S76" s="59"/>
      <c r="T76">
        <v>54</v>
      </c>
      <c r="U76" s="69">
        <f t="shared" si="7"/>
        <v>7051.8106299651663</v>
      </c>
      <c r="V76" s="69">
        <f t="shared" si="8"/>
        <v>9727.4575682777031</v>
      </c>
      <c r="W76" s="70">
        <f t="shared" si="9"/>
        <v>10767.750903451382</v>
      </c>
    </row>
    <row r="77" spans="1:23" x14ac:dyDescent="0.2">
      <c r="A77" s="59"/>
      <c r="B77">
        <v>55</v>
      </c>
      <c r="C77" s="69" cm="1">
        <f t="array" ref="C77">montecarloVAR_single($B$9,$B77,C$13,$B$1,$B$3,$D$8)</f>
        <v>891.41606563447021</v>
      </c>
      <c r="D77" s="69" cm="1">
        <f t="array" ref="D77">montecarloVAR_single($B$9,$B77,D$13,$B$1,$B$3,$D$8)</f>
        <v>4684.1556475042325</v>
      </c>
      <c r="E77" s="70" cm="1">
        <f t="array" ref="E77">montecarloVAR_single($B$9,$B77,E$13,$B$1,$B$3,$D$8)</f>
        <v>6363.8663714397362</v>
      </c>
      <c r="G77" s="59"/>
      <c r="H77">
        <v>55</v>
      </c>
      <c r="I77" s="69" cm="1">
        <f t="array" ref="I77">montecarloVAR_single($B$9,$H77,I$13,$B$2,$B$4,$D$8)</f>
        <v>17907.691516390678</v>
      </c>
      <c r="J77" s="69" cm="1">
        <f t="array" ref="J77">montecarloVAR_single($B$9,$H77,J$13,$B$2,$B$4,$D$8)</f>
        <v>22232.774623319601</v>
      </c>
      <c r="K77" s="70" cm="1">
        <f t="array" ref="K77">montecarloVAR_single($B$9,$H77,K$13,$B$2,$B$4,$D$8)</f>
        <v>24462.122483766736</v>
      </c>
      <c r="M77" s="59"/>
      <c r="N77">
        <v>55</v>
      </c>
      <c r="O77" s="69" cm="1">
        <f t="array" ref="O77">montecarloVAR($B$9,$N77,O$13,$B$1,$B$2,$B$3,$B$4,$B$5,$B$6,$B$7,$B$8)</f>
        <v>11319.851810131273</v>
      </c>
      <c r="P77" s="69" cm="1">
        <f t="array" ref="P77">montecarloVAR($B$9,$N77,P$13,$B$1,$B$2,$B$3,$B$4,$B$5,$B$6,$B$7,$B$8)</f>
        <v>16908.639946330968</v>
      </c>
      <c r="Q77" s="70" cm="1">
        <f t="array" ref="Q77">montecarloVAR($B$9,$N77,Q$13,$B$1,$B$2,$B$3,$B$4,$B$5,$B$6,$B$7,$B$8)</f>
        <v>18425.408356894772</v>
      </c>
      <c r="S77" s="59"/>
      <c r="T77">
        <v>55</v>
      </c>
      <c r="U77" s="69">
        <f t="shared" si="7"/>
        <v>7479.255771893877</v>
      </c>
      <c r="V77" s="69">
        <f t="shared" si="8"/>
        <v>10008.290324492864</v>
      </c>
      <c r="W77" s="70">
        <f t="shared" si="9"/>
        <v>12400.580498311701</v>
      </c>
    </row>
    <row r="78" spans="1:23" x14ac:dyDescent="0.2">
      <c r="A78" s="59"/>
      <c r="B78">
        <v>56</v>
      </c>
      <c r="C78" s="69" cm="1">
        <f t="array" ref="C78">montecarloVAR_single($B$9,$B78,C$13,$B$1,$B$3,$D$8)</f>
        <v>858.67491572739334</v>
      </c>
      <c r="D78" s="69" cm="1">
        <f t="array" ref="D78">montecarloVAR_single($B$9,$B78,D$13,$B$1,$B$3,$D$8)</f>
        <v>4787.1821818733388</v>
      </c>
      <c r="E78" s="70" cm="1">
        <f t="array" ref="E78">montecarloVAR_single($B$9,$B78,E$13,$B$1,$B$3,$D$8)</f>
        <v>6231.1234162326391</v>
      </c>
      <c r="G78" s="59"/>
      <c r="H78">
        <v>56</v>
      </c>
      <c r="I78" s="69" cm="1">
        <f t="array" ref="I78">montecarloVAR_single($B$9,$H78,I$13,$B$2,$B$4,$D$8)</f>
        <v>17904.471725740241</v>
      </c>
      <c r="J78" s="69" cm="1">
        <f t="array" ref="J78">montecarloVAR_single($B$9,$H78,J$13,$B$2,$B$4,$D$8)</f>
        <v>22347.530844344474</v>
      </c>
      <c r="K78" s="70" cm="1">
        <f t="array" ref="K78">montecarloVAR_single($B$9,$H78,K$13,$B$2,$B$4,$D$8)</f>
        <v>23693.115474005263</v>
      </c>
      <c r="M78" s="59"/>
      <c r="N78">
        <v>56</v>
      </c>
      <c r="O78" s="69" cm="1">
        <f t="array" ref="O78">montecarloVAR($B$9,$N78,O$13,$B$1,$B$2,$B$3,$B$4,$B$5,$B$6,$B$7,$B$8)</f>
        <v>11277.755548075094</v>
      </c>
      <c r="P78" s="69" cm="1">
        <f t="array" ref="P78">montecarloVAR($B$9,$N78,P$13,$B$1,$B$2,$B$3,$B$4,$B$5,$B$6,$B$7,$B$8)</f>
        <v>16815.858658365494</v>
      </c>
      <c r="Q78" s="70" cm="1">
        <f t="array" ref="Q78">montecarloVAR($B$9,$N78,Q$13,$B$1,$B$2,$B$3,$B$4,$B$5,$B$6,$B$7,$B$8)</f>
        <v>18519.092192567747</v>
      </c>
      <c r="S78" s="59"/>
      <c r="T78">
        <v>56</v>
      </c>
      <c r="U78" s="69">
        <f t="shared" si="7"/>
        <v>7485.3910933925381</v>
      </c>
      <c r="V78" s="69">
        <f t="shared" si="8"/>
        <v>10318.854367852316</v>
      </c>
      <c r="W78" s="70">
        <f>E78+K78-Q78</f>
        <v>11405.146697670156</v>
      </c>
    </row>
    <row r="79" spans="1:23" x14ac:dyDescent="0.2">
      <c r="A79" s="59"/>
      <c r="B79">
        <v>57</v>
      </c>
      <c r="C79" s="69" cm="1">
        <f t="array" ref="C79">montecarloVAR_single($B$9,$B79,C$13,$B$1,$B$3,$D$8)</f>
        <v>734.34783298632351</v>
      </c>
      <c r="D79" s="69" cm="1">
        <f t="array" ref="D79">montecarloVAR_single($B$9,$B79,D$13,$B$1,$B$3,$D$8)</f>
        <v>4692.2586617022516</v>
      </c>
      <c r="E79" s="70" cm="1">
        <f t="array" ref="E79">montecarloVAR_single($B$9,$B79,E$13,$B$1,$B$3,$D$8)</f>
        <v>6481.6071777819425</v>
      </c>
      <c r="G79" s="59"/>
      <c r="H79">
        <v>57</v>
      </c>
      <c r="I79" s="69" cm="1">
        <f t="array" ref="I79">montecarloVAR_single($B$9,$H79,I$13,$B$2,$B$4,$D$8)</f>
        <v>18292.367326553169</v>
      </c>
      <c r="J79" s="69" cm="1">
        <f t="array" ref="J79">montecarloVAR_single($B$9,$H79,J$13,$B$2,$B$4,$D$8)</f>
        <v>22822.709929330482</v>
      </c>
      <c r="K79" s="70" cm="1">
        <f t="array" ref="K79">montecarloVAR_single($B$9,$H79,K$13,$B$2,$B$4,$D$8)</f>
        <v>24794.51543999507</v>
      </c>
      <c r="M79" s="59"/>
      <c r="N79">
        <v>57</v>
      </c>
      <c r="O79" s="69" cm="1">
        <f t="array" ref="O79">montecarloVAR($B$9,$N79,O$13,$B$1,$B$2,$B$3,$B$4,$B$5,$B$6,$B$7,$B$8)</f>
        <v>11561.747468284288</v>
      </c>
      <c r="P79" s="69" cm="1">
        <f t="array" ref="P79">montecarloVAR($B$9,$N79,P$13,$B$1,$B$2,$B$3,$B$4,$B$5,$B$6,$B$7,$B$8)</f>
        <v>16472.361759496624</v>
      </c>
      <c r="Q79" s="70" cm="1">
        <f t="array" ref="Q79">montecarloVAR($B$9,$N79,Q$13,$B$1,$B$2,$B$3,$B$4,$B$5,$B$6,$B$7,$B$8)</f>
        <v>19011.391746251331</v>
      </c>
      <c r="S79" s="59"/>
      <c r="T79">
        <v>57</v>
      </c>
      <c r="U79" s="69">
        <f t="shared" si="7"/>
        <v>7464.9676912552059</v>
      </c>
      <c r="V79" s="69">
        <f t="shared" si="8"/>
        <v>11042.606831536108</v>
      </c>
      <c r="W79" s="70">
        <f t="shared" si="9"/>
        <v>12264.73087152568</v>
      </c>
    </row>
    <row r="80" spans="1:23" x14ac:dyDescent="0.2">
      <c r="A80" s="59"/>
      <c r="B80">
        <v>58</v>
      </c>
      <c r="C80" s="69" cm="1">
        <f t="array" ref="C80">montecarloVAR_single($B$9,$B80,C$13,$B$1,$B$3,$D$8)</f>
        <v>821.7275832100795</v>
      </c>
      <c r="D80" s="69" cm="1">
        <f t="array" ref="D80">montecarloVAR_single($B$9,$B80,D$13,$B$1,$B$3,$D$8)</f>
        <v>4972.3491169519684</v>
      </c>
      <c r="E80" s="70" cm="1">
        <f t="array" ref="E80">montecarloVAR_single($B$9,$B80,E$13,$B$1,$B$3,$D$8)</f>
        <v>6582.2139041391183</v>
      </c>
      <c r="G80" s="59"/>
      <c r="H80">
        <v>58</v>
      </c>
      <c r="I80" s="69" cm="1">
        <f t="array" ref="I80">montecarloVAR_single($B$9,$H80,I$13,$B$2,$B$4,$D$8)</f>
        <v>18243.84894596328</v>
      </c>
      <c r="J80" s="69" cm="1">
        <f t="array" ref="J80">montecarloVAR_single($B$9,$H80,J$13,$B$2,$B$4,$D$8)</f>
        <v>22954.452995396099</v>
      </c>
      <c r="K80" s="70" cm="1">
        <f t="array" ref="K80">montecarloVAR_single($B$9,$H80,K$13,$B$2,$B$4,$D$8)</f>
        <v>24351.541553621657</v>
      </c>
      <c r="M80" s="59"/>
      <c r="N80">
        <v>58</v>
      </c>
      <c r="O80" s="69" cm="1">
        <f t="array" ref="O80">montecarloVAR($B$9,$N80,O$13,$B$1,$B$2,$B$3,$B$4,$B$5,$B$6,$B$7,$B$8)</f>
        <v>11914.411573065108</v>
      </c>
      <c r="P80" s="69" cm="1">
        <f t="array" ref="P80">montecarloVAR($B$9,$N80,P$13,$B$1,$B$2,$B$3,$B$4,$B$5,$B$6,$B$7,$B$8)</f>
        <v>16910.340022165008</v>
      </c>
      <c r="Q80" s="70" cm="1">
        <f t="array" ref="Q80">montecarloVAR($B$9,$N80,Q$13,$B$1,$B$2,$B$3,$B$4,$B$5,$B$6,$B$7,$B$8)</f>
        <v>19113.181585789909</v>
      </c>
      <c r="S80" s="59"/>
      <c r="T80">
        <v>58</v>
      </c>
      <c r="U80" s="69">
        <f t="shared" si="7"/>
        <v>7151.1649561082504</v>
      </c>
      <c r="V80" s="69">
        <f t="shared" si="8"/>
        <v>11016.46209018306</v>
      </c>
      <c r="W80" s="70">
        <f t="shared" si="9"/>
        <v>11820.573871970864</v>
      </c>
    </row>
    <row r="81" spans="1:23" x14ac:dyDescent="0.2">
      <c r="A81" s="59"/>
      <c r="B81">
        <v>59</v>
      </c>
      <c r="C81" s="69" cm="1">
        <f t="array" ref="C81">montecarloVAR_single($B$9,$B81,C$13,$B$1,$B$3,$D$8)</f>
        <v>852.55623704568916</v>
      </c>
      <c r="D81" s="69" cm="1">
        <f t="array" ref="D81">montecarloVAR_single($B$9,$B81,D$13,$B$1,$B$3,$D$8)</f>
        <v>4609.913643503417</v>
      </c>
      <c r="E81" s="70" cm="1">
        <f t="array" ref="E81">montecarloVAR_single($B$9,$B81,E$13,$B$1,$B$3,$D$8)</f>
        <v>5858.55102404647</v>
      </c>
      <c r="G81" s="59"/>
      <c r="H81">
        <v>59</v>
      </c>
      <c r="I81" s="69" cm="1">
        <f t="array" ref="I81">montecarloVAR_single($B$9,$H81,I$13,$B$2,$B$4,$D$8)</f>
        <v>18659.652244921821</v>
      </c>
      <c r="J81" s="69" cm="1">
        <f t="array" ref="J81">montecarloVAR_single($B$9,$H81,J$13,$B$2,$B$4,$D$8)</f>
        <v>23160.925083758495</v>
      </c>
      <c r="K81" s="70" cm="1">
        <f t="array" ref="K81">montecarloVAR_single($B$9,$H81,K$13,$B$2,$B$4,$D$8)</f>
        <v>24912.106957125925</v>
      </c>
      <c r="M81" s="59"/>
      <c r="N81">
        <v>59</v>
      </c>
      <c r="O81" s="69" cm="1">
        <f t="array" ref="O81">montecarloVAR($B$9,$N81,O$13,$B$1,$B$2,$B$3,$B$4,$B$5,$B$6,$B$7,$B$8)</f>
        <v>11557.457663882342</v>
      </c>
      <c r="P81" s="69" cm="1">
        <f t="array" ref="P81">montecarloVAR($B$9,$N81,P$13,$B$1,$B$2,$B$3,$B$4,$B$5,$B$6,$B$7,$B$8)</f>
        <v>16927.170718489881</v>
      </c>
      <c r="Q81" s="70" cm="1">
        <f t="array" ref="Q81">montecarloVAR($B$9,$N81,Q$13,$B$1,$B$2,$B$3,$B$4,$B$5,$B$6,$B$7,$B$8)</f>
        <v>19328.514156099245</v>
      </c>
      <c r="S81" s="59"/>
      <c r="T81">
        <v>59</v>
      </c>
      <c r="U81" s="69">
        <f t="shared" si="7"/>
        <v>7954.7508180851692</v>
      </c>
      <c r="V81" s="69">
        <f t="shared" si="8"/>
        <v>10843.668008772031</v>
      </c>
      <c r="W81" s="70">
        <f t="shared" si="9"/>
        <v>11442.143825073148</v>
      </c>
    </row>
    <row r="82" spans="1:23" x14ac:dyDescent="0.2">
      <c r="A82" s="59"/>
      <c r="B82">
        <v>60</v>
      </c>
      <c r="C82" s="69" cm="1">
        <f t="array" ref="C82">montecarloVAR_single($B$9,$B82,C$13,$B$1,$B$3,$D$8)</f>
        <v>546.16923748560066</v>
      </c>
      <c r="D82" s="69" cm="1">
        <f t="array" ref="D82">montecarloVAR_single($B$9,$B82,D$13,$B$1,$B$3,$D$8)</f>
        <v>4785.2059508189568</v>
      </c>
      <c r="E82" s="70" cm="1">
        <f t="array" ref="E82">montecarloVAR_single($B$9,$B82,E$13,$B$1,$B$3,$D$8)</f>
        <v>6295.4438090691438</v>
      </c>
      <c r="G82" s="59"/>
      <c r="H82">
        <v>60</v>
      </c>
      <c r="I82" s="69" cm="1">
        <f t="array" ref="I82">montecarloVAR_single($B$9,$H82,I$13,$B$2,$B$4,$D$8)</f>
        <v>18763.304627883772</v>
      </c>
      <c r="J82" s="69" cm="1">
        <f t="array" ref="J82">montecarloVAR_single($B$9,$H82,J$13,$B$2,$B$4,$D$8)</f>
        <v>23608.110517831305</v>
      </c>
      <c r="K82" s="70" cm="1">
        <f t="array" ref="K82">montecarloVAR_single($B$9,$H82,K$13,$B$2,$B$4,$D$8)</f>
        <v>25179.760069806347</v>
      </c>
      <c r="M82" s="59"/>
      <c r="N82">
        <v>60</v>
      </c>
      <c r="O82" s="69" cm="1">
        <f t="array" ref="O82">montecarloVAR($B$9,$N82,O$13,$B$1,$B$2,$B$3,$B$4,$B$5,$B$6,$B$7,$B$8)</f>
        <v>11871.658972402582</v>
      </c>
      <c r="P82" s="69" cm="1">
        <f t="array" ref="P82">montecarloVAR($B$9,$N82,P$13,$B$1,$B$2,$B$3,$B$4,$B$5,$B$6,$B$7,$B$8)</f>
        <v>17721.47275773354</v>
      </c>
      <c r="Q82" s="70" cm="1">
        <f t="array" ref="Q82">montecarloVAR($B$9,$N82,Q$13,$B$1,$B$2,$B$3,$B$4,$B$5,$B$6,$B$7,$B$8)</f>
        <v>20144.170703041331</v>
      </c>
      <c r="S82" s="59"/>
      <c r="T82">
        <v>60</v>
      </c>
      <c r="U82" s="69">
        <f t="shared" si="7"/>
        <v>7437.8148929667896</v>
      </c>
      <c r="V82" s="69">
        <f t="shared" si="8"/>
        <v>10671.843710916721</v>
      </c>
      <c r="W82" s="70">
        <f t="shared" si="9"/>
        <v>11331.03317583416</v>
      </c>
    </row>
    <row r="83" spans="1:23" x14ac:dyDescent="0.2">
      <c r="A83" s="59"/>
      <c r="B83">
        <v>61</v>
      </c>
      <c r="C83" s="69" cm="1">
        <f t="array" ref="C83">montecarloVAR_single($B$9,$B83,C$13,$B$1,$B$3,$D$8)</f>
        <v>457.3669343224451</v>
      </c>
      <c r="D83" s="69" cm="1">
        <f t="array" ref="D83">montecarloVAR_single($B$9,$B83,D$13,$B$1,$B$3,$D$8)</f>
        <v>4364.4612542717969</v>
      </c>
      <c r="E83" s="70" cm="1">
        <f t="array" ref="E83">montecarloVAR_single($B$9,$B83,E$13,$B$1,$B$3,$D$8)</f>
        <v>6307.664754822863</v>
      </c>
      <c r="G83" s="59"/>
      <c r="H83">
        <v>61</v>
      </c>
      <c r="I83" s="69" cm="1">
        <f t="array" ref="I83">montecarloVAR_single($B$9,$H83,I$13,$B$2,$B$4,$D$8)</f>
        <v>19304.788376026812</v>
      </c>
      <c r="J83" s="69" cm="1">
        <f t="array" ref="J83">montecarloVAR_single($B$9,$H83,J$13,$B$2,$B$4,$D$8)</f>
        <v>23739.185002675022</v>
      </c>
      <c r="K83" s="70" cm="1">
        <f t="array" ref="K83">montecarloVAR_single($B$9,$H83,K$13,$B$2,$B$4,$D$8)</f>
        <v>25067.461334245043</v>
      </c>
      <c r="M83" s="59"/>
      <c r="N83">
        <v>61</v>
      </c>
      <c r="O83" s="69" cm="1">
        <f t="array" ref="O83">montecarloVAR($B$9,$N83,O$13,$B$1,$B$2,$B$3,$B$4,$B$5,$B$6,$B$7,$B$8)</f>
        <v>12088.137714780511</v>
      </c>
      <c r="P83" s="69" cm="1">
        <f t="array" ref="P83">montecarloVAR($B$9,$N83,P$13,$B$1,$B$2,$B$3,$B$4,$B$5,$B$6,$B$7,$B$8)</f>
        <v>17639.491744836971</v>
      </c>
      <c r="Q83" s="70" cm="1">
        <f t="array" ref="Q83">montecarloVAR($B$9,$N83,Q$13,$B$1,$B$2,$B$3,$B$4,$B$5,$B$6,$B$7,$B$8)</f>
        <v>19875.134334100898</v>
      </c>
      <c r="S83" s="59"/>
      <c r="T83">
        <v>61</v>
      </c>
      <c r="U83" s="69">
        <f t="shared" si="7"/>
        <v>7674.0175955687482</v>
      </c>
      <c r="V83" s="69">
        <f t="shared" si="8"/>
        <v>10464.15451210985</v>
      </c>
      <c r="W83" s="70">
        <f t="shared" si="9"/>
        <v>11499.991754967006</v>
      </c>
    </row>
    <row r="84" spans="1:23" x14ac:dyDescent="0.2">
      <c r="A84" s="59"/>
      <c r="B84">
        <v>62</v>
      </c>
      <c r="C84" s="69" cm="1">
        <f t="array" ref="C84">montecarloVAR_single($B$9,$B84,C$13,$B$1,$B$3,$D$8)</f>
        <v>216.88371359384061</v>
      </c>
      <c r="D84" s="69" cm="1">
        <f t="array" ref="D84">montecarloVAR_single($B$9,$B84,D$13,$B$1,$B$3,$D$8)</f>
        <v>4828.9117900245365</v>
      </c>
      <c r="E84" s="70" cm="1">
        <f t="array" ref="E84">montecarloVAR_single($B$9,$B84,E$13,$B$1,$B$3,$D$8)</f>
        <v>6463.0882416996328</v>
      </c>
      <c r="G84" s="59"/>
      <c r="H84">
        <v>62</v>
      </c>
      <c r="I84" s="69" cm="1">
        <f t="array" ref="I84">montecarloVAR_single($B$9,$H84,I$13,$B$2,$B$4,$D$8)</f>
        <v>19378.822982400237</v>
      </c>
      <c r="J84" s="69" cm="1">
        <f t="array" ref="J84">montecarloVAR_single($B$9,$H84,J$13,$B$2,$B$4,$D$8)</f>
        <v>23978.915087120997</v>
      </c>
      <c r="K84" s="70" cm="1">
        <f t="array" ref="K84">montecarloVAR_single($B$9,$H84,K$13,$B$2,$B$4,$D$8)</f>
        <v>25544.411023193727</v>
      </c>
      <c r="M84" s="59"/>
      <c r="N84">
        <v>62</v>
      </c>
      <c r="O84" s="69" cm="1">
        <f t="array" ref="O84">montecarloVAR($B$9,$N84,O$13,$B$1,$B$2,$B$3,$B$4,$B$5,$B$6,$B$7,$B$8)</f>
        <v>12258.993774679046</v>
      </c>
      <c r="P84" s="69" cm="1">
        <f t="array" ref="P84">montecarloVAR($B$9,$N84,P$13,$B$1,$B$2,$B$3,$B$4,$B$5,$B$6,$B$7,$B$8)</f>
        <v>18075.652211226905</v>
      </c>
      <c r="Q84" s="70" cm="1">
        <f t="array" ref="Q84">montecarloVAR($B$9,$N84,Q$13,$B$1,$B$2,$B$3,$B$4,$B$5,$B$6,$B$7,$B$8)</f>
        <v>19596.465224609528</v>
      </c>
      <c r="S84" s="59"/>
      <c r="T84">
        <v>62</v>
      </c>
      <c r="U84" s="69">
        <f t="shared" si="7"/>
        <v>7336.7129213150329</v>
      </c>
      <c r="V84" s="69">
        <f t="shared" si="8"/>
        <v>10732.174665918628</v>
      </c>
      <c r="W84" s="70">
        <f t="shared" si="9"/>
        <v>12411.03404028383</v>
      </c>
    </row>
    <row r="85" spans="1:23" x14ac:dyDescent="0.2">
      <c r="A85" s="59"/>
      <c r="B85">
        <v>63</v>
      </c>
      <c r="C85" s="69" cm="1">
        <f t="array" ref="C85">montecarloVAR_single($B$9,$B85,C$13,$B$1,$B$3,$D$8)</f>
        <v>202.02084590590141</v>
      </c>
      <c r="D85" s="69" cm="1">
        <f t="array" ref="D85">montecarloVAR_single($B$9,$B85,D$13,$B$1,$B$3,$D$8)</f>
        <v>4413.1462224055767</v>
      </c>
      <c r="E85" s="70" cm="1">
        <f t="array" ref="E85">montecarloVAR_single($B$9,$B85,E$13,$B$1,$B$3,$D$8)</f>
        <v>6582.1366634364213</v>
      </c>
      <c r="G85" s="59"/>
      <c r="H85">
        <v>63</v>
      </c>
      <c r="I85" s="69" cm="1">
        <f t="array" ref="I85">montecarloVAR_single($B$9,$H85,I$13,$B$2,$B$4,$D$8)</f>
        <v>19525.433222309319</v>
      </c>
      <c r="J85" s="69" cm="1">
        <f t="array" ref="J85">montecarloVAR_single($B$9,$H85,J$13,$B$2,$B$4,$D$8)</f>
        <v>24295.384012555274</v>
      </c>
      <c r="K85" s="70" cm="1">
        <f t="array" ref="K85">montecarloVAR_single($B$9,$H85,K$13,$B$2,$B$4,$D$8)</f>
        <v>25871.537321084852</v>
      </c>
      <c r="M85" s="59"/>
      <c r="N85">
        <v>63</v>
      </c>
      <c r="O85" s="69" cm="1">
        <f t="array" ref="O85">montecarloVAR($B$9,$N85,O$13,$B$1,$B$2,$B$3,$B$4,$B$5,$B$6,$B$7,$B$8)</f>
        <v>11692.972009633049</v>
      </c>
      <c r="P85" s="69" cm="1">
        <f t="array" ref="P85">montecarloVAR($B$9,$N85,P$13,$B$1,$B$2,$B$3,$B$4,$B$5,$B$6,$B$7,$B$8)</f>
        <v>17559.051529891825</v>
      </c>
      <c r="Q85" s="70" cm="1">
        <f t="array" ref="Q85">montecarloVAR($B$9,$N85,Q$13,$B$1,$B$2,$B$3,$B$4,$B$5,$B$6,$B$7,$B$8)</f>
        <v>19669.681392698629</v>
      </c>
      <c r="S85" s="59"/>
      <c r="T85">
        <v>63</v>
      </c>
      <c r="U85" s="69">
        <f t="shared" si="7"/>
        <v>8034.4820585821726</v>
      </c>
      <c r="V85" s="69">
        <f t="shared" si="8"/>
        <v>11149.478705069025</v>
      </c>
      <c r="W85" s="70">
        <f t="shared" si="9"/>
        <v>12783.992591822644</v>
      </c>
    </row>
    <row r="86" spans="1:23" x14ac:dyDescent="0.2">
      <c r="A86" s="59"/>
      <c r="B86">
        <v>64</v>
      </c>
      <c r="C86" s="69" cm="1">
        <f t="array" ref="C86">montecarloVAR_single($B$9,$B86,C$13,$B$1,$B$3,$D$8)</f>
        <v>69.759583069605057</v>
      </c>
      <c r="D86" s="69" cm="1">
        <f t="array" ref="D86">montecarloVAR_single($B$9,$B86,D$13,$B$1,$B$3,$D$8)</f>
        <v>4576.9788890103346</v>
      </c>
      <c r="E86" s="70" cm="1">
        <f t="array" ref="E86">montecarloVAR_single($B$9,$B86,E$13,$B$1,$B$3,$D$8)</f>
        <v>6047.9382690051643</v>
      </c>
      <c r="G86" s="59"/>
      <c r="H86">
        <v>64</v>
      </c>
      <c r="I86" s="69" cm="1">
        <f t="array" ref="I86">montecarloVAR_single($B$9,$H86,I$13,$B$2,$B$4,$D$8)</f>
        <v>19823.291212755143</v>
      </c>
      <c r="J86" s="69" cm="1">
        <f t="array" ref="J86">montecarloVAR_single($B$9,$H86,J$13,$B$2,$B$4,$D$8)</f>
        <v>24079.589663079969</v>
      </c>
      <c r="K86" s="70" cm="1">
        <f t="array" ref="K86">montecarloVAR_single($B$9,$H86,K$13,$B$2,$B$4,$D$8)</f>
        <v>26425.807765116766</v>
      </c>
      <c r="M86" s="59"/>
      <c r="N86">
        <v>64</v>
      </c>
      <c r="O86" s="69" cm="1">
        <f t="array" ref="O86">montecarloVAR($B$9,$N86,O$13,$B$1,$B$2,$B$3,$B$4,$B$5,$B$6,$B$7,$B$8)</f>
        <v>12606.399523065695</v>
      </c>
      <c r="P86" s="69" cm="1">
        <f t="array" ref="P86">montecarloVAR($B$9,$N86,P$13,$B$1,$B$2,$B$3,$B$4,$B$5,$B$6,$B$7,$B$8)</f>
        <v>17934.545906679607</v>
      </c>
      <c r="Q86" s="70" cm="1">
        <f t="array" ref="Q86">montecarloVAR($B$9,$N86,Q$13,$B$1,$B$2,$B$3,$B$4,$B$5,$B$6,$B$7,$B$8)</f>
        <v>20123.708541614946</v>
      </c>
      <c r="S86" s="59"/>
      <c r="T86">
        <v>64</v>
      </c>
      <c r="U86" s="69">
        <f t="shared" si="7"/>
        <v>7286.6512727590525</v>
      </c>
      <c r="V86" s="69">
        <f t="shared" si="8"/>
        <v>10722.022645410696</v>
      </c>
      <c r="W86" s="70">
        <f t="shared" si="9"/>
        <v>12350.037492506985</v>
      </c>
    </row>
    <row r="87" spans="1:23" x14ac:dyDescent="0.2">
      <c r="A87" s="59"/>
      <c r="B87">
        <v>65</v>
      </c>
      <c r="C87" s="69" cm="1">
        <f t="array" ref="C87">montecarloVAR_single($B$9,$B87,C$13,$B$1,$B$3,$D$8)</f>
        <v>-192.60390241235893</v>
      </c>
      <c r="D87" s="69" cm="1">
        <f t="array" ref="D87">montecarloVAR_single($B$9,$B87,D$13,$B$1,$B$3,$D$8)</f>
        <v>4232.4524718367766</v>
      </c>
      <c r="E87" s="70" cm="1">
        <f t="array" ref="E87">montecarloVAR_single($B$9,$B87,E$13,$B$1,$B$3,$D$8)</f>
        <v>6159.8504304066582</v>
      </c>
      <c r="G87" s="59"/>
      <c r="H87">
        <v>65</v>
      </c>
      <c r="I87" s="69" cm="1">
        <f t="array" ref="I87">montecarloVAR_single($B$9,$H87,I$13,$B$2,$B$4,$D$8)</f>
        <v>20052.930904223911</v>
      </c>
      <c r="J87" s="69" cm="1">
        <f t="array" ref="J87">montecarloVAR_single($B$9,$H87,J$13,$B$2,$B$4,$D$8)</f>
        <v>24988.280598582449</v>
      </c>
      <c r="K87" s="70" cm="1">
        <f t="array" ref="K87">montecarloVAR_single($B$9,$H87,K$13,$B$2,$B$4,$D$8)</f>
        <v>27236.282028994086</v>
      </c>
      <c r="M87" s="59"/>
      <c r="N87">
        <v>65</v>
      </c>
      <c r="O87" s="69" cm="1">
        <f t="array" ref="O87">montecarloVAR($B$9,$N87,O$13,$B$1,$B$2,$B$3,$B$4,$B$5,$B$6,$B$7,$B$8)</f>
        <v>12112.371694004154</v>
      </c>
      <c r="P87" s="69" cm="1">
        <f t="array" ref="P87">montecarloVAR($B$9,$N87,P$13,$B$1,$B$2,$B$3,$B$4,$B$5,$B$6,$B$7,$B$8)</f>
        <v>18422.224697240857</v>
      </c>
      <c r="Q87" s="70" cm="1">
        <f t="array" ref="Q87">montecarloVAR($B$9,$N87,Q$13,$B$1,$B$2,$B$3,$B$4,$B$5,$B$6,$B$7,$B$8)</f>
        <v>20367.108535848365</v>
      </c>
      <c r="S87" s="59"/>
      <c r="T87">
        <v>65</v>
      </c>
      <c r="U87" s="69">
        <f t="shared" si="7"/>
        <v>7747.9553078073968</v>
      </c>
      <c r="V87" s="69">
        <f t="shared" si="8"/>
        <v>10798.508373178367</v>
      </c>
      <c r="W87" s="70">
        <f t="shared" si="9"/>
        <v>13029.02392355238</v>
      </c>
    </row>
    <row r="88" spans="1:23" x14ac:dyDescent="0.2">
      <c r="A88" s="59"/>
      <c r="B88">
        <v>66</v>
      </c>
      <c r="C88" s="69" cm="1">
        <f t="array" ref="C88">montecarloVAR_single($B$9,$B88,C$13,$B$1,$B$3,$D$8)</f>
        <v>141.33459446009729</v>
      </c>
      <c r="D88" s="69" cm="1">
        <f t="array" ref="D88">montecarloVAR_single($B$9,$B88,D$13,$B$1,$B$3,$D$8)</f>
        <v>4443.9061987983878</v>
      </c>
      <c r="E88" s="70" cm="1">
        <f t="array" ref="E88">montecarloVAR_single($B$9,$B88,E$13,$B$1,$B$3,$D$8)</f>
        <v>6406.9499627317218</v>
      </c>
      <c r="G88" s="59"/>
      <c r="H88">
        <v>66</v>
      </c>
      <c r="I88" s="69" cm="1">
        <f t="array" ref="I88">montecarloVAR_single($B$9,$H88,I$13,$B$2,$B$4,$D$8)</f>
        <v>20211.37470138746</v>
      </c>
      <c r="J88" s="69" cm="1">
        <f t="array" ref="J88">montecarloVAR_single($B$9,$H88,J$13,$B$2,$B$4,$D$8)</f>
        <v>24646.485556375872</v>
      </c>
      <c r="K88" s="70" cm="1">
        <f t="array" ref="K88">montecarloVAR_single($B$9,$H88,K$13,$B$2,$B$4,$D$8)</f>
        <v>26742.377154623413</v>
      </c>
      <c r="M88" s="59"/>
      <c r="N88">
        <v>66</v>
      </c>
      <c r="O88" s="69" cm="1">
        <f t="array" ref="O88">montecarloVAR($B$9,$N88,O$13,$B$1,$B$2,$B$3,$B$4,$B$5,$B$6,$B$7,$B$8)</f>
        <v>12393.988076361115</v>
      </c>
      <c r="P88" s="69" cm="1">
        <f t="array" ref="P88">montecarloVAR($B$9,$N88,P$13,$B$1,$B$2,$B$3,$B$4,$B$5,$B$6,$B$7,$B$8)</f>
        <v>17788.504747396757</v>
      </c>
      <c r="Q88" s="70" cm="1">
        <f t="array" ref="Q88">montecarloVAR($B$9,$N88,Q$13,$B$1,$B$2,$B$3,$B$4,$B$5,$B$6,$B$7,$B$8)</f>
        <v>21143.226119589734</v>
      </c>
      <c r="S88" s="59"/>
      <c r="T88">
        <v>66</v>
      </c>
      <c r="U88" s="69">
        <f t="shared" si="7"/>
        <v>7958.7212194864442</v>
      </c>
      <c r="V88" s="69">
        <f t="shared" si="8"/>
        <v>11301.887007777503</v>
      </c>
      <c r="W88" s="70">
        <f t="shared" si="9"/>
        <v>12006.100997765399</v>
      </c>
    </row>
    <row r="89" spans="1:23" x14ac:dyDescent="0.2">
      <c r="A89" s="59"/>
      <c r="B89">
        <v>67</v>
      </c>
      <c r="C89" s="69" cm="1">
        <f t="array" ref="C89">montecarloVAR_single($B$9,$B89,C$13,$B$1,$B$3,$D$8)</f>
        <v>-118.01329798261783</v>
      </c>
      <c r="D89" s="69" cm="1">
        <f t="array" ref="D89">montecarloVAR_single($B$9,$B89,D$13,$B$1,$B$3,$D$8)</f>
        <v>4377.6443334942996</v>
      </c>
      <c r="E89" s="70" cm="1">
        <f t="array" ref="E89">montecarloVAR_single($B$9,$B89,E$13,$B$1,$B$3,$D$8)</f>
        <v>5620.070808974765</v>
      </c>
      <c r="G89" s="59"/>
      <c r="H89">
        <v>67</v>
      </c>
      <c r="I89" s="69" cm="1">
        <f t="array" ref="I89">montecarloVAR_single($B$9,$H89,I$13,$B$2,$B$4,$D$8)</f>
        <v>20319.436670399016</v>
      </c>
      <c r="J89" s="69" cm="1">
        <f t="array" ref="J89">montecarloVAR_single($B$9,$H89,J$13,$B$2,$B$4,$D$8)</f>
        <v>24749.665935525441</v>
      </c>
      <c r="K89" s="70" cm="1">
        <f t="array" ref="K89">montecarloVAR_single($B$9,$H89,K$13,$B$2,$B$4,$D$8)</f>
        <v>27101.860931416071</v>
      </c>
      <c r="M89" s="59"/>
      <c r="N89">
        <v>67</v>
      </c>
      <c r="O89" s="69" cm="1">
        <f t="array" ref="O89">montecarloVAR($B$9,$N89,O$13,$B$1,$B$2,$B$3,$B$4,$B$5,$B$6,$B$7,$B$8)</f>
        <v>12397.499369982372</v>
      </c>
      <c r="P89" s="69" cm="1">
        <f t="array" ref="P89">montecarloVAR($B$9,$N89,P$13,$B$1,$B$2,$B$3,$B$4,$B$5,$B$6,$B$7,$B$8)</f>
        <v>18853.659849051721</v>
      </c>
      <c r="Q89" s="70" cm="1">
        <f t="array" ref="Q89">montecarloVAR($B$9,$N89,Q$13,$B$1,$B$2,$B$3,$B$4,$B$5,$B$6,$B$7,$B$8)</f>
        <v>20141.89964375944</v>
      </c>
      <c r="S89" s="59"/>
      <c r="T89">
        <v>67</v>
      </c>
      <c r="U89" s="69">
        <f t="shared" si="7"/>
        <v>7803.9240024340252</v>
      </c>
      <c r="V89" s="69">
        <f t="shared" si="8"/>
        <v>10273.65041996802</v>
      </c>
      <c r="W89" s="70">
        <f t="shared" si="9"/>
        <v>12580.032096631396</v>
      </c>
    </row>
    <row r="90" spans="1:23" x14ac:dyDescent="0.2">
      <c r="A90" s="59"/>
      <c r="B90">
        <v>68</v>
      </c>
      <c r="C90" s="69" cm="1">
        <f t="array" ref="C90">montecarloVAR_single($B$9,$B90,C$13,$B$1,$B$3,$D$8)</f>
        <v>-238.99662139457618</v>
      </c>
      <c r="D90" s="69" cm="1">
        <f t="array" ref="D90">montecarloVAR_single($B$9,$B90,D$13,$B$1,$B$3,$D$8)</f>
        <v>4115.7915973116624</v>
      </c>
      <c r="E90" s="70" cm="1">
        <f t="array" ref="E90">montecarloVAR_single($B$9,$B90,E$13,$B$1,$B$3,$D$8)</f>
        <v>5869.8585932918486</v>
      </c>
      <c r="G90" s="59"/>
      <c r="H90">
        <v>68</v>
      </c>
      <c r="I90" s="69" cm="1">
        <f t="array" ref="I90">montecarloVAR_single($B$9,$H90,I$13,$B$2,$B$4,$D$8)</f>
        <v>20266.92615731998</v>
      </c>
      <c r="J90" s="69" cm="1">
        <f t="array" ref="J90">montecarloVAR_single($B$9,$H90,J$13,$B$2,$B$4,$D$8)</f>
        <v>25664.162065187946</v>
      </c>
      <c r="K90" s="70" cm="1">
        <f t="array" ref="K90">montecarloVAR_single($B$9,$H90,K$13,$B$2,$B$4,$D$8)</f>
        <v>26877.947435076723</v>
      </c>
      <c r="M90" s="59"/>
      <c r="N90">
        <v>68</v>
      </c>
      <c r="O90" s="69" cm="1">
        <f t="array" ref="O90">montecarloVAR($B$9,$N90,O$13,$B$1,$B$2,$B$3,$B$4,$B$5,$B$6,$B$7,$B$8)</f>
        <v>12306.694624549375</v>
      </c>
      <c r="P90" s="69" cm="1">
        <f t="array" ref="P90">montecarloVAR($B$9,$N90,P$13,$B$1,$B$2,$B$3,$B$4,$B$5,$B$6,$B$7,$B$8)</f>
        <v>18296.145536863227</v>
      </c>
      <c r="Q90" s="70" cm="1">
        <f t="array" ref="Q90">montecarloVAR($B$9,$N90,Q$13,$B$1,$B$2,$B$3,$B$4,$B$5,$B$6,$B$7,$B$8)</f>
        <v>19951.374756761768</v>
      </c>
      <c r="S90" s="59"/>
      <c r="T90">
        <v>68</v>
      </c>
      <c r="U90" s="69">
        <f t="shared" si="7"/>
        <v>7721.2349113760283</v>
      </c>
      <c r="V90" s="69">
        <f t="shared" si="8"/>
        <v>11483.80812563638</v>
      </c>
      <c r="W90" s="70">
        <f t="shared" si="9"/>
        <v>12796.431271606802</v>
      </c>
    </row>
    <row r="91" spans="1:23" x14ac:dyDescent="0.2">
      <c r="A91" s="59"/>
      <c r="B91">
        <v>69</v>
      </c>
      <c r="C91" s="69" cm="1">
        <f t="array" ref="C91">montecarloVAR_single($B$9,$B91,C$13,$B$1,$B$3,$D$8)</f>
        <v>-303.91040397753909</v>
      </c>
      <c r="D91" s="69" cm="1">
        <f t="array" ref="D91">montecarloVAR_single($B$9,$B91,D$13,$B$1,$B$3,$D$8)</f>
        <v>4690.0288190168067</v>
      </c>
      <c r="E91" s="70" cm="1">
        <f t="array" ref="E91">montecarloVAR_single($B$9,$B91,E$13,$B$1,$B$3,$D$8)</f>
        <v>5741.0774146611839</v>
      </c>
      <c r="G91" s="59"/>
      <c r="H91">
        <v>69</v>
      </c>
      <c r="I91" s="69" cm="1">
        <f t="array" ref="I91">montecarloVAR_single($B$9,$H91,I$13,$B$2,$B$4,$D$8)</f>
        <v>20949.576979575893</v>
      </c>
      <c r="J91" s="69" cm="1">
        <f t="array" ref="J91">montecarloVAR_single($B$9,$H91,J$13,$B$2,$B$4,$D$8)</f>
        <v>25398.636268460981</v>
      </c>
      <c r="K91" s="70" cm="1">
        <f t="array" ref="K91">montecarloVAR_single($B$9,$H91,K$13,$B$2,$B$4,$D$8)</f>
        <v>27582.98917938078</v>
      </c>
      <c r="M91" s="59"/>
      <c r="N91">
        <v>69</v>
      </c>
      <c r="O91" s="69" cm="1">
        <f t="array" ref="O91">montecarloVAR($B$9,$N91,O$13,$B$1,$B$2,$B$3,$B$4,$B$5,$B$6,$B$7,$B$8)</f>
        <v>12735.414724908635</v>
      </c>
      <c r="P91" s="69" cm="1">
        <f t="array" ref="P91">montecarloVAR($B$9,$N91,P$13,$B$1,$B$2,$B$3,$B$4,$B$5,$B$6,$B$7,$B$8)</f>
        <v>18672.038326141941</v>
      </c>
      <c r="Q91" s="70" cm="1">
        <f t="array" ref="Q91">montecarloVAR($B$9,$N91,Q$13,$B$1,$B$2,$B$3,$B$4,$B$5,$B$6,$B$7,$B$8)</f>
        <v>20556.955670412801</v>
      </c>
      <c r="S91" s="59"/>
      <c r="T91">
        <v>69</v>
      </c>
      <c r="U91" s="69">
        <f t="shared" si="7"/>
        <v>7910.2518506897213</v>
      </c>
      <c r="V91" s="69">
        <f t="shared" si="8"/>
        <v>11416.626761335847</v>
      </c>
      <c r="W91" s="70">
        <f t="shared" si="9"/>
        <v>12767.110923629163</v>
      </c>
    </row>
    <row r="92" spans="1:23" x14ac:dyDescent="0.2">
      <c r="A92" s="59"/>
      <c r="B92">
        <v>70</v>
      </c>
      <c r="C92" s="69" cm="1">
        <f t="array" ref="C92">montecarloVAR_single($B$9,$B92,C$13,$B$1,$B$3,$D$8)</f>
        <v>0.28493309210526674</v>
      </c>
      <c r="D92" s="69" cm="1">
        <f t="array" ref="D92">montecarloVAR_single($B$9,$B92,D$13,$B$1,$B$3,$D$8)</f>
        <v>4025.3123098710726</v>
      </c>
      <c r="E92" s="70" cm="1">
        <f t="array" ref="E92">montecarloVAR_single($B$9,$B92,E$13,$B$1,$B$3,$D$8)</f>
        <v>6799.2263160747134</v>
      </c>
      <c r="G92" s="59"/>
      <c r="H92">
        <v>70</v>
      </c>
      <c r="I92" s="69" cm="1">
        <f t="array" ref="I92">montecarloVAR_single($B$9,$H92,I$13,$B$2,$B$4,$D$8)</f>
        <v>21197.273765331596</v>
      </c>
      <c r="J92" s="69" cm="1">
        <f t="array" ref="J92">montecarloVAR_single($B$9,$H92,J$13,$B$2,$B$4,$D$8)</f>
        <v>25895.86714780617</v>
      </c>
      <c r="K92" s="70" cm="1">
        <f t="array" ref="K92">montecarloVAR_single($B$9,$H92,K$13,$B$2,$B$4,$D$8)</f>
        <v>27719.687205782127</v>
      </c>
      <c r="M92" s="59"/>
      <c r="N92">
        <v>70</v>
      </c>
      <c r="O92" s="69" cm="1">
        <f t="array" ref="O92">montecarloVAR($B$9,$N92,O$13,$B$1,$B$2,$B$3,$B$4,$B$5,$B$6,$B$7,$B$8)</f>
        <v>12741.834016088393</v>
      </c>
      <c r="P92" s="69" cm="1">
        <f t="array" ref="P92">montecarloVAR($B$9,$N92,P$13,$B$1,$B$2,$B$3,$B$4,$B$5,$B$6,$B$7,$B$8)</f>
        <v>19192.024824266038</v>
      </c>
      <c r="Q92" s="70" cm="1">
        <f t="array" ref="Q92">montecarloVAR($B$9,$N92,Q$13,$B$1,$B$2,$B$3,$B$4,$B$5,$B$6,$B$7,$B$8)</f>
        <v>21416.349877120625</v>
      </c>
      <c r="S92" s="59"/>
      <c r="T92">
        <v>70</v>
      </c>
      <c r="U92" s="69">
        <f t="shared" ref="U92:U122" si="10">C92+I92-O92</f>
        <v>8455.7246823353089</v>
      </c>
      <c r="V92" s="69">
        <f t="shared" ref="V92:V122" si="11">D92+J92-P92</f>
        <v>10729.154633411203</v>
      </c>
      <c r="W92" s="70">
        <f t="shared" ref="W92:W122" si="12">E92+K92-Q92</f>
        <v>13102.563644736216</v>
      </c>
    </row>
    <row r="93" spans="1:23" x14ac:dyDescent="0.2">
      <c r="A93" s="59"/>
      <c r="B93">
        <v>71</v>
      </c>
      <c r="C93" s="69" cm="1">
        <f t="array" ref="C93">montecarloVAR_single($B$9,$B93,C$13,$B$1,$B$3,$D$8)</f>
        <v>-480.09857435297181</v>
      </c>
      <c r="D93" s="69" cm="1">
        <f t="array" ref="D93">montecarloVAR_single($B$9,$B93,D$13,$B$1,$B$3,$D$8)</f>
        <v>4380.5233064665181</v>
      </c>
      <c r="E93" s="70" cm="1">
        <f t="array" ref="E93">montecarloVAR_single($B$9,$B93,E$13,$B$1,$B$3,$D$8)</f>
        <v>6206.1003786259325</v>
      </c>
      <c r="G93" s="59"/>
      <c r="H93">
        <v>71</v>
      </c>
      <c r="I93" s="69" cm="1">
        <f t="array" ref="I93">montecarloVAR_single($B$9,$H93,I$13,$B$2,$B$4,$D$8)</f>
        <v>21140.496949070159</v>
      </c>
      <c r="J93" s="69" cm="1">
        <f t="array" ref="J93">montecarloVAR_single($B$9,$H93,J$13,$B$2,$B$4,$D$8)</f>
        <v>26519.389674050057</v>
      </c>
      <c r="K93" s="70" cm="1">
        <f t="array" ref="K93">montecarloVAR_single($B$9,$H93,K$13,$B$2,$B$4,$D$8)</f>
        <v>27992.600317286186</v>
      </c>
      <c r="M93" s="59"/>
      <c r="N93">
        <v>71</v>
      </c>
      <c r="O93" s="69" cm="1">
        <f t="array" ref="O93">montecarloVAR($B$9,$N93,O$13,$B$1,$B$2,$B$3,$B$4,$B$5,$B$6,$B$7,$B$8)</f>
        <v>12359.766376729422</v>
      </c>
      <c r="P93" s="69" cm="1">
        <f t="array" ref="P93">montecarloVAR($B$9,$N93,P$13,$B$1,$B$2,$B$3,$B$4,$B$5,$B$6,$B$7,$B$8)</f>
        <v>19022.7875331254</v>
      </c>
      <c r="Q93" s="70" cm="1">
        <f t="array" ref="Q93">montecarloVAR($B$9,$N93,Q$13,$B$1,$B$2,$B$3,$B$4,$B$5,$B$6,$B$7,$B$8)</f>
        <v>20518.537201688341</v>
      </c>
      <c r="S93" s="59"/>
      <c r="T93">
        <v>71</v>
      </c>
      <c r="U93" s="69">
        <f t="shared" si="10"/>
        <v>8300.6319979877662</v>
      </c>
      <c r="V93" s="69">
        <f t="shared" si="11"/>
        <v>11877.125447391176</v>
      </c>
      <c r="W93" s="70">
        <f t="shared" si="12"/>
        <v>13680.16349422378</v>
      </c>
    </row>
    <row r="94" spans="1:23" x14ac:dyDescent="0.2">
      <c r="A94" s="59"/>
      <c r="B94">
        <v>72</v>
      </c>
      <c r="C94" s="69" cm="1">
        <f t="array" ref="C94">montecarloVAR_single($B$9,$B94,C$13,$B$1,$B$3,$D$8)</f>
        <v>-537.01415814560733</v>
      </c>
      <c r="D94" s="69" cm="1">
        <f t="array" ref="D94">montecarloVAR_single($B$9,$B94,D$13,$B$1,$B$3,$D$8)</f>
        <v>4504.2712657640959</v>
      </c>
      <c r="E94" s="70" cm="1">
        <f t="array" ref="E94">montecarloVAR_single($B$9,$B94,E$13,$B$1,$B$3,$D$8)</f>
        <v>5458.076975554497</v>
      </c>
      <c r="G94" s="59"/>
      <c r="H94">
        <v>72</v>
      </c>
      <c r="I94" s="69" cm="1">
        <f t="array" ref="I94">montecarloVAR_single($B$9,$H94,I$13,$B$2,$B$4,$D$8)</f>
        <v>21520.868377083272</v>
      </c>
      <c r="J94" s="69" cm="1">
        <f t="array" ref="J94">montecarloVAR_single($B$9,$H94,J$13,$B$2,$B$4,$D$8)</f>
        <v>26540.273144307863</v>
      </c>
      <c r="K94" s="70" cm="1">
        <f t="array" ref="K94">montecarloVAR_single($B$9,$H94,K$13,$B$2,$B$4,$D$8)</f>
        <v>28833.763861583026</v>
      </c>
      <c r="M94" s="59"/>
      <c r="N94">
        <v>72</v>
      </c>
      <c r="O94" s="69" cm="1">
        <f t="array" ref="O94">montecarloVAR($B$9,$N94,O$13,$B$1,$B$2,$B$3,$B$4,$B$5,$B$6,$B$7,$B$8)</f>
        <v>12671.223706710209</v>
      </c>
      <c r="P94" s="69" cm="1">
        <f t="array" ref="P94">montecarloVAR($B$9,$N94,P$13,$B$1,$B$2,$B$3,$B$4,$B$5,$B$6,$B$7,$B$8)</f>
        <v>18837.438808699855</v>
      </c>
      <c r="Q94" s="70" cm="1">
        <f t="array" ref="Q94">montecarloVAR($B$9,$N94,Q$13,$B$1,$B$2,$B$3,$B$4,$B$5,$B$6,$B$7,$B$8)</f>
        <v>21000.269273222795</v>
      </c>
      <c r="S94" s="59"/>
      <c r="T94">
        <v>72</v>
      </c>
      <c r="U94" s="69">
        <f t="shared" si="10"/>
        <v>8312.6305122274553</v>
      </c>
      <c r="V94" s="69">
        <f t="shared" si="11"/>
        <v>12207.105601372103</v>
      </c>
      <c r="W94" s="70">
        <f t="shared" si="12"/>
        <v>13291.571563914731</v>
      </c>
    </row>
    <row r="95" spans="1:23" x14ac:dyDescent="0.2">
      <c r="A95" s="59"/>
      <c r="B95">
        <v>73</v>
      </c>
      <c r="C95" s="69" cm="1">
        <f t="array" ref="C95">montecarloVAR_single($B$9,$B95,C$13,$B$1,$B$3,$D$8)</f>
        <v>-753.04439009319719</v>
      </c>
      <c r="D95" s="69" cm="1">
        <f t="array" ref="D95">montecarloVAR_single($B$9,$B95,D$13,$B$1,$B$3,$D$8)</f>
        <v>3591.7359283247602</v>
      </c>
      <c r="E95" s="70" cm="1">
        <f t="array" ref="E95">montecarloVAR_single($B$9,$B95,E$13,$B$1,$B$3,$D$8)</f>
        <v>5212.9882797276205</v>
      </c>
      <c r="G95" s="59"/>
      <c r="H95">
        <v>73</v>
      </c>
      <c r="I95" s="69" cm="1">
        <f t="array" ref="I95">montecarloVAR_single($B$9,$H95,I$13,$B$2,$B$4,$D$8)</f>
        <v>21920.669889817207</v>
      </c>
      <c r="J95" s="69" cm="1">
        <f t="array" ref="J95">montecarloVAR_single($B$9,$H95,J$13,$B$2,$B$4,$D$8)</f>
        <v>26579.18200746466</v>
      </c>
      <c r="K95" s="70" cm="1">
        <f t="array" ref="K95">montecarloVAR_single($B$9,$H95,K$13,$B$2,$B$4,$D$8)</f>
        <v>29429.085121356933</v>
      </c>
      <c r="M95" s="59"/>
      <c r="N95">
        <v>73</v>
      </c>
      <c r="O95" s="69" cm="1">
        <f t="array" ref="O95">montecarloVAR($B$9,$N95,O$13,$B$1,$B$2,$B$3,$B$4,$B$5,$B$6,$B$7,$B$8)</f>
        <v>12896.544039033301</v>
      </c>
      <c r="P95" s="69" cm="1">
        <f t="array" ref="P95">montecarloVAR($B$9,$N95,P$13,$B$1,$B$2,$B$3,$B$4,$B$5,$B$6,$B$7,$B$8)</f>
        <v>18678.769397806296</v>
      </c>
      <c r="Q95" s="70" cm="1">
        <f t="array" ref="Q95">montecarloVAR($B$9,$N95,Q$13,$B$1,$B$2,$B$3,$B$4,$B$5,$B$6,$B$7,$B$8)</f>
        <v>20862.663701100009</v>
      </c>
      <c r="S95" s="59"/>
      <c r="T95">
        <v>73</v>
      </c>
      <c r="U95" s="69">
        <f t="shared" si="10"/>
        <v>8271.0814606907097</v>
      </c>
      <c r="V95" s="69">
        <f t="shared" si="11"/>
        <v>11492.148537983125</v>
      </c>
      <c r="W95" s="70">
        <f t="shared" si="12"/>
        <v>13779.409699984546</v>
      </c>
    </row>
    <row r="96" spans="1:23" x14ac:dyDescent="0.2">
      <c r="A96" s="59"/>
      <c r="B96">
        <v>74</v>
      </c>
      <c r="C96" s="69" cm="1">
        <f t="array" ref="C96">montecarloVAR_single($B$9,$B96,C$13,$B$1,$B$3,$D$8)</f>
        <v>-465.6581328312173</v>
      </c>
      <c r="D96" s="69" cm="1">
        <f t="array" ref="D96">montecarloVAR_single($B$9,$B96,D$13,$B$1,$B$3,$D$8)</f>
        <v>4042.6853682611054</v>
      </c>
      <c r="E96" s="70" cm="1">
        <f t="array" ref="E96">montecarloVAR_single($B$9,$B96,E$13,$B$1,$B$3,$D$8)</f>
        <v>5496.7837463121741</v>
      </c>
      <c r="G96" s="59"/>
      <c r="H96">
        <v>74</v>
      </c>
      <c r="I96" s="69" cm="1">
        <f t="array" ref="I96">montecarloVAR_single($B$9,$H96,I$13,$B$2,$B$4,$D$8)</f>
        <v>22207.606440631913</v>
      </c>
      <c r="J96" s="69" cm="1">
        <f t="array" ref="J96">montecarloVAR_single($B$9,$H96,J$13,$B$2,$B$4,$D$8)</f>
        <v>26812.342159312055</v>
      </c>
      <c r="K96" s="70" cm="1">
        <f t="array" ref="K96">montecarloVAR_single($B$9,$H96,K$13,$B$2,$B$4,$D$8)</f>
        <v>28490.409881296277</v>
      </c>
      <c r="M96" s="59"/>
      <c r="N96">
        <v>74</v>
      </c>
      <c r="O96" s="69" cm="1">
        <f t="array" ref="O96">montecarloVAR($B$9,$N96,O$13,$B$1,$B$2,$B$3,$B$4,$B$5,$B$6,$B$7,$B$8)</f>
        <v>12741.122328516856</v>
      </c>
      <c r="P96" s="69" cm="1">
        <f t="array" ref="P96">montecarloVAR($B$9,$N96,P$13,$B$1,$B$2,$B$3,$B$4,$B$5,$B$6,$B$7,$B$8)</f>
        <v>19633.623196488363</v>
      </c>
      <c r="Q96" s="70" cm="1">
        <f t="array" ref="Q96">montecarloVAR($B$9,$N96,Q$13,$B$1,$B$2,$B$3,$B$4,$B$5,$B$6,$B$7,$B$8)</f>
        <v>21150.357547608382</v>
      </c>
      <c r="S96" s="59"/>
      <c r="T96">
        <v>74</v>
      </c>
      <c r="U96" s="69">
        <f t="shared" si="10"/>
        <v>9000.8259792838398</v>
      </c>
      <c r="V96" s="69">
        <f t="shared" si="11"/>
        <v>11221.404331084799</v>
      </c>
      <c r="W96" s="70">
        <f t="shared" si="12"/>
        <v>12836.83608000007</v>
      </c>
    </row>
    <row r="97" spans="1:23" x14ac:dyDescent="0.2">
      <c r="A97" s="59"/>
      <c r="B97">
        <v>75</v>
      </c>
      <c r="C97" s="69" cm="1">
        <f t="array" ref="C97">montecarloVAR_single($B$9,$B97,C$13,$B$1,$B$3,$D$8)</f>
        <v>-697.04739993170301</v>
      </c>
      <c r="D97" s="69" cm="1">
        <f t="array" ref="D97">montecarloVAR_single($B$9,$B97,D$13,$B$1,$B$3,$D$8)</f>
        <v>4216.7703364065146</v>
      </c>
      <c r="E97" s="70" cm="1">
        <f t="array" ref="E97">montecarloVAR_single($B$9,$B97,E$13,$B$1,$B$3,$D$8)</f>
        <v>6342.6415494558814</v>
      </c>
      <c r="G97" s="59"/>
      <c r="H97">
        <v>75</v>
      </c>
      <c r="I97" s="69" cm="1">
        <f t="array" ref="I97">montecarloVAR_single($B$9,$H97,I$13,$B$2,$B$4,$D$8)</f>
        <v>22307.587465834124</v>
      </c>
      <c r="J97" s="69" cm="1">
        <f t="array" ref="J97">montecarloVAR_single($B$9,$H97,J$13,$B$2,$B$4,$D$8)</f>
        <v>27047.393627160898</v>
      </c>
      <c r="K97" s="70" cm="1">
        <f t="array" ref="K97">montecarloVAR_single($B$9,$H97,K$13,$B$2,$B$4,$D$8)</f>
        <v>29752.12029933845</v>
      </c>
      <c r="M97" s="59"/>
      <c r="N97">
        <v>75</v>
      </c>
      <c r="O97" s="69" cm="1">
        <f t="array" ref="O97">montecarloVAR($B$9,$N97,O$13,$B$1,$B$2,$B$3,$B$4,$B$5,$B$6,$B$7,$B$8)</f>
        <v>13150.738872502363</v>
      </c>
      <c r="P97" s="69" cm="1">
        <f t="array" ref="P97">montecarloVAR($B$9,$N97,P$13,$B$1,$B$2,$B$3,$B$4,$B$5,$B$6,$B$7,$B$8)</f>
        <v>19653.502815295396</v>
      </c>
      <c r="Q97" s="70" cm="1">
        <f t="array" ref="Q97">montecarloVAR($B$9,$N97,Q$13,$B$1,$B$2,$B$3,$B$4,$B$5,$B$6,$B$7,$B$8)</f>
        <v>21969.853457399135</v>
      </c>
      <c r="S97" s="59"/>
      <c r="T97">
        <v>75</v>
      </c>
      <c r="U97" s="69">
        <f t="shared" si="10"/>
        <v>8459.8011934000569</v>
      </c>
      <c r="V97" s="69">
        <f t="shared" si="11"/>
        <v>11610.661148272018</v>
      </c>
      <c r="W97" s="70">
        <f t="shared" si="12"/>
        <v>14124.908391395198</v>
      </c>
    </row>
    <row r="98" spans="1:23" x14ac:dyDescent="0.2">
      <c r="A98" s="59"/>
      <c r="B98">
        <v>76</v>
      </c>
      <c r="C98" s="69" cm="1">
        <f t="array" ref="C98">montecarloVAR_single($B$9,$B98,C$13,$B$1,$B$3,$D$8)</f>
        <v>-790.56377507626587</v>
      </c>
      <c r="D98" s="69" cm="1">
        <f t="array" ref="D98">montecarloVAR_single($B$9,$B98,D$13,$B$1,$B$3,$D$8)</f>
        <v>4227.9586235370471</v>
      </c>
      <c r="E98" s="70" cm="1">
        <f t="array" ref="E98">montecarloVAR_single($B$9,$B98,E$13,$B$1,$B$3,$D$8)</f>
        <v>6438.7444617534766</v>
      </c>
      <c r="G98" s="59"/>
      <c r="H98">
        <v>76</v>
      </c>
      <c r="I98" s="69" cm="1">
        <f t="array" ref="I98">montecarloVAR_single($B$9,$H98,I$13,$B$2,$B$4,$D$8)</f>
        <v>22209.135756626467</v>
      </c>
      <c r="J98" s="69" cm="1">
        <f t="array" ref="J98">montecarloVAR_single($B$9,$H98,J$13,$B$2,$B$4,$D$8)</f>
        <v>27804.247505536478</v>
      </c>
      <c r="K98" s="70" cm="1">
        <f t="array" ref="K98">montecarloVAR_single($B$9,$H98,K$13,$B$2,$B$4,$D$8)</f>
        <v>29253.277092702858</v>
      </c>
      <c r="M98" s="59"/>
      <c r="N98">
        <v>76</v>
      </c>
      <c r="O98" s="69" cm="1">
        <f t="array" ref="O98">montecarloVAR($B$9,$N98,O$13,$B$1,$B$2,$B$3,$B$4,$B$5,$B$6,$B$7,$B$8)</f>
        <v>12605.885662983896</v>
      </c>
      <c r="P98" s="69" cm="1">
        <f t="array" ref="P98">montecarloVAR($B$9,$N98,P$13,$B$1,$B$2,$B$3,$B$4,$B$5,$B$6,$B$7,$B$8)</f>
        <v>18705.666344721591</v>
      </c>
      <c r="Q98" s="70" cm="1">
        <f t="array" ref="Q98">montecarloVAR($B$9,$N98,Q$13,$B$1,$B$2,$B$3,$B$4,$B$5,$B$6,$B$7,$B$8)</f>
        <v>20827.368897549062</v>
      </c>
      <c r="S98" s="59"/>
      <c r="T98">
        <v>76</v>
      </c>
      <c r="U98" s="69">
        <f t="shared" si="10"/>
        <v>8812.686318566306</v>
      </c>
      <c r="V98" s="69">
        <f t="shared" si="11"/>
        <v>13326.539784351935</v>
      </c>
      <c r="W98" s="70">
        <f t="shared" si="12"/>
        <v>14864.65265690727</v>
      </c>
    </row>
    <row r="99" spans="1:23" x14ac:dyDescent="0.2">
      <c r="A99" s="59"/>
      <c r="B99">
        <v>77</v>
      </c>
      <c r="C99" s="69" cm="1">
        <f t="array" ref="C99">montecarloVAR_single($B$9,$B99,C$13,$B$1,$B$3,$D$8)</f>
        <v>-694.4837175897818</v>
      </c>
      <c r="D99" s="69" cm="1">
        <f t="array" ref="D99">montecarloVAR_single($B$9,$B99,D$13,$B$1,$B$3,$D$8)</f>
        <v>4069.0038679565205</v>
      </c>
      <c r="E99" s="70" cm="1">
        <f t="array" ref="E99">montecarloVAR_single($B$9,$B99,E$13,$B$1,$B$3,$D$8)</f>
        <v>5960.469954746638</v>
      </c>
      <c r="G99" s="59"/>
      <c r="H99">
        <v>77</v>
      </c>
      <c r="I99" s="69" cm="1">
        <f t="array" ref="I99">montecarloVAR_single($B$9,$H99,I$13,$B$2,$B$4,$D$8)</f>
        <v>22884.255669837319</v>
      </c>
      <c r="J99" s="69" cm="1">
        <f t="array" ref="J99">montecarloVAR_single($B$9,$H99,J$13,$B$2,$B$4,$D$8)</f>
        <v>27962.032087981377</v>
      </c>
      <c r="K99" s="70" cm="1">
        <f t="array" ref="K99">montecarloVAR_single($B$9,$H99,K$13,$B$2,$B$4,$D$8)</f>
        <v>29062.830705648095</v>
      </c>
      <c r="M99" s="59"/>
      <c r="N99">
        <v>77</v>
      </c>
      <c r="O99" s="69" cm="1">
        <f t="array" ref="O99">montecarloVAR($B$9,$N99,O$13,$B$1,$B$2,$B$3,$B$4,$B$5,$B$6,$B$7,$B$8)</f>
        <v>13075.835217439637</v>
      </c>
      <c r="P99" s="69" cm="1">
        <f t="array" ref="P99">montecarloVAR($B$9,$N99,P$13,$B$1,$B$2,$B$3,$B$4,$B$5,$B$6,$B$7,$B$8)</f>
        <v>19788.186365966183</v>
      </c>
      <c r="Q99" s="70" cm="1">
        <f t="array" ref="Q99">montecarloVAR($B$9,$N99,Q$13,$B$1,$B$2,$B$3,$B$4,$B$5,$B$6,$B$7,$B$8)</f>
        <v>22108.753175328839</v>
      </c>
      <c r="S99" s="59"/>
      <c r="T99">
        <v>77</v>
      </c>
      <c r="U99" s="69">
        <f t="shared" si="10"/>
        <v>9113.9367348079013</v>
      </c>
      <c r="V99" s="69">
        <f t="shared" si="11"/>
        <v>12242.849589971716</v>
      </c>
      <c r="W99" s="70">
        <f t="shared" si="12"/>
        <v>12914.547485065897</v>
      </c>
    </row>
    <row r="100" spans="1:23" x14ac:dyDescent="0.2">
      <c r="A100" s="59"/>
      <c r="B100">
        <v>78</v>
      </c>
      <c r="C100" s="69" cm="1">
        <f t="array" ref="C100">montecarloVAR_single($B$9,$B100,C$13,$B$1,$B$3,$D$8)</f>
        <v>-823.11874772214844</v>
      </c>
      <c r="D100" s="69" cm="1">
        <f t="array" ref="D100">montecarloVAR_single($B$9,$B100,D$13,$B$1,$B$3,$D$8)</f>
        <v>3697.1904889247335</v>
      </c>
      <c r="E100" s="70" cm="1">
        <f t="array" ref="E100">montecarloVAR_single($B$9,$B100,E$13,$B$1,$B$3,$D$8)</f>
        <v>5105.2627115677733</v>
      </c>
      <c r="G100" s="59"/>
      <c r="H100">
        <v>78</v>
      </c>
      <c r="I100" s="69" cm="1">
        <f t="array" ref="I100">montecarloVAR_single($B$9,$H100,I$13,$B$2,$B$4,$D$8)</f>
        <v>22825.642971846344</v>
      </c>
      <c r="J100" s="69" cm="1">
        <f t="array" ref="J100">montecarloVAR_single($B$9,$H100,J$13,$B$2,$B$4,$D$8)</f>
        <v>28599.90065724602</v>
      </c>
      <c r="K100" s="70" cm="1">
        <f t="array" ref="K100">montecarloVAR_single($B$9,$H100,K$13,$B$2,$B$4,$D$8)</f>
        <v>30381.271085746608</v>
      </c>
      <c r="M100" s="59"/>
      <c r="N100">
        <v>78</v>
      </c>
      <c r="O100" s="69" cm="1">
        <f t="array" ref="O100">montecarloVAR($B$9,$N100,O$13,$B$1,$B$2,$B$3,$B$4,$B$5,$B$6,$B$7,$B$8)</f>
        <v>13073.595248722919</v>
      </c>
      <c r="P100" s="69" cm="1">
        <f t="array" ref="P100">montecarloVAR($B$9,$N100,P$13,$B$1,$B$2,$B$3,$B$4,$B$5,$B$6,$B$7,$B$8)</f>
        <v>19814.241963326403</v>
      </c>
      <c r="Q100" s="70" cm="1">
        <f t="array" ref="Q100">montecarloVAR($B$9,$N100,Q$13,$B$1,$B$2,$B$3,$B$4,$B$5,$B$6,$B$7,$B$8)</f>
        <v>22076.933292822174</v>
      </c>
      <c r="S100" s="59"/>
      <c r="T100">
        <v>78</v>
      </c>
      <c r="U100" s="69">
        <f t="shared" si="10"/>
        <v>8928.9289754012752</v>
      </c>
      <c r="V100" s="69">
        <f t="shared" si="11"/>
        <v>12482.849182844351</v>
      </c>
      <c r="W100" s="70">
        <f t="shared" si="12"/>
        <v>13409.600504492209</v>
      </c>
    </row>
    <row r="101" spans="1:23" x14ac:dyDescent="0.2">
      <c r="A101" s="59"/>
      <c r="B101">
        <v>79</v>
      </c>
      <c r="C101" s="69" cm="1">
        <f t="array" ref="C101">montecarloVAR_single($B$9,$B101,C$13,$B$1,$B$3,$D$8)</f>
        <v>-1018.938378138356</v>
      </c>
      <c r="D101" s="69" cm="1">
        <f t="array" ref="D101">montecarloVAR_single($B$9,$B101,D$13,$B$1,$B$3,$D$8)</f>
        <v>3589.969931199319</v>
      </c>
      <c r="E101" s="70" cm="1">
        <f t="array" ref="E101">montecarloVAR_single($B$9,$B101,E$13,$B$1,$B$3,$D$8)</f>
        <v>5365.2755523724854</v>
      </c>
      <c r="G101" s="59"/>
      <c r="H101">
        <v>79</v>
      </c>
      <c r="I101" s="69" cm="1">
        <f t="array" ref="I101">montecarloVAR_single($B$9,$H101,I$13,$B$2,$B$4,$D$8)</f>
        <v>22951.354662781501</v>
      </c>
      <c r="J101" s="69" cm="1">
        <f t="array" ref="J101">montecarloVAR_single($B$9,$H101,J$13,$B$2,$B$4,$D$8)</f>
        <v>27866.39653451788</v>
      </c>
      <c r="K101" s="70" cm="1">
        <f t="array" ref="K101">montecarloVAR_single($B$9,$H101,K$13,$B$2,$B$4,$D$8)</f>
        <v>30169.871947561809</v>
      </c>
      <c r="M101" s="59"/>
      <c r="N101">
        <v>79</v>
      </c>
      <c r="O101" s="69" cm="1">
        <f t="array" ref="O101">montecarloVAR($B$9,$N101,O$13,$B$1,$B$2,$B$3,$B$4,$B$5,$B$6,$B$7,$B$8)</f>
        <v>12980.590761349331</v>
      </c>
      <c r="P101" s="69" cm="1">
        <f t="array" ref="P101">montecarloVAR($B$9,$N101,P$13,$B$1,$B$2,$B$3,$B$4,$B$5,$B$6,$B$7,$B$8)</f>
        <v>19495.015188665751</v>
      </c>
      <c r="Q101" s="70" cm="1">
        <f t="array" ref="Q101">montecarloVAR($B$9,$N101,Q$13,$B$1,$B$2,$B$3,$B$4,$B$5,$B$6,$B$7,$B$8)</f>
        <v>21851.811691168692</v>
      </c>
      <c r="S101" s="59"/>
      <c r="T101">
        <v>79</v>
      </c>
      <c r="U101" s="69">
        <f t="shared" si="10"/>
        <v>8951.8255232938154</v>
      </c>
      <c r="V101" s="69">
        <f t="shared" si="11"/>
        <v>11961.351277051446</v>
      </c>
      <c r="W101" s="70">
        <f t="shared" si="12"/>
        <v>13683.335808765605</v>
      </c>
    </row>
    <row r="102" spans="1:23" x14ac:dyDescent="0.2">
      <c r="A102" s="59"/>
      <c r="B102">
        <v>80</v>
      </c>
      <c r="C102" s="69" cm="1">
        <f t="array" ref="C102">montecarloVAR_single($B$9,$B102,C$13,$B$1,$B$3,$D$8)</f>
        <v>-1087.6268150986639</v>
      </c>
      <c r="D102" s="69" cm="1">
        <f t="array" ref="D102">montecarloVAR_single($B$9,$B102,D$13,$B$1,$B$3,$D$8)</f>
        <v>3600.7300819134607</v>
      </c>
      <c r="E102" s="70" cm="1">
        <f t="array" ref="E102">montecarloVAR_single($B$9,$B102,E$13,$B$1,$B$3,$D$8)</f>
        <v>5460.1579471265532</v>
      </c>
      <c r="G102" s="59"/>
      <c r="H102">
        <v>80</v>
      </c>
      <c r="I102" s="69" cm="1">
        <f t="array" ref="I102">montecarloVAR_single($B$9,$H102,I$13,$B$2,$B$4,$D$8)</f>
        <v>23218.999250255572</v>
      </c>
      <c r="J102" s="69" cm="1">
        <f t="array" ref="J102">montecarloVAR_single($B$9,$H102,J$13,$B$2,$B$4,$D$8)</f>
        <v>28306.453410593254</v>
      </c>
      <c r="K102" s="70" cm="1">
        <f t="array" ref="K102">montecarloVAR_single($B$9,$H102,K$13,$B$2,$B$4,$D$8)</f>
        <v>30871.066583278829</v>
      </c>
      <c r="M102" s="59"/>
      <c r="N102">
        <v>80</v>
      </c>
      <c r="O102" s="69" cm="1">
        <f t="array" ref="O102">montecarloVAR($B$9,$N102,O$13,$B$1,$B$2,$B$3,$B$4,$B$5,$B$6,$B$7,$B$8)</f>
        <v>13510.854865567784</v>
      </c>
      <c r="P102" s="69" cm="1">
        <f t="array" ref="P102">montecarloVAR($B$9,$N102,P$13,$B$1,$B$2,$B$3,$B$4,$B$5,$B$6,$B$7,$B$8)</f>
        <v>20169.193689034051</v>
      </c>
      <c r="Q102" s="70" cm="1">
        <f t="array" ref="Q102">montecarloVAR($B$9,$N102,Q$13,$B$1,$B$2,$B$3,$B$4,$B$5,$B$6,$B$7,$B$8)</f>
        <v>21993.276547973746</v>
      </c>
      <c r="S102" s="59"/>
      <c r="T102">
        <v>80</v>
      </c>
      <c r="U102" s="69">
        <f t="shared" si="10"/>
        <v>8620.517569589123</v>
      </c>
      <c r="V102" s="69">
        <f t="shared" si="11"/>
        <v>11737.989803472665</v>
      </c>
      <c r="W102" s="70">
        <f t="shared" si="12"/>
        <v>14337.947982431633</v>
      </c>
    </row>
    <row r="103" spans="1:23" x14ac:dyDescent="0.2">
      <c r="A103" s="59"/>
      <c r="B103">
        <v>81</v>
      </c>
      <c r="C103" s="69" cm="1">
        <f t="array" ref="C103">montecarloVAR_single($B$9,$B103,C$13,$B$1,$B$3,$D$8)</f>
        <v>-1048.4810605743282</v>
      </c>
      <c r="D103" s="69" cm="1">
        <f t="array" ref="D103">montecarloVAR_single($B$9,$B103,D$13,$B$1,$B$3,$D$8)</f>
        <v>3504.354873402568</v>
      </c>
      <c r="E103" s="70" cm="1">
        <f t="array" ref="E103">montecarloVAR_single($B$9,$B103,E$13,$B$1,$B$3,$D$8)</f>
        <v>5331.7237126410182</v>
      </c>
      <c r="G103" s="59"/>
      <c r="H103">
        <v>81</v>
      </c>
      <c r="I103" s="69" cm="1">
        <f t="array" ref="I103">montecarloVAR_single($B$9,$H103,I$13,$B$2,$B$4,$D$8)</f>
        <v>23550.720400796046</v>
      </c>
      <c r="J103" s="69" cm="1">
        <f t="array" ref="J103">montecarloVAR_single($B$9,$H103,J$13,$B$2,$B$4,$D$8)</f>
        <v>27939.531405310321</v>
      </c>
      <c r="K103" s="70" cm="1">
        <f t="array" ref="K103">montecarloVAR_single($B$9,$H103,K$13,$B$2,$B$4,$D$8)</f>
        <v>30825.15972759133</v>
      </c>
      <c r="M103" s="59"/>
      <c r="N103">
        <v>81</v>
      </c>
      <c r="O103" s="69" cm="1">
        <f t="array" ref="O103">montecarloVAR($B$9,$N103,O$13,$B$1,$B$2,$B$3,$B$4,$B$5,$B$6,$B$7,$B$8)</f>
        <v>13530.186011880547</v>
      </c>
      <c r="P103" s="69" cm="1">
        <f t="array" ref="P103">montecarloVAR($B$9,$N103,P$13,$B$1,$B$2,$B$3,$B$4,$B$5,$B$6,$B$7,$B$8)</f>
        <v>19607.598543448017</v>
      </c>
      <c r="Q103" s="70" cm="1">
        <f t="array" ref="Q103">montecarloVAR($B$9,$N103,Q$13,$B$1,$B$2,$B$3,$B$4,$B$5,$B$6,$B$7,$B$8)</f>
        <v>22908.426597779726</v>
      </c>
      <c r="S103" s="59"/>
      <c r="T103">
        <v>81</v>
      </c>
      <c r="U103" s="69">
        <f t="shared" si="10"/>
        <v>8972.0533283411696</v>
      </c>
      <c r="V103" s="69">
        <f t="shared" si="11"/>
        <v>11836.287735264872</v>
      </c>
      <c r="W103" s="70">
        <f t="shared" si="12"/>
        <v>13248.456842452622</v>
      </c>
    </row>
    <row r="104" spans="1:23" x14ac:dyDescent="0.2">
      <c r="A104" s="59"/>
      <c r="B104">
        <v>82</v>
      </c>
      <c r="C104" s="69" cm="1">
        <f t="array" ref="C104">montecarloVAR_single($B$9,$B104,C$13,$B$1,$B$3,$D$8)</f>
        <v>-1175.5519338515307</v>
      </c>
      <c r="D104" s="69" cm="1">
        <f t="array" ref="D104">montecarloVAR_single($B$9,$B104,D$13,$B$1,$B$3,$D$8)</f>
        <v>3844.289430004661</v>
      </c>
      <c r="E104" s="70" cm="1">
        <f t="array" ref="E104">montecarloVAR_single($B$9,$B104,E$13,$B$1,$B$3,$D$8)</f>
        <v>5432.6264675366174</v>
      </c>
      <c r="G104" s="59"/>
      <c r="H104">
        <v>82</v>
      </c>
      <c r="I104" s="69" cm="1">
        <f t="array" ref="I104">montecarloVAR_single($B$9,$H104,I$13,$B$2,$B$4,$D$8)</f>
        <v>23638.429140172062</v>
      </c>
      <c r="J104" s="69" cm="1">
        <f t="array" ref="J104">montecarloVAR_single($B$9,$H104,J$13,$B$2,$B$4,$D$8)</f>
        <v>28806.265495392927</v>
      </c>
      <c r="K104" s="70" cm="1">
        <f t="array" ref="K104">montecarloVAR_single($B$9,$H104,K$13,$B$2,$B$4,$D$8)</f>
        <v>30959.930763836011</v>
      </c>
      <c r="M104" s="59"/>
      <c r="N104">
        <v>82</v>
      </c>
      <c r="O104" s="69" cm="1">
        <f t="array" ref="O104">montecarloVAR($B$9,$N104,O$13,$B$1,$B$2,$B$3,$B$4,$B$5,$B$6,$B$7,$B$8)</f>
        <v>13659.862734157969</v>
      </c>
      <c r="P104" s="69" cm="1">
        <f t="array" ref="P104">montecarloVAR($B$9,$N104,P$13,$B$1,$B$2,$B$3,$B$4,$B$5,$B$6,$B$7,$B$8)</f>
        <v>19927.61181394901</v>
      </c>
      <c r="Q104" s="70" cm="1">
        <f t="array" ref="Q104">montecarloVAR($B$9,$N104,Q$13,$B$1,$B$2,$B$3,$B$4,$B$5,$B$6,$B$7,$B$8)</f>
        <v>22612.772196168797</v>
      </c>
      <c r="S104" s="59"/>
      <c r="T104">
        <v>82</v>
      </c>
      <c r="U104" s="69">
        <f t="shared" si="10"/>
        <v>8803.0144721625638</v>
      </c>
      <c r="V104" s="69">
        <f t="shared" si="11"/>
        <v>12722.943111448578</v>
      </c>
      <c r="W104" s="70">
        <f t="shared" si="12"/>
        <v>13779.785035203833</v>
      </c>
    </row>
    <row r="105" spans="1:23" x14ac:dyDescent="0.2">
      <c r="A105" s="59"/>
      <c r="B105">
        <v>83</v>
      </c>
      <c r="C105" s="69" cm="1">
        <f t="array" ref="C105">montecarloVAR_single($B$9,$B105,C$13,$B$1,$B$3,$D$8)</f>
        <v>-1300.2331246872291</v>
      </c>
      <c r="D105" s="69" cm="1">
        <f t="array" ref="D105">montecarloVAR_single($B$9,$B105,D$13,$B$1,$B$3,$D$8)</f>
        <v>3327.3928301663427</v>
      </c>
      <c r="E105" s="70" cm="1">
        <f t="array" ref="E105">montecarloVAR_single($B$9,$B105,E$13,$B$1,$B$3,$D$8)</f>
        <v>5348.4579704174084</v>
      </c>
      <c r="G105" s="59"/>
      <c r="H105">
        <v>83</v>
      </c>
      <c r="I105" s="69" cm="1">
        <f t="array" ref="I105">montecarloVAR_single($B$9,$H105,I$13,$B$2,$B$4,$D$8)</f>
        <v>23930.448086775155</v>
      </c>
      <c r="J105" s="69" cm="1">
        <f t="array" ref="J105">montecarloVAR_single($B$9,$H105,J$13,$B$2,$B$4,$D$8)</f>
        <v>29539.416329774424</v>
      </c>
      <c r="K105" s="70" cm="1">
        <f t="array" ref="K105">montecarloVAR_single($B$9,$H105,K$13,$B$2,$B$4,$D$8)</f>
        <v>30748.243435478023</v>
      </c>
      <c r="M105" s="59"/>
      <c r="N105">
        <v>83</v>
      </c>
      <c r="O105" s="69" cm="1">
        <f t="array" ref="O105">montecarloVAR($B$9,$N105,O$13,$B$1,$B$2,$B$3,$B$4,$B$5,$B$6,$B$7,$B$8)</f>
        <v>13655.760724750562</v>
      </c>
      <c r="P105" s="69" cm="1">
        <f t="array" ref="P105">montecarloVAR($B$9,$N105,P$13,$B$1,$B$2,$B$3,$B$4,$B$5,$B$6,$B$7,$B$8)</f>
        <v>20162.632619846725</v>
      </c>
      <c r="Q105" s="70" cm="1">
        <f t="array" ref="Q105">montecarloVAR($B$9,$N105,Q$13,$B$1,$B$2,$B$3,$B$4,$B$5,$B$6,$B$7,$B$8)</f>
        <v>23473.049276227051</v>
      </c>
      <c r="S105" s="59"/>
      <c r="T105">
        <v>83</v>
      </c>
      <c r="U105" s="69">
        <f t="shared" si="10"/>
        <v>8974.4542373373661</v>
      </c>
      <c r="V105" s="69">
        <f t="shared" si="11"/>
        <v>12704.176540094039</v>
      </c>
      <c r="W105" s="70">
        <f t="shared" si="12"/>
        <v>12623.652129668379</v>
      </c>
    </row>
    <row r="106" spans="1:23" x14ac:dyDescent="0.2">
      <c r="A106" s="59"/>
      <c r="B106">
        <v>84</v>
      </c>
      <c r="C106" s="69" cm="1">
        <f t="array" ref="C106">montecarloVAR_single($B$9,$B106,C$13,$B$1,$B$3,$D$8)</f>
        <v>-1190.0343040837913</v>
      </c>
      <c r="D106" s="69" cm="1">
        <f t="array" ref="D106">montecarloVAR_single($B$9,$B106,D$13,$B$1,$B$3,$D$8)</f>
        <v>3569.4699814242763</v>
      </c>
      <c r="E106" s="70" cm="1">
        <f t="array" ref="E106">montecarloVAR_single($B$9,$B106,E$13,$B$1,$B$3,$D$8)</f>
        <v>4888.0018121087214</v>
      </c>
      <c r="G106" s="59"/>
      <c r="H106">
        <v>84</v>
      </c>
      <c r="I106" s="69" cm="1">
        <f t="array" ref="I106">montecarloVAR_single($B$9,$H106,I$13,$B$2,$B$4,$D$8)</f>
        <v>24115.271748607025</v>
      </c>
      <c r="J106" s="69" cm="1">
        <f t="array" ref="J106">montecarloVAR_single($B$9,$H106,J$13,$B$2,$B$4,$D$8)</f>
        <v>29563.53319537461</v>
      </c>
      <c r="K106" s="70" cm="1">
        <f t="array" ref="K106">montecarloVAR_single($B$9,$H106,K$13,$B$2,$B$4,$D$8)</f>
        <v>31196.376536683962</v>
      </c>
      <c r="M106" s="59"/>
      <c r="N106">
        <v>84</v>
      </c>
      <c r="O106" s="69" cm="1">
        <f t="array" ref="O106">montecarloVAR($B$9,$N106,O$13,$B$1,$B$2,$B$3,$B$4,$B$5,$B$6,$B$7,$B$8)</f>
        <v>13634.774161115518</v>
      </c>
      <c r="P106" s="69" cm="1">
        <f t="array" ref="P106">montecarloVAR($B$9,$N106,P$13,$B$1,$B$2,$B$3,$B$4,$B$5,$B$6,$B$7,$B$8)</f>
        <v>20260.92988029241</v>
      </c>
      <c r="Q106" s="70" cm="1">
        <f t="array" ref="Q106">montecarloVAR($B$9,$N106,Q$13,$B$1,$B$2,$B$3,$B$4,$B$5,$B$6,$B$7,$B$8)</f>
        <v>23397.987561370028</v>
      </c>
      <c r="S106" s="59"/>
      <c r="T106">
        <v>84</v>
      </c>
      <c r="U106" s="69">
        <f t="shared" si="10"/>
        <v>9290.4632834077165</v>
      </c>
      <c r="V106" s="69">
        <f t="shared" si="11"/>
        <v>12872.073296506474</v>
      </c>
      <c r="W106" s="70">
        <f t="shared" si="12"/>
        <v>12686.390787422657</v>
      </c>
    </row>
    <row r="107" spans="1:23" x14ac:dyDescent="0.2">
      <c r="A107" s="59"/>
      <c r="B107">
        <v>85</v>
      </c>
      <c r="C107" s="69" cm="1">
        <f t="array" ref="C107">montecarloVAR_single($B$9,$B107,C$13,$B$1,$B$3,$D$8)</f>
        <v>-1633.0992989499846</v>
      </c>
      <c r="D107" s="69" cm="1">
        <f t="array" ref="D107">montecarloVAR_single($B$9,$B107,D$13,$B$1,$B$3,$D$8)</f>
        <v>3226.5968038874657</v>
      </c>
      <c r="E107" s="70" cm="1">
        <f t="array" ref="E107">montecarloVAR_single($B$9,$B107,E$13,$B$1,$B$3,$D$8)</f>
        <v>5336.0243004340027</v>
      </c>
      <c r="G107" s="59"/>
      <c r="H107">
        <v>85</v>
      </c>
      <c r="I107" s="69" cm="1">
        <f t="array" ref="I107">montecarloVAR_single($B$9,$H107,I$13,$B$2,$B$4,$D$8)</f>
        <v>24229.161586248709</v>
      </c>
      <c r="J107" s="69" cm="1">
        <f t="array" ref="J107">montecarloVAR_single($B$9,$H107,J$13,$B$2,$B$4,$D$8)</f>
        <v>29411.979822819627</v>
      </c>
      <c r="K107" s="70" cm="1">
        <f t="array" ref="K107">montecarloVAR_single($B$9,$H107,K$13,$B$2,$B$4,$D$8)</f>
        <v>31531.350917619162</v>
      </c>
      <c r="M107" s="59"/>
      <c r="N107">
        <v>85</v>
      </c>
      <c r="O107" s="69" cm="1">
        <f t="array" ref="O107">montecarloVAR($B$9,$N107,O$13,$B$1,$B$2,$B$3,$B$4,$B$5,$B$6,$B$7,$B$8)</f>
        <v>13656.339833346769</v>
      </c>
      <c r="P107" s="69" cm="1">
        <f t="array" ref="P107">montecarloVAR($B$9,$N107,P$13,$B$1,$B$2,$B$3,$B$4,$B$5,$B$6,$B$7,$B$8)</f>
        <v>20424.268507917448</v>
      </c>
      <c r="Q107" s="70" cm="1">
        <f t="array" ref="Q107">montecarloVAR($B$9,$N107,Q$13,$B$1,$B$2,$B$3,$B$4,$B$5,$B$6,$B$7,$B$8)</f>
        <v>22947.415335979567</v>
      </c>
      <c r="S107" s="59"/>
      <c r="T107">
        <v>85</v>
      </c>
      <c r="U107" s="69">
        <f t="shared" si="10"/>
        <v>8939.7224539519539</v>
      </c>
      <c r="V107" s="69">
        <f t="shared" si="11"/>
        <v>12214.308118789646</v>
      </c>
      <c r="W107" s="70">
        <f t="shared" si="12"/>
        <v>13919.959882073599</v>
      </c>
    </row>
    <row r="108" spans="1:23" x14ac:dyDescent="0.2">
      <c r="A108" s="59"/>
      <c r="B108">
        <v>86</v>
      </c>
      <c r="C108" s="69" cm="1">
        <f t="array" ref="C108">montecarloVAR_single($B$9,$B108,C$13,$B$1,$B$3,$D$8)</f>
        <v>-1798.8967079780127</v>
      </c>
      <c r="D108" s="69" cm="1">
        <f t="array" ref="D108">montecarloVAR_single($B$9,$B108,D$13,$B$1,$B$3,$D$8)</f>
        <v>3908.0383168763692</v>
      </c>
      <c r="E108" s="70" cm="1">
        <f t="array" ref="E108">montecarloVAR_single($B$9,$B108,E$13,$B$1,$B$3,$D$8)</f>
        <v>5441.7268621959065</v>
      </c>
      <c r="G108" s="59"/>
      <c r="H108">
        <v>86</v>
      </c>
      <c r="I108" s="69" cm="1">
        <f t="array" ref="I108">montecarloVAR_single($B$9,$H108,I$13,$B$2,$B$4,$D$8)</f>
        <v>24515.8979772479</v>
      </c>
      <c r="J108" s="69" cm="1">
        <f t="array" ref="J108">montecarloVAR_single($B$9,$H108,J$13,$B$2,$B$4,$D$8)</f>
        <v>29801.461374081038</v>
      </c>
      <c r="K108" s="70" cm="1">
        <f t="array" ref="K108">montecarloVAR_single($B$9,$H108,K$13,$B$2,$B$4,$D$8)</f>
        <v>32165.865693521926</v>
      </c>
      <c r="M108" s="59"/>
      <c r="N108">
        <v>86</v>
      </c>
      <c r="O108" s="69" cm="1">
        <f t="array" ref="O108">montecarloVAR($B$9,$N108,O$13,$B$1,$B$2,$B$3,$B$4,$B$5,$B$6,$B$7,$B$8)</f>
        <v>13543.480732100337</v>
      </c>
      <c r="P108" s="69" cm="1">
        <f t="array" ref="P108">montecarloVAR($B$9,$N108,P$13,$B$1,$B$2,$B$3,$B$4,$B$5,$B$6,$B$7,$B$8)</f>
        <v>20853.915484574969</v>
      </c>
      <c r="Q108" s="70" cm="1">
        <f t="array" ref="Q108">montecarloVAR($B$9,$N108,Q$13,$B$1,$B$2,$B$3,$B$4,$B$5,$B$6,$B$7,$B$8)</f>
        <v>23073.156455586472</v>
      </c>
      <c r="S108" s="59"/>
      <c r="T108">
        <v>86</v>
      </c>
      <c r="U108" s="69">
        <f t="shared" si="10"/>
        <v>9173.5205371695502</v>
      </c>
      <c r="V108" s="69">
        <f t="shared" si="11"/>
        <v>12855.584206382442</v>
      </c>
      <c r="W108" s="70">
        <f t="shared" si="12"/>
        <v>14534.436100131363</v>
      </c>
    </row>
    <row r="109" spans="1:23" x14ac:dyDescent="0.2">
      <c r="A109" s="59"/>
      <c r="B109">
        <v>87</v>
      </c>
      <c r="C109" s="69" cm="1">
        <f t="array" ref="C109">montecarloVAR_single($B$9,$B109,C$13,$B$1,$B$3,$D$8)</f>
        <v>-1694.6340212942157</v>
      </c>
      <c r="D109" s="69" cm="1">
        <f t="array" ref="D109">montecarloVAR_single($B$9,$B109,D$13,$B$1,$B$3,$D$8)</f>
        <v>3553.7215783527108</v>
      </c>
      <c r="E109" s="70" cm="1">
        <f t="array" ref="E109">montecarloVAR_single($B$9,$B109,E$13,$B$1,$B$3,$D$8)</f>
        <v>4970.4330773325901</v>
      </c>
      <c r="G109" s="59"/>
      <c r="H109">
        <v>87</v>
      </c>
      <c r="I109" s="69" cm="1">
        <f t="array" ref="I109">montecarloVAR_single($B$9,$H109,I$13,$B$2,$B$4,$D$8)</f>
        <v>24991.795797572617</v>
      </c>
      <c r="J109" s="69" cm="1">
        <f t="array" ref="J109">montecarloVAR_single($B$9,$H109,J$13,$B$2,$B$4,$D$8)</f>
        <v>30261.742332662714</v>
      </c>
      <c r="K109" s="70" cm="1">
        <f t="array" ref="K109">montecarloVAR_single($B$9,$H109,K$13,$B$2,$B$4,$D$8)</f>
        <v>32243.629772590131</v>
      </c>
      <c r="M109" s="59"/>
      <c r="N109">
        <v>87</v>
      </c>
      <c r="O109" s="69" cm="1">
        <f t="array" ref="O109">montecarloVAR($B$9,$N109,O$13,$B$1,$B$2,$B$3,$B$4,$B$5,$B$6,$B$7,$B$8)</f>
        <v>13848.389485700671</v>
      </c>
      <c r="P109" s="69" cm="1">
        <f t="array" ref="P109">montecarloVAR($B$9,$N109,P$13,$B$1,$B$2,$B$3,$B$4,$B$5,$B$6,$B$7,$B$8)</f>
        <v>20475.112159221473</v>
      </c>
      <c r="Q109" s="70" cm="1">
        <f t="array" ref="Q109">montecarloVAR($B$9,$N109,Q$13,$B$1,$B$2,$B$3,$B$4,$B$5,$B$6,$B$7,$B$8)</f>
        <v>22419.668853047653</v>
      </c>
      <c r="S109" s="59"/>
      <c r="T109">
        <v>87</v>
      </c>
      <c r="U109" s="69">
        <f t="shared" si="10"/>
        <v>9448.77229057773</v>
      </c>
      <c r="V109" s="69">
        <f t="shared" si="11"/>
        <v>13340.351751793951</v>
      </c>
      <c r="W109" s="70">
        <f t="shared" si="12"/>
        <v>14794.393996875071</v>
      </c>
    </row>
    <row r="110" spans="1:23" x14ac:dyDescent="0.2">
      <c r="A110" s="59"/>
      <c r="B110">
        <v>88</v>
      </c>
      <c r="C110" s="69" cm="1">
        <f t="array" ref="C110">montecarloVAR_single($B$9,$B110,C$13,$B$1,$B$3,$D$8)</f>
        <v>-1791.7887024315396</v>
      </c>
      <c r="D110" s="69" cm="1">
        <f t="array" ref="D110">montecarloVAR_single($B$9,$B110,D$13,$B$1,$B$3,$D$8)</f>
        <v>3260.630535332336</v>
      </c>
      <c r="E110" s="70" cm="1">
        <f t="array" ref="E110">montecarloVAR_single($B$9,$B110,E$13,$B$1,$B$3,$D$8)</f>
        <v>5345.084514033344</v>
      </c>
      <c r="G110" s="59"/>
      <c r="H110">
        <v>88</v>
      </c>
      <c r="I110" s="69" cm="1">
        <f t="array" ref="I110">montecarloVAR_single($B$9,$H110,I$13,$B$2,$B$4,$D$8)</f>
        <v>24973.141076627846</v>
      </c>
      <c r="J110" s="69" cm="1">
        <f t="array" ref="J110">montecarloVAR_single($B$9,$H110,J$13,$B$2,$B$4,$D$8)</f>
        <v>30726.532328538106</v>
      </c>
      <c r="K110" s="70" cm="1">
        <f t="array" ref="K110">montecarloVAR_single($B$9,$H110,K$13,$B$2,$B$4,$D$8)</f>
        <v>32524.039910607462</v>
      </c>
      <c r="M110" s="59"/>
      <c r="N110">
        <v>88</v>
      </c>
      <c r="O110" s="69" cm="1">
        <f t="array" ref="O110">montecarloVAR($B$9,$N110,O$13,$B$1,$B$2,$B$3,$B$4,$B$5,$B$6,$B$7,$B$8)</f>
        <v>13894.961939936275</v>
      </c>
      <c r="P110" s="69" cm="1">
        <f t="array" ref="P110">montecarloVAR($B$9,$N110,P$13,$B$1,$B$2,$B$3,$B$4,$B$5,$B$6,$B$7,$B$8)</f>
        <v>21036.819387543957</v>
      </c>
      <c r="Q110" s="70" cm="1">
        <f t="array" ref="Q110">montecarloVAR($B$9,$N110,Q$13,$B$1,$B$2,$B$3,$B$4,$B$5,$B$6,$B$7,$B$8)</f>
        <v>23492.427546630784</v>
      </c>
      <c r="S110" s="59"/>
      <c r="T110">
        <v>88</v>
      </c>
      <c r="U110" s="69">
        <f t="shared" si="10"/>
        <v>9286.3904342600326</v>
      </c>
      <c r="V110" s="69">
        <f t="shared" si="11"/>
        <v>12950.343476326485</v>
      </c>
      <c r="W110" s="70">
        <f t="shared" si="12"/>
        <v>14376.696878010018</v>
      </c>
    </row>
    <row r="111" spans="1:23" x14ac:dyDescent="0.2">
      <c r="A111" s="59"/>
      <c r="B111">
        <v>89</v>
      </c>
      <c r="C111" s="69" cm="1">
        <f t="array" ref="C111">montecarloVAR_single($B$9,$B111,C$13,$B$1,$B$3,$D$8)</f>
        <v>-1887.0475135887209</v>
      </c>
      <c r="D111" s="69" cm="1">
        <f t="array" ref="D111">montecarloVAR_single($B$9,$B111,D$13,$B$1,$B$3,$D$8)</f>
        <v>3287.1034480838462</v>
      </c>
      <c r="E111" s="70" cm="1">
        <f t="array" ref="E111">montecarloVAR_single($B$9,$B111,E$13,$B$1,$B$3,$D$8)</f>
        <v>5298.8787444843192</v>
      </c>
      <c r="G111" s="59"/>
      <c r="H111">
        <v>89</v>
      </c>
      <c r="I111" s="69" cm="1">
        <f t="array" ref="I111">montecarloVAR_single($B$9,$H111,I$13,$B$2,$B$4,$D$8)</f>
        <v>25329.284943475013</v>
      </c>
      <c r="J111" s="69" cm="1">
        <f t="array" ref="J111">montecarloVAR_single($B$9,$H111,J$13,$B$2,$B$4,$D$8)</f>
        <v>30909.885765818897</v>
      </c>
      <c r="K111" s="70" cm="1">
        <f t="array" ref="K111">montecarloVAR_single($B$9,$H111,K$13,$B$2,$B$4,$D$8)</f>
        <v>32766.211512501923</v>
      </c>
      <c r="M111" s="59"/>
      <c r="N111">
        <v>89</v>
      </c>
      <c r="O111" s="69" cm="1">
        <f t="array" ref="O111">montecarloVAR($B$9,$N111,O$13,$B$1,$B$2,$B$3,$B$4,$B$5,$B$6,$B$7,$B$8)</f>
        <v>13721.146149960259</v>
      </c>
      <c r="P111" s="69" cm="1">
        <f t="array" ref="P111">montecarloVAR($B$9,$N111,P$13,$B$1,$B$2,$B$3,$B$4,$B$5,$B$6,$B$7,$B$8)</f>
        <v>20759.636184383682</v>
      </c>
      <c r="Q111" s="70" cm="1">
        <f t="array" ref="Q111">montecarloVAR($B$9,$N111,Q$13,$B$1,$B$2,$B$3,$B$4,$B$5,$B$6,$B$7,$B$8)</f>
        <v>22711.938875890944</v>
      </c>
      <c r="S111" s="59"/>
      <c r="T111">
        <v>89</v>
      </c>
      <c r="U111" s="69">
        <f t="shared" si="10"/>
        <v>9721.0912799260332</v>
      </c>
      <c r="V111" s="69">
        <f t="shared" si="11"/>
        <v>13437.353029519061</v>
      </c>
      <c r="W111" s="70">
        <f t="shared" si="12"/>
        <v>15353.1513810953</v>
      </c>
    </row>
    <row r="112" spans="1:23" x14ac:dyDescent="0.2">
      <c r="A112" s="59"/>
      <c r="B112">
        <v>90</v>
      </c>
      <c r="C112" s="69" cm="1">
        <f t="array" ref="C112">montecarloVAR_single($B$9,$B112,C$13,$B$1,$B$3,$D$8)</f>
        <v>-2096.183985960502</v>
      </c>
      <c r="D112" s="69" cm="1">
        <f t="array" ref="D112">montecarloVAR_single($B$9,$B112,D$13,$B$1,$B$3,$D$8)</f>
        <v>3204.6594774332711</v>
      </c>
      <c r="E112" s="70" cm="1">
        <f t="array" ref="E112">montecarloVAR_single($B$9,$B112,E$13,$B$1,$B$3,$D$8)</f>
        <v>5343.8628006354302</v>
      </c>
      <c r="G112" s="59"/>
      <c r="H112">
        <v>90</v>
      </c>
      <c r="I112" s="69" cm="1">
        <f t="array" ref="I112">montecarloVAR_single($B$9,$H112,I$13,$B$2,$B$4,$D$8)</f>
        <v>25228.862642591059</v>
      </c>
      <c r="J112" s="69" cm="1">
        <f t="array" ref="J112">montecarloVAR_single($B$9,$H112,J$13,$B$2,$B$4,$D$8)</f>
        <v>31078.832062903792</v>
      </c>
      <c r="K112" s="70" cm="1">
        <f t="array" ref="K112">montecarloVAR_single($B$9,$H112,K$13,$B$2,$B$4,$D$8)</f>
        <v>32837.809191761466</v>
      </c>
      <c r="M112" s="59"/>
      <c r="N112">
        <v>90</v>
      </c>
      <c r="O112" s="69" cm="1">
        <f t="array" ref="O112">montecarloVAR($B$9,$N112,O$13,$B$1,$B$2,$B$3,$B$4,$B$5,$B$6,$B$7,$B$8)</f>
        <v>13953.15452121288</v>
      </c>
      <c r="P112" s="69" cm="1">
        <f t="array" ref="P112">montecarloVAR($B$9,$N112,P$13,$B$1,$B$2,$B$3,$B$4,$B$5,$B$6,$B$7,$B$8)</f>
        <v>21480.727481747956</v>
      </c>
      <c r="Q112" s="70" cm="1">
        <f t="array" ref="Q112">montecarloVAR($B$9,$N112,Q$13,$B$1,$B$2,$B$3,$B$4,$B$5,$B$6,$B$7,$B$8)</f>
        <v>23326.493217152034</v>
      </c>
      <c r="S112" s="59"/>
      <c r="T112">
        <v>90</v>
      </c>
      <c r="U112" s="69">
        <f t="shared" si="10"/>
        <v>9179.524135417676</v>
      </c>
      <c r="V112" s="69">
        <f t="shared" si="11"/>
        <v>12802.764058589106</v>
      </c>
      <c r="W112" s="70">
        <f t="shared" si="12"/>
        <v>14855.178775244858</v>
      </c>
    </row>
    <row r="113" spans="1:23" x14ac:dyDescent="0.2">
      <c r="A113" s="59"/>
      <c r="B113">
        <v>91</v>
      </c>
      <c r="C113" s="69" cm="1">
        <f t="array" ref="C113">montecarloVAR_single($B$9,$B113,C$13,$B$1,$B$3,$D$8)</f>
        <v>-2095.1257333795998</v>
      </c>
      <c r="D113" s="69" cm="1">
        <f t="array" ref="D113">montecarloVAR_single($B$9,$B113,D$13,$B$1,$B$3,$D$8)</f>
        <v>2967.9707566465336</v>
      </c>
      <c r="E113" s="70" cm="1">
        <f t="array" ref="E113">montecarloVAR_single($B$9,$B113,E$13,$B$1,$B$3,$D$8)</f>
        <v>5491.5411740200479</v>
      </c>
      <c r="G113" s="59"/>
      <c r="H113">
        <v>91</v>
      </c>
      <c r="I113" s="69" cm="1">
        <f t="array" ref="I113">montecarloVAR_single($B$9,$H113,I$13,$B$2,$B$4,$D$8)</f>
        <v>25402.250081955244</v>
      </c>
      <c r="J113" s="69" t="e" cm="1">
        <f t="array" ref="J113">montecarloVAR_single($B$9,$H113,J$13,$B$2,$B$4,$D$8)</f>
        <v>#VALUE!</v>
      </c>
      <c r="K113" s="70" cm="1">
        <f t="array" ref="K113">montecarloVAR_single($B$9,$H113,K$13,$B$2,$B$4,$D$8)</f>
        <v>32923.378933829881</v>
      </c>
      <c r="M113" s="59"/>
      <c r="N113">
        <v>91</v>
      </c>
      <c r="O113" s="69" cm="1">
        <f t="array" ref="O113">montecarloVAR($B$9,$N113,O$13,$B$1,$B$2,$B$3,$B$4,$B$5,$B$6,$B$7,$B$8)</f>
        <v>14085.577353431276</v>
      </c>
      <c r="P113" s="69" cm="1">
        <f t="array" ref="P113">montecarloVAR($B$9,$N113,P$13,$B$1,$B$2,$B$3,$B$4,$B$5,$B$6,$B$7,$B$8)</f>
        <v>21878.920251033825</v>
      </c>
      <c r="Q113" s="70" cm="1">
        <f t="array" ref="Q113">montecarloVAR($B$9,$N113,Q$13,$B$1,$B$2,$B$3,$B$4,$B$5,$B$6,$B$7,$B$8)</f>
        <v>22873.159080767247</v>
      </c>
      <c r="S113" s="59"/>
      <c r="T113">
        <v>91</v>
      </c>
      <c r="U113" s="69">
        <f t="shared" si="10"/>
        <v>9221.5469951443702</v>
      </c>
      <c r="V113" s="69" t="e">
        <f t="shared" si="11"/>
        <v>#VALUE!</v>
      </c>
      <c r="W113" s="70">
        <f t="shared" si="12"/>
        <v>15541.761027082684</v>
      </c>
    </row>
    <row r="114" spans="1:23" x14ac:dyDescent="0.2">
      <c r="A114" s="59"/>
      <c r="B114">
        <v>92</v>
      </c>
      <c r="C114" s="69" cm="1">
        <f t="array" ref="C114">montecarloVAR_single($B$9,$B114,C$13,$B$1,$B$3,$D$8)</f>
        <v>-2019.8651239218991</v>
      </c>
      <c r="D114" s="69" cm="1">
        <f t="array" ref="D114">montecarloVAR_single($B$9,$B114,D$13,$B$1,$B$3,$D$8)</f>
        <v>2758.4108049134084</v>
      </c>
      <c r="E114" s="70" cm="1">
        <f t="array" ref="E114">montecarloVAR_single($B$9,$B114,E$13,$B$1,$B$3,$D$8)</f>
        <v>4577.6949944827447</v>
      </c>
      <c r="G114" s="59"/>
      <c r="H114">
        <v>92</v>
      </c>
      <c r="I114" s="69" cm="1">
        <f t="array" ref="I114">montecarloVAR_single($B$9,$H114,I$13,$B$2,$B$4,$D$8)</f>
        <v>25721.582454340183</v>
      </c>
      <c r="J114" s="69" cm="1">
        <f t="array" ref="J114">montecarloVAR_single($B$9,$H114,J$13,$B$2,$B$4,$D$8)</f>
        <v>31514.122723096392</v>
      </c>
      <c r="K114" s="70" cm="1">
        <f t="array" ref="K114">montecarloVAR_single($B$9,$H114,K$13,$B$2,$B$4,$D$8)</f>
        <v>33024.73140160046</v>
      </c>
      <c r="M114" s="59"/>
      <c r="N114">
        <v>92</v>
      </c>
      <c r="O114" s="69" cm="1">
        <f t="array" ref="O114">montecarloVAR($B$9,$N114,O$13,$B$1,$B$2,$B$3,$B$4,$B$5,$B$6,$B$7,$B$8)</f>
        <v>14339.957068754557</v>
      </c>
      <c r="P114" s="69" cm="1">
        <f t="array" ref="P114">montecarloVAR($B$9,$N114,P$13,$B$1,$B$2,$B$3,$B$4,$B$5,$B$6,$B$7,$B$8)</f>
        <v>20913.540970860784</v>
      </c>
      <c r="Q114" s="70" cm="1">
        <f t="array" ref="Q114">montecarloVAR($B$9,$N114,Q$13,$B$1,$B$2,$B$3,$B$4,$B$5,$B$6,$B$7,$B$8)</f>
        <v>23841.980341164868</v>
      </c>
      <c r="S114" s="59"/>
      <c r="T114">
        <v>92</v>
      </c>
      <c r="U114" s="69">
        <f t="shared" si="10"/>
        <v>9361.7602616637269</v>
      </c>
      <c r="V114" s="69">
        <f t="shared" si="11"/>
        <v>13358.992557149017</v>
      </c>
      <c r="W114" s="70">
        <f t="shared" si="12"/>
        <v>13760.446054918335</v>
      </c>
    </row>
    <row r="115" spans="1:23" x14ac:dyDescent="0.2">
      <c r="A115" s="59"/>
      <c r="B115">
        <v>93</v>
      </c>
      <c r="C115" s="69" cm="1">
        <f t="array" ref="C115">montecarloVAR_single($B$9,$B115,C$13,$B$1,$B$3,$D$8)</f>
        <v>-2079.9666660280818</v>
      </c>
      <c r="D115" s="69" cm="1">
        <f t="array" ref="D115">montecarloVAR_single($B$9,$B115,D$13,$B$1,$B$3,$D$8)</f>
        <v>2714.7867548146792</v>
      </c>
      <c r="E115" s="70" cm="1">
        <f t="array" ref="E115">montecarloVAR_single($B$9,$B115,E$13,$B$1,$B$3,$D$8)</f>
        <v>5135.9052507130973</v>
      </c>
      <c r="G115" s="59"/>
      <c r="H115">
        <v>93</v>
      </c>
      <c r="I115" s="69" cm="1">
        <f t="array" ref="I115">montecarloVAR_single($B$9,$H115,I$13,$B$2,$B$4,$D$8)</f>
        <v>25917.543400449173</v>
      </c>
      <c r="J115" s="69" cm="1">
        <f t="array" ref="J115">montecarloVAR_single($B$9,$H115,J$13,$B$2,$B$4,$D$8)</f>
        <v>31694.978465513988</v>
      </c>
      <c r="K115" s="70" cm="1">
        <f t="array" ref="K115">montecarloVAR_single($B$9,$H115,K$13,$B$2,$B$4,$D$8)</f>
        <v>33746.861430828532</v>
      </c>
      <c r="M115" s="59"/>
      <c r="N115">
        <v>93</v>
      </c>
      <c r="O115" s="69" cm="1">
        <f t="array" ref="O115">montecarloVAR($B$9,$N115,O$13,$B$1,$B$2,$B$3,$B$4,$B$5,$B$6,$B$7,$B$8)</f>
        <v>14428.898448230972</v>
      </c>
      <c r="P115" s="69" cm="1">
        <f t="array" ref="P115">montecarloVAR($B$9,$N115,P$13,$B$1,$B$2,$B$3,$B$4,$B$5,$B$6,$B$7,$B$8)</f>
        <v>20550.936818162343</v>
      </c>
      <c r="Q115" s="70" cm="1">
        <f t="array" ref="Q115">montecarloVAR($B$9,$N115,Q$13,$B$1,$B$2,$B$3,$B$4,$B$5,$B$6,$B$7,$B$8)</f>
        <v>23446.536025275316</v>
      </c>
      <c r="S115" s="59"/>
      <c r="T115">
        <v>93</v>
      </c>
      <c r="U115" s="69">
        <f t="shared" si="10"/>
        <v>9408.6782861901193</v>
      </c>
      <c r="V115" s="69">
        <f t="shared" si="11"/>
        <v>13858.828402166328</v>
      </c>
      <c r="W115" s="70">
        <f t="shared" si="12"/>
        <v>15436.230656266314</v>
      </c>
    </row>
    <row r="116" spans="1:23" x14ac:dyDescent="0.2">
      <c r="A116" s="59"/>
      <c r="B116">
        <v>94</v>
      </c>
      <c r="C116" s="69" cm="1">
        <f t="array" ref="C116">montecarloVAR_single($B$9,$B116,C$13,$B$1,$B$3,$D$8)</f>
        <v>-2649.4642832967247</v>
      </c>
      <c r="D116" s="69" cm="1">
        <f t="array" ref="D116">montecarloVAR_single($B$9,$B116,D$13,$B$1,$B$3,$D$8)</f>
        <v>2970.421969960762</v>
      </c>
      <c r="E116" s="70" cm="1">
        <f t="array" ref="E116">montecarloVAR_single($B$9,$B116,E$13,$B$1,$B$3,$D$8)</f>
        <v>4770.9057634745004</v>
      </c>
      <c r="G116" s="59"/>
      <c r="H116">
        <v>94</v>
      </c>
      <c r="I116" s="69" cm="1">
        <f t="array" ref="I116">montecarloVAR_single($B$9,$H116,I$13,$B$2,$B$4,$D$8)</f>
        <v>26008.651161998776</v>
      </c>
      <c r="J116" s="69" cm="1">
        <f t="array" ref="J116">montecarloVAR_single($B$9,$H116,J$13,$B$2,$B$4,$D$8)</f>
        <v>31478.965618978356</v>
      </c>
      <c r="K116" s="70" cm="1">
        <f t="array" ref="K116">montecarloVAR_single($B$9,$H116,K$13,$B$2,$B$4,$D$8)</f>
        <v>34457.987859357134</v>
      </c>
      <c r="M116" s="59"/>
      <c r="N116">
        <v>94</v>
      </c>
      <c r="O116" s="69" cm="1">
        <f t="array" ref="O116">montecarloVAR($B$9,$N116,O$13,$B$1,$B$2,$B$3,$B$4,$B$5,$B$6,$B$7,$B$8)</f>
        <v>14420.541543321635</v>
      </c>
      <c r="P116" s="69" cm="1">
        <f t="array" ref="P116">montecarloVAR($B$9,$N116,P$13,$B$1,$B$2,$B$3,$B$4,$B$5,$B$6,$B$7,$B$8)</f>
        <v>21046.544623415539</v>
      </c>
      <c r="Q116" s="70" cm="1">
        <f t="array" ref="Q116">montecarloVAR($B$9,$N116,Q$13,$B$1,$B$2,$B$3,$B$4,$B$5,$B$6,$B$7,$B$8)</f>
        <v>23694.812052090449</v>
      </c>
      <c r="S116" s="59"/>
      <c r="T116">
        <v>94</v>
      </c>
      <c r="U116" s="69">
        <f>C116+I116-O116</f>
        <v>8938.6453353804154</v>
      </c>
      <c r="V116" s="69">
        <f t="shared" si="11"/>
        <v>13402.842965523581</v>
      </c>
      <c r="W116" s="70">
        <f t="shared" si="12"/>
        <v>15534.081570741182</v>
      </c>
    </row>
    <row r="117" spans="1:23" x14ac:dyDescent="0.2">
      <c r="A117" s="59"/>
      <c r="B117">
        <v>95</v>
      </c>
      <c r="C117" s="69" cm="1">
        <f t="array" ref="C117">montecarloVAR_single($B$9,$B117,C$13,$B$1,$B$3,$D$8)</f>
        <v>-2284.3127934325462</v>
      </c>
      <c r="D117" s="69" cm="1">
        <f t="array" ref="D117">montecarloVAR_single($B$9,$B117,D$13,$B$1,$B$3,$D$8)</f>
        <v>2779.2217508628455</v>
      </c>
      <c r="E117" s="70" cm="1">
        <f t="array" ref="E117">montecarloVAR_single($B$9,$B117,E$13,$B$1,$B$3,$D$8)</f>
        <v>5003.4156253498177</v>
      </c>
      <c r="G117" s="59"/>
      <c r="H117">
        <v>95</v>
      </c>
      <c r="I117" s="69" cm="1">
        <f t="array" ref="I117">montecarloVAR_single($B$9,$H117,I$13,$B$2,$B$4,$D$8)</f>
        <v>26660.965475616034</v>
      </c>
      <c r="J117" s="69" cm="1">
        <f t="array" ref="J117">montecarloVAR_single($B$9,$H117,J$13,$B$2,$B$4,$D$8)</f>
        <v>31750.452108982747</v>
      </c>
      <c r="K117" s="70" cm="1">
        <f t="array" ref="K117">montecarloVAR_single($B$9,$H117,K$13,$B$2,$B$4,$D$8)</f>
        <v>34061.025645345304</v>
      </c>
      <c r="M117" s="59"/>
      <c r="N117">
        <v>95</v>
      </c>
      <c r="O117" s="69" cm="1">
        <f t="array" ref="O117">montecarloVAR($B$9,$N117,O$13,$B$1,$B$2,$B$3,$B$4,$B$5,$B$6,$B$7,$B$8)</f>
        <v>14671.119031033144</v>
      </c>
      <c r="P117" s="69" cm="1">
        <f t="array" ref="P117">montecarloVAR($B$9,$N117,P$13,$B$1,$B$2,$B$3,$B$4,$B$5,$B$6,$B$7,$B$8)</f>
        <v>21360.523458172491</v>
      </c>
      <c r="Q117" s="70" cm="1">
        <f t="array" ref="Q117">montecarloVAR($B$9,$N117,Q$13,$B$1,$B$2,$B$3,$B$4,$B$5,$B$6,$B$7,$B$8)</f>
        <v>23406.053842972335</v>
      </c>
      <c r="S117" s="59"/>
      <c r="T117">
        <v>95</v>
      </c>
      <c r="U117" s="69">
        <f t="shared" si="10"/>
        <v>9705.5336511503447</v>
      </c>
      <c r="V117" s="69">
        <f t="shared" si="11"/>
        <v>13169.150401673101</v>
      </c>
      <c r="W117" s="70">
        <f t="shared" si="12"/>
        <v>15658.387427722784</v>
      </c>
    </row>
    <row r="118" spans="1:23" x14ac:dyDescent="0.2">
      <c r="A118" s="59"/>
      <c r="B118">
        <v>96</v>
      </c>
      <c r="C118" s="69" cm="1">
        <f t="array" ref="C118">montecarloVAR_single($B$9,$B118,C$13,$B$1,$B$3,$D$8)</f>
        <v>-2532.1395236888306</v>
      </c>
      <c r="D118" s="69" cm="1">
        <f t="array" ref="D118">montecarloVAR_single($B$9,$B118,D$13,$B$1,$B$3,$D$8)</f>
        <v>2372.0652372929253</v>
      </c>
      <c r="E118" s="70" cm="1">
        <f t="array" ref="E118">montecarloVAR_single($B$9,$B118,E$13,$B$1,$B$3,$D$8)</f>
        <v>4675.8997332517974</v>
      </c>
      <c r="G118" s="59"/>
      <c r="H118">
        <v>96</v>
      </c>
      <c r="I118" s="69" cm="1">
        <f t="array" ref="I118">montecarloVAR_single($B$9,$H118,I$13,$B$2,$B$4,$D$8)</f>
        <v>26709.667961906034</v>
      </c>
      <c r="J118" s="69" cm="1">
        <f t="array" ref="J118">montecarloVAR_single($B$9,$H118,J$13,$B$2,$B$4,$D$8)</f>
        <v>32406.919183361108</v>
      </c>
      <c r="K118" s="70" cm="1">
        <f t="array" ref="K118">montecarloVAR_single($B$9,$H118,K$13,$B$2,$B$4,$D$8)</f>
        <v>34535.97644000822</v>
      </c>
      <c r="M118" s="59"/>
      <c r="N118">
        <v>96</v>
      </c>
      <c r="O118" s="69" cm="1">
        <f t="array" ref="O118">montecarloVAR($B$9,$N118,O$13,$B$1,$B$2,$B$3,$B$4,$B$5,$B$6,$B$7,$B$8)</f>
        <v>14205.367242696564</v>
      </c>
      <c r="P118" s="69" cm="1">
        <f t="array" ref="P118">montecarloVAR($B$9,$N118,P$13,$B$1,$B$2,$B$3,$B$4,$B$5,$B$6,$B$7,$B$8)</f>
        <v>20919.622000623534</v>
      </c>
      <c r="Q118" s="70" cm="1">
        <f t="array" ref="Q118">montecarloVAR($B$9,$N118,Q$13,$B$1,$B$2,$B$3,$B$4,$B$5,$B$6,$B$7,$B$8)</f>
        <v>24412.210610861759</v>
      </c>
      <c r="S118" s="59"/>
      <c r="T118">
        <v>96</v>
      </c>
      <c r="U118" s="69">
        <f t="shared" si="10"/>
        <v>9972.161195520639</v>
      </c>
      <c r="V118" s="69">
        <f t="shared" si="11"/>
        <v>13859.362420030495</v>
      </c>
      <c r="W118" s="70">
        <f t="shared" si="12"/>
        <v>14799.665562398259</v>
      </c>
    </row>
    <row r="119" spans="1:23" x14ac:dyDescent="0.2">
      <c r="A119" s="59"/>
      <c r="B119">
        <v>97</v>
      </c>
      <c r="C119" s="69" cm="1">
        <f t="array" ref="C119">montecarloVAR_single($B$9,$B119,C$13,$B$1,$B$3,$D$8)</f>
        <v>-2398.084035466451</v>
      </c>
      <c r="D119" s="69" cm="1">
        <f t="array" ref="D119">montecarloVAR_single($B$9,$B119,D$13,$B$1,$B$3,$D$8)</f>
        <v>2451.5868092388878</v>
      </c>
      <c r="E119" s="70" cm="1">
        <f t="array" ref="E119">montecarloVAR_single($B$9,$B119,E$13,$B$1,$B$3,$D$8)</f>
        <v>4660.7908947241867</v>
      </c>
      <c r="G119" s="59"/>
      <c r="H119">
        <v>97</v>
      </c>
      <c r="I119" s="69" cm="1">
        <f t="array" ref="I119">montecarloVAR_single($B$9,$H119,I$13,$B$2,$B$4,$D$8)</f>
        <v>26886.550182940293</v>
      </c>
      <c r="J119" s="69" cm="1">
        <f t="array" ref="J119">montecarloVAR_single($B$9,$H119,J$13,$B$2,$B$4,$D$8)</f>
        <v>32871.250802276365</v>
      </c>
      <c r="K119" s="70" cm="1">
        <f t="array" ref="K119">montecarloVAR_single($B$9,$H119,K$13,$B$2,$B$4,$D$8)</f>
        <v>34556.056410051104</v>
      </c>
      <c r="M119" s="59"/>
      <c r="N119">
        <v>97</v>
      </c>
      <c r="O119" s="69" cm="1">
        <f t="array" ref="O119">montecarloVAR($B$9,$N119,O$13,$B$1,$B$2,$B$3,$B$4,$B$5,$B$6,$B$7,$B$8)</f>
        <v>14406.006170954919</v>
      </c>
      <c r="P119" s="69" cm="1">
        <f t="array" ref="P119">montecarloVAR($B$9,$N119,P$13,$B$1,$B$2,$B$3,$B$4,$B$5,$B$6,$B$7,$B$8)</f>
        <v>21475.164792924788</v>
      </c>
      <c r="Q119" s="70" cm="1">
        <f t="array" ref="Q119">montecarloVAR($B$9,$N119,Q$13,$B$1,$B$2,$B$3,$B$4,$B$5,$B$6,$B$7,$B$8)</f>
        <v>24427.02027497183</v>
      </c>
      <c r="S119" s="59"/>
      <c r="T119">
        <v>97</v>
      </c>
      <c r="U119" s="69">
        <f t="shared" si="10"/>
        <v>10082.459976518923</v>
      </c>
      <c r="V119" s="69">
        <f t="shared" si="11"/>
        <v>13847.672818590461</v>
      </c>
      <c r="W119" s="70">
        <f t="shared" si="12"/>
        <v>14789.827029803462</v>
      </c>
    </row>
    <row r="120" spans="1:23" x14ac:dyDescent="0.2">
      <c r="A120" s="59"/>
      <c r="B120">
        <v>98</v>
      </c>
      <c r="C120" s="69" cm="1">
        <f t="array" ref="C120">montecarloVAR_single($B$9,$B120,C$13,$B$1,$B$3,$D$8)</f>
        <v>-2700.5469655169145</v>
      </c>
      <c r="D120" s="69" cm="1">
        <f t="array" ref="D120">montecarloVAR_single($B$9,$B120,D$13,$B$1,$B$3,$D$8)</f>
        <v>2786.9708777569685</v>
      </c>
      <c r="E120" s="70" cm="1">
        <f t="array" ref="E120">montecarloVAR_single($B$9,$B120,E$13,$B$1,$B$3,$D$8)</f>
        <v>4541.378738379125</v>
      </c>
      <c r="G120" s="59"/>
      <c r="H120">
        <v>98</v>
      </c>
      <c r="I120" s="69" cm="1">
        <f t="array" ref="I120">montecarloVAR_single($B$9,$H120,I$13,$B$2,$B$4,$D$8)</f>
        <v>26828.197503547995</v>
      </c>
      <c r="J120" s="69" cm="1">
        <f t="array" ref="J120">montecarloVAR_single($B$9,$H120,J$13,$B$2,$B$4,$D$8)</f>
        <v>33438.859012089182</v>
      </c>
      <c r="K120" s="70" cm="1">
        <f t="array" ref="K120">montecarloVAR_single($B$9,$H120,K$13,$B$2,$B$4,$D$8)</f>
        <v>34074.148224663499</v>
      </c>
      <c r="M120" s="59"/>
      <c r="N120">
        <v>98</v>
      </c>
      <c r="O120" s="69" cm="1">
        <f t="array" ref="O120">montecarloVAR($B$9,$N120,O$13,$B$1,$B$2,$B$3,$B$4,$B$5,$B$6,$B$7,$B$8)</f>
        <v>14446.511604696783</v>
      </c>
      <c r="P120" s="69" cm="1">
        <f t="array" ref="P120">montecarloVAR($B$9,$N120,P$13,$B$1,$B$2,$B$3,$B$4,$B$5,$B$6,$B$7,$B$8)</f>
        <v>21064.524996513628</v>
      </c>
      <c r="Q120" s="70" cm="1">
        <f t="array" ref="Q120">montecarloVAR($B$9,$N120,Q$13,$B$1,$B$2,$B$3,$B$4,$B$5,$B$6,$B$7,$B$8)</f>
        <v>24890.678850824359</v>
      </c>
      <c r="S120" s="59"/>
      <c r="T120">
        <v>98</v>
      </c>
      <c r="U120" s="69">
        <f t="shared" si="10"/>
        <v>9681.1389333342977</v>
      </c>
      <c r="V120" s="69">
        <f t="shared" si="11"/>
        <v>15161.304893332523</v>
      </c>
      <c r="W120" s="70">
        <f t="shared" si="12"/>
        <v>13724.848112218267</v>
      </c>
    </row>
    <row r="121" spans="1:23" x14ac:dyDescent="0.2">
      <c r="A121" s="59"/>
      <c r="B121">
        <v>99</v>
      </c>
      <c r="C121" s="69" cm="1">
        <f t="array" ref="C121">montecarloVAR_single($B$9,$B121,C$13,$B$1,$B$3,$D$8)</f>
        <v>-2800.0101982225606</v>
      </c>
      <c r="D121" s="69" cm="1">
        <f t="array" ref="D121">montecarloVAR_single($B$9,$B121,D$13,$B$1,$B$3,$D$8)</f>
        <v>2431.7216130106754</v>
      </c>
      <c r="E121" s="70" cm="1">
        <f t="array" ref="E121">montecarloVAR_single($B$9,$B121,E$13,$B$1,$B$3,$D$8)</f>
        <v>4956.40434866754</v>
      </c>
      <c r="G121" s="59"/>
      <c r="H121">
        <v>99</v>
      </c>
      <c r="I121" s="69" cm="1">
        <f t="array" ref="I121">montecarloVAR_single($B$9,$H121,I$13,$B$2,$B$4,$D$8)</f>
        <v>27115.103233734022</v>
      </c>
      <c r="J121" s="69" cm="1">
        <f t="array" ref="J121">montecarloVAR_single($B$9,$H121,J$13,$B$2,$B$4,$D$8)</f>
        <v>32512.578535226123</v>
      </c>
      <c r="K121" s="70" cm="1">
        <f t="array" ref="K121">montecarloVAR_single($B$9,$H121,K$13,$B$2,$B$4,$D$8)</f>
        <v>35005.924056214397</v>
      </c>
      <c r="M121" s="59"/>
      <c r="N121">
        <v>99</v>
      </c>
      <c r="O121" s="69" cm="1">
        <f t="array" ref="O121">montecarloVAR($B$9,$N121,O$13,$B$1,$B$2,$B$3,$B$4,$B$5,$B$6,$B$7,$B$8)</f>
        <v>14337.514507260103</v>
      </c>
      <c r="P121" s="69" cm="1">
        <f t="array" ref="P121">montecarloVAR($B$9,$N121,P$13,$B$1,$B$2,$B$3,$B$4,$B$5,$B$6,$B$7,$B$8)</f>
        <v>21891.330654356312</v>
      </c>
      <c r="Q121" s="70" cm="1">
        <f t="array" ref="Q121">montecarloVAR($B$9,$N121,Q$13,$B$1,$B$2,$B$3,$B$4,$B$5,$B$6,$B$7,$B$8)</f>
        <v>24203.583298904283</v>
      </c>
      <c r="S121" s="59"/>
      <c r="T121">
        <v>99</v>
      </c>
      <c r="U121" s="69">
        <f t="shared" si="10"/>
        <v>9977.5785282513589</v>
      </c>
      <c r="V121" s="69">
        <f t="shared" si="11"/>
        <v>13052.969493880486</v>
      </c>
      <c r="W121" s="70">
        <f t="shared" si="12"/>
        <v>15758.74510597765</v>
      </c>
    </row>
    <row r="122" spans="1:23" x14ac:dyDescent="0.2">
      <c r="A122" s="60"/>
      <c r="B122" s="100">
        <v>100</v>
      </c>
      <c r="C122" s="71" cm="1">
        <f t="array" ref="C122">montecarloVAR_single($B$9,$B122,C$13,$B$1,$B$3,$D$8)</f>
        <v>-2899.5159628806473</v>
      </c>
      <c r="D122" s="71" cm="1">
        <f t="array" ref="D122">montecarloVAR_single($B$9,$B122,D$13,$B$1,$B$3,$D$8)</f>
        <v>2904.1439196060342</v>
      </c>
      <c r="E122" s="72" cm="1">
        <f t="array" ref="E122">montecarloVAR_single($B$9,$B122,E$13,$B$1,$B$3,$D$8)</f>
        <v>4856.4520574105454</v>
      </c>
      <c r="G122" s="60"/>
      <c r="H122" s="100">
        <v>100</v>
      </c>
      <c r="I122" s="71" cm="1">
        <f t="array" ref="I122">montecarloVAR_single($B$9,$H122,I$13,$B$2,$B$4,$D$8)</f>
        <v>27238.851736277007</v>
      </c>
      <c r="J122" s="71" cm="1">
        <f t="array" ref="J122">montecarloVAR_single($B$9,$H122,J$13,$B$2,$B$4,$D$8)</f>
        <v>32835.031924353512</v>
      </c>
      <c r="K122" s="72" cm="1">
        <f t="array" ref="K122">montecarloVAR_single($B$9,$H122,K$13,$B$2,$B$4,$D$8)</f>
        <v>35516.736755392958</v>
      </c>
      <c r="M122" s="60"/>
      <c r="N122" s="100">
        <v>100</v>
      </c>
      <c r="O122" s="71" cm="1">
        <f t="array" ref="O122">montecarloVAR($B$9,$N122,O$13,$B$1,$B$2,$B$3,$B$4,$B$5,$B$6,$B$7,$B$8)</f>
        <v>14865.77065390303</v>
      </c>
      <c r="P122" s="71" cm="1">
        <f t="array" ref="P122">montecarloVAR($B$9,$N122,P$13,$B$1,$B$2,$B$3,$B$4,$B$5,$B$6,$B$7,$B$8)</f>
        <v>22073.107810803078</v>
      </c>
      <c r="Q122" s="72" cm="1">
        <f t="array" ref="Q122">montecarloVAR($B$9,$N122,Q$13,$B$1,$B$2,$B$3,$B$4,$B$5,$B$6,$B$7,$B$8)</f>
        <v>24105.147801471026</v>
      </c>
      <c r="S122" s="60"/>
      <c r="T122" s="100">
        <v>100</v>
      </c>
      <c r="U122" s="71">
        <f t="shared" si="10"/>
        <v>9473.5651194933307</v>
      </c>
      <c r="V122" s="71">
        <f t="shared" si="11"/>
        <v>13666.068033156465</v>
      </c>
      <c r="W122" s="72">
        <f t="shared" si="12"/>
        <v>16268.04101133248</v>
      </c>
    </row>
  </sheetData>
  <mergeCells count="20">
    <mergeCell ref="O21:Q21"/>
    <mergeCell ref="S21:T22"/>
    <mergeCell ref="U21:W21"/>
    <mergeCell ref="A21:B22"/>
    <mergeCell ref="C21:E21"/>
    <mergeCell ref="G21:H22"/>
    <mergeCell ref="I21:K21"/>
    <mergeCell ref="M21:N22"/>
    <mergeCell ref="U12:W12"/>
    <mergeCell ref="S14:S18"/>
    <mergeCell ref="A12:B13"/>
    <mergeCell ref="G12:H13"/>
    <mergeCell ref="M12:N13"/>
    <mergeCell ref="S12:T13"/>
    <mergeCell ref="M14:M18"/>
    <mergeCell ref="O12:Q12"/>
    <mergeCell ref="C12:E12"/>
    <mergeCell ref="A14:A18"/>
    <mergeCell ref="I12:K12"/>
    <mergeCell ref="G14:G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F5638-0E77-BC4C-959C-721582DC50E5}">
  <sheetPr codeName="Foglio5"/>
  <dimension ref="A1:AB254"/>
  <sheetViews>
    <sheetView topLeftCell="G125" workbookViewId="0">
      <selection activeCell="J159" sqref="J159:L163"/>
    </sheetView>
  </sheetViews>
  <sheetFormatPr baseColWidth="10" defaultRowHeight="15" x14ac:dyDescent="0.2"/>
  <cols>
    <col min="2" max="3" width="11" bestFit="1" customWidth="1"/>
    <col min="4" max="4" width="12.6640625" style="5" bestFit="1" customWidth="1"/>
    <col min="5" max="5" width="11.1640625" style="5" bestFit="1" customWidth="1"/>
    <col min="6" max="6" width="10.83203125" style="4"/>
    <col min="7" max="7" width="12" style="5" customWidth="1"/>
    <col min="10" max="10" width="10.83203125" style="4"/>
    <col min="11" max="11" width="11.6640625" bestFit="1" customWidth="1"/>
    <col min="15" max="15" width="12.33203125" bestFit="1" customWidth="1"/>
    <col min="16" max="16" width="10.83203125" style="10"/>
  </cols>
  <sheetData>
    <row r="1" spans="1:16" x14ac:dyDescent="0.2">
      <c r="B1" s="16" t="s">
        <v>0</v>
      </c>
      <c r="C1" s="17"/>
      <c r="D1" s="18"/>
      <c r="E1" s="18"/>
      <c r="F1" s="20"/>
      <c r="G1" s="30" t="s">
        <v>5</v>
      </c>
      <c r="H1" s="31"/>
      <c r="I1" s="32"/>
      <c r="J1" s="31"/>
      <c r="K1" s="34"/>
      <c r="N1" s="10"/>
      <c r="P1"/>
    </row>
    <row r="2" spans="1:16" x14ac:dyDescent="0.2">
      <c r="A2" s="44" t="s">
        <v>1</v>
      </c>
      <c r="B2" s="45" t="s">
        <v>2</v>
      </c>
      <c r="C2" s="47" t="s">
        <v>4</v>
      </c>
      <c r="D2" s="47" t="s">
        <v>6</v>
      </c>
      <c r="E2" s="48" t="s">
        <v>8</v>
      </c>
      <c r="F2" s="49" t="s">
        <v>13</v>
      </c>
      <c r="G2" s="50" t="s">
        <v>2</v>
      </c>
      <c r="H2" s="52" t="s">
        <v>4</v>
      </c>
      <c r="I2" s="52" t="s">
        <v>7</v>
      </c>
      <c r="J2" s="52" t="s">
        <v>9</v>
      </c>
      <c r="K2" s="53" t="s">
        <v>10</v>
      </c>
      <c r="L2" s="54" t="s">
        <v>11</v>
      </c>
      <c r="M2" s="55" t="s">
        <v>12</v>
      </c>
      <c r="N2" s="56" t="s">
        <v>18</v>
      </c>
      <c r="P2"/>
    </row>
    <row r="3" spans="1:16" x14ac:dyDescent="0.2">
      <c r="A3" s="14">
        <v>45932</v>
      </c>
      <c r="B3" s="21">
        <v>111.29</v>
      </c>
      <c r="C3" s="2"/>
      <c r="D3" s="2">
        <f t="shared" ref="D3:D34" si="0">F3/B3</f>
        <v>449.27666457004221</v>
      </c>
      <c r="E3" s="12">
        <f t="shared" ref="E3:E34" si="1">D3/L3</f>
        <v>0.82251247946669215</v>
      </c>
      <c r="F3" s="23">
        <f t="shared" ref="F3:F34" si="2">M3/2</f>
        <v>50000</v>
      </c>
      <c r="G3" s="21">
        <v>515.74</v>
      </c>
      <c r="H3" s="1"/>
      <c r="I3" s="3">
        <f t="shared" ref="I3:I34" si="3">K3/G3</f>
        <v>96.948074611238212</v>
      </c>
      <c r="J3" s="6">
        <f t="shared" ref="J3:J66" si="4">I3/L3</f>
        <v>0.1774875205333078</v>
      </c>
      <c r="K3" s="35">
        <f t="shared" ref="K3:K66" si="5">M3/2</f>
        <v>50000</v>
      </c>
      <c r="L3" s="39">
        <f t="shared" ref="L3:L34" si="6">I3+D3</f>
        <v>546.22473918128048</v>
      </c>
      <c r="M3" s="3">
        <v>100000</v>
      </c>
      <c r="N3" s="40"/>
      <c r="P3"/>
    </row>
    <row r="4" spans="1:16" x14ac:dyDescent="0.2">
      <c r="A4" s="14">
        <v>45933</v>
      </c>
      <c r="B4" s="21">
        <v>113.26</v>
      </c>
      <c r="C4" s="11">
        <v>1.7701500584059698E-2</v>
      </c>
      <c r="D4" s="2">
        <f t="shared" si="0"/>
        <v>446.05845589496317</v>
      </c>
      <c r="E4" s="12">
        <f t="shared" si="1"/>
        <v>0.82039612438749776</v>
      </c>
      <c r="F4" s="23">
        <f t="shared" si="2"/>
        <v>50520.580714663534</v>
      </c>
      <c r="G4" s="21">
        <v>517.35</v>
      </c>
      <c r="H4" s="11">
        <v>3.1217280024818999E-3</v>
      </c>
      <c r="I4" s="3">
        <f t="shared" si="3"/>
        <v>97.652615665726358</v>
      </c>
      <c r="J4" s="6">
        <f t="shared" si="4"/>
        <v>0.17960387561250218</v>
      </c>
      <c r="K4" s="35">
        <f t="shared" si="5"/>
        <v>50520.580714663534</v>
      </c>
      <c r="L4" s="39">
        <f t="shared" si="6"/>
        <v>543.71107156068956</v>
      </c>
      <c r="M4" s="3">
        <f t="shared" ref="M4:M35" si="7">D3*B4+I3*G4</f>
        <v>101041.16142932707</v>
      </c>
      <c r="N4" s="41">
        <f>(M4-M3)/M3</f>
        <v>1.0411614293270687E-2</v>
      </c>
      <c r="P4"/>
    </row>
    <row r="5" spans="1:16" x14ac:dyDescent="0.2">
      <c r="A5" s="14">
        <v>45936</v>
      </c>
      <c r="B5" s="21">
        <v>114.2</v>
      </c>
      <c r="C5" s="11">
        <v>8.2994879039378199E-3</v>
      </c>
      <c r="D5" s="2">
        <f t="shared" si="0"/>
        <v>449.01978426286246</v>
      </c>
      <c r="E5" s="12">
        <f t="shared" si="1"/>
        <v>0.8223314715994835</v>
      </c>
      <c r="F5" s="23">
        <f t="shared" si="2"/>
        <v>51278.059362818894</v>
      </c>
      <c r="G5" s="21">
        <v>528.57000000000005</v>
      </c>
      <c r="H5" s="11">
        <v>2.1687445636416398E-2</v>
      </c>
      <c r="I5" s="3">
        <f t="shared" si="3"/>
        <v>97.012806937243681</v>
      </c>
      <c r="J5" s="6">
        <f t="shared" si="4"/>
        <v>0.1776685284005165</v>
      </c>
      <c r="K5" s="35">
        <f t="shared" si="5"/>
        <v>51278.059362818894</v>
      </c>
      <c r="L5" s="39">
        <f t="shared" si="6"/>
        <v>546.03259120010614</v>
      </c>
      <c r="M5" s="3">
        <f t="shared" si="7"/>
        <v>102556.11872563779</v>
      </c>
      <c r="N5" s="41">
        <f t="shared" ref="N5:N68" si="8">(M5-M4)/M4</f>
        <v>1.4993466770177146E-2</v>
      </c>
      <c r="P5"/>
    </row>
    <row r="6" spans="1:16" x14ac:dyDescent="0.2">
      <c r="A6" s="14">
        <v>45937</v>
      </c>
      <c r="B6" s="21">
        <v>114.26</v>
      </c>
      <c r="C6" s="11">
        <v>5.2539404553417104E-4</v>
      </c>
      <c r="D6" s="2">
        <f t="shared" si="0"/>
        <v>446.95331318419221</v>
      </c>
      <c r="E6" s="12">
        <f t="shared" si="1"/>
        <v>0.82097643519679109</v>
      </c>
      <c r="F6" s="23">
        <f t="shared" si="2"/>
        <v>51068.885564425807</v>
      </c>
      <c r="G6" s="21">
        <v>523.98</v>
      </c>
      <c r="H6" s="11">
        <v>-8.6838072535331805E-3</v>
      </c>
      <c r="I6" s="3">
        <f t="shared" si="3"/>
        <v>97.463425253684889</v>
      </c>
      <c r="J6" s="6">
        <f t="shared" si="4"/>
        <v>0.17902356480320883</v>
      </c>
      <c r="K6" s="35">
        <f t="shared" si="5"/>
        <v>51068.885564425807</v>
      </c>
      <c r="L6" s="39">
        <f t="shared" si="6"/>
        <v>544.41673843787714</v>
      </c>
      <c r="M6" s="3">
        <f t="shared" si="7"/>
        <v>102137.77112885161</v>
      </c>
      <c r="N6" s="41">
        <f t="shared" si="8"/>
        <v>-4.0792066039994574E-3</v>
      </c>
      <c r="P6"/>
    </row>
    <row r="7" spans="1:16" x14ac:dyDescent="0.2">
      <c r="A7" s="14">
        <v>45938</v>
      </c>
      <c r="B7" s="21">
        <v>114.02</v>
      </c>
      <c r="C7" s="11">
        <v>-2.10047260633651E-3</v>
      </c>
      <c r="D7" s="2">
        <f t="shared" si="0"/>
        <v>447.79554250858672</v>
      </c>
      <c r="E7" s="12">
        <f t="shared" si="1"/>
        <v>0.82152863649881835</v>
      </c>
      <c r="F7" s="23">
        <f t="shared" si="2"/>
        <v>51057.647756829057</v>
      </c>
      <c r="G7" s="21">
        <v>524.85</v>
      </c>
      <c r="H7" s="11">
        <v>1.66036871636323E-3</v>
      </c>
      <c r="I7" s="3">
        <f t="shared" si="3"/>
        <v>97.280456810191595</v>
      </c>
      <c r="J7" s="6">
        <f t="shared" si="4"/>
        <v>0.17847136350118178</v>
      </c>
      <c r="K7" s="35">
        <f t="shared" si="5"/>
        <v>51057.647756829057</v>
      </c>
      <c r="L7" s="39">
        <f t="shared" si="6"/>
        <v>545.07599931877826</v>
      </c>
      <c r="M7" s="3">
        <f t="shared" si="7"/>
        <v>102115.29551365811</v>
      </c>
      <c r="N7" s="41">
        <f t="shared" si="8"/>
        <v>-2.2005194498659841E-4</v>
      </c>
      <c r="P7"/>
    </row>
    <row r="8" spans="1:16" x14ac:dyDescent="0.2">
      <c r="A8" s="14">
        <v>45939</v>
      </c>
      <c r="B8" s="21">
        <v>112.91</v>
      </c>
      <c r="C8" s="11">
        <v>-9.7351341869847292E-3</v>
      </c>
      <c r="D8" s="2">
        <f t="shared" si="0"/>
        <v>448.94121575718987</v>
      </c>
      <c r="E8" s="12">
        <f t="shared" si="1"/>
        <v>0.82227573940281118</v>
      </c>
      <c r="F8" s="23">
        <f t="shared" si="2"/>
        <v>50689.952671144303</v>
      </c>
      <c r="G8" s="21">
        <v>522.4</v>
      </c>
      <c r="H8" s="11">
        <v>-4.6680003810613399E-3</v>
      </c>
      <c r="I8" s="3">
        <f t="shared" si="3"/>
        <v>97.032834362833668</v>
      </c>
      <c r="J8" s="6">
        <f t="shared" si="4"/>
        <v>0.17772426059718877</v>
      </c>
      <c r="K8" s="35">
        <f t="shared" si="5"/>
        <v>50689.952671144303</v>
      </c>
      <c r="L8" s="39">
        <f t="shared" si="6"/>
        <v>545.97405012002355</v>
      </c>
      <c r="M8" s="3">
        <f t="shared" si="7"/>
        <v>101379.90534228861</v>
      </c>
      <c r="N8" s="41">
        <f t="shared" si="8"/>
        <v>-7.2015672840230758E-3</v>
      </c>
      <c r="P8"/>
    </row>
    <row r="9" spans="1:16" x14ac:dyDescent="0.2">
      <c r="A9" s="14">
        <v>45940</v>
      </c>
      <c r="B9" s="21">
        <v>110.73</v>
      </c>
      <c r="C9" s="11">
        <v>-1.9307412983792301E-2</v>
      </c>
      <c r="D9" s="2">
        <f t="shared" si="0"/>
        <v>448.34804419230164</v>
      </c>
      <c r="E9" s="12">
        <f t="shared" si="1"/>
        <v>0.82188872267528834</v>
      </c>
      <c r="F9" s="23">
        <f t="shared" si="2"/>
        <v>49645.578933413562</v>
      </c>
      <c r="G9" s="21">
        <v>510.96</v>
      </c>
      <c r="H9" s="11">
        <v>-2.1898928024502301E-2</v>
      </c>
      <c r="I9" s="3">
        <f t="shared" si="3"/>
        <v>97.16138040827768</v>
      </c>
      <c r="J9" s="6">
        <f t="shared" si="4"/>
        <v>0.17811127732471169</v>
      </c>
      <c r="K9" s="35">
        <f t="shared" si="5"/>
        <v>49645.578933413562</v>
      </c>
      <c r="L9" s="39">
        <f t="shared" si="6"/>
        <v>545.50942460057934</v>
      </c>
      <c r="M9" s="3">
        <f t="shared" si="7"/>
        <v>99291.157866827125</v>
      </c>
      <c r="N9" s="41">
        <f t="shared" si="8"/>
        <v>-2.0603170504147256E-2</v>
      </c>
      <c r="P9"/>
    </row>
    <row r="10" spans="1:16" x14ac:dyDescent="0.2">
      <c r="A10" s="14">
        <v>45943</v>
      </c>
      <c r="B10" s="21">
        <v>112.24</v>
      </c>
      <c r="C10" s="11">
        <v>1.3636774135283899E-2</v>
      </c>
      <c r="D10" s="2">
        <f t="shared" si="0"/>
        <v>446.66960120731949</v>
      </c>
      <c r="E10" s="12">
        <f t="shared" si="1"/>
        <v>0.82078589790672052</v>
      </c>
      <c r="F10" s="23">
        <f t="shared" si="2"/>
        <v>50134.196039509538</v>
      </c>
      <c r="G10" s="21">
        <v>514.04999999999995</v>
      </c>
      <c r="H10" s="11">
        <v>6.0474401127289298E-3</v>
      </c>
      <c r="I10" s="3">
        <f t="shared" si="3"/>
        <v>97.527859234528819</v>
      </c>
      <c r="J10" s="6">
        <f t="shared" si="4"/>
        <v>0.17921410209327948</v>
      </c>
      <c r="K10" s="35">
        <f t="shared" si="5"/>
        <v>50134.196039509538</v>
      </c>
      <c r="L10" s="39">
        <f t="shared" si="6"/>
        <v>544.19746044184831</v>
      </c>
      <c r="M10" s="3">
        <f t="shared" si="7"/>
        <v>100268.39207901908</v>
      </c>
      <c r="N10" s="41">
        <f t="shared" si="8"/>
        <v>9.8421071240064675E-3</v>
      </c>
      <c r="P10"/>
    </row>
    <row r="11" spans="1:16" x14ac:dyDescent="0.2">
      <c r="A11" s="14">
        <v>45944</v>
      </c>
      <c r="B11" s="21">
        <v>112.29</v>
      </c>
      <c r="C11" s="11">
        <v>4.4547398431941699E-4</v>
      </c>
      <c r="D11" s="2">
        <f t="shared" si="0"/>
        <v>446.3617071272904</v>
      </c>
      <c r="E11" s="12">
        <f t="shared" si="1"/>
        <v>0.82058287795992724</v>
      </c>
      <c r="F11" s="23">
        <f t="shared" si="2"/>
        <v>50121.956093323439</v>
      </c>
      <c r="G11" s="21">
        <v>513.57000000000005</v>
      </c>
      <c r="H11" s="11">
        <v>-9.3376130726564497E-4</v>
      </c>
      <c r="I11" s="3">
        <f t="shared" si="3"/>
        <v>97.59517902783152</v>
      </c>
      <c r="J11" s="6">
        <f t="shared" si="4"/>
        <v>0.17941712204007285</v>
      </c>
      <c r="K11" s="35">
        <f t="shared" si="5"/>
        <v>50121.956093323439</v>
      </c>
      <c r="L11" s="39">
        <f t="shared" si="6"/>
        <v>543.95688615512188</v>
      </c>
      <c r="M11" s="3">
        <f t="shared" si="7"/>
        <v>100243.91218664688</v>
      </c>
      <c r="N11" s="41">
        <f t="shared" si="8"/>
        <v>-2.4414366147315245E-4</v>
      </c>
      <c r="P11"/>
    </row>
    <row r="12" spans="1:16" x14ac:dyDescent="0.2">
      <c r="A12" s="14">
        <v>45945</v>
      </c>
      <c r="B12" s="21">
        <v>111.61</v>
      </c>
      <c r="C12" s="11">
        <v>-6.0557485083267103E-3</v>
      </c>
      <c r="D12" s="2">
        <f t="shared" si="0"/>
        <v>447.66025849268169</v>
      </c>
      <c r="E12" s="12">
        <f t="shared" si="1"/>
        <v>0.82143542813259951</v>
      </c>
      <c r="F12" s="23">
        <f t="shared" si="2"/>
        <v>49963.361450368204</v>
      </c>
      <c r="G12" s="21">
        <v>513.42999999999995</v>
      </c>
      <c r="H12" s="11">
        <v>-2.7260159277235797E-4</v>
      </c>
      <c r="I12" s="3">
        <f t="shared" si="3"/>
        <v>97.312898448412071</v>
      </c>
      <c r="J12" s="6">
        <f t="shared" si="4"/>
        <v>0.17856457186740052</v>
      </c>
      <c r="K12" s="35">
        <f t="shared" si="5"/>
        <v>49963.361450368204</v>
      </c>
      <c r="L12" s="39">
        <f t="shared" si="6"/>
        <v>544.97315694109375</v>
      </c>
      <c r="M12" s="3">
        <f t="shared" si="7"/>
        <v>99926.722900736408</v>
      </c>
      <c r="N12" s="41">
        <f t="shared" si="8"/>
        <v>-3.1641750505495701E-3</v>
      </c>
      <c r="P12"/>
    </row>
    <row r="13" spans="1:16" x14ac:dyDescent="0.2">
      <c r="A13" s="14">
        <v>45946</v>
      </c>
      <c r="B13" s="21">
        <v>110.64</v>
      </c>
      <c r="C13" s="11">
        <v>-8.6909775109757104E-3</v>
      </c>
      <c r="D13" s="2">
        <f t="shared" si="0"/>
        <v>448.82222964037595</v>
      </c>
      <c r="E13" s="12">
        <f t="shared" si="1"/>
        <v>0.822193652069104</v>
      </c>
      <c r="F13" s="23">
        <f t="shared" si="2"/>
        <v>49657.691487411197</v>
      </c>
      <c r="G13" s="21">
        <v>511.61</v>
      </c>
      <c r="H13" s="11">
        <v>-3.5447870206258602E-3</v>
      </c>
      <c r="I13" s="3">
        <f t="shared" si="3"/>
        <v>97.061612336371837</v>
      </c>
      <c r="J13" s="6">
        <f t="shared" si="4"/>
        <v>0.17780634793089595</v>
      </c>
      <c r="K13" s="35">
        <f t="shared" si="5"/>
        <v>49657.691487411197</v>
      </c>
      <c r="L13" s="39">
        <f t="shared" si="6"/>
        <v>545.88384197674782</v>
      </c>
      <c r="M13" s="3">
        <f t="shared" si="7"/>
        <v>99315.382974822394</v>
      </c>
      <c r="N13" s="41">
        <f t="shared" si="8"/>
        <v>-6.1178822658008733E-3</v>
      </c>
      <c r="P13"/>
    </row>
    <row r="14" spans="1:16" x14ac:dyDescent="0.2">
      <c r="A14" s="14">
        <v>45947</v>
      </c>
      <c r="B14" s="21">
        <v>112.24</v>
      </c>
      <c r="C14" s="11">
        <v>1.44613159797541E-2</v>
      </c>
      <c r="D14" s="2">
        <f t="shared" si="0"/>
        <v>446.47500854663957</v>
      </c>
      <c r="E14" s="12">
        <f t="shared" si="1"/>
        <v>0.82065130548720078</v>
      </c>
      <c r="F14" s="23">
        <f t="shared" si="2"/>
        <v>50112.354959274824</v>
      </c>
      <c r="G14" s="21">
        <v>513.58000000000004</v>
      </c>
      <c r="H14" s="11">
        <v>3.8505893160806601E-3</v>
      </c>
      <c r="I14" s="3">
        <f t="shared" si="3"/>
        <v>97.574584211368858</v>
      </c>
      <c r="J14" s="6">
        <f t="shared" si="4"/>
        <v>0.17934869451279919</v>
      </c>
      <c r="K14" s="35">
        <f t="shared" si="5"/>
        <v>50112.354959274824</v>
      </c>
      <c r="L14" s="39">
        <f t="shared" si="6"/>
        <v>544.04959275800843</v>
      </c>
      <c r="M14" s="3">
        <f t="shared" si="7"/>
        <v>100224.70991854965</v>
      </c>
      <c r="N14" s="41">
        <f t="shared" si="8"/>
        <v>9.1559526479173797E-3</v>
      </c>
      <c r="P14"/>
    </row>
    <row r="15" spans="1:16" x14ac:dyDescent="0.2">
      <c r="A15" s="14">
        <v>45950</v>
      </c>
      <c r="B15" s="21">
        <v>112.7</v>
      </c>
      <c r="C15" s="11">
        <v>4.0983606557377797E-3</v>
      </c>
      <c r="D15" s="2">
        <f t="shared" si="0"/>
        <v>446.95342873912864</v>
      </c>
      <c r="E15" s="12">
        <f t="shared" si="1"/>
        <v>0.82096617897027757</v>
      </c>
      <c r="F15" s="23">
        <f t="shared" si="2"/>
        <v>50371.651418899797</v>
      </c>
      <c r="G15" s="21">
        <v>516.79</v>
      </c>
      <c r="H15" s="11">
        <v>6.2502433895399402E-3</v>
      </c>
      <c r="I15" s="3">
        <f t="shared" si="3"/>
        <v>97.470251782928855</v>
      </c>
      <c r="J15" s="6">
        <f t="shared" si="4"/>
        <v>0.17903382102972251</v>
      </c>
      <c r="K15" s="35">
        <f t="shared" si="5"/>
        <v>50371.651418899797</v>
      </c>
      <c r="L15" s="39">
        <f t="shared" si="6"/>
        <v>544.42368052205745</v>
      </c>
      <c r="M15" s="3">
        <f t="shared" si="7"/>
        <v>100743.30283779959</v>
      </c>
      <c r="N15" s="41">
        <f t="shared" si="8"/>
        <v>5.1743020226388764E-3</v>
      </c>
      <c r="P15"/>
    </row>
    <row r="16" spans="1:16" x14ac:dyDescent="0.2">
      <c r="A16" s="14">
        <v>45951</v>
      </c>
      <c r="B16" s="21">
        <v>112.71</v>
      </c>
      <c r="C16" s="11">
        <v>8.8731144631684994E-5</v>
      </c>
      <c r="D16" s="2">
        <f t="shared" si="0"/>
        <v>447.30978391951976</v>
      </c>
      <c r="E16" s="12">
        <f t="shared" si="1"/>
        <v>0.82120024747370601</v>
      </c>
      <c r="F16" s="23">
        <f t="shared" si="2"/>
        <v>50416.285745569068</v>
      </c>
      <c r="G16" s="21">
        <v>517.66</v>
      </c>
      <c r="H16" s="11">
        <v>1.6834691073743799E-3</v>
      </c>
      <c r="I16" s="3">
        <f t="shared" si="3"/>
        <v>97.392662646464998</v>
      </c>
      <c r="J16" s="6">
        <f t="shared" si="4"/>
        <v>0.1787997525262941</v>
      </c>
      <c r="K16" s="35">
        <f t="shared" si="5"/>
        <v>50416.285745569068</v>
      </c>
      <c r="L16" s="39">
        <f t="shared" si="6"/>
        <v>544.7024465659847</v>
      </c>
      <c r="M16" s="3">
        <f t="shared" si="7"/>
        <v>100832.57149113814</v>
      </c>
      <c r="N16" s="41">
        <f t="shared" si="8"/>
        <v>8.8610012600309534E-4</v>
      </c>
      <c r="P16"/>
    </row>
    <row r="17" spans="1:16" x14ac:dyDescent="0.2">
      <c r="A17" s="14">
        <v>45952</v>
      </c>
      <c r="B17" s="21">
        <v>114.71</v>
      </c>
      <c r="C17" s="11">
        <v>1.77446544228551E-2</v>
      </c>
      <c r="D17" s="2">
        <f t="shared" si="0"/>
        <v>444.63290875860434</v>
      </c>
      <c r="E17" s="12">
        <f t="shared" si="1"/>
        <v>0.81942542306178667</v>
      </c>
      <c r="F17" s="23">
        <f t="shared" si="2"/>
        <v>51003.840963699498</v>
      </c>
      <c r="G17" s="21">
        <v>520.54</v>
      </c>
      <c r="H17" s="11">
        <v>5.5634972762044496E-3</v>
      </c>
      <c r="I17" s="3">
        <f t="shared" si="3"/>
        <v>97.982558427209241</v>
      </c>
      <c r="J17" s="6">
        <f t="shared" si="4"/>
        <v>0.18057457693821327</v>
      </c>
      <c r="K17" s="35">
        <f t="shared" si="5"/>
        <v>51003.840963699498</v>
      </c>
      <c r="L17" s="39">
        <f t="shared" si="6"/>
        <v>542.6154671858136</v>
      </c>
      <c r="M17" s="3">
        <f t="shared" si="7"/>
        <v>102007.681927399</v>
      </c>
      <c r="N17" s="41">
        <f t="shared" si="8"/>
        <v>1.1654075849529804E-2</v>
      </c>
      <c r="P17"/>
    </row>
    <row r="18" spans="1:16" x14ac:dyDescent="0.2">
      <c r="A18" s="14">
        <v>45953</v>
      </c>
      <c r="B18" s="21">
        <v>115.98</v>
      </c>
      <c r="C18" s="11">
        <v>1.10713974370152E-2</v>
      </c>
      <c r="D18" s="2">
        <f t="shared" si="0"/>
        <v>442.20695539183896</v>
      </c>
      <c r="E18" s="12">
        <f t="shared" si="1"/>
        <v>0.8177962107644452</v>
      </c>
      <c r="F18" s="23">
        <f t="shared" si="2"/>
        <v>51287.162686345488</v>
      </c>
      <c r="G18" s="21">
        <v>520.55999999999995</v>
      </c>
      <c r="H18" s="11">
        <v>3.8421639067087698E-5</v>
      </c>
      <c r="I18" s="3">
        <f t="shared" si="3"/>
        <v>98.52305725823247</v>
      </c>
      <c r="J18" s="6">
        <f t="shared" si="4"/>
        <v>0.18220378923555475</v>
      </c>
      <c r="K18" s="35">
        <f t="shared" si="5"/>
        <v>51287.162686345488</v>
      </c>
      <c r="L18" s="39">
        <f t="shared" si="6"/>
        <v>540.73001265007144</v>
      </c>
      <c r="M18" s="3">
        <f t="shared" si="7"/>
        <v>102574.32537269098</v>
      </c>
      <c r="N18" s="41">
        <f t="shared" si="8"/>
        <v>5.5549095380411683E-3</v>
      </c>
      <c r="P18"/>
    </row>
    <row r="19" spans="1:16" x14ac:dyDescent="0.2">
      <c r="A19" s="14">
        <v>45954</v>
      </c>
      <c r="B19" s="21">
        <v>115.39</v>
      </c>
      <c r="C19" s="11">
        <v>-5.0870839799965796E-3</v>
      </c>
      <c r="D19" s="2">
        <f t="shared" si="0"/>
        <v>444.63956405948261</v>
      </c>
      <c r="E19" s="12">
        <f t="shared" si="1"/>
        <v>0.81942097026604066</v>
      </c>
      <c r="F19" s="23">
        <f t="shared" si="2"/>
        <v>51306.959296823698</v>
      </c>
      <c r="G19" s="21">
        <v>523.61</v>
      </c>
      <c r="H19" s="11">
        <v>5.8590748424774599E-3</v>
      </c>
      <c r="I19" s="3">
        <f t="shared" si="3"/>
        <v>97.98697369573479</v>
      </c>
      <c r="J19" s="6">
        <f t="shared" si="4"/>
        <v>0.18057902973395928</v>
      </c>
      <c r="K19" s="35">
        <f t="shared" si="5"/>
        <v>51306.959296823698</v>
      </c>
      <c r="L19" s="39">
        <f t="shared" si="6"/>
        <v>542.62653775521744</v>
      </c>
      <c r="M19" s="3">
        <f t="shared" si="7"/>
        <v>102613.9185936474</v>
      </c>
      <c r="N19" s="41">
        <f t="shared" si="8"/>
        <v>3.8599543124035E-4</v>
      </c>
      <c r="P19"/>
    </row>
    <row r="20" spans="1:16" x14ac:dyDescent="0.2">
      <c r="A20" s="14">
        <v>45957</v>
      </c>
      <c r="B20" s="21">
        <v>115.94</v>
      </c>
      <c r="C20" s="11">
        <v>4.7664442326024502E-3</v>
      </c>
      <c r="D20" s="2">
        <f t="shared" si="0"/>
        <v>446.92749403059071</v>
      </c>
      <c r="E20" s="12">
        <f t="shared" si="1"/>
        <v>0.82093102276588514</v>
      </c>
      <c r="F20" s="23">
        <f t="shared" si="2"/>
        <v>51816.773657906684</v>
      </c>
      <c r="G20" s="21">
        <v>531.52</v>
      </c>
      <c r="H20" s="11">
        <v>1.51066633563148E-2</v>
      </c>
      <c r="I20" s="3">
        <f t="shared" si="3"/>
        <v>97.487909500878018</v>
      </c>
      <c r="J20" s="6">
        <f t="shared" si="4"/>
        <v>0.17906897723411483</v>
      </c>
      <c r="K20" s="35">
        <f t="shared" si="5"/>
        <v>51816.773657906684</v>
      </c>
      <c r="L20" s="39">
        <f t="shared" si="6"/>
        <v>544.41540353146877</v>
      </c>
      <c r="M20" s="3">
        <f t="shared" si="7"/>
        <v>103633.54731581337</v>
      </c>
      <c r="N20" s="41">
        <f t="shared" si="8"/>
        <v>9.9365537944586021E-3</v>
      </c>
      <c r="P20"/>
    </row>
    <row r="21" spans="1:16" x14ac:dyDescent="0.2">
      <c r="A21" s="14">
        <v>45958</v>
      </c>
      <c r="B21" s="21">
        <v>115.03</v>
      </c>
      <c r="C21" s="11">
        <v>-7.8488873555286904E-3</v>
      </c>
      <c r="D21" s="2">
        <f t="shared" si="0"/>
        <v>453.1658729960871</v>
      </c>
      <c r="E21" s="12">
        <f t="shared" si="1"/>
        <v>0.82494293106072147</v>
      </c>
      <c r="F21" s="23">
        <f t="shared" si="2"/>
        <v>52127.670370739899</v>
      </c>
      <c r="G21" s="21">
        <v>542.07000000000005</v>
      </c>
      <c r="H21" s="11">
        <v>1.98487357013848E-2</v>
      </c>
      <c r="I21" s="3">
        <f t="shared" si="3"/>
        <v>96.164093882229039</v>
      </c>
      <c r="J21" s="6">
        <f t="shared" si="4"/>
        <v>0.17505706893927864</v>
      </c>
      <c r="K21" s="35">
        <f t="shared" si="5"/>
        <v>52127.670370739899</v>
      </c>
      <c r="L21" s="39">
        <f t="shared" si="6"/>
        <v>549.3299668783161</v>
      </c>
      <c r="M21" s="3">
        <f t="shared" si="7"/>
        <v>104255.3407414798</v>
      </c>
      <c r="N21" s="41">
        <f t="shared" si="8"/>
        <v>5.9999241729280384E-3</v>
      </c>
      <c r="P21"/>
    </row>
    <row r="22" spans="1:16" x14ac:dyDescent="0.2">
      <c r="A22" s="14">
        <v>45959</v>
      </c>
      <c r="B22" s="21">
        <v>116.45</v>
      </c>
      <c r="C22" s="11">
        <v>1.23446057550204E-2</v>
      </c>
      <c r="D22" s="2">
        <f t="shared" si="0"/>
        <v>450.18819644618065</v>
      </c>
      <c r="E22" s="12">
        <f t="shared" si="1"/>
        <v>0.82302431610942239</v>
      </c>
      <c r="F22" s="23">
        <f t="shared" si="2"/>
        <v>52424.415476157737</v>
      </c>
      <c r="G22" s="21">
        <v>541.54999999999995</v>
      </c>
      <c r="H22" s="11">
        <v>-9.5928570110888898E-4</v>
      </c>
      <c r="I22" s="3">
        <f t="shared" si="3"/>
        <v>96.804386439216586</v>
      </c>
      <c r="J22" s="6">
        <f t="shared" si="4"/>
        <v>0.17697568389057752</v>
      </c>
      <c r="K22" s="35">
        <f t="shared" si="5"/>
        <v>52424.415476157737</v>
      </c>
      <c r="L22" s="39">
        <f t="shared" si="6"/>
        <v>546.99258288539727</v>
      </c>
      <c r="M22" s="3">
        <f t="shared" si="7"/>
        <v>104848.83095231547</v>
      </c>
      <c r="N22" s="41">
        <f t="shared" si="8"/>
        <v>5.6926600269557801E-3</v>
      </c>
      <c r="P22"/>
    </row>
    <row r="23" spans="1:16" x14ac:dyDescent="0.2">
      <c r="A23" s="14">
        <v>45960</v>
      </c>
      <c r="B23" s="21">
        <v>114.69</v>
      </c>
      <c r="C23" s="11">
        <v>-1.5113782739373201E-2</v>
      </c>
      <c r="D23" s="2">
        <f t="shared" si="0"/>
        <v>446.978631374553</v>
      </c>
      <c r="E23" s="12">
        <f t="shared" si="1"/>
        <v>0.82092278866422042</v>
      </c>
      <c r="F23" s="23">
        <f t="shared" si="2"/>
        <v>51263.979232347483</v>
      </c>
      <c r="G23" s="21">
        <v>525.76</v>
      </c>
      <c r="H23" s="11">
        <v>-2.9157049210599102E-2</v>
      </c>
      <c r="I23" s="3">
        <f t="shared" si="3"/>
        <v>97.504525320198354</v>
      </c>
      <c r="J23" s="6">
        <f t="shared" si="4"/>
        <v>0.17907721133577953</v>
      </c>
      <c r="K23" s="35">
        <f t="shared" si="5"/>
        <v>51263.979232347483</v>
      </c>
      <c r="L23" s="39">
        <f t="shared" si="6"/>
        <v>544.48315669475141</v>
      </c>
      <c r="M23" s="3">
        <f t="shared" si="7"/>
        <v>102527.95846469497</v>
      </c>
      <c r="N23" s="41">
        <f t="shared" si="8"/>
        <v>-2.2135415974986174E-2</v>
      </c>
      <c r="P23"/>
    </row>
    <row r="24" spans="1:16" x14ac:dyDescent="0.2">
      <c r="A24" s="14">
        <v>45961</v>
      </c>
      <c r="B24" s="21">
        <v>114.36</v>
      </c>
      <c r="C24" s="11">
        <v>-2.8773214752811798E-3</v>
      </c>
      <c r="D24" s="2">
        <f t="shared" si="0"/>
        <v>444.23441124539079</v>
      </c>
      <c r="E24" s="12">
        <f t="shared" si="1"/>
        <v>0.81909929291171679</v>
      </c>
      <c r="F24" s="23">
        <f t="shared" si="2"/>
        <v>50802.647270022891</v>
      </c>
      <c r="G24" s="21">
        <v>517.80999999999995</v>
      </c>
      <c r="H24" s="11">
        <v>-1.5120967741935601E-2</v>
      </c>
      <c r="I24" s="3">
        <f t="shared" si="3"/>
        <v>98.110595141119134</v>
      </c>
      <c r="J24" s="6">
        <f t="shared" si="4"/>
        <v>0.18090070708828324</v>
      </c>
      <c r="K24" s="35">
        <f t="shared" si="5"/>
        <v>50802.647270022891</v>
      </c>
      <c r="L24" s="39">
        <f t="shared" si="6"/>
        <v>542.34500638650991</v>
      </c>
      <c r="M24" s="3">
        <f t="shared" si="7"/>
        <v>101605.29454004578</v>
      </c>
      <c r="N24" s="41">
        <f t="shared" si="8"/>
        <v>-8.9991446086083761E-3</v>
      </c>
      <c r="P24"/>
    </row>
    <row r="25" spans="1:16" x14ac:dyDescent="0.2">
      <c r="A25" s="14">
        <v>45964</v>
      </c>
      <c r="B25" s="21">
        <v>113.76</v>
      </c>
      <c r="C25" s="11">
        <v>-5.2465897166841099E-3</v>
      </c>
      <c r="D25" s="2">
        <f t="shared" si="0"/>
        <v>445.06956588031147</v>
      </c>
      <c r="E25" s="12">
        <f t="shared" si="1"/>
        <v>0.81965471868609197</v>
      </c>
      <c r="F25" s="23">
        <f t="shared" si="2"/>
        <v>50631.113814544238</v>
      </c>
      <c r="G25" s="21">
        <v>517.03</v>
      </c>
      <c r="H25" s="11">
        <v>-1.5063440258009199E-3</v>
      </c>
      <c r="I25" s="3">
        <f t="shared" si="3"/>
        <v>97.926839476518268</v>
      </c>
      <c r="J25" s="6">
        <f t="shared" si="4"/>
        <v>0.18034528131390798</v>
      </c>
      <c r="K25" s="35">
        <f t="shared" si="5"/>
        <v>50631.113814544238</v>
      </c>
      <c r="L25" s="39">
        <f t="shared" si="6"/>
        <v>542.99640535682977</v>
      </c>
      <c r="M25" s="3">
        <f t="shared" si="7"/>
        <v>101262.22762908848</v>
      </c>
      <c r="N25" s="41">
        <f t="shared" si="8"/>
        <v>-3.3764668712425523E-3</v>
      </c>
      <c r="P25"/>
    </row>
    <row r="26" spans="1:16" x14ac:dyDescent="0.2">
      <c r="A26" s="14">
        <v>45965</v>
      </c>
      <c r="B26" s="21">
        <v>114.14</v>
      </c>
      <c r="C26" s="11">
        <v>3.3403656821377899E-3</v>
      </c>
      <c r="D26" s="2">
        <f t="shared" si="0"/>
        <v>443.17045557007356</v>
      </c>
      <c r="E26" s="12">
        <f t="shared" si="1"/>
        <v>0.81838433019873669</v>
      </c>
      <c r="F26" s="23">
        <f t="shared" si="2"/>
        <v>50583.475798768195</v>
      </c>
      <c r="G26" s="21">
        <v>514.33000000000004</v>
      </c>
      <c r="H26" s="11">
        <v>-5.2221341121403602E-3</v>
      </c>
      <c r="I26" s="3">
        <f t="shared" si="3"/>
        <v>98.348289617110012</v>
      </c>
      <c r="J26" s="6">
        <f t="shared" si="4"/>
        <v>0.1816156698012634</v>
      </c>
      <c r="K26" s="35">
        <f t="shared" si="5"/>
        <v>50583.475798768195</v>
      </c>
      <c r="L26" s="39">
        <f t="shared" si="6"/>
        <v>541.51874518718353</v>
      </c>
      <c r="M26" s="3">
        <f t="shared" si="7"/>
        <v>101166.95159753639</v>
      </c>
      <c r="N26" s="41">
        <f t="shared" si="8"/>
        <v>-9.4088421500138379E-4</v>
      </c>
      <c r="P26"/>
    </row>
    <row r="27" spans="1:16" x14ac:dyDescent="0.2">
      <c r="A27" s="14">
        <v>45966</v>
      </c>
      <c r="B27" s="21">
        <v>113.68</v>
      </c>
      <c r="C27" s="11">
        <v>-4.0301384264937196E-3</v>
      </c>
      <c r="D27" s="2">
        <f t="shared" si="0"/>
        <v>440.96558740068383</v>
      </c>
      <c r="E27" s="12">
        <f t="shared" si="1"/>
        <v>0.8168932414148572</v>
      </c>
      <c r="F27" s="23">
        <f t="shared" si="2"/>
        <v>50128.96797570974</v>
      </c>
      <c r="G27" s="21">
        <v>507.16</v>
      </c>
      <c r="H27" s="11">
        <v>-1.39404662376296E-2</v>
      </c>
      <c r="I27" s="3">
        <f t="shared" si="3"/>
        <v>98.842511191162032</v>
      </c>
      <c r="J27" s="6">
        <f t="shared" si="4"/>
        <v>0.18310675858514269</v>
      </c>
      <c r="K27" s="35">
        <f t="shared" si="5"/>
        <v>50128.96797570974</v>
      </c>
      <c r="L27" s="39">
        <f t="shared" si="6"/>
        <v>539.80809859184592</v>
      </c>
      <c r="M27" s="3">
        <f t="shared" si="7"/>
        <v>100257.93595141948</v>
      </c>
      <c r="N27" s="41">
        <f t="shared" si="8"/>
        <v>-8.9853023320616322E-3</v>
      </c>
      <c r="P27"/>
    </row>
    <row r="28" spans="1:16" x14ac:dyDescent="0.2">
      <c r="A28" s="14">
        <v>45967</v>
      </c>
      <c r="B28" s="21">
        <v>114.5</v>
      </c>
      <c r="C28" s="11">
        <v>7.2132301196339999E-3</v>
      </c>
      <c r="D28" s="2">
        <f t="shared" si="0"/>
        <v>435.04441952185567</v>
      </c>
      <c r="E28" s="12">
        <f t="shared" si="1"/>
        <v>0.81278613472858074</v>
      </c>
      <c r="F28" s="23">
        <f t="shared" si="2"/>
        <v>49812.586035252476</v>
      </c>
      <c r="G28" s="21">
        <v>497.1</v>
      </c>
      <c r="H28" s="11">
        <v>-1.9835949207350701E-2</v>
      </c>
      <c r="I28" s="3">
        <f t="shared" si="3"/>
        <v>100.2063690107674</v>
      </c>
      <c r="J28" s="6">
        <f t="shared" si="4"/>
        <v>0.18721386527141923</v>
      </c>
      <c r="K28" s="35">
        <f t="shared" si="5"/>
        <v>49812.586035252476</v>
      </c>
      <c r="L28" s="39">
        <f t="shared" si="6"/>
        <v>535.25078853262312</v>
      </c>
      <c r="M28" s="3">
        <f t="shared" si="7"/>
        <v>99625.172070504952</v>
      </c>
      <c r="N28" s="41">
        <f t="shared" si="8"/>
        <v>-6.3113595438583272E-3</v>
      </c>
      <c r="P28"/>
    </row>
    <row r="29" spans="1:16" x14ac:dyDescent="0.2">
      <c r="A29" s="14">
        <v>45968</v>
      </c>
      <c r="B29" s="21">
        <v>117.22</v>
      </c>
      <c r="C29" s="11">
        <v>2.3755458515283798E-2</v>
      </c>
      <c r="D29" s="2">
        <f t="shared" si="0"/>
        <v>429.87730382307365</v>
      </c>
      <c r="E29" s="12">
        <f t="shared" si="1"/>
        <v>0.80910038433978237</v>
      </c>
      <c r="F29" s="23">
        <f t="shared" si="2"/>
        <v>50390.21755414069</v>
      </c>
      <c r="G29" s="21">
        <v>496.82</v>
      </c>
      <c r="H29" s="11">
        <v>-5.6326694830019996E-4</v>
      </c>
      <c r="I29" s="3">
        <f t="shared" si="3"/>
        <v>101.4255012965273</v>
      </c>
      <c r="J29" s="6">
        <f t="shared" si="4"/>
        <v>0.19089961566021757</v>
      </c>
      <c r="K29" s="35">
        <f t="shared" si="5"/>
        <v>50390.21755414069</v>
      </c>
      <c r="L29" s="39">
        <f t="shared" si="6"/>
        <v>531.30280511960098</v>
      </c>
      <c r="M29" s="3">
        <f t="shared" si="7"/>
        <v>100780.43510828138</v>
      </c>
      <c r="N29" s="41">
        <f t="shared" si="8"/>
        <v>1.1596095783491814E-2</v>
      </c>
      <c r="P29"/>
    </row>
    <row r="30" spans="1:16" x14ac:dyDescent="0.2">
      <c r="A30" s="14">
        <v>45971</v>
      </c>
      <c r="B30" s="21">
        <v>118.22</v>
      </c>
      <c r="C30" s="11">
        <v>8.5309674117044904E-3</v>
      </c>
      <c r="D30" s="2">
        <f t="shared" si="0"/>
        <v>431.99711772122561</v>
      </c>
      <c r="E30" s="12">
        <f t="shared" si="1"/>
        <v>0.81061164333087687</v>
      </c>
      <c r="F30" s="23">
        <f t="shared" si="2"/>
        <v>51070.699257003289</v>
      </c>
      <c r="G30" s="21">
        <v>506</v>
      </c>
      <c r="H30" s="11">
        <v>1.8477517008172E-2</v>
      </c>
      <c r="I30" s="3">
        <f t="shared" si="3"/>
        <v>100.93023568577725</v>
      </c>
      <c r="J30" s="6">
        <f t="shared" si="4"/>
        <v>0.18938835666912304</v>
      </c>
      <c r="K30" s="35">
        <f t="shared" si="5"/>
        <v>51070.699257003289</v>
      </c>
      <c r="L30" s="39">
        <f t="shared" si="6"/>
        <v>532.9273534070029</v>
      </c>
      <c r="M30" s="3">
        <f t="shared" si="7"/>
        <v>102141.39851400658</v>
      </c>
      <c r="N30" s="41">
        <f t="shared" si="8"/>
        <v>1.3504242209938257E-2</v>
      </c>
      <c r="P30"/>
    </row>
    <row r="31" spans="1:16" x14ac:dyDescent="0.2">
      <c r="A31" s="14">
        <v>45972</v>
      </c>
      <c r="B31" s="21">
        <v>119.78</v>
      </c>
      <c r="C31" s="11">
        <v>1.3195736761969201E-2</v>
      </c>
      <c r="D31" s="2">
        <f t="shared" si="0"/>
        <v>430.31310339493064</v>
      </c>
      <c r="E31" s="12">
        <f t="shared" si="1"/>
        <v>0.80940712217165767</v>
      </c>
      <c r="F31" s="23">
        <f t="shared" si="2"/>
        <v>51542.903524644789</v>
      </c>
      <c r="G31" s="21">
        <v>508.68</v>
      </c>
      <c r="H31" s="11">
        <v>5.2964426877470496E-3</v>
      </c>
      <c r="I31" s="3">
        <f t="shared" si="3"/>
        <v>101.32677424833842</v>
      </c>
      <c r="J31" s="6">
        <f t="shared" si="4"/>
        <v>0.19059287782834228</v>
      </c>
      <c r="K31" s="35">
        <f t="shared" si="5"/>
        <v>51542.903524644789</v>
      </c>
      <c r="L31" s="39">
        <f t="shared" si="6"/>
        <v>531.63987764326907</v>
      </c>
      <c r="M31" s="3">
        <f t="shared" si="7"/>
        <v>103085.80704928958</v>
      </c>
      <c r="N31" s="41">
        <f t="shared" si="8"/>
        <v>9.2460897248581794E-3</v>
      </c>
      <c r="P31"/>
    </row>
    <row r="32" spans="1:16" x14ac:dyDescent="0.2">
      <c r="A32" s="14">
        <v>45973</v>
      </c>
      <c r="B32" s="21">
        <v>118.12</v>
      </c>
      <c r="C32" s="11">
        <v>-1.38587410252129E-2</v>
      </c>
      <c r="D32" s="2">
        <f t="shared" si="0"/>
        <v>434.39193685364427</v>
      </c>
      <c r="E32" s="12">
        <f t="shared" si="1"/>
        <v>0.81228744874932457</v>
      </c>
      <c r="F32" s="23">
        <f t="shared" si="2"/>
        <v>51310.375581152461</v>
      </c>
      <c r="G32" s="21">
        <v>511.14</v>
      </c>
      <c r="H32" s="11">
        <v>4.8360462373200803E-3</v>
      </c>
      <c r="I32" s="3">
        <f t="shared" si="3"/>
        <v>100.38419137839431</v>
      </c>
      <c r="J32" s="6">
        <f t="shared" si="4"/>
        <v>0.1877125512506754</v>
      </c>
      <c r="K32" s="35">
        <f t="shared" si="5"/>
        <v>51310.375581152461</v>
      </c>
      <c r="L32" s="39">
        <f t="shared" si="6"/>
        <v>534.77612823203856</v>
      </c>
      <c r="M32" s="3">
        <f t="shared" si="7"/>
        <v>102620.75116230492</v>
      </c>
      <c r="N32" s="41">
        <f t="shared" si="8"/>
        <v>-4.5113473939462382E-3</v>
      </c>
      <c r="P32"/>
    </row>
    <row r="33" spans="1:16" x14ac:dyDescent="0.2">
      <c r="A33" s="14">
        <v>45974</v>
      </c>
      <c r="B33" s="21">
        <v>118.79</v>
      </c>
      <c r="C33" s="11">
        <v>5.6721977649847799E-3</v>
      </c>
      <c r="D33" s="2">
        <f t="shared" si="0"/>
        <v>429.85006253757246</v>
      </c>
      <c r="E33" s="12">
        <f t="shared" si="1"/>
        <v>0.80904385288065839</v>
      </c>
      <c r="F33" s="23">
        <f t="shared" si="2"/>
        <v>51061.888928838234</v>
      </c>
      <c r="G33" s="21">
        <v>503.29</v>
      </c>
      <c r="H33" s="11">
        <v>-1.5357827601048601E-2</v>
      </c>
      <c r="I33" s="3">
        <f t="shared" si="3"/>
        <v>101.45619608742123</v>
      </c>
      <c r="J33" s="6">
        <f t="shared" si="4"/>
        <v>0.19095614711934156</v>
      </c>
      <c r="K33" s="35">
        <f t="shared" si="5"/>
        <v>51061.888928838234</v>
      </c>
      <c r="L33" s="39">
        <f t="shared" si="6"/>
        <v>531.30625862499369</v>
      </c>
      <c r="M33" s="3">
        <f t="shared" si="7"/>
        <v>102123.77785767647</v>
      </c>
      <c r="N33" s="41">
        <f t="shared" si="8"/>
        <v>-4.84281491803193E-3</v>
      </c>
      <c r="P33"/>
    </row>
    <row r="34" spans="1:16" x14ac:dyDescent="0.2">
      <c r="A34" s="14">
        <v>45975</v>
      </c>
      <c r="B34" s="21">
        <v>119.29</v>
      </c>
      <c r="C34" s="11">
        <v>4.2091085108174097E-3</v>
      </c>
      <c r="D34" s="2">
        <f t="shared" si="0"/>
        <v>431.87918551424087</v>
      </c>
      <c r="E34" s="12">
        <f t="shared" si="1"/>
        <v>0.81049136575214065</v>
      </c>
      <c r="F34" s="23">
        <f t="shared" si="2"/>
        <v>51518.868039993795</v>
      </c>
      <c r="G34" s="21">
        <v>510.18</v>
      </c>
      <c r="H34" s="11">
        <v>1.3689920324266301E-2</v>
      </c>
      <c r="I34" s="3">
        <f t="shared" si="3"/>
        <v>100.98174769687913</v>
      </c>
      <c r="J34" s="6">
        <f t="shared" si="4"/>
        <v>0.1895086342478593</v>
      </c>
      <c r="K34" s="35">
        <f t="shared" si="5"/>
        <v>51518.868039993795</v>
      </c>
      <c r="L34" s="39">
        <f t="shared" si="6"/>
        <v>532.86093321112003</v>
      </c>
      <c r="M34" s="3">
        <f t="shared" si="7"/>
        <v>103037.73607998759</v>
      </c>
      <c r="N34" s="41">
        <f t="shared" si="8"/>
        <v>8.9495144175418921E-3</v>
      </c>
      <c r="P34"/>
    </row>
    <row r="35" spans="1:16" x14ac:dyDescent="0.2">
      <c r="A35" s="14">
        <v>45978</v>
      </c>
      <c r="B35" s="21">
        <v>117.68</v>
      </c>
      <c r="C35" s="11">
        <v>-1.34965210830749E-2</v>
      </c>
      <c r="D35" s="2">
        <f t="shared" ref="D35:D66" si="9">F35/B35</f>
        <v>433.67934096705068</v>
      </c>
      <c r="E35" s="12">
        <f t="shared" ref="E35:E66" si="10">D35/L35</f>
        <v>0.81176320040948857</v>
      </c>
      <c r="F35" s="23">
        <f t="shared" ref="F35:F66" si="11">M35/2</f>
        <v>51035.384845002525</v>
      </c>
      <c r="G35" s="21">
        <v>507.49</v>
      </c>
      <c r="H35" s="11">
        <v>-5.2726488690266098E-3</v>
      </c>
      <c r="I35" s="3">
        <f t="shared" ref="I35:I66" si="12">K35/G35</f>
        <v>100.56431623283714</v>
      </c>
      <c r="J35" s="6">
        <f t="shared" si="4"/>
        <v>0.18823679959051137</v>
      </c>
      <c r="K35" s="35">
        <f t="shared" si="5"/>
        <v>51035.384845002525</v>
      </c>
      <c r="L35" s="39">
        <f t="shared" ref="L35:L66" si="13">I35+D35</f>
        <v>534.24365719988782</v>
      </c>
      <c r="M35" s="3">
        <f t="shared" si="7"/>
        <v>102070.76969000505</v>
      </c>
      <c r="N35" s="41">
        <f t="shared" si="8"/>
        <v>-9.3845849760508006E-3</v>
      </c>
      <c r="P35"/>
    </row>
    <row r="36" spans="1:16" x14ac:dyDescent="0.2">
      <c r="A36" s="14">
        <v>45979</v>
      </c>
      <c r="B36" s="21">
        <v>119.03</v>
      </c>
      <c r="C36" s="11">
        <v>1.1471787899388099E-2</v>
      </c>
      <c r="D36" s="2">
        <f t="shared" si="9"/>
        <v>425.43268784306764</v>
      </c>
      <c r="E36" s="12">
        <f t="shared" si="10"/>
        <v>0.80576678306843774</v>
      </c>
      <c r="F36" s="23">
        <f t="shared" si="11"/>
        <v>50639.252833960345</v>
      </c>
      <c r="G36" s="21">
        <v>493.79</v>
      </c>
      <c r="H36" s="11">
        <v>-2.6995605824745299E-2</v>
      </c>
      <c r="I36" s="3">
        <f t="shared" si="12"/>
        <v>102.55220404212386</v>
      </c>
      <c r="J36" s="6">
        <f t="shared" si="4"/>
        <v>0.19423321693156229</v>
      </c>
      <c r="K36" s="35">
        <f t="shared" si="5"/>
        <v>50639.252833960345</v>
      </c>
      <c r="L36" s="39">
        <f t="shared" si="13"/>
        <v>527.98489188519147</v>
      </c>
      <c r="M36" s="3">
        <f t="shared" ref="M36:M67" si="14">D35*B36+I35*G36</f>
        <v>101278.50566792069</v>
      </c>
      <c r="N36" s="41">
        <f t="shared" si="8"/>
        <v>-7.7619089626786691E-3</v>
      </c>
      <c r="P36"/>
    </row>
    <row r="37" spans="1:16" x14ac:dyDescent="0.2">
      <c r="A37" s="14">
        <v>45980</v>
      </c>
      <c r="B37" s="21">
        <v>117.35</v>
      </c>
      <c r="C37" s="11">
        <v>-1.4114088885155101E-2</v>
      </c>
      <c r="D37" s="2">
        <f t="shared" si="9"/>
        <v>425.56350895348686</v>
      </c>
      <c r="E37" s="12">
        <f t="shared" si="10"/>
        <v>0.80586298741045881</v>
      </c>
      <c r="F37" s="23">
        <f t="shared" si="11"/>
        <v>49939.877775691682</v>
      </c>
      <c r="G37" s="21">
        <v>487.12</v>
      </c>
      <c r="H37" s="11">
        <v>-1.3507766459426101E-2</v>
      </c>
      <c r="I37" s="3">
        <f t="shared" si="12"/>
        <v>102.52068848680342</v>
      </c>
      <c r="J37" s="6">
        <f t="shared" si="4"/>
        <v>0.19413701258954125</v>
      </c>
      <c r="K37" s="35">
        <f t="shared" si="5"/>
        <v>49939.877775691682</v>
      </c>
      <c r="L37" s="39">
        <f t="shared" si="13"/>
        <v>528.08419744029027</v>
      </c>
      <c r="M37" s="3">
        <f t="shared" si="14"/>
        <v>99879.755551383365</v>
      </c>
      <c r="N37" s="41">
        <f t="shared" si="8"/>
        <v>-1.3810927672290588E-2</v>
      </c>
      <c r="P37"/>
    </row>
    <row r="38" spans="1:16" x14ac:dyDescent="0.2">
      <c r="A38" s="14">
        <v>45981</v>
      </c>
      <c r="B38" s="21">
        <v>117.02</v>
      </c>
      <c r="C38" s="11">
        <v>-2.8121005538985799E-3</v>
      </c>
      <c r="D38" s="2">
        <f t="shared" si="9"/>
        <v>422.35692535668431</v>
      </c>
      <c r="E38" s="12">
        <f t="shared" si="10"/>
        <v>0.80347636241498022</v>
      </c>
      <c r="F38" s="23">
        <f t="shared" si="11"/>
        <v>49424.207405239198</v>
      </c>
      <c r="G38" s="21">
        <v>478.43</v>
      </c>
      <c r="H38" s="11">
        <v>-1.78395467235999E-2</v>
      </c>
      <c r="I38" s="3">
        <f t="shared" si="12"/>
        <v>103.30499217281357</v>
      </c>
      <c r="J38" s="6">
        <f t="shared" si="4"/>
        <v>0.1965236375850197</v>
      </c>
      <c r="K38" s="35">
        <f t="shared" si="5"/>
        <v>49424.207405239198</v>
      </c>
      <c r="L38" s="39">
        <f t="shared" si="13"/>
        <v>525.66191752949794</v>
      </c>
      <c r="M38" s="3">
        <f t="shared" si="14"/>
        <v>98848.414810478396</v>
      </c>
      <c r="N38" s="41">
        <f t="shared" si="8"/>
        <v>-1.0325823638749227E-2</v>
      </c>
      <c r="P38"/>
    </row>
    <row r="39" spans="1:16" x14ac:dyDescent="0.2">
      <c r="A39" s="14">
        <v>45982</v>
      </c>
      <c r="B39" s="21">
        <v>117.08</v>
      </c>
      <c r="C39" s="11">
        <v>5.1273286617674102E-4</v>
      </c>
      <c r="D39" s="2">
        <f t="shared" si="9"/>
        <v>419.46490316616564</v>
      </c>
      <c r="E39" s="12">
        <f t="shared" si="10"/>
        <v>0.80128988458927353</v>
      </c>
      <c r="F39" s="23">
        <f t="shared" si="11"/>
        <v>49110.95086269467</v>
      </c>
      <c r="G39" s="21">
        <v>472.12</v>
      </c>
      <c r="H39" s="11">
        <v>-1.3188972263445E-2</v>
      </c>
      <c r="I39" s="3">
        <f t="shared" si="12"/>
        <v>104.0221783925584</v>
      </c>
      <c r="J39" s="6">
        <f t="shared" si="4"/>
        <v>0.19871011541072639</v>
      </c>
      <c r="K39" s="35">
        <f t="shared" si="5"/>
        <v>49110.95086269467</v>
      </c>
      <c r="L39" s="39">
        <f t="shared" si="13"/>
        <v>523.48708155872407</v>
      </c>
      <c r="M39" s="3">
        <f t="shared" si="14"/>
        <v>98221.90172538934</v>
      </c>
      <c r="N39" s="41">
        <f t="shared" si="8"/>
        <v>-6.3381196986341867E-3</v>
      </c>
      <c r="P39"/>
    </row>
    <row r="40" spans="1:16" x14ac:dyDescent="0.2">
      <c r="A40" s="14">
        <v>45985</v>
      </c>
      <c r="B40" s="21">
        <v>115.97</v>
      </c>
      <c r="C40" s="11">
        <v>-9.4806969593440298E-3</v>
      </c>
      <c r="D40" s="2">
        <f t="shared" si="9"/>
        <v>422.31550132902004</v>
      </c>
      <c r="E40" s="12">
        <f t="shared" si="10"/>
        <v>0.80343068291608055</v>
      </c>
      <c r="F40" s="23">
        <f t="shared" si="11"/>
        <v>48975.928689126456</v>
      </c>
      <c r="G40" s="21">
        <v>474</v>
      </c>
      <c r="H40" s="11">
        <v>3.9820384647970804E-3</v>
      </c>
      <c r="I40" s="3">
        <f t="shared" si="12"/>
        <v>103.32474406988703</v>
      </c>
      <c r="J40" s="6">
        <f t="shared" si="4"/>
        <v>0.19656931708391953</v>
      </c>
      <c r="K40" s="35">
        <f t="shared" si="5"/>
        <v>48975.928689126456</v>
      </c>
      <c r="L40" s="39">
        <f t="shared" si="13"/>
        <v>525.64024539890704</v>
      </c>
      <c r="M40" s="3">
        <f t="shared" si="14"/>
        <v>97951.857378252913</v>
      </c>
      <c r="N40" s="41">
        <f t="shared" si="8"/>
        <v>-2.749329247273404E-3</v>
      </c>
      <c r="P40"/>
    </row>
    <row r="41" spans="1:16" x14ac:dyDescent="0.2">
      <c r="A41" s="14">
        <v>45986</v>
      </c>
      <c r="B41" s="21">
        <v>114.51</v>
      </c>
      <c r="C41" s="11">
        <v>-1.2589462792101399E-2</v>
      </c>
      <c r="D41" s="2">
        <f t="shared" si="9"/>
        <v>426.35672749577111</v>
      </c>
      <c r="E41" s="12">
        <f t="shared" si="10"/>
        <v>0.8064074387151311</v>
      </c>
      <c r="F41" s="23">
        <f t="shared" si="11"/>
        <v>48822.108865540751</v>
      </c>
      <c r="G41" s="21">
        <v>476.99</v>
      </c>
      <c r="H41" s="11">
        <v>6.3080168776371501E-3</v>
      </c>
      <c r="I41" s="3">
        <f t="shared" si="12"/>
        <v>102.35457528573083</v>
      </c>
      <c r="J41" s="6">
        <f t="shared" si="4"/>
        <v>0.19359256128486899</v>
      </c>
      <c r="K41" s="35">
        <f t="shared" si="5"/>
        <v>48822.108865540751</v>
      </c>
      <c r="L41" s="39">
        <f t="shared" si="13"/>
        <v>528.7113027815019</v>
      </c>
      <c r="M41" s="3">
        <f t="shared" si="14"/>
        <v>97644.217731081502</v>
      </c>
      <c r="N41" s="41">
        <f>(M41-M40)/M40</f>
        <v>-3.140722957232174E-3</v>
      </c>
      <c r="P41"/>
    </row>
    <row r="42" spans="1:16" x14ac:dyDescent="0.2">
      <c r="A42" s="14">
        <v>45987</v>
      </c>
      <c r="B42" s="21">
        <v>114.77</v>
      </c>
      <c r="C42" s="11">
        <v>2.2705440572874901E-3</v>
      </c>
      <c r="D42" s="2">
        <f t="shared" si="9"/>
        <v>429.6685018555022</v>
      </c>
      <c r="E42" s="12">
        <f t="shared" si="10"/>
        <v>0.80880270544921451</v>
      </c>
      <c r="F42" s="23">
        <f t="shared" si="11"/>
        <v>49313.053957955985</v>
      </c>
      <c r="G42" s="21">
        <v>485.5</v>
      </c>
      <c r="H42" s="11">
        <v>1.7841044885637002E-2</v>
      </c>
      <c r="I42" s="3">
        <f t="shared" si="12"/>
        <v>101.5716868341009</v>
      </c>
      <c r="J42" s="6">
        <f t="shared" si="4"/>
        <v>0.19119729455078549</v>
      </c>
      <c r="K42" s="35">
        <f t="shared" si="5"/>
        <v>49313.053957955985</v>
      </c>
      <c r="L42" s="39">
        <f t="shared" si="13"/>
        <v>531.24018868960309</v>
      </c>
      <c r="M42" s="3">
        <f t="shared" si="14"/>
        <v>98626.107915911969</v>
      </c>
      <c r="N42" s="41">
        <f t="shared" si="8"/>
        <v>1.0055794471462261E-2</v>
      </c>
      <c r="P42"/>
    </row>
    <row r="43" spans="1:16" x14ac:dyDescent="0.2">
      <c r="A43" s="14">
        <v>45989</v>
      </c>
      <c r="B43" s="21">
        <v>115.92</v>
      </c>
      <c r="C43" s="11">
        <v>1.00200400801604E-2</v>
      </c>
      <c r="D43" s="2">
        <f t="shared" si="9"/>
        <v>430.38931320883285</v>
      </c>
      <c r="E43" s="12">
        <f t="shared" si="10"/>
        <v>0.80932015199118323</v>
      </c>
      <c r="F43" s="23">
        <f t="shared" si="11"/>
        <v>49890.729187167904</v>
      </c>
      <c r="G43" s="21">
        <v>492.01</v>
      </c>
      <c r="H43" s="11">
        <v>1.34088568486097E-2</v>
      </c>
      <c r="I43" s="3">
        <f t="shared" si="12"/>
        <v>101.40186009871324</v>
      </c>
      <c r="J43" s="6">
        <f t="shared" si="4"/>
        <v>0.19067984800881682</v>
      </c>
      <c r="K43" s="35">
        <f t="shared" si="5"/>
        <v>49890.729187167904</v>
      </c>
      <c r="L43" s="39">
        <f t="shared" si="13"/>
        <v>531.79117330754605</v>
      </c>
      <c r="M43" s="3">
        <f t="shared" si="14"/>
        <v>99781.458374335809</v>
      </c>
      <c r="N43" s="41">
        <f t="shared" si="8"/>
        <v>1.1714448464385158E-2</v>
      </c>
      <c r="P43"/>
    </row>
    <row r="44" spans="1:16" x14ac:dyDescent="0.2">
      <c r="A44" s="14">
        <v>45992</v>
      </c>
      <c r="B44" s="21">
        <v>116.63</v>
      </c>
      <c r="C44" s="11">
        <v>6.1249137336093296E-3</v>
      </c>
      <c r="D44" s="2">
        <f t="shared" si="9"/>
        <v>426.78833483663658</v>
      </c>
      <c r="E44" s="12">
        <f t="shared" si="10"/>
        <v>0.80670235510549082</v>
      </c>
      <c r="F44" s="23">
        <f t="shared" si="11"/>
        <v>49776.323491996925</v>
      </c>
      <c r="G44" s="21">
        <v>486.74</v>
      </c>
      <c r="H44" s="11">
        <v>-1.07111644072275E-2</v>
      </c>
      <c r="I44" s="3">
        <f t="shared" si="12"/>
        <v>102.26470701400527</v>
      </c>
      <c r="J44" s="6">
        <f t="shared" si="4"/>
        <v>0.19329764489450915</v>
      </c>
      <c r="K44" s="35">
        <f t="shared" si="5"/>
        <v>49776.323491996925</v>
      </c>
      <c r="L44" s="39">
        <f t="shared" si="13"/>
        <v>529.05304185064188</v>
      </c>
      <c r="M44" s="3">
        <f t="shared" si="14"/>
        <v>99552.646983993851</v>
      </c>
      <c r="N44" s="41">
        <f t="shared" si="8"/>
        <v>-2.2931253368091604E-3</v>
      </c>
      <c r="P44"/>
    </row>
    <row r="45" spans="1:16" x14ac:dyDescent="0.2">
      <c r="A45" s="14">
        <v>45993</v>
      </c>
      <c r="B45" s="21">
        <v>115.38</v>
      </c>
      <c r="C45" s="11">
        <v>-1.07176541198662E-2</v>
      </c>
      <c r="D45" s="2">
        <f t="shared" si="9"/>
        <v>430.5449146746131</v>
      </c>
      <c r="E45" s="12">
        <f t="shared" si="10"/>
        <v>0.80940896626912029</v>
      </c>
      <c r="F45" s="23">
        <f t="shared" si="11"/>
        <v>49676.272255156859</v>
      </c>
      <c r="G45" s="21">
        <v>490</v>
      </c>
      <c r="H45" s="11">
        <v>6.6976209064387397E-3</v>
      </c>
      <c r="I45" s="3">
        <f t="shared" si="12"/>
        <v>101.38014745950379</v>
      </c>
      <c r="J45" s="6">
        <f t="shared" si="4"/>
        <v>0.19059103373087979</v>
      </c>
      <c r="K45" s="35">
        <f t="shared" si="5"/>
        <v>49676.272255156859</v>
      </c>
      <c r="L45" s="39">
        <f t="shared" si="13"/>
        <v>531.92506213411684</v>
      </c>
      <c r="M45" s="3">
        <f t="shared" si="14"/>
        <v>99352.544510313717</v>
      </c>
      <c r="N45" s="41">
        <f t="shared" si="8"/>
        <v>-2.0100166067136952E-3</v>
      </c>
      <c r="P45"/>
    </row>
    <row r="46" spans="1:16" x14ac:dyDescent="0.2">
      <c r="A46" s="14">
        <v>45994</v>
      </c>
      <c r="B46" s="21">
        <v>117.8</v>
      </c>
      <c r="C46" s="11">
        <v>2.0974172300225399E-2</v>
      </c>
      <c r="D46" s="2">
        <f t="shared" si="9"/>
        <v>420.84265192910937</v>
      </c>
      <c r="E46" s="12">
        <f t="shared" si="10"/>
        <v>0.80219300455056841</v>
      </c>
      <c r="F46" s="23">
        <f t="shared" si="11"/>
        <v>49575.264397249084</v>
      </c>
      <c r="G46" s="21">
        <v>477.73</v>
      </c>
      <c r="H46" s="11">
        <v>-2.5040816326530602E-2</v>
      </c>
      <c r="I46" s="3">
        <f t="shared" si="12"/>
        <v>103.77255855242309</v>
      </c>
      <c r="J46" s="6">
        <f t="shared" si="4"/>
        <v>0.19780699544943159</v>
      </c>
      <c r="K46" s="35">
        <f t="shared" si="5"/>
        <v>49575.264397249084</v>
      </c>
      <c r="L46" s="39">
        <f t="shared" si="13"/>
        <v>524.61521048153247</v>
      </c>
      <c r="M46" s="3">
        <f t="shared" si="14"/>
        <v>99150.528794498168</v>
      </c>
      <c r="N46" s="41">
        <f t="shared" si="8"/>
        <v>-2.0333220131526454E-3</v>
      </c>
      <c r="P46"/>
    </row>
    <row r="47" spans="1:16" x14ac:dyDescent="0.2">
      <c r="A47" s="14">
        <v>45995</v>
      </c>
      <c r="B47" s="21">
        <v>117.14</v>
      </c>
      <c r="C47" s="11">
        <v>-5.6027164685907996E-3</v>
      </c>
      <c r="D47" s="2">
        <f t="shared" si="9"/>
        <v>423.40577642702317</v>
      </c>
      <c r="E47" s="12">
        <f t="shared" si="10"/>
        <v>0.80410716077460787</v>
      </c>
      <c r="F47" s="23">
        <f t="shared" si="11"/>
        <v>49597.752650661496</v>
      </c>
      <c r="G47" s="21">
        <v>480.84</v>
      </c>
      <c r="H47" s="11">
        <v>6.5099533209133998E-3</v>
      </c>
      <c r="I47" s="3">
        <f t="shared" si="12"/>
        <v>103.14814210685779</v>
      </c>
      <c r="J47" s="6">
        <f t="shared" si="4"/>
        <v>0.19589283922539216</v>
      </c>
      <c r="K47" s="35">
        <f t="shared" si="5"/>
        <v>49597.752650661496</v>
      </c>
      <c r="L47" s="39">
        <f t="shared" si="13"/>
        <v>526.55391853388096</v>
      </c>
      <c r="M47" s="3">
        <f t="shared" si="14"/>
        <v>99195.505301322992</v>
      </c>
      <c r="N47" s="41">
        <f t="shared" si="8"/>
        <v>4.536184261613255E-4</v>
      </c>
      <c r="P47"/>
    </row>
    <row r="48" spans="1:16" x14ac:dyDescent="0.2">
      <c r="A48" s="14">
        <v>45996</v>
      </c>
      <c r="B48" s="21">
        <v>116.54</v>
      </c>
      <c r="C48" s="11">
        <v>-5.12207614819869E-3</v>
      </c>
      <c r="D48" s="2">
        <f t="shared" si="9"/>
        <v>425.52241944892171</v>
      </c>
      <c r="E48" s="12">
        <f t="shared" si="10"/>
        <v>0.80566950141737537</v>
      </c>
      <c r="F48" s="23">
        <f t="shared" si="11"/>
        <v>49590.382762577341</v>
      </c>
      <c r="G48" s="21">
        <v>483.16</v>
      </c>
      <c r="H48" s="11">
        <v>4.8248897762250397E-3</v>
      </c>
      <c r="I48" s="3">
        <f t="shared" si="12"/>
        <v>102.6375998894307</v>
      </c>
      <c r="J48" s="6">
        <f t="shared" si="4"/>
        <v>0.19433049858262466</v>
      </c>
      <c r="K48" s="35">
        <f t="shared" si="5"/>
        <v>49590.382762577341</v>
      </c>
      <c r="L48" s="39">
        <f t="shared" si="13"/>
        <v>528.16001933835241</v>
      </c>
      <c r="M48" s="3">
        <f t="shared" si="14"/>
        <v>99180.765525154682</v>
      </c>
      <c r="N48" s="41">
        <f t="shared" si="8"/>
        <v>-1.485931859869565E-4</v>
      </c>
      <c r="P48"/>
    </row>
    <row r="49" spans="1:16" x14ac:dyDescent="0.2">
      <c r="A49" s="14">
        <v>45999</v>
      </c>
      <c r="B49" s="21">
        <v>115.98</v>
      </c>
      <c r="C49" s="11">
        <v>-4.8052170928436803E-3</v>
      </c>
      <c r="D49" s="2">
        <f t="shared" si="9"/>
        <v>430.02761038711077</v>
      </c>
      <c r="E49" s="12">
        <f t="shared" si="10"/>
        <v>0.80892915980230651</v>
      </c>
      <c r="F49" s="23">
        <f t="shared" si="11"/>
        <v>49874.602252697106</v>
      </c>
      <c r="G49" s="21">
        <v>491.02</v>
      </c>
      <c r="H49" s="11">
        <v>1.62679029721002E-2</v>
      </c>
      <c r="I49" s="3">
        <f t="shared" si="12"/>
        <v>101.57346391734981</v>
      </c>
      <c r="J49" s="6">
        <f t="shared" si="4"/>
        <v>0.19107084019769358</v>
      </c>
      <c r="K49" s="35">
        <f t="shared" si="5"/>
        <v>49874.602252697106</v>
      </c>
      <c r="L49" s="39">
        <f t="shared" si="13"/>
        <v>531.60107430446055</v>
      </c>
      <c r="M49" s="3">
        <f t="shared" si="14"/>
        <v>99749.204505394213</v>
      </c>
      <c r="N49" s="41">
        <f t="shared" si="8"/>
        <v>5.7313429396283564E-3</v>
      </c>
      <c r="P49"/>
    </row>
    <row r="50" spans="1:16" x14ac:dyDescent="0.2">
      <c r="A50" s="14">
        <v>46000</v>
      </c>
      <c r="B50" s="21">
        <v>118.25</v>
      </c>
      <c r="C50" s="11">
        <v>1.9572340058630799E-2</v>
      </c>
      <c r="D50" s="2">
        <f t="shared" si="9"/>
        <v>426.32955875217885</v>
      </c>
      <c r="E50" s="12">
        <f t="shared" si="10"/>
        <v>0.80623330656922332</v>
      </c>
      <c r="F50" s="23">
        <f t="shared" si="11"/>
        <v>50413.470322445151</v>
      </c>
      <c r="G50" s="21">
        <v>492.02</v>
      </c>
      <c r="H50" s="11">
        <v>2.0365769215103299E-3</v>
      </c>
      <c r="I50" s="3">
        <f t="shared" si="12"/>
        <v>102.46223796277621</v>
      </c>
      <c r="J50" s="6">
        <f t="shared" si="4"/>
        <v>0.19376669343077654</v>
      </c>
      <c r="K50" s="35">
        <f t="shared" si="5"/>
        <v>50413.470322445151</v>
      </c>
      <c r="L50" s="39">
        <f t="shared" si="13"/>
        <v>528.79179671495513</v>
      </c>
      <c r="M50" s="3">
        <f t="shared" si="14"/>
        <v>100826.9406448903</v>
      </c>
      <c r="N50" s="41">
        <f t="shared" si="8"/>
        <v>1.0804458490070548E-2</v>
      </c>
      <c r="P50"/>
    </row>
    <row r="51" spans="1:16" x14ac:dyDescent="0.2">
      <c r="A51" s="14">
        <v>46001</v>
      </c>
      <c r="B51" s="21">
        <v>119.54</v>
      </c>
      <c r="C51" s="11">
        <v>1.0909090909091E-2</v>
      </c>
      <c r="D51" s="2">
        <f t="shared" si="9"/>
        <v>418.26068283713255</v>
      </c>
      <c r="E51" s="12">
        <f t="shared" si="10"/>
        <v>0.80013375689684008</v>
      </c>
      <c r="F51" s="23">
        <f t="shared" si="11"/>
        <v>49998.882026350824</v>
      </c>
      <c r="G51" s="21">
        <v>478.56</v>
      </c>
      <c r="H51" s="11">
        <v>-2.73566115198569E-2</v>
      </c>
      <c r="I51" s="3">
        <f t="shared" si="12"/>
        <v>104.47777086750006</v>
      </c>
      <c r="J51" s="6">
        <f t="shared" si="4"/>
        <v>0.19986624310316004</v>
      </c>
      <c r="K51" s="35">
        <f t="shared" si="5"/>
        <v>49998.882026350824</v>
      </c>
      <c r="L51" s="39">
        <f t="shared" si="13"/>
        <v>522.73845370463255</v>
      </c>
      <c r="M51" s="3">
        <f t="shared" si="14"/>
        <v>99997.764052701648</v>
      </c>
      <c r="N51" s="41">
        <f t="shared" si="8"/>
        <v>-8.2237603053829777E-3</v>
      </c>
      <c r="P51"/>
    </row>
    <row r="52" spans="1:16" x14ac:dyDescent="0.2">
      <c r="A52" s="14">
        <v>46002</v>
      </c>
      <c r="B52" s="21">
        <v>119.54</v>
      </c>
      <c r="C52" s="11">
        <v>0</v>
      </c>
      <c r="D52" s="2">
        <f t="shared" si="9"/>
        <v>420.40634895290731</v>
      </c>
      <c r="E52" s="12">
        <f t="shared" si="10"/>
        <v>0.8017611648231372</v>
      </c>
      <c r="F52" s="23">
        <f t="shared" si="11"/>
        <v>50255.374953830542</v>
      </c>
      <c r="G52" s="21">
        <v>483.47</v>
      </c>
      <c r="H52" s="11">
        <v>1.0259946506185299E-2</v>
      </c>
      <c r="I52" s="3">
        <f t="shared" si="12"/>
        <v>103.94724585564883</v>
      </c>
      <c r="J52" s="6">
        <f t="shared" si="4"/>
        <v>0.19823883517686272</v>
      </c>
      <c r="K52" s="35">
        <f t="shared" si="5"/>
        <v>50255.374953830542</v>
      </c>
      <c r="L52" s="39">
        <f t="shared" si="13"/>
        <v>524.35359480855618</v>
      </c>
      <c r="M52" s="3">
        <f t="shared" si="14"/>
        <v>100510.74990766108</v>
      </c>
      <c r="N52" s="41">
        <f t="shared" si="8"/>
        <v>5.1299732530927138E-3</v>
      </c>
      <c r="P52"/>
    </row>
    <row r="53" spans="1:16" x14ac:dyDescent="0.2">
      <c r="A53" s="14">
        <v>46003</v>
      </c>
      <c r="B53" s="21">
        <v>118.82</v>
      </c>
      <c r="C53" s="11">
        <v>-6.0230885059395396E-3</v>
      </c>
      <c r="D53" s="2">
        <f t="shared" si="9"/>
        <v>419.51926418905947</v>
      </c>
      <c r="E53" s="12">
        <f t="shared" si="10"/>
        <v>0.80108813928182809</v>
      </c>
      <c r="F53" s="23">
        <f t="shared" si="11"/>
        <v>49847.27897094404</v>
      </c>
      <c r="G53" s="21">
        <v>478.53</v>
      </c>
      <c r="H53" s="11">
        <v>-1.0217800484001199E-2</v>
      </c>
      <c r="I53" s="3">
        <f t="shared" si="12"/>
        <v>104.16751085813647</v>
      </c>
      <c r="J53" s="6">
        <f t="shared" si="4"/>
        <v>0.19891186071817191</v>
      </c>
      <c r="K53" s="35">
        <f t="shared" si="5"/>
        <v>49847.27897094404</v>
      </c>
      <c r="L53" s="39">
        <f t="shared" si="13"/>
        <v>523.68677504719597</v>
      </c>
      <c r="M53" s="3">
        <f t="shared" si="14"/>
        <v>99694.557941888081</v>
      </c>
      <c r="N53" s="41">
        <f t="shared" si="8"/>
        <v>-8.1204444949703018E-3</v>
      </c>
      <c r="P53"/>
    </row>
    <row r="54" spans="1:16" x14ac:dyDescent="0.2">
      <c r="A54" s="14">
        <v>46006</v>
      </c>
      <c r="B54" s="21">
        <v>117.76</v>
      </c>
      <c r="C54" s="11">
        <v>-8.9210570611007196E-3</v>
      </c>
      <c r="D54" s="2">
        <f t="shared" si="9"/>
        <v>419.76649990049253</v>
      </c>
      <c r="E54" s="12">
        <f t="shared" si="10"/>
        <v>0.80127577711026365</v>
      </c>
      <c r="F54" s="23">
        <f t="shared" si="11"/>
        <v>49431.703028282005</v>
      </c>
      <c r="G54" s="21">
        <v>474.82</v>
      </c>
      <c r="H54" s="11">
        <v>-7.7529099533989098E-3</v>
      </c>
      <c r="I54" s="3">
        <f t="shared" si="12"/>
        <v>104.10619398568301</v>
      </c>
      <c r="J54" s="6">
        <f t="shared" si="4"/>
        <v>0.19872422288973643</v>
      </c>
      <c r="K54" s="35">
        <f t="shared" si="5"/>
        <v>49431.703028282005</v>
      </c>
      <c r="L54" s="39">
        <f t="shared" si="13"/>
        <v>523.87269388617551</v>
      </c>
      <c r="M54" s="3">
        <f t="shared" si="14"/>
        <v>98863.40605656401</v>
      </c>
      <c r="N54" s="41">
        <f t="shared" si="8"/>
        <v>-8.3369835072496998E-3</v>
      </c>
      <c r="P54"/>
    </row>
    <row r="55" spans="1:16" x14ac:dyDescent="0.2">
      <c r="A55" s="14">
        <v>46007</v>
      </c>
      <c r="B55" s="21">
        <v>114.68</v>
      </c>
      <c r="C55" s="11">
        <v>-2.61548913043478E-2</v>
      </c>
      <c r="D55" s="2">
        <f t="shared" si="9"/>
        <v>426.11602703796649</v>
      </c>
      <c r="E55" s="12">
        <f t="shared" si="10"/>
        <v>0.80597898726039219</v>
      </c>
      <c r="F55" s="23">
        <f t="shared" si="11"/>
        <v>48866.985980714002</v>
      </c>
      <c r="G55" s="21">
        <v>476.39</v>
      </c>
      <c r="H55" s="11">
        <v>3.3065161534897298E-3</v>
      </c>
      <c r="I55" s="3">
        <f t="shared" si="12"/>
        <v>102.5776905071769</v>
      </c>
      <c r="J55" s="6">
        <f t="shared" si="4"/>
        <v>0.19402101273960784</v>
      </c>
      <c r="K55" s="35">
        <f t="shared" si="5"/>
        <v>48866.985980714002</v>
      </c>
      <c r="L55" s="39">
        <f t="shared" si="13"/>
        <v>528.69371754514339</v>
      </c>
      <c r="M55" s="3">
        <f t="shared" si="14"/>
        <v>97733.971961428004</v>
      </c>
      <c r="N55" s="41">
        <f t="shared" si="8"/>
        <v>-1.1424187575429158E-2</v>
      </c>
      <c r="P55"/>
    </row>
    <row r="56" spans="1:16" x14ac:dyDescent="0.2">
      <c r="A56" s="14">
        <v>46008</v>
      </c>
      <c r="B56" s="21">
        <v>117.41</v>
      </c>
      <c r="C56" s="11">
        <v>2.3805371468433801E-2</v>
      </c>
      <c r="D56" s="2">
        <f t="shared" si="9"/>
        <v>421.04408797719407</v>
      </c>
      <c r="E56" s="12">
        <f t="shared" si="10"/>
        <v>0.80218354590332419</v>
      </c>
      <c r="F56" s="23">
        <f t="shared" si="11"/>
        <v>49434.786369402354</v>
      </c>
      <c r="G56" s="21">
        <v>476.12</v>
      </c>
      <c r="H56" s="11">
        <v>-5.6676252650135798E-4</v>
      </c>
      <c r="I56" s="3">
        <f t="shared" si="12"/>
        <v>103.82841798160622</v>
      </c>
      <c r="J56" s="6">
        <f t="shared" si="4"/>
        <v>0.19781645409667584</v>
      </c>
      <c r="K56" s="35">
        <f t="shared" si="5"/>
        <v>49434.786369402354</v>
      </c>
      <c r="L56" s="39">
        <f t="shared" si="13"/>
        <v>524.87250595880028</v>
      </c>
      <c r="M56" s="3">
        <f t="shared" si="14"/>
        <v>98869.572738804709</v>
      </c>
      <c r="N56" s="41">
        <f t="shared" si="8"/>
        <v>1.1619304470966194E-2</v>
      </c>
      <c r="P56"/>
    </row>
    <row r="57" spans="1:16" x14ac:dyDescent="0.2">
      <c r="A57" s="14">
        <v>46009</v>
      </c>
      <c r="B57" s="21">
        <v>116.54</v>
      </c>
      <c r="C57" s="11">
        <v>-7.40993101098706E-3</v>
      </c>
      <c r="D57" s="2">
        <f t="shared" si="9"/>
        <v>426.11702311481025</v>
      </c>
      <c r="E57" s="12">
        <f t="shared" si="10"/>
        <v>0.80593485645773666</v>
      </c>
      <c r="F57" s="23">
        <f t="shared" si="11"/>
        <v>49659.677873799992</v>
      </c>
      <c r="G57" s="21">
        <v>483.98</v>
      </c>
      <c r="H57" s="11">
        <v>1.6508443249601001E-2</v>
      </c>
      <c r="I57" s="3">
        <f t="shared" si="12"/>
        <v>102.60688018885075</v>
      </c>
      <c r="J57" s="6">
        <f t="shared" si="4"/>
        <v>0.19406514354226337</v>
      </c>
      <c r="K57" s="35">
        <f t="shared" si="5"/>
        <v>49659.677873799992</v>
      </c>
      <c r="L57" s="39">
        <f t="shared" si="13"/>
        <v>528.72390330366102</v>
      </c>
      <c r="M57" s="3">
        <f t="shared" si="14"/>
        <v>99319.355747599984</v>
      </c>
      <c r="N57" s="41">
        <f t="shared" si="8"/>
        <v>4.5492561193069938E-3</v>
      </c>
      <c r="P57"/>
    </row>
    <row r="58" spans="1:16" x14ac:dyDescent="0.2">
      <c r="A58" s="14">
        <v>46010</v>
      </c>
      <c r="B58" s="21">
        <v>116.69</v>
      </c>
      <c r="C58" s="11">
        <v>1.2871117212973401E-3</v>
      </c>
      <c r="D58" s="2">
        <f t="shared" si="9"/>
        <v>426.69607785000244</v>
      </c>
      <c r="E58" s="12">
        <f t="shared" si="10"/>
        <v>0.80635900499493862</v>
      </c>
      <c r="F58" s="23">
        <f t="shared" si="11"/>
        <v>49791.165324316782</v>
      </c>
      <c r="G58" s="21">
        <v>485.92</v>
      </c>
      <c r="H58" s="11">
        <v>4.0084301004173701E-3</v>
      </c>
      <c r="I58" s="3">
        <f t="shared" si="12"/>
        <v>102.46782458906154</v>
      </c>
      <c r="J58" s="6">
        <f t="shared" si="4"/>
        <v>0.19364099500506129</v>
      </c>
      <c r="K58" s="35">
        <f t="shared" si="5"/>
        <v>49791.165324316782</v>
      </c>
      <c r="L58" s="39">
        <f t="shared" si="13"/>
        <v>529.16390243906403</v>
      </c>
      <c r="M58" s="3">
        <f t="shared" si="14"/>
        <v>99582.330648633564</v>
      </c>
      <c r="N58" s="41">
        <f t="shared" si="8"/>
        <v>2.6477709108572692E-3</v>
      </c>
      <c r="P58"/>
    </row>
    <row r="59" spans="1:16" x14ac:dyDescent="0.2">
      <c r="A59" s="14">
        <v>46013</v>
      </c>
      <c r="B59" s="21">
        <v>118.15</v>
      </c>
      <c r="C59" s="11">
        <v>1.25117833576143E-2</v>
      </c>
      <c r="D59" s="2">
        <f t="shared" si="9"/>
        <v>423.62606473849132</v>
      </c>
      <c r="E59" s="12">
        <f t="shared" si="10"/>
        <v>0.8040857611885851</v>
      </c>
      <c r="F59" s="23">
        <f t="shared" si="11"/>
        <v>50051.419548852755</v>
      </c>
      <c r="G59" s="21">
        <v>484.92</v>
      </c>
      <c r="H59" s="11">
        <v>-2.057951926243E-3</v>
      </c>
      <c r="I59" s="3">
        <f t="shared" si="12"/>
        <v>103.21582848480729</v>
      </c>
      <c r="J59" s="6">
        <f t="shared" si="4"/>
        <v>0.19591423881141493</v>
      </c>
      <c r="K59" s="35">
        <f t="shared" si="5"/>
        <v>50051.419548852755</v>
      </c>
      <c r="L59" s="39">
        <f t="shared" si="13"/>
        <v>526.8418932232986</v>
      </c>
      <c r="M59" s="3">
        <f t="shared" si="14"/>
        <v>100102.83909770551</v>
      </c>
      <c r="N59" s="41">
        <f t="shared" si="8"/>
        <v>5.2269157156856292E-3</v>
      </c>
      <c r="P59"/>
    </row>
    <row r="60" spans="1:16" x14ac:dyDescent="0.2">
      <c r="A60" s="14">
        <v>46014</v>
      </c>
      <c r="B60" s="21">
        <v>119.42</v>
      </c>
      <c r="C60" s="11">
        <v>1.0749047820566999E-2</v>
      </c>
      <c r="D60" s="2">
        <f t="shared" si="9"/>
        <v>422.20754793543404</v>
      </c>
      <c r="E60" s="12">
        <f t="shared" si="10"/>
        <v>0.80302505484355147</v>
      </c>
      <c r="F60" s="23">
        <f t="shared" si="11"/>
        <v>50420.025374449535</v>
      </c>
      <c r="G60" s="21">
        <v>486.85</v>
      </c>
      <c r="H60" s="11">
        <v>3.9800379444032098E-3</v>
      </c>
      <c r="I60" s="3">
        <f t="shared" si="12"/>
        <v>103.56377811327829</v>
      </c>
      <c r="J60" s="6">
        <f t="shared" si="4"/>
        <v>0.19697494515644845</v>
      </c>
      <c r="K60" s="35">
        <f t="shared" si="5"/>
        <v>50420.025374449535</v>
      </c>
      <c r="L60" s="39">
        <f t="shared" si="13"/>
        <v>525.77132604871235</v>
      </c>
      <c r="M60" s="3">
        <f t="shared" si="14"/>
        <v>100840.05074889907</v>
      </c>
      <c r="N60" s="41">
        <f t="shared" si="8"/>
        <v>7.3645428824851179E-3</v>
      </c>
      <c r="P60"/>
    </row>
    <row r="61" spans="1:16" x14ac:dyDescent="0.2">
      <c r="A61" s="14">
        <v>46015</v>
      </c>
      <c r="B61" s="21">
        <v>119.22</v>
      </c>
      <c r="C61" s="11">
        <v>-1.67476134650815E-3</v>
      </c>
      <c r="D61" s="2">
        <f t="shared" si="9"/>
        <v>423.06986604472621</v>
      </c>
      <c r="E61" s="12">
        <f t="shared" si="10"/>
        <v>0.803669060009222</v>
      </c>
      <c r="F61" s="23">
        <f t="shared" si="11"/>
        <v>50438.389429852257</v>
      </c>
      <c r="G61" s="21">
        <v>488.02</v>
      </c>
      <c r="H61" s="11">
        <v>2.40320427236307E-3</v>
      </c>
      <c r="I61" s="3">
        <f t="shared" si="12"/>
        <v>103.35311960545113</v>
      </c>
      <c r="J61" s="6">
        <f t="shared" si="4"/>
        <v>0.19633093999077794</v>
      </c>
      <c r="K61" s="35">
        <f t="shared" si="5"/>
        <v>50438.389429852257</v>
      </c>
      <c r="L61" s="39">
        <f t="shared" si="13"/>
        <v>526.42298565017734</v>
      </c>
      <c r="M61" s="3">
        <f t="shared" si="14"/>
        <v>100876.77885970451</v>
      </c>
      <c r="N61" s="41">
        <f t="shared" si="8"/>
        <v>3.6422146292747545E-4</v>
      </c>
      <c r="P61"/>
    </row>
    <row r="62" spans="1:16" x14ac:dyDescent="0.2">
      <c r="A62" s="14">
        <v>46017</v>
      </c>
      <c r="B62" s="21">
        <v>119.11</v>
      </c>
      <c r="C62" s="11">
        <v>-9.2266398255325805E-4</v>
      </c>
      <c r="D62" s="2">
        <f t="shared" si="9"/>
        <v>423.13072667014484</v>
      </c>
      <c r="E62" s="12">
        <f t="shared" si="10"/>
        <v>0.80371444579941331</v>
      </c>
      <c r="F62" s="23">
        <f t="shared" si="11"/>
        <v>50399.100853680953</v>
      </c>
      <c r="G62" s="21">
        <v>487.71</v>
      </c>
      <c r="H62" s="11">
        <v>-6.3521986803820004E-4</v>
      </c>
      <c r="I62" s="3">
        <f t="shared" si="12"/>
        <v>103.33825604084591</v>
      </c>
      <c r="J62" s="6">
        <f t="shared" si="4"/>
        <v>0.19628555420058669</v>
      </c>
      <c r="K62" s="35">
        <f t="shared" si="5"/>
        <v>50399.100853680953</v>
      </c>
      <c r="L62" s="39">
        <f t="shared" si="13"/>
        <v>526.46898271099076</v>
      </c>
      <c r="M62" s="3">
        <f t="shared" si="14"/>
        <v>100798.20170736191</v>
      </c>
      <c r="N62" s="41">
        <f t="shared" si="8"/>
        <v>-7.7894192529571495E-4</v>
      </c>
      <c r="P62"/>
    </row>
    <row r="63" spans="1:16" x14ac:dyDescent="0.2">
      <c r="A63" s="14">
        <v>46020</v>
      </c>
      <c r="B63" s="21">
        <v>120.53</v>
      </c>
      <c r="C63" s="11">
        <v>1.1921753001427299E-2</v>
      </c>
      <c r="D63" s="2">
        <f t="shared" si="9"/>
        <v>420.37671535322573</v>
      </c>
      <c r="E63" s="12">
        <f t="shared" si="10"/>
        <v>0.80163915540707331</v>
      </c>
      <c r="F63" s="23">
        <f t="shared" si="11"/>
        <v>50668.005501524298</v>
      </c>
      <c r="G63" s="21">
        <v>487.1</v>
      </c>
      <c r="H63" s="11">
        <v>-1.25074326956584E-3</v>
      </c>
      <c r="I63" s="3">
        <f t="shared" si="12"/>
        <v>104.01971977319708</v>
      </c>
      <c r="J63" s="6">
        <f t="shared" si="4"/>
        <v>0.19836084459292661</v>
      </c>
      <c r="K63" s="35">
        <f t="shared" si="5"/>
        <v>50668.005501524298</v>
      </c>
      <c r="L63" s="39">
        <f t="shared" si="13"/>
        <v>524.39643512642283</v>
      </c>
      <c r="M63" s="3">
        <f t="shared" si="14"/>
        <v>101336.0110030486</v>
      </c>
      <c r="N63" s="41">
        <f t="shared" si="8"/>
        <v>5.3355048659306584E-3</v>
      </c>
      <c r="P63"/>
    </row>
    <row r="64" spans="1:16" x14ac:dyDescent="0.2">
      <c r="A64" s="14">
        <v>46021</v>
      </c>
      <c r="B64" s="21">
        <v>120.99</v>
      </c>
      <c r="C64" s="11">
        <v>3.8164772255869402E-3</v>
      </c>
      <c r="D64" s="2">
        <f t="shared" si="9"/>
        <v>419.74093638162202</v>
      </c>
      <c r="E64" s="12">
        <f t="shared" si="10"/>
        <v>0.80115700034512793</v>
      </c>
      <c r="F64" s="23">
        <f t="shared" si="11"/>
        <v>50784.455892812446</v>
      </c>
      <c r="G64" s="21">
        <v>487.48</v>
      </c>
      <c r="H64" s="11">
        <v>7.80127283925263E-4</v>
      </c>
      <c r="I64" s="3">
        <f t="shared" si="12"/>
        <v>104.17751680645861</v>
      </c>
      <c r="J64" s="6">
        <f t="shared" si="4"/>
        <v>0.19884299965487204</v>
      </c>
      <c r="K64" s="35">
        <f t="shared" si="5"/>
        <v>50784.455892812446</v>
      </c>
      <c r="L64" s="39">
        <f t="shared" si="13"/>
        <v>523.91845318808066</v>
      </c>
      <c r="M64" s="3">
        <f t="shared" si="14"/>
        <v>101568.91178562489</v>
      </c>
      <c r="N64" s="41">
        <f t="shared" si="8"/>
        <v>2.2983022547561093E-3</v>
      </c>
      <c r="P64"/>
    </row>
    <row r="65" spans="1:16" x14ac:dyDescent="0.2">
      <c r="A65" s="14">
        <v>46022</v>
      </c>
      <c r="B65" s="21">
        <v>120.34</v>
      </c>
      <c r="C65" s="11">
        <v>-5.3723448218860404E-3</v>
      </c>
      <c r="D65" s="2">
        <f t="shared" si="9"/>
        <v>419.2037350926704</v>
      </c>
      <c r="E65" s="12">
        <f t="shared" si="10"/>
        <v>0.80074839393337305</v>
      </c>
      <c r="F65" s="23">
        <f t="shared" si="11"/>
        <v>50446.977481051959</v>
      </c>
      <c r="G65" s="21">
        <v>483.62</v>
      </c>
      <c r="H65" s="11">
        <v>-7.9182735701977796E-3</v>
      </c>
      <c r="I65" s="3">
        <f t="shared" si="12"/>
        <v>104.31118953114421</v>
      </c>
      <c r="J65" s="6">
        <f t="shared" si="4"/>
        <v>0.19925160606662692</v>
      </c>
      <c r="K65" s="35">
        <f t="shared" si="5"/>
        <v>50446.977481051959</v>
      </c>
      <c r="L65" s="39">
        <f t="shared" si="13"/>
        <v>523.51492462381464</v>
      </c>
      <c r="M65" s="3">
        <f t="shared" si="14"/>
        <v>100893.95496210392</v>
      </c>
      <c r="N65" s="41">
        <f t="shared" si="8"/>
        <v>-6.6453091960418211E-3</v>
      </c>
      <c r="P65"/>
    </row>
    <row r="66" spans="1:16" x14ac:dyDescent="0.2">
      <c r="A66" s="14">
        <v>46024</v>
      </c>
      <c r="B66" s="21">
        <v>122.65</v>
      </c>
      <c r="C66" s="11">
        <v>1.9195612431444301E-2</v>
      </c>
      <c r="D66" s="2">
        <f t="shared" si="9"/>
        <v>410.71452134519103</v>
      </c>
      <c r="E66" s="12">
        <f t="shared" si="10"/>
        <v>0.79406974596618485</v>
      </c>
      <c r="F66" s="23">
        <f t="shared" si="11"/>
        <v>50374.13604298768</v>
      </c>
      <c r="G66" s="21">
        <v>472.94</v>
      </c>
      <c r="H66" s="11">
        <v>-2.2083453951449498E-2</v>
      </c>
      <c r="I66" s="3">
        <f t="shared" si="12"/>
        <v>106.51274166487859</v>
      </c>
      <c r="J66" s="6">
        <f t="shared" si="4"/>
        <v>0.20593025403381524</v>
      </c>
      <c r="K66" s="35">
        <f t="shared" si="5"/>
        <v>50374.13604298768</v>
      </c>
      <c r="L66" s="39">
        <f t="shared" si="13"/>
        <v>517.22726301006958</v>
      </c>
      <c r="M66" s="3">
        <f t="shared" si="14"/>
        <v>100748.27208597536</v>
      </c>
      <c r="N66" s="41">
        <f t="shared" si="8"/>
        <v>-1.4439207600026858E-3</v>
      </c>
      <c r="P66"/>
    </row>
    <row r="67" spans="1:16" x14ac:dyDescent="0.2">
      <c r="A67" s="14">
        <v>46027</v>
      </c>
      <c r="B67" s="21">
        <v>125.36</v>
      </c>
      <c r="C67" s="11">
        <v>2.2095393395841802E-2</v>
      </c>
      <c r="D67" s="2">
        <f t="shared" ref="D67:D98" si="15">F67/B67</f>
        <v>406.2369268190451</v>
      </c>
      <c r="E67" s="12">
        <f t="shared" ref="E67:E98" si="16">D67/L67</f>
        <v>0.79044148375988366</v>
      </c>
      <c r="F67" s="23">
        <f t="shared" ref="F67:F98" si="17">M67/2</f>
        <v>50925.861146035495</v>
      </c>
      <c r="G67" s="21">
        <v>472.85</v>
      </c>
      <c r="H67" s="11">
        <v>-1.90298980843183E-4</v>
      </c>
      <c r="I67" s="3">
        <f t="shared" ref="I67:I98" si="18">K67/G67</f>
        <v>107.69982266265305</v>
      </c>
      <c r="J67" s="6">
        <f t="shared" ref="J67:J127" si="19">I67/L67</f>
        <v>0.20955851624011634</v>
      </c>
      <c r="K67" s="35">
        <f t="shared" ref="K67:K127" si="20">M67/2</f>
        <v>50925.861146035495</v>
      </c>
      <c r="L67" s="39">
        <f t="shared" ref="L67:L98" si="21">I67+D67</f>
        <v>513.93674948169814</v>
      </c>
      <c r="M67" s="3">
        <f t="shared" si="14"/>
        <v>101851.72229207099</v>
      </c>
      <c r="N67" s="41">
        <f t="shared" si="8"/>
        <v>1.0952547207499301E-2</v>
      </c>
      <c r="P67"/>
    </row>
    <row r="68" spans="1:16" x14ac:dyDescent="0.2">
      <c r="A68" s="14">
        <v>46028</v>
      </c>
      <c r="B68" s="21">
        <v>121.05</v>
      </c>
      <c r="C68" s="11">
        <v>-3.4380982769623501E-2</v>
      </c>
      <c r="D68" s="2">
        <f t="shared" si="15"/>
        <v>415.98687374535939</v>
      </c>
      <c r="E68" s="12">
        <f t="shared" si="16"/>
        <v>0.79810194142371071</v>
      </c>
      <c r="F68" s="23">
        <f t="shared" si="17"/>
        <v>50355.211066875752</v>
      </c>
      <c r="G68" s="21">
        <v>478.51</v>
      </c>
      <c r="H68" s="11">
        <v>1.19699693348841E-2</v>
      </c>
      <c r="I68" s="3">
        <f t="shared" si="18"/>
        <v>105.23335158486918</v>
      </c>
      <c r="J68" s="6">
        <f t="shared" si="19"/>
        <v>0.20189805857628929</v>
      </c>
      <c r="K68" s="35">
        <f t="shared" si="20"/>
        <v>50355.211066875752</v>
      </c>
      <c r="L68" s="39">
        <f t="shared" si="21"/>
        <v>521.22022533022857</v>
      </c>
      <c r="M68" s="3">
        <f t="shared" ref="M68:M99" si="22">D67*B68+I67*G68</f>
        <v>100710.4221337515</v>
      </c>
      <c r="N68" s="41">
        <f t="shared" si="8"/>
        <v>-1.1205506717369806E-2</v>
      </c>
      <c r="P68"/>
    </row>
    <row r="69" spans="1:16" x14ac:dyDescent="0.2">
      <c r="A69" s="14">
        <v>46029</v>
      </c>
      <c r="B69" s="21">
        <v>118.49</v>
      </c>
      <c r="C69" s="11">
        <v>-2.11482858323007E-2</v>
      </c>
      <c r="D69" s="2">
        <f t="shared" si="15"/>
        <v>422.68315115547449</v>
      </c>
      <c r="E69" s="12">
        <f t="shared" si="16"/>
        <v>0.80315967838394575</v>
      </c>
      <c r="F69" s="23">
        <f t="shared" si="17"/>
        <v>50083.726580412171</v>
      </c>
      <c r="G69" s="21">
        <v>483.47</v>
      </c>
      <c r="H69" s="11">
        <v>1.03655096027252E-2</v>
      </c>
      <c r="I69" s="3">
        <f t="shared" si="18"/>
        <v>103.59221167892976</v>
      </c>
      <c r="J69" s="6">
        <f t="shared" si="19"/>
        <v>0.19684032161605419</v>
      </c>
      <c r="K69" s="35">
        <f t="shared" si="20"/>
        <v>50083.726580412171</v>
      </c>
      <c r="L69" s="39">
        <f t="shared" si="21"/>
        <v>526.27536283440429</v>
      </c>
      <c r="M69" s="3">
        <f t="shared" si="22"/>
        <v>100167.45316082434</v>
      </c>
      <c r="N69" s="41">
        <f t="shared" ref="N69:N127" si="23">(M69-M68)/M68</f>
        <v>-5.391388114787731E-3</v>
      </c>
      <c r="P69"/>
    </row>
    <row r="70" spans="1:16" x14ac:dyDescent="0.2">
      <c r="A70" s="14">
        <v>46030</v>
      </c>
      <c r="B70" s="21">
        <v>122.91</v>
      </c>
      <c r="C70" s="11">
        <v>3.7302725968436201E-2</v>
      </c>
      <c r="D70" s="2">
        <f t="shared" si="15"/>
        <v>412.82425528570695</v>
      </c>
      <c r="E70" s="12">
        <f t="shared" si="16"/>
        <v>0.79549765398822003</v>
      </c>
      <c r="F70" s="23">
        <f t="shared" si="17"/>
        <v>50740.229217166241</v>
      </c>
      <c r="G70" s="21">
        <v>478.11</v>
      </c>
      <c r="H70" s="11">
        <v>-1.1086520363207701E-2</v>
      </c>
      <c r="I70" s="3">
        <f t="shared" si="18"/>
        <v>106.12668469006346</v>
      </c>
      <c r="J70" s="6">
        <f t="shared" si="19"/>
        <v>0.20450234601177997</v>
      </c>
      <c r="K70" s="35">
        <f t="shared" si="20"/>
        <v>50740.229217166241</v>
      </c>
      <c r="L70" s="39">
        <f t="shared" si="21"/>
        <v>518.95093997577044</v>
      </c>
      <c r="M70" s="3">
        <f t="shared" si="22"/>
        <v>101480.45843433248</v>
      </c>
      <c r="N70" s="41">
        <f t="shared" si="23"/>
        <v>1.3108102802614326E-2</v>
      </c>
      <c r="P70"/>
    </row>
    <row r="71" spans="1:16" x14ac:dyDescent="0.2">
      <c r="A71" s="14">
        <v>46031</v>
      </c>
      <c r="B71" s="21">
        <v>124.61</v>
      </c>
      <c r="C71" s="11">
        <v>1.3831258644536701E-2</v>
      </c>
      <c r="D71" s="2">
        <f t="shared" si="15"/>
        <v>410.50649181207586</v>
      </c>
      <c r="E71" s="12">
        <f t="shared" si="16"/>
        <v>0.79365447349682883</v>
      </c>
      <c r="F71" s="23">
        <f t="shared" si="17"/>
        <v>51153.213944702773</v>
      </c>
      <c r="G71" s="21">
        <v>479.28</v>
      </c>
      <c r="H71" s="11">
        <v>2.4471355964107802E-3</v>
      </c>
      <c r="I71" s="3">
        <f t="shared" si="18"/>
        <v>106.72928965260969</v>
      </c>
      <c r="J71" s="6">
        <f t="shared" si="19"/>
        <v>0.20634552650317109</v>
      </c>
      <c r="K71" s="35">
        <f t="shared" si="20"/>
        <v>51153.213944702773</v>
      </c>
      <c r="L71" s="39">
        <f t="shared" si="21"/>
        <v>517.2357814646856</v>
      </c>
      <c r="M71" s="3">
        <f t="shared" si="22"/>
        <v>102306.42788940555</v>
      </c>
      <c r="N71" s="41">
        <f t="shared" si="23"/>
        <v>8.1391971204736388E-3</v>
      </c>
      <c r="P71"/>
    </row>
    <row r="72" spans="1:16" x14ac:dyDescent="0.2">
      <c r="A72" s="14">
        <v>46034</v>
      </c>
      <c r="B72" s="21">
        <v>124.03</v>
      </c>
      <c r="C72" s="11">
        <v>-4.6545221089799999E-3</v>
      </c>
      <c r="D72" s="2">
        <f t="shared" si="15"/>
        <v>410.56277761785083</v>
      </c>
      <c r="E72" s="12">
        <f t="shared" si="16"/>
        <v>0.79369937293125525</v>
      </c>
      <c r="F72" s="23">
        <f t="shared" si="17"/>
        <v>50922.101307942037</v>
      </c>
      <c r="G72" s="21">
        <v>477.18</v>
      </c>
      <c r="H72" s="11">
        <v>-4.3815723585377397E-3</v>
      </c>
      <c r="I72" s="3">
        <f t="shared" si="18"/>
        <v>106.71465968385523</v>
      </c>
      <c r="J72" s="6">
        <f t="shared" si="19"/>
        <v>0.20630062706874469</v>
      </c>
      <c r="K72" s="35">
        <f t="shared" si="20"/>
        <v>50922.101307942037</v>
      </c>
      <c r="L72" s="39">
        <f t="shared" si="21"/>
        <v>517.27743730170607</v>
      </c>
      <c r="M72" s="3">
        <f t="shared" si="22"/>
        <v>101844.20261588407</v>
      </c>
      <c r="N72" s="41">
        <f t="shared" si="23"/>
        <v>-4.5180472337587865E-3</v>
      </c>
      <c r="P72"/>
    </row>
    <row r="73" spans="1:16" x14ac:dyDescent="0.2">
      <c r="A73" s="14">
        <v>46035</v>
      </c>
      <c r="B73" s="21">
        <v>126.54</v>
      </c>
      <c r="C73" s="11">
        <v>2.0237039425945399E-2</v>
      </c>
      <c r="D73" s="2">
        <f t="shared" si="15"/>
        <v>403.74586199289939</v>
      </c>
      <c r="E73" s="12">
        <f t="shared" si="16"/>
        <v>0.78811473351082528</v>
      </c>
      <c r="F73" s="23">
        <f t="shared" si="17"/>
        <v>51090.001376581495</v>
      </c>
      <c r="G73" s="21">
        <v>470.67</v>
      </c>
      <c r="H73" s="11">
        <v>-1.3642650572111101E-2</v>
      </c>
      <c r="I73" s="3">
        <f t="shared" si="18"/>
        <v>108.54739281573394</v>
      </c>
      <c r="J73" s="6">
        <f t="shared" si="19"/>
        <v>0.21188526648917466</v>
      </c>
      <c r="K73" s="35">
        <f t="shared" si="20"/>
        <v>51090.001376581495</v>
      </c>
      <c r="L73" s="39">
        <f t="shared" si="21"/>
        <v>512.29325480863338</v>
      </c>
      <c r="M73" s="3">
        <f t="shared" si="22"/>
        <v>102180.00275316299</v>
      </c>
      <c r="N73" s="41">
        <f t="shared" si="23"/>
        <v>3.297194426917159E-3</v>
      </c>
      <c r="P73"/>
    </row>
    <row r="74" spans="1:16" x14ac:dyDescent="0.2">
      <c r="A74" s="14">
        <v>46036</v>
      </c>
      <c r="B74" s="21">
        <v>130.19999999999999</v>
      </c>
      <c r="C74" s="11">
        <v>2.8923660502607699E-2</v>
      </c>
      <c r="D74" s="2">
        <f t="shared" si="15"/>
        <v>393.36487151753977</v>
      </c>
      <c r="E74" s="12">
        <f t="shared" si="16"/>
        <v>0.77916482920044783</v>
      </c>
      <c r="F74" s="23">
        <f t="shared" si="17"/>
        <v>51216.106271583674</v>
      </c>
      <c r="G74" s="21">
        <v>459.38</v>
      </c>
      <c r="H74" s="11">
        <v>-2.3987082244460101E-2</v>
      </c>
      <c r="I74" s="3">
        <f t="shared" si="18"/>
        <v>111.48963009182741</v>
      </c>
      <c r="J74" s="6">
        <f t="shared" si="19"/>
        <v>0.22083517079955223</v>
      </c>
      <c r="K74" s="35">
        <f t="shared" si="20"/>
        <v>51216.106271583674</v>
      </c>
      <c r="L74" s="39">
        <f t="shared" si="21"/>
        <v>504.85450160936716</v>
      </c>
      <c r="M74" s="3">
        <f t="shared" si="22"/>
        <v>102432.21254316735</v>
      </c>
      <c r="N74" s="41">
        <f t="shared" si="23"/>
        <v>2.4682891290737602E-3</v>
      </c>
      <c r="P74"/>
    </row>
    <row r="75" spans="1:16" x14ac:dyDescent="0.2">
      <c r="A75" s="14">
        <v>46037</v>
      </c>
      <c r="B75" s="21">
        <v>129.13</v>
      </c>
      <c r="C75" s="11">
        <v>-8.2181259600613895E-3</v>
      </c>
      <c r="D75" s="2">
        <f t="shared" si="15"/>
        <v>393.82041484083413</v>
      </c>
      <c r="E75" s="12">
        <f t="shared" si="16"/>
        <v>0.77956264190238822</v>
      </c>
      <c r="F75" s="23">
        <f t="shared" si="17"/>
        <v>50854.030168396908</v>
      </c>
      <c r="G75" s="21">
        <v>456.66</v>
      </c>
      <c r="H75" s="11">
        <v>-5.9210239888544802E-3</v>
      </c>
      <c r="I75" s="3">
        <f t="shared" si="18"/>
        <v>111.36081585511519</v>
      </c>
      <c r="J75" s="6">
        <f t="shared" si="19"/>
        <v>0.22043735809761172</v>
      </c>
      <c r="K75" s="35">
        <f t="shared" si="20"/>
        <v>50854.030168396908</v>
      </c>
      <c r="L75" s="39">
        <f t="shared" si="21"/>
        <v>505.18123069594935</v>
      </c>
      <c r="M75" s="3">
        <f t="shared" si="22"/>
        <v>101708.06033679382</v>
      </c>
      <c r="N75" s="41">
        <f t="shared" si="23"/>
        <v>-7.069574974457934E-3</v>
      </c>
      <c r="P75"/>
    </row>
    <row r="76" spans="1:16" x14ac:dyDescent="0.2">
      <c r="A76" s="14">
        <v>46038</v>
      </c>
      <c r="B76" s="21">
        <v>129.88999999999999</v>
      </c>
      <c r="C76" s="11">
        <v>5.88554170216054E-3</v>
      </c>
      <c r="D76" s="2">
        <f t="shared" si="15"/>
        <v>394.04002795753803</v>
      </c>
      <c r="E76" s="12">
        <f t="shared" si="16"/>
        <v>0.77975413310724884</v>
      </c>
      <c r="F76" s="23">
        <f t="shared" si="17"/>
        <v>51181.859231404611</v>
      </c>
      <c r="G76" s="21">
        <v>459.86</v>
      </c>
      <c r="H76" s="11">
        <v>7.0074015679060797E-3</v>
      </c>
      <c r="I76" s="3">
        <f t="shared" si="18"/>
        <v>111.29878491585397</v>
      </c>
      <c r="J76" s="6">
        <f t="shared" si="19"/>
        <v>0.22024586689275114</v>
      </c>
      <c r="K76" s="35">
        <f t="shared" si="20"/>
        <v>51181.859231404611</v>
      </c>
      <c r="L76" s="39">
        <f t="shared" si="21"/>
        <v>505.33881287339199</v>
      </c>
      <c r="M76" s="3">
        <f t="shared" si="22"/>
        <v>102363.71846280922</v>
      </c>
      <c r="N76" s="41">
        <f t="shared" si="23"/>
        <v>6.446471635033384E-3</v>
      </c>
      <c r="P76"/>
    </row>
    <row r="77" spans="1:16" x14ac:dyDescent="0.2">
      <c r="A77" s="14">
        <v>46042</v>
      </c>
      <c r="B77" s="21">
        <v>130.46</v>
      </c>
      <c r="C77" s="11">
        <v>4.3883285857265501E-3</v>
      </c>
      <c r="D77" s="2">
        <f t="shared" si="15"/>
        <v>390.90137117620094</v>
      </c>
      <c r="E77" s="12">
        <f t="shared" si="16"/>
        <v>0.77698382850695746</v>
      </c>
      <c r="F77" s="23">
        <f t="shared" si="17"/>
        <v>50996.992883647181</v>
      </c>
      <c r="G77" s="21">
        <v>454.52</v>
      </c>
      <c r="H77" s="11">
        <v>-1.1612229809072399E-2</v>
      </c>
      <c r="I77" s="3">
        <f t="shared" si="18"/>
        <v>112.19966752540523</v>
      </c>
      <c r="J77" s="6">
        <f t="shared" si="19"/>
        <v>0.22301617149304254</v>
      </c>
      <c r="K77" s="35">
        <f t="shared" si="20"/>
        <v>50996.992883647181</v>
      </c>
      <c r="L77" s="39">
        <f t="shared" si="21"/>
        <v>503.10103870160617</v>
      </c>
      <c r="M77" s="3">
        <f t="shared" si="22"/>
        <v>101993.98576729436</v>
      </c>
      <c r="N77" s="41">
        <f t="shared" si="23"/>
        <v>-3.6119506116729372E-3</v>
      </c>
      <c r="P77"/>
    </row>
    <row r="78" spans="1:16" x14ac:dyDescent="0.2">
      <c r="A78" s="14">
        <v>46043</v>
      </c>
      <c r="B78" s="21">
        <v>133.61000000000001</v>
      </c>
      <c r="C78" s="11">
        <v>2.4145331902498901E-2</v>
      </c>
      <c r="D78" s="2">
        <f t="shared" si="15"/>
        <v>381.92248539615269</v>
      </c>
      <c r="E78" s="12">
        <f t="shared" si="16"/>
        <v>0.76872879595651866</v>
      </c>
      <c r="F78" s="23">
        <f t="shared" si="17"/>
        <v>51028.663273779966</v>
      </c>
      <c r="G78" s="21">
        <v>444.11</v>
      </c>
      <c r="H78" s="11">
        <v>-2.29032825838246E-2</v>
      </c>
      <c r="I78" s="3">
        <f t="shared" si="18"/>
        <v>114.90095533489443</v>
      </c>
      <c r="J78" s="6">
        <f t="shared" si="19"/>
        <v>0.23127120404348128</v>
      </c>
      <c r="K78" s="35">
        <f t="shared" si="20"/>
        <v>51028.663273779966</v>
      </c>
      <c r="L78" s="39">
        <f t="shared" si="21"/>
        <v>496.82344073104713</v>
      </c>
      <c r="M78" s="3">
        <f t="shared" si="22"/>
        <v>102057.32654755993</v>
      </c>
      <c r="N78" s="41">
        <f t="shared" si="23"/>
        <v>6.2102465933713998E-4</v>
      </c>
      <c r="P78"/>
    </row>
    <row r="79" spans="1:16" x14ac:dyDescent="0.2">
      <c r="A79" s="14">
        <v>46044</v>
      </c>
      <c r="B79" s="21">
        <v>133.63999999999999</v>
      </c>
      <c r="C79" s="11">
        <v>2.2453409175939501E-4</v>
      </c>
      <c r="D79" s="2">
        <f t="shared" si="15"/>
        <v>384.90174325847846</v>
      </c>
      <c r="E79" s="12">
        <f t="shared" si="16"/>
        <v>0.7714696125038476</v>
      </c>
      <c r="F79" s="23">
        <f t="shared" si="17"/>
        <v>51438.268969063058</v>
      </c>
      <c r="G79" s="21">
        <v>451.14</v>
      </c>
      <c r="H79" s="11">
        <v>1.5829411632253199E-2</v>
      </c>
      <c r="I79" s="3">
        <f t="shared" si="18"/>
        <v>114.01841771747807</v>
      </c>
      <c r="J79" s="6">
        <f t="shared" si="19"/>
        <v>0.22853038749615237</v>
      </c>
      <c r="K79" s="35">
        <f t="shared" si="20"/>
        <v>51438.268969063058</v>
      </c>
      <c r="L79" s="39">
        <f t="shared" si="21"/>
        <v>498.92016097595655</v>
      </c>
      <c r="M79" s="3">
        <f t="shared" si="22"/>
        <v>102876.53793812612</v>
      </c>
      <c r="N79" s="41">
        <f t="shared" si="23"/>
        <v>8.0269728620063381E-3</v>
      </c>
      <c r="P79"/>
    </row>
    <row r="80" spans="1:16" x14ac:dyDescent="0.2">
      <c r="A80" s="14">
        <v>46045</v>
      </c>
      <c r="B80" s="21">
        <v>134.97</v>
      </c>
      <c r="C80" s="11">
        <v>9.9521101466627706E-3</v>
      </c>
      <c r="D80" s="2">
        <f t="shared" si="15"/>
        <v>389.26083582668645</v>
      </c>
      <c r="E80" s="12">
        <f t="shared" si="16"/>
        <v>0.77539439526060039</v>
      </c>
      <c r="F80" s="23">
        <f t="shared" si="17"/>
        <v>52538.535011527871</v>
      </c>
      <c r="G80" s="21">
        <v>465.95</v>
      </c>
      <c r="H80" s="11">
        <v>3.2827946978764899E-2</v>
      </c>
      <c r="I80" s="3">
        <f t="shared" si="18"/>
        <v>112.75573561868842</v>
      </c>
      <c r="J80" s="6">
        <f t="shared" si="19"/>
        <v>0.22460560473939958</v>
      </c>
      <c r="K80" s="35">
        <f t="shared" si="20"/>
        <v>52538.535011527871</v>
      </c>
      <c r="L80" s="39">
        <f t="shared" si="21"/>
        <v>502.01657144537489</v>
      </c>
      <c r="M80" s="3">
        <f t="shared" si="22"/>
        <v>105077.07002305574</v>
      </c>
      <c r="N80" s="41">
        <f t="shared" si="23"/>
        <v>2.1390028562713784E-2</v>
      </c>
      <c r="P80"/>
    </row>
    <row r="81" spans="1:16" x14ac:dyDescent="0.2">
      <c r="A81" s="14">
        <v>46048</v>
      </c>
      <c r="B81" s="21">
        <v>134.84</v>
      </c>
      <c r="C81" s="11">
        <v>-9.6317700229677297E-4</v>
      </c>
      <c r="D81" s="2">
        <f t="shared" si="15"/>
        <v>391.25889368743395</v>
      </c>
      <c r="E81" s="12">
        <f t="shared" si="16"/>
        <v>0.77716816499206776</v>
      </c>
      <c r="F81" s="23">
        <f t="shared" si="17"/>
        <v>52757.349224813595</v>
      </c>
      <c r="G81" s="21">
        <v>470.28</v>
      </c>
      <c r="H81" s="11">
        <v>9.2928425796759001E-3</v>
      </c>
      <c r="I81" s="3">
        <f t="shared" si="18"/>
        <v>112.18284686742706</v>
      </c>
      <c r="J81" s="6">
        <f t="shared" si="19"/>
        <v>0.22283183500793233</v>
      </c>
      <c r="K81" s="35">
        <f t="shared" si="20"/>
        <v>52757.349224813595</v>
      </c>
      <c r="L81" s="39">
        <f t="shared" si="21"/>
        <v>503.44174055486098</v>
      </c>
      <c r="M81" s="3">
        <f t="shared" si="22"/>
        <v>105514.69844962719</v>
      </c>
      <c r="N81" s="41">
        <f t="shared" si="23"/>
        <v>4.164832788689541E-3</v>
      </c>
      <c r="P81"/>
    </row>
    <row r="82" spans="1:16" x14ac:dyDescent="0.2">
      <c r="A82" s="14">
        <v>46049</v>
      </c>
      <c r="B82" s="21">
        <v>136.83000000000001</v>
      </c>
      <c r="C82" s="11">
        <v>1.4758231978641401E-2</v>
      </c>
      <c r="D82" s="2">
        <f t="shared" si="15"/>
        <v>392.6360701995165</v>
      </c>
      <c r="E82" s="12">
        <f t="shared" si="16"/>
        <v>0.77838065467031625</v>
      </c>
      <c r="F82" s="23">
        <f t="shared" si="17"/>
        <v>53724.393485399843</v>
      </c>
      <c r="G82" s="21">
        <v>480.58</v>
      </c>
      <c r="H82" s="11">
        <v>2.19018457089394E-2</v>
      </c>
      <c r="I82" s="3">
        <f t="shared" si="18"/>
        <v>111.79073928461411</v>
      </c>
      <c r="J82" s="6">
        <f t="shared" si="19"/>
        <v>0.22161934532968369</v>
      </c>
      <c r="K82" s="35">
        <f t="shared" si="20"/>
        <v>53724.393485399843</v>
      </c>
      <c r="L82" s="39">
        <f t="shared" si="21"/>
        <v>504.42680948413062</v>
      </c>
      <c r="M82" s="3">
        <f t="shared" si="22"/>
        <v>107448.78697079969</v>
      </c>
      <c r="N82" s="41">
        <f t="shared" si="23"/>
        <v>1.8330038843790392E-2</v>
      </c>
      <c r="P82"/>
    </row>
    <row r="83" spans="1:16" x14ac:dyDescent="0.2">
      <c r="A83" s="14">
        <v>46050</v>
      </c>
      <c r="B83" s="21">
        <v>137.58000000000001</v>
      </c>
      <c r="C83" s="11">
        <v>5.4812541109405801E-3</v>
      </c>
      <c r="D83" s="2">
        <f t="shared" si="15"/>
        <v>391.99245638791308</v>
      </c>
      <c r="E83" s="12">
        <f t="shared" si="16"/>
        <v>0.77781366579997091</v>
      </c>
      <c r="F83" s="23">
        <f t="shared" si="17"/>
        <v>53930.322149849089</v>
      </c>
      <c r="G83" s="21">
        <v>481.63</v>
      </c>
      <c r="H83" s="11">
        <v>2.1848599608806302E-3</v>
      </c>
      <c r="I83" s="3">
        <f t="shared" si="18"/>
        <v>111.97459076438156</v>
      </c>
      <c r="J83" s="6">
        <f t="shared" si="19"/>
        <v>0.22218633420002909</v>
      </c>
      <c r="K83" s="35">
        <f t="shared" si="20"/>
        <v>53930.322149849089</v>
      </c>
      <c r="L83" s="39">
        <f t="shared" si="21"/>
        <v>503.96704715229464</v>
      </c>
      <c r="M83" s="3">
        <f t="shared" si="22"/>
        <v>107860.64429969818</v>
      </c>
      <c r="N83" s="41">
        <f t="shared" si="23"/>
        <v>3.8330570359106815E-3</v>
      </c>
      <c r="P83"/>
    </row>
    <row r="84" spans="1:16" x14ac:dyDescent="0.2">
      <c r="A84" s="14">
        <v>46051</v>
      </c>
      <c r="B84" s="21">
        <v>140.51</v>
      </c>
      <c r="C84" s="11">
        <v>2.1296700101758801E-2</v>
      </c>
      <c r="D84" s="2">
        <f t="shared" si="15"/>
        <v>368.72765334647028</v>
      </c>
      <c r="E84" s="12">
        <f t="shared" si="16"/>
        <v>0.75521332380968975</v>
      </c>
      <c r="F84" s="23">
        <f t="shared" si="17"/>
        <v>51809.922571712537</v>
      </c>
      <c r="G84" s="21">
        <v>433.5</v>
      </c>
      <c r="H84" s="11">
        <v>-9.9931482673421501E-2</v>
      </c>
      <c r="I84" s="3">
        <f t="shared" si="18"/>
        <v>119.51539232228959</v>
      </c>
      <c r="J84" s="6">
        <f t="shared" si="19"/>
        <v>0.24478667619031025</v>
      </c>
      <c r="K84" s="35">
        <f t="shared" si="20"/>
        <v>51809.922571712537</v>
      </c>
      <c r="L84" s="39">
        <f t="shared" si="21"/>
        <v>488.24304566875986</v>
      </c>
      <c r="M84" s="3">
        <f t="shared" si="22"/>
        <v>103619.84514342507</v>
      </c>
      <c r="N84" s="41">
        <f t="shared" si="23"/>
        <v>-3.931739128583131E-2</v>
      </c>
      <c r="P84"/>
    </row>
    <row r="85" spans="1:16" x14ac:dyDescent="0.2">
      <c r="A85" s="14">
        <v>46052</v>
      </c>
      <c r="B85" s="21">
        <v>141.4</v>
      </c>
      <c r="C85" s="11">
        <v>6.3340687495552998E-3</v>
      </c>
      <c r="D85" s="2">
        <f t="shared" si="15"/>
        <v>366.21063771410496</v>
      </c>
      <c r="E85" s="12">
        <f t="shared" si="16"/>
        <v>0.75266315660585281</v>
      </c>
      <c r="F85" s="23">
        <f t="shared" si="17"/>
        <v>51782.184172774447</v>
      </c>
      <c r="G85" s="21">
        <v>430.29</v>
      </c>
      <c r="H85" s="11">
        <v>-7.4048442906573904E-3</v>
      </c>
      <c r="I85" s="3">
        <f t="shared" si="18"/>
        <v>120.34252288636604</v>
      </c>
      <c r="J85" s="6">
        <f t="shared" si="19"/>
        <v>0.24733684339414719</v>
      </c>
      <c r="K85" s="35">
        <f t="shared" si="20"/>
        <v>51782.184172774447</v>
      </c>
      <c r="L85" s="39">
        <f t="shared" si="21"/>
        <v>486.55316060047102</v>
      </c>
      <c r="M85" s="3">
        <f t="shared" si="22"/>
        <v>103564.36834554889</v>
      </c>
      <c r="N85" s="41">
        <f t="shared" si="23"/>
        <v>-5.3538777055102762E-4</v>
      </c>
      <c r="P85"/>
    </row>
    <row r="86" spans="1:16" x14ac:dyDescent="0.2">
      <c r="A86" s="14">
        <v>46055</v>
      </c>
      <c r="B86" s="21">
        <v>138.4</v>
      </c>
      <c r="C86" s="11">
        <v>-2.12164073550212E-2</v>
      </c>
      <c r="D86" s="2">
        <f t="shared" si="15"/>
        <v>367.17112057092817</v>
      </c>
      <c r="E86" s="12">
        <f t="shared" si="16"/>
        <v>0.75363582960998277</v>
      </c>
      <c r="F86" s="23">
        <f t="shared" si="17"/>
        <v>50816.483087016459</v>
      </c>
      <c r="G86" s="21">
        <v>423.37</v>
      </c>
      <c r="H86" s="11">
        <v>-1.60821771363499E-2</v>
      </c>
      <c r="I86" s="3">
        <f t="shared" si="18"/>
        <v>120.0285402532453</v>
      </c>
      <c r="J86" s="6">
        <f t="shared" si="19"/>
        <v>0.24636417039001729</v>
      </c>
      <c r="K86" s="35">
        <f t="shared" si="20"/>
        <v>50816.483087016459</v>
      </c>
      <c r="L86" s="39">
        <f t="shared" si="21"/>
        <v>487.19966082417346</v>
      </c>
      <c r="M86" s="3">
        <f t="shared" si="22"/>
        <v>101632.96617403292</v>
      </c>
      <c r="N86" s="41">
        <f t="shared" si="23"/>
        <v>-1.8649292245685636E-2</v>
      </c>
      <c r="P86"/>
    </row>
    <row r="87" spans="1:16" x14ac:dyDescent="0.2">
      <c r="A87" s="14">
        <v>46056</v>
      </c>
      <c r="B87" s="21">
        <v>143.72999999999999</v>
      </c>
      <c r="C87" s="11">
        <v>3.8511560693641499E-2</v>
      </c>
      <c r="D87" s="2">
        <f t="shared" si="15"/>
        <v>355.28574826826861</v>
      </c>
      <c r="E87" s="12">
        <f t="shared" si="16"/>
        <v>0.7409990269218294</v>
      </c>
      <c r="F87" s="23">
        <f t="shared" si="17"/>
        <v>51065.220598598244</v>
      </c>
      <c r="G87" s="21">
        <v>411.21</v>
      </c>
      <c r="H87" s="11">
        <v>-2.8721921723315402E-2</v>
      </c>
      <c r="I87" s="3">
        <f t="shared" si="18"/>
        <v>124.18282774883453</v>
      </c>
      <c r="J87" s="6">
        <f t="shared" si="19"/>
        <v>0.2590009730781706</v>
      </c>
      <c r="K87" s="35">
        <f t="shared" si="20"/>
        <v>51065.220598598244</v>
      </c>
      <c r="L87" s="39">
        <f t="shared" si="21"/>
        <v>479.46857601710315</v>
      </c>
      <c r="M87" s="3">
        <f t="shared" si="22"/>
        <v>102130.44119719649</v>
      </c>
      <c r="N87" s="41">
        <f t="shared" si="23"/>
        <v>4.8948194851630147E-3</v>
      </c>
      <c r="P87"/>
    </row>
    <row r="88" spans="1:16" x14ac:dyDescent="0.2">
      <c r="A88" s="14">
        <v>46057</v>
      </c>
      <c r="B88" s="21">
        <v>147.59</v>
      </c>
      <c r="C88" s="11">
        <v>2.6855910387532302E-2</v>
      </c>
      <c r="D88" s="2">
        <f t="shared" si="15"/>
        <v>351.89345149469318</v>
      </c>
      <c r="E88" s="12">
        <f t="shared" si="16"/>
        <v>0.73728149809533983</v>
      </c>
      <c r="F88" s="23">
        <f t="shared" si="17"/>
        <v>51935.954506101771</v>
      </c>
      <c r="G88" s="21">
        <v>414.19</v>
      </c>
      <c r="H88" s="11">
        <v>7.2469054740887098E-3</v>
      </c>
      <c r="I88" s="3">
        <f t="shared" si="18"/>
        <v>125.39161859557636</v>
      </c>
      <c r="J88" s="6">
        <f t="shared" si="19"/>
        <v>0.26271850190466023</v>
      </c>
      <c r="K88" s="35">
        <f t="shared" si="20"/>
        <v>51935.954506101771</v>
      </c>
      <c r="L88" s="39">
        <f t="shared" si="21"/>
        <v>477.28507009026953</v>
      </c>
      <c r="M88" s="3">
        <f t="shared" si="22"/>
        <v>103871.90901220354</v>
      </c>
      <c r="N88" s="41">
        <f t="shared" si="23"/>
        <v>1.7051407930810523E-2</v>
      </c>
      <c r="P88"/>
    </row>
    <row r="89" spans="1:16" x14ac:dyDescent="0.2">
      <c r="A89" s="14">
        <v>46058</v>
      </c>
      <c r="B89" s="21">
        <v>146.08000000000001</v>
      </c>
      <c r="C89" s="11">
        <v>-1.0231045463784699E-2</v>
      </c>
      <c r="D89" s="2">
        <f t="shared" si="15"/>
        <v>344.90523646928165</v>
      </c>
      <c r="E89" s="12">
        <f t="shared" si="16"/>
        <v>0.72935618341824915</v>
      </c>
      <c r="F89" s="23">
        <f t="shared" si="17"/>
        <v>50383.756943432665</v>
      </c>
      <c r="G89" s="21">
        <v>393.67</v>
      </c>
      <c r="H89" s="11">
        <v>-4.9542480504116401E-2</v>
      </c>
      <c r="I89" s="3">
        <f t="shared" si="18"/>
        <v>127.98475104385059</v>
      </c>
      <c r="J89" s="6">
        <f t="shared" si="19"/>
        <v>0.2706438165817508</v>
      </c>
      <c r="K89" s="35">
        <f t="shared" si="20"/>
        <v>50383.756943432665</v>
      </c>
      <c r="L89" s="39">
        <f t="shared" si="21"/>
        <v>472.88998751313227</v>
      </c>
      <c r="M89" s="3">
        <f t="shared" si="22"/>
        <v>100767.51388686533</v>
      </c>
      <c r="N89" s="41">
        <f t="shared" si="23"/>
        <v>-2.9886762983950616E-2</v>
      </c>
      <c r="P89"/>
    </row>
    <row r="90" spans="1:16" x14ac:dyDescent="0.2">
      <c r="A90" s="14">
        <v>46059</v>
      </c>
      <c r="B90" s="21">
        <v>149.05000000000001</v>
      </c>
      <c r="C90" s="11">
        <v>2.0331325301204801E-2</v>
      </c>
      <c r="D90" s="2">
        <f t="shared" si="15"/>
        <v>344.67604337295086</v>
      </c>
      <c r="E90" s="12">
        <f t="shared" si="16"/>
        <v>0.72909358585216011</v>
      </c>
      <c r="F90" s="23">
        <f t="shared" si="17"/>
        <v>51373.96426473833</v>
      </c>
      <c r="G90" s="21">
        <v>401.14</v>
      </c>
      <c r="H90" s="11">
        <v>1.8975283867198298E-2</v>
      </c>
      <c r="I90" s="3">
        <f t="shared" si="18"/>
        <v>128.06991141431504</v>
      </c>
      <c r="J90" s="6">
        <f t="shared" si="19"/>
        <v>0.27090641414783989</v>
      </c>
      <c r="K90" s="35">
        <f t="shared" si="20"/>
        <v>51373.96426473833</v>
      </c>
      <c r="L90" s="39">
        <f t="shared" si="21"/>
        <v>472.74595478726587</v>
      </c>
      <c r="M90" s="3">
        <f t="shared" si="22"/>
        <v>102747.92852947666</v>
      </c>
      <c r="N90" s="41">
        <f t="shared" si="23"/>
        <v>1.9653304584201604E-2</v>
      </c>
      <c r="P90"/>
    </row>
    <row r="91" spans="1:16" x14ac:dyDescent="0.2">
      <c r="A91" s="14">
        <v>46062</v>
      </c>
      <c r="B91" s="21">
        <v>151.21</v>
      </c>
      <c r="C91" s="11">
        <v>1.4491781281449199E-2</v>
      </c>
      <c r="D91" s="2">
        <f t="shared" si="15"/>
        <v>347.4908401540394</v>
      </c>
      <c r="E91" s="12">
        <f t="shared" si="16"/>
        <v>0.73228165223703545</v>
      </c>
      <c r="F91" s="23">
        <f t="shared" si="17"/>
        <v>52544.089939692305</v>
      </c>
      <c r="G91" s="21">
        <v>413.6</v>
      </c>
      <c r="H91" s="11">
        <v>3.1061474796829101E-2</v>
      </c>
      <c r="I91" s="3">
        <f t="shared" si="18"/>
        <v>127.04083641124831</v>
      </c>
      <c r="J91" s="6">
        <f t="shared" si="19"/>
        <v>0.26771834776296455</v>
      </c>
      <c r="K91" s="35">
        <f t="shared" si="20"/>
        <v>52544.089939692305</v>
      </c>
      <c r="L91" s="39">
        <f t="shared" si="21"/>
        <v>474.53167656528774</v>
      </c>
      <c r="M91" s="3">
        <f t="shared" si="22"/>
        <v>105088.17987938461</v>
      </c>
      <c r="N91" s="41">
        <f t="shared" si="23"/>
        <v>2.277662803913922E-2</v>
      </c>
      <c r="P91"/>
    </row>
    <row r="92" spans="1:16" x14ac:dyDescent="0.2">
      <c r="A92" s="14">
        <v>46063</v>
      </c>
      <c r="B92" s="21">
        <v>151.59</v>
      </c>
      <c r="C92" s="11">
        <v>2.5130613054691799E-3</v>
      </c>
      <c r="D92" s="2">
        <f t="shared" si="15"/>
        <v>346.91702263548854</v>
      </c>
      <c r="E92" s="12">
        <f t="shared" si="16"/>
        <v>0.73163261693162907</v>
      </c>
      <c r="F92" s="23">
        <f t="shared" si="17"/>
        <v>52589.151461313711</v>
      </c>
      <c r="G92" s="21">
        <v>413.27</v>
      </c>
      <c r="H92" s="11">
        <v>-7.9787234042563097E-4</v>
      </c>
      <c r="I92" s="3">
        <f t="shared" si="18"/>
        <v>127.2513162371179</v>
      </c>
      <c r="J92" s="6">
        <f t="shared" si="19"/>
        <v>0.26836738306837093</v>
      </c>
      <c r="K92" s="35">
        <f t="shared" si="20"/>
        <v>52589.151461313711</v>
      </c>
      <c r="L92" s="39">
        <f t="shared" si="21"/>
        <v>474.16833887260645</v>
      </c>
      <c r="M92" s="3">
        <f t="shared" si="22"/>
        <v>105178.30292262742</v>
      </c>
      <c r="N92" s="41">
        <f t="shared" si="23"/>
        <v>8.5759448252174461E-4</v>
      </c>
      <c r="P92"/>
    </row>
    <row r="93" spans="1:16" x14ac:dyDescent="0.2">
      <c r="A93" s="14">
        <v>46064</v>
      </c>
      <c r="B93" s="21">
        <v>155.56</v>
      </c>
      <c r="C93" s="11">
        <v>2.61890626030741E-2</v>
      </c>
      <c r="D93" s="2">
        <f t="shared" si="15"/>
        <v>338.85004753143471</v>
      </c>
      <c r="E93" s="12">
        <f t="shared" si="16"/>
        <v>0.72217955815905555</v>
      </c>
      <c r="F93" s="23">
        <f t="shared" si="17"/>
        <v>52711.513393989982</v>
      </c>
      <c r="G93" s="21">
        <v>404.37</v>
      </c>
      <c r="H93" s="11">
        <v>-2.1535557867737701E-2</v>
      </c>
      <c r="I93" s="3">
        <f t="shared" si="18"/>
        <v>130.35465883717879</v>
      </c>
      <c r="J93" s="6">
        <f t="shared" si="19"/>
        <v>0.2778204418409444</v>
      </c>
      <c r="K93" s="35">
        <f t="shared" si="20"/>
        <v>52711.513393989982</v>
      </c>
      <c r="L93" s="39">
        <f t="shared" si="21"/>
        <v>469.20470636861353</v>
      </c>
      <c r="M93" s="3">
        <f t="shared" si="22"/>
        <v>105423.02678797996</v>
      </c>
      <c r="N93" s="41">
        <f t="shared" si="23"/>
        <v>2.326752367668156E-3</v>
      </c>
      <c r="P93"/>
    </row>
    <row r="94" spans="1:16" x14ac:dyDescent="0.2">
      <c r="A94" s="14">
        <v>46065</v>
      </c>
      <c r="B94" s="21">
        <v>149.93</v>
      </c>
      <c r="C94" s="11">
        <v>-3.61918230907688E-2</v>
      </c>
      <c r="D94" s="2">
        <f t="shared" si="15"/>
        <v>344.11226483532289</v>
      </c>
      <c r="E94" s="12">
        <f t="shared" si="16"/>
        <v>0.72827446218533076</v>
      </c>
      <c r="F94" s="23">
        <f t="shared" si="17"/>
        <v>51592.751866759965</v>
      </c>
      <c r="G94" s="21">
        <v>401.84</v>
      </c>
      <c r="H94" s="11">
        <v>-6.2566461409106298E-3</v>
      </c>
      <c r="I94" s="3">
        <f t="shared" si="18"/>
        <v>128.39127977991234</v>
      </c>
      <c r="J94" s="6">
        <f t="shared" si="19"/>
        <v>0.27172553781466918</v>
      </c>
      <c r="K94" s="35">
        <f t="shared" si="20"/>
        <v>51592.751866759965</v>
      </c>
      <c r="L94" s="39">
        <f t="shared" si="21"/>
        <v>472.50354461523523</v>
      </c>
      <c r="M94" s="3">
        <f t="shared" si="22"/>
        <v>103185.50373351993</v>
      </c>
      <c r="N94" s="41">
        <f t="shared" si="23"/>
        <v>-2.1224234615839645E-2</v>
      </c>
      <c r="P94"/>
    </row>
    <row r="95" spans="1:16" x14ac:dyDescent="0.2">
      <c r="A95" s="14">
        <v>46066</v>
      </c>
      <c r="B95" s="21">
        <v>148.44999999999999</v>
      </c>
      <c r="C95" s="11">
        <v>-9.8712732608551897E-3</v>
      </c>
      <c r="D95" s="2">
        <f t="shared" si="15"/>
        <v>345.60274205482688</v>
      </c>
      <c r="E95" s="12">
        <f t="shared" si="16"/>
        <v>0.72997799079615122</v>
      </c>
      <c r="F95" s="23">
        <f t="shared" si="17"/>
        <v>51304.727058039047</v>
      </c>
      <c r="G95" s="21">
        <v>401.32</v>
      </c>
      <c r="H95" s="11">
        <v>-1.2940473820425599E-3</v>
      </c>
      <c r="I95" s="3">
        <f t="shared" si="18"/>
        <v>127.83994582387882</v>
      </c>
      <c r="J95" s="6">
        <f t="shared" si="19"/>
        <v>0.27002200920384889</v>
      </c>
      <c r="K95" s="35">
        <f t="shared" si="20"/>
        <v>51304.727058039047</v>
      </c>
      <c r="L95" s="39">
        <f t="shared" si="21"/>
        <v>473.44268787870567</v>
      </c>
      <c r="M95" s="3">
        <f t="shared" si="22"/>
        <v>102609.45411607809</v>
      </c>
      <c r="N95" s="41">
        <f t="shared" si="23"/>
        <v>-5.5826603214488776E-3</v>
      </c>
      <c r="P95"/>
    </row>
    <row r="96" spans="1:16" x14ac:dyDescent="0.2">
      <c r="A96" s="14">
        <v>46070</v>
      </c>
      <c r="B96" s="21">
        <v>146.19</v>
      </c>
      <c r="C96" s="11">
        <v>-1.52239811384304E-2</v>
      </c>
      <c r="D96" s="2">
        <f t="shared" si="15"/>
        <v>346.32405007408067</v>
      </c>
      <c r="E96" s="12">
        <f t="shared" si="16"/>
        <v>0.73079826903600043</v>
      </c>
      <c r="F96" s="23">
        <f t="shared" si="17"/>
        <v>50629.112880329849</v>
      </c>
      <c r="G96" s="21">
        <v>396.86</v>
      </c>
      <c r="H96" s="11">
        <v>-1.11133260241204E-2</v>
      </c>
      <c r="I96" s="3">
        <f t="shared" si="18"/>
        <v>127.57423998470455</v>
      </c>
      <c r="J96" s="6">
        <f t="shared" si="19"/>
        <v>0.26920173096399963</v>
      </c>
      <c r="K96" s="35">
        <f t="shared" si="20"/>
        <v>50629.112880329849</v>
      </c>
      <c r="L96" s="39">
        <f t="shared" si="21"/>
        <v>473.89829005878522</v>
      </c>
      <c r="M96" s="3">
        <f t="shared" si="22"/>
        <v>101258.2257606597</v>
      </c>
      <c r="N96" s="41">
        <f t="shared" si="23"/>
        <v>-1.3168653581275306E-2</v>
      </c>
      <c r="P96"/>
    </row>
    <row r="97" spans="1:16" x14ac:dyDescent="0.2">
      <c r="A97" s="14">
        <v>46071</v>
      </c>
      <c r="B97" s="21">
        <v>150.68</v>
      </c>
      <c r="C97" s="11">
        <v>3.0713455092687698E-2</v>
      </c>
      <c r="D97" s="2">
        <f t="shared" si="15"/>
        <v>342.32404487340858</v>
      </c>
      <c r="E97" s="12">
        <f t="shared" si="16"/>
        <v>0.72617576506505777</v>
      </c>
      <c r="F97" s="23">
        <f t="shared" si="17"/>
        <v>51581.387081525208</v>
      </c>
      <c r="G97" s="21">
        <v>399.6</v>
      </c>
      <c r="H97" s="11">
        <v>6.9041979539384403E-3</v>
      </c>
      <c r="I97" s="3">
        <f t="shared" si="18"/>
        <v>129.08255025406709</v>
      </c>
      <c r="J97" s="6">
        <f t="shared" si="19"/>
        <v>0.27382423493494223</v>
      </c>
      <c r="K97" s="35">
        <f t="shared" si="20"/>
        <v>51581.387081525208</v>
      </c>
      <c r="L97" s="39">
        <f t="shared" si="21"/>
        <v>471.40659512747567</v>
      </c>
      <c r="M97" s="3">
        <f t="shared" si="22"/>
        <v>103162.77416305042</v>
      </c>
      <c r="N97" s="41">
        <f t="shared" si="23"/>
        <v>1.8808826523313074E-2</v>
      </c>
      <c r="P97"/>
    </row>
    <row r="98" spans="1:16" x14ac:dyDescent="0.2">
      <c r="A98" s="14">
        <v>46072</v>
      </c>
      <c r="B98" s="21">
        <v>150.97</v>
      </c>
      <c r="C98" s="11">
        <v>1.92460844173077E-3</v>
      </c>
      <c r="D98" s="2">
        <f t="shared" si="15"/>
        <v>341.50789570369631</v>
      </c>
      <c r="E98" s="12">
        <f t="shared" si="16"/>
        <v>0.72522432338969478</v>
      </c>
      <c r="F98" s="23">
        <f t="shared" si="17"/>
        <v>51557.447014387028</v>
      </c>
      <c r="G98" s="21">
        <v>398.46</v>
      </c>
      <c r="H98" s="11">
        <v>-2.85285285285296E-3</v>
      </c>
      <c r="I98" s="3">
        <f t="shared" si="18"/>
        <v>129.39177587307893</v>
      </c>
      <c r="J98" s="6">
        <f t="shared" si="19"/>
        <v>0.27477567661030522</v>
      </c>
      <c r="K98" s="35">
        <f t="shared" si="20"/>
        <v>51557.447014387028</v>
      </c>
      <c r="L98" s="39">
        <f t="shared" si="21"/>
        <v>470.89967157677523</v>
      </c>
      <c r="M98" s="3">
        <f t="shared" si="22"/>
        <v>103114.89402877406</v>
      </c>
      <c r="N98" s="41">
        <f t="shared" si="23"/>
        <v>-4.6412220556115005E-4</v>
      </c>
      <c r="P98"/>
    </row>
    <row r="99" spans="1:16" x14ac:dyDescent="0.2">
      <c r="A99" s="14">
        <v>46073</v>
      </c>
      <c r="B99" s="21">
        <v>147.28</v>
      </c>
      <c r="C99" s="11">
        <v>-2.44419421077035E-2</v>
      </c>
      <c r="D99" s="2">
        <f t="shared" ref="D99:D127" si="24">F99/B99</f>
        <v>345.24571567525646</v>
      </c>
      <c r="E99" s="12">
        <f t="shared" ref="E99:E127" si="25">D99/L99</f>
        <v>0.72951828249251627</v>
      </c>
      <c r="F99" s="23">
        <f t="shared" ref="F99:F127" si="26">M99/2</f>
        <v>50847.789004651771</v>
      </c>
      <c r="G99" s="21">
        <v>397.23</v>
      </c>
      <c r="H99" s="11">
        <v>-3.0868845053454801E-3</v>
      </c>
      <c r="I99" s="3">
        <f t="shared" ref="I99:I127" si="27">K99/G99</f>
        <v>128.00591346235623</v>
      </c>
      <c r="J99" s="6">
        <f t="shared" si="19"/>
        <v>0.27048171750748379</v>
      </c>
      <c r="K99" s="35">
        <f t="shared" si="20"/>
        <v>50847.789004651771</v>
      </c>
      <c r="L99" s="39">
        <f t="shared" ref="L99:L127" si="28">I99+D99</f>
        <v>473.25162913761267</v>
      </c>
      <c r="M99" s="3">
        <f t="shared" si="22"/>
        <v>101695.57800930354</v>
      </c>
      <c r="N99" s="41">
        <f t="shared" si="23"/>
        <v>-1.3764413306524413E-2</v>
      </c>
      <c r="P99"/>
    </row>
    <row r="100" spans="1:16" x14ac:dyDescent="0.2">
      <c r="A100" s="14">
        <v>46076</v>
      </c>
      <c r="B100" s="21">
        <v>150.76</v>
      </c>
      <c r="C100" s="11">
        <v>2.3628462791960798E-2</v>
      </c>
      <c r="D100" s="2">
        <f t="shared" si="24"/>
        <v>335.84398263489572</v>
      </c>
      <c r="E100" s="12">
        <f t="shared" si="25"/>
        <v>0.71832670067073967</v>
      </c>
      <c r="F100" s="23">
        <f t="shared" si="26"/>
        <v>50631.83882203688</v>
      </c>
      <c r="G100" s="21">
        <v>384.47</v>
      </c>
      <c r="H100" s="11">
        <v>-3.2122447952067999E-2</v>
      </c>
      <c r="I100" s="3">
        <f t="shared" si="27"/>
        <v>131.69256072525002</v>
      </c>
      <c r="J100" s="6">
        <f t="shared" si="19"/>
        <v>0.28167329932926027</v>
      </c>
      <c r="K100" s="35">
        <f t="shared" si="20"/>
        <v>50631.83882203688</v>
      </c>
      <c r="L100" s="39">
        <f t="shared" si="28"/>
        <v>467.53654336014574</v>
      </c>
      <c r="M100" s="3">
        <f t="shared" ref="M100:M127" si="29">D99*B100+I99*G100</f>
        <v>101263.67764407376</v>
      </c>
      <c r="N100" s="41">
        <f t="shared" si="23"/>
        <v>-4.2469925800536898E-3</v>
      </c>
      <c r="P100"/>
    </row>
    <row r="101" spans="1:16" x14ac:dyDescent="0.2">
      <c r="A101" s="14">
        <v>46077</v>
      </c>
      <c r="B101" s="21">
        <v>149.26</v>
      </c>
      <c r="C101" s="11">
        <v>-9.9495887503316498E-3</v>
      </c>
      <c r="D101" s="2">
        <f t="shared" si="24"/>
        <v>339.52994429253249</v>
      </c>
      <c r="E101" s="12">
        <f t="shared" si="25"/>
        <v>0.72269906736521383</v>
      </c>
      <c r="F101" s="23">
        <f t="shared" si="26"/>
        <v>50678.239485103397</v>
      </c>
      <c r="G101" s="21">
        <v>389</v>
      </c>
      <c r="H101" s="11">
        <v>1.17824537675241E-2</v>
      </c>
      <c r="I101" s="3">
        <f t="shared" si="27"/>
        <v>130.27825060437891</v>
      </c>
      <c r="J101" s="6">
        <f t="shared" si="19"/>
        <v>0.27730093263478617</v>
      </c>
      <c r="K101" s="35">
        <f t="shared" si="20"/>
        <v>50678.239485103397</v>
      </c>
      <c r="L101" s="39">
        <f t="shared" si="28"/>
        <v>469.8081948969114</v>
      </c>
      <c r="M101" s="3">
        <f t="shared" si="29"/>
        <v>101356.47897020679</v>
      </c>
      <c r="N101" s="41">
        <f t="shared" si="23"/>
        <v>9.1643250859618872E-4</v>
      </c>
      <c r="P101"/>
    </row>
    <row r="102" spans="1:16" x14ac:dyDescent="0.2">
      <c r="A102" s="14">
        <v>46078</v>
      </c>
      <c r="B102" s="21">
        <v>149.06</v>
      </c>
      <c r="C102" s="11">
        <v>-1.3399437223635801E-3</v>
      </c>
      <c r="D102" s="2">
        <f t="shared" si="24"/>
        <v>344.82691764510628</v>
      </c>
      <c r="E102" s="12">
        <f t="shared" si="25"/>
        <v>0.72881417603609511</v>
      </c>
      <c r="F102" s="23">
        <f t="shared" si="26"/>
        <v>51399.900344179543</v>
      </c>
      <c r="G102" s="21">
        <v>400.6</v>
      </c>
      <c r="H102" s="11">
        <v>2.9820051413881801E-2</v>
      </c>
      <c r="I102" s="3">
        <f t="shared" si="27"/>
        <v>128.3072899255605</v>
      </c>
      <c r="J102" s="6">
        <f t="shared" si="19"/>
        <v>0.27118582396390495</v>
      </c>
      <c r="K102" s="35">
        <f t="shared" si="20"/>
        <v>51399.900344179543</v>
      </c>
      <c r="L102" s="39">
        <f t="shared" si="28"/>
        <v>473.13420757066677</v>
      </c>
      <c r="M102" s="3">
        <f t="shared" si="29"/>
        <v>102799.80068835909</v>
      </c>
      <c r="N102" s="41">
        <f t="shared" si="23"/>
        <v>1.4240053845759078E-2</v>
      </c>
      <c r="P102"/>
    </row>
    <row r="103" spans="1:16" x14ac:dyDescent="0.2">
      <c r="A103" s="14">
        <v>46079</v>
      </c>
      <c r="B103" s="21">
        <v>148.54</v>
      </c>
      <c r="C103" s="11">
        <v>-3.48852810948618E-3</v>
      </c>
      <c r="D103" s="2">
        <f t="shared" si="24"/>
        <v>345.91421454120189</v>
      </c>
      <c r="E103" s="12">
        <f t="shared" si="25"/>
        <v>0.73005488314614919</v>
      </c>
      <c r="F103" s="23">
        <f t="shared" si="26"/>
        <v>51382.097427950124</v>
      </c>
      <c r="G103" s="21">
        <v>401.72</v>
      </c>
      <c r="H103" s="11">
        <v>2.79580629056416E-3</v>
      </c>
      <c r="I103" s="3">
        <f t="shared" si="27"/>
        <v>127.90525099061566</v>
      </c>
      <c r="J103" s="6">
        <f t="shared" si="19"/>
        <v>0.26994511685385092</v>
      </c>
      <c r="K103" s="35">
        <f t="shared" si="20"/>
        <v>51382.097427950124</v>
      </c>
      <c r="L103" s="39">
        <f t="shared" si="28"/>
        <v>473.81946553181751</v>
      </c>
      <c r="M103" s="3">
        <f t="shared" si="29"/>
        <v>102764.19485590025</v>
      </c>
      <c r="N103" s="41">
        <f t="shared" si="23"/>
        <v>-3.4636090946107734E-4</v>
      </c>
      <c r="P103"/>
    </row>
    <row r="104" spans="1:16" x14ac:dyDescent="0.2">
      <c r="A104" s="14">
        <v>46080</v>
      </c>
      <c r="B104" s="21">
        <v>152.5</v>
      </c>
      <c r="C104" s="11">
        <v>2.6659485660428198E-2</v>
      </c>
      <c r="D104" s="2">
        <f t="shared" si="24"/>
        <v>337.65713439864817</v>
      </c>
      <c r="E104" s="12">
        <f t="shared" si="25"/>
        <v>0.72030665395055393</v>
      </c>
      <c r="F104" s="23">
        <f t="shared" si="26"/>
        <v>51492.712995793845</v>
      </c>
      <c r="G104" s="21">
        <v>392.74</v>
      </c>
      <c r="H104" s="11">
        <v>-2.2353878323210199E-2</v>
      </c>
      <c r="I104" s="3">
        <f t="shared" si="27"/>
        <v>131.11145540508693</v>
      </c>
      <c r="J104" s="6">
        <f t="shared" si="19"/>
        <v>0.27969334604944607</v>
      </c>
      <c r="K104" s="35">
        <f t="shared" si="20"/>
        <v>51492.712995793845</v>
      </c>
      <c r="L104" s="39">
        <f t="shared" si="28"/>
        <v>468.7685898037351</v>
      </c>
      <c r="M104" s="3">
        <f t="shared" si="29"/>
        <v>102985.42599158769</v>
      </c>
      <c r="N104" s="41">
        <f t="shared" si="23"/>
        <v>2.1528036686090913E-3</v>
      </c>
      <c r="P104"/>
    </row>
    <row r="105" spans="1:16" x14ac:dyDescent="0.2">
      <c r="A105" s="14">
        <v>46083</v>
      </c>
      <c r="B105" s="21">
        <v>154.22</v>
      </c>
      <c r="C105" s="11">
        <v>1.12786885245902E-2</v>
      </c>
      <c r="D105" s="2">
        <f t="shared" si="24"/>
        <v>338.24391719185877</v>
      </c>
      <c r="E105" s="12">
        <f t="shared" si="25"/>
        <v>0.72100511967002545</v>
      </c>
      <c r="F105" s="23">
        <f t="shared" si="26"/>
        <v>52163.976909328456</v>
      </c>
      <c r="G105" s="21">
        <v>398.55</v>
      </c>
      <c r="H105" s="11">
        <v>1.4793502062433199E-2</v>
      </c>
      <c r="I105" s="3">
        <f t="shared" si="27"/>
        <v>130.88439821685725</v>
      </c>
      <c r="J105" s="6">
        <f t="shared" si="19"/>
        <v>0.27899488032997444</v>
      </c>
      <c r="K105" s="35">
        <f t="shared" si="20"/>
        <v>52163.976909328456</v>
      </c>
      <c r="L105" s="39">
        <f t="shared" si="28"/>
        <v>469.12831540871605</v>
      </c>
      <c r="M105" s="3">
        <f t="shared" si="29"/>
        <v>104327.95381865691</v>
      </c>
      <c r="N105" s="41">
        <f t="shared" si="23"/>
        <v>1.3036095293511581E-2</v>
      </c>
      <c r="P105"/>
    </row>
    <row r="106" spans="1:16" x14ac:dyDescent="0.2">
      <c r="A106" s="14">
        <v>46084</v>
      </c>
      <c r="B106" s="21">
        <v>151.83000000000001</v>
      </c>
      <c r="C106" s="11">
        <v>-1.54973414602515E-2</v>
      </c>
      <c r="D106" s="2">
        <f t="shared" si="24"/>
        <v>343.22501784553469</v>
      </c>
      <c r="E106" s="12">
        <f t="shared" si="25"/>
        <v>0.72680653519504823</v>
      </c>
      <c r="F106" s="23">
        <f t="shared" si="26"/>
        <v>52111.854459487535</v>
      </c>
      <c r="G106" s="21">
        <v>403.93</v>
      </c>
      <c r="H106" s="11">
        <v>1.34989336344248E-2</v>
      </c>
      <c r="I106" s="3">
        <f t="shared" si="27"/>
        <v>129.01209234146395</v>
      </c>
      <c r="J106" s="6">
        <f t="shared" si="19"/>
        <v>0.27319346480495182</v>
      </c>
      <c r="K106" s="35">
        <f t="shared" si="20"/>
        <v>52111.854459487535</v>
      </c>
      <c r="L106" s="39">
        <f t="shared" si="28"/>
        <v>472.23711018699862</v>
      </c>
      <c r="M106" s="3">
        <f t="shared" si="29"/>
        <v>104223.70891897507</v>
      </c>
      <c r="N106" s="41">
        <f t="shared" si="23"/>
        <v>-9.9920391291331932E-4</v>
      </c>
      <c r="P106"/>
    </row>
    <row r="107" spans="1:16" x14ac:dyDescent="0.2">
      <c r="A107" s="14">
        <v>46085</v>
      </c>
      <c r="B107" s="21">
        <v>149.82</v>
      </c>
      <c r="C107" s="11">
        <v>-1.3238490416913801E-2</v>
      </c>
      <c r="D107" s="2">
        <f t="shared" si="24"/>
        <v>346.07419566940064</v>
      </c>
      <c r="E107" s="12">
        <f t="shared" si="25"/>
        <v>0.73006378148535189</v>
      </c>
      <c r="F107" s="23">
        <f t="shared" si="26"/>
        <v>51848.835995189598</v>
      </c>
      <c r="G107" s="21">
        <v>405.2</v>
      </c>
      <c r="H107" s="11">
        <v>3.1441091278191298E-3</v>
      </c>
      <c r="I107" s="3">
        <f t="shared" si="27"/>
        <v>127.95862782623297</v>
      </c>
      <c r="J107" s="6">
        <f t="shared" si="19"/>
        <v>0.26993621851464811</v>
      </c>
      <c r="K107" s="35">
        <f t="shared" si="20"/>
        <v>51848.835995189598</v>
      </c>
      <c r="L107" s="39">
        <f t="shared" si="28"/>
        <v>474.03282349563358</v>
      </c>
      <c r="M107" s="3">
        <f t="shared" si="29"/>
        <v>103697.6719903792</v>
      </c>
      <c r="N107" s="41">
        <f t="shared" si="23"/>
        <v>-5.0471906445473114E-3</v>
      </c>
      <c r="P107"/>
    </row>
    <row r="108" spans="1:16" x14ac:dyDescent="0.2">
      <c r="A108" s="14">
        <v>46086</v>
      </c>
      <c r="B108" s="21">
        <v>150.76</v>
      </c>
      <c r="C108" s="11">
        <v>6.2741957015084596E-3</v>
      </c>
      <c r="D108" s="2">
        <f t="shared" si="24"/>
        <v>347.32089086891813</v>
      </c>
      <c r="E108" s="12">
        <f t="shared" si="25"/>
        <v>0.73147620404673697</v>
      </c>
      <c r="F108" s="23">
        <f t="shared" si="26"/>
        <v>52362.097507398095</v>
      </c>
      <c r="G108" s="21">
        <v>410.68</v>
      </c>
      <c r="H108" s="11">
        <v>1.3524185587364301E-2</v>
      </c>
      <c r="I108" s="3">
        <f t="shared" si="27"/>
        <v>127.50096792490039</v>
      </c>
      <c r="J108" s="6">
        <f t="shared" si="19"/>
        <v>0.26852379595326303</v>
      </c>
      <c r="K108" s="35">
        <f t="shared" si="20"/>
        <v>52362.097507398095</v>
      </c>
      <c r="L108" s="39">
        <f t="shared" si="28"/>
        <v>474.82185879381854</v>
      </c>
      <c r="M108" s="3">
        <f t="shared" si="29"/>
        <v>104724.19501479619</v>
      </c>
      <c r="N108" s="41">
        <f t="shared" si="23"/>
        <v>9.8991906444363814E-3</v>
      </c>
      <c r="P108"/>
    </row>
    <row r="109" spans="1:16" x14ac:dyDescent="0.2">
      <c r="A109" s="14">
        <v>46087</v>
      </c>
      <c r="B109" s="21">
        <v>151.21</v>
      </c>
      <c r="C109" s="11">
        <v>2.9848766250996101E-3</v>
      </c>
      <c r="D109" s="2">
        <f t="shared" si="24"/>
        <v>346.07892252779703</v>
      </c>
      <c r="E109" s="12">
        <f t="shared" si="25"/>
        <v>0.73006408768766629</v>
      </c>
      <c r="F109" s="23">
        <f t="shared" si="26"/>
        <v>52330.593875428189</v>
      </c>
      <c r="G109" s="21">
        <v>408.96</v>
      </c>
      <c r="H109" s="11">
        <v>-4.1881757085809601E-3</v>
      </c>
      <c r="I109" s="3">
        <f t="shared" si="27"/>
        <v>127.96017672982245</v>
      </c>
      <c r="J109" s="6">
        <f t="shared" si="19"/>
        <v>0.26993591231233377</v>
      </c>
      <c r="K109" s="35">
        <f t="shared" si="20"/>
        <v>52330.593875428189</v>
      </c>
      <c r="L109" s="39">
        <f t="shared" si="28"/>
        <v>474.03909925761945</v>
      </c>
      <c r="M109" s="3">
        <f t="shared" si="29"/>
        <v>104661.18775085638</v>
      </c>
      <c r="N109" s="41">
        <f t="shared" si="23"/>
        <v>-6.0164954174067424E-4</v>
      </c>
      <c r="P109"/>
    </row>
    <row r="110" spans="1:16" x14ac:dyDescent="0.2">
      <c r="A110" s="14">
        <v>46090</v>
      </c>
      <c r="B110" s="21">
        <v>150.44</v>
      </c>
      <c r="C110" s="11">
        <v>-5.0922558031876904E-3</v>
      </c>
      <c r="D110" s="2">
        <f t="shared" si="24"/>
        <v>347.1559726802659</v>
      </c>
      <c r="E110" s="12">
        <f t="shared" si="25"/>
        <v>0.73128516566937574</v>
      </c>
      <c r="F110" s="23">
        <f t="shared" si="26"/>
        <v>52226.144530019199</v>
      </c>
      <c r="G110" s="21">
        <v>409.41</v>
      </c>
      <c r="H110" s="11">
        <v>1.10035211267617E-3</v>
      </c>
      <c r="I110" s="3">
        <f t="shared" si="27"/>
        <v>127.56440861244033</v>
      </c>
      <c r="J110" s="6">
        <f t="shared" si="19"/>
        <v>0.26871483433062426</v>
      </c>
      <c r="K110" s="35">
        <f t="shared" si="20"/>
        <v>52226.144530019199</v>
      </c>
      <c r="L110" s="39">
        <f t="shared" si="28"/>
        <v>474.72038129270624</v>
      </c>
      <c r="M110" s="3">
        <f t="shared" si="29"/>
        <v>104452.2890600384</v>
      </c>
      <c r="N110" s="41">
        <f t="shared" si="23"/>
        <v>-1.9959518452557427E-3</v>
      </c>
      <c r="P110"/>
    </row>
    <row r="111" spans="1:16" x14ac:dyDescent="0.2">
      <c r="A111" s="14">
        <v>46091</v>
      </c>
      <c r="B111" s="21">
        <v>148.13</v>
      </c>
      <c r="C111" s="11">
        <v>-1.5354958787556499E-2</v>
      </c>
      <c r="D111" s="2">
        <f t="shared" si="24"/>
        <v>348.29119243810021</v>
      </c>
      <c r="E111" s="12">
        <f t="shared" si="25"/>
        <v>0.73256422755420758</v>
      </c>
      <c r="F111" s="23">
        <f t="shared" si="26"/>
        <v>51592.374335855784</v>
      </c>
      <c r="G111" s="21">
        <v>405.76</v>
      </c>
      <c r="H111" s="11">
        <v>-8.9152683129382106E-3</v>
      </c>
      <c r="I111" s="3">
        <f t="shared" si="27"/>
        <v>127.14997618260988</v>
      </c>
      <c r="J111" s="6">
        <f t="shared" si="19"/>
        <v>0.26743577244579247</v>
      </c>
      <c r="K111" s="35">
        <f t="shared" si="20"/>
        <v>51592.374335855784</v>
      </c>
      <c r="L111" s="39">
        <f t="shared" si="28"/>
        <v>475.44116862071007</v>
      </c>
      <c r="M111" s="3">
        <f t="shared" si="29"/>
        <v>103184.74867171157</v>
      </c>
      <c r="N111" s="41">
        <f t="shared" si="23"/>
        <v>-1.2135113550247397E-2</v>
      </c>
      <c r="P111"/>
    </row>
    <row r="112" spans="1:16" x14ac:dyDescent="0.2">
      <c r="A112" s="14">
        <v>46092</v>
      </c>
      <c r="B112" s="21">
        <v>151.58000000000001</v>
      </c>
      <c r="C112" s="11">
        <v>2.3290353068250998E-2</v>
      </c>
      <c r="D112" s="2">
        <f t="shared" si="24"/>
        <v>343.95850807026756</v>
      </c>
      <c r="E112" s="12">
        <f t="shared" si="25"/>
        <v>0.72759946806598852</v>
      </c>
      <c r="F112" s="23">
        <f t="shared" si="26"/>
        <v>52137.230653291161</v>
      </c>
      <c r="G112" s="21">
        <v>404.88</v>
      </c>
      <c r="H112" s="11">
        <v>-2.1687697160883198E-3</v>
      </c>
      <c r="I112" s="3">
        <f t="shared" si="27"/>
        <v>128.7720575313455</v>
      </c>
      <c r="J112" s="6">
        <f t="shared" si="19"/>
        <v>0.27240053193401143</v>
      </c>
      <c r="K112" s="35">
        <f t="shared" si="20"/>
        <v>52137.230653291161</v>
      </c>
      <c r="L112" s="39">
        <f t="shared" si="28"/>
        <v>472.73056560161308</v>
      </c>
      <c r="M112" s="3">
        <f t="shared" si="29"/>
        <v>104274.46130658232</v>
      </c>
      <c r="N112" s="41">
        <f t="shared" si="23"/>
        <v>1.0560791676081309E-2</v>
      </c>
      <c r="P112"/>
    </row>
    <row r="113" spans="1:16" x14ac:dyDescent="0.2">
      <c r="A113" s="14">
        <v>46093</v>
      </c>
      <c r="B113" s="21">
        <v>153.53</v>
      </c>
      <c r="C113" s="11">
        <v>1.2864493996569399E-2</v>
      </c>
      <c r="D113" s="2">
        <f t="shared" si="24"/>
        <v>340.5076818327841</v>
      </c>
      <c r="E113" s="12">
        <f t="shared" si="25"/>
        <v>0.72356362195934387</v>
      </c>
      <c r="F113" s="23">
        <f t="shared" si="26"/>
        <v>52278.14439178734</v>
      </c>
      <c r="G113" s="21">
        <v>401.86</v>
      </c>
      <c r="H113" s="11">
        <v>-7.4590001975893602E-3</v>
      </c>
      <c r="I113" s="3">
        <f t="shared" si="27"/>
        <v>130.09044043146204</v>
      </c>
      <c r="J113" s="6">
        <f t="shared" si="19"/>
        <v>0.27643637804065607</v>
      </c>
      <c r="K113" s="35">
        <f t="shared" si="20"/>
        <v>52278.14439178734</v>
      </c>
      <c r="L113" s="39">
        <f t="shared" si="28"/>
        <v>470.59812226424617</v>
      </c>
      <c r="M113" s="3">
        <f t="shared" si="29"/>
        <v>104556.28878357468</v>
      </c>
      <c r="N113" s="41">
        <f t="shared" si="23"/>
        <v>2.7027468994900365E-3</v>
      </c>
      <c r="P113"/>
    </row>
    <row r="114" spans="1:16" x14ac:dyDescent="0.2">
      <c r="A114" s="14">
        <v>46094</v>
      </c>
      <c r="B114" s="21">
        <v>156.12</v>
      </c>
      <c r="C114" s="11">
        <v>1.6869667166026201E-2</v>
      </c>
      <c r="D114" s="2">
        <f t="shared" si="24"/>
        <v>335.0542307212371</v>
      </c>
      <c r="E114" s="12">
        <f t="shared" si="25"/>
        <v>0.71700473108923812</v>
      </c>
      <c r="F114" s="23">
        <f t="shared" si="26"/>
        <v>52308.666500199535</v>
      </c>
      <c r="G114" s="21">
        <v>395.55</v>
      </c>
      <c r="H114" s="11">
        <v>-1.5701985766187199E-2</v>
      </c>
      <c r="I114" s="3">
        <f t="shared" si="27"/>
        <v>132.24286815876511</v>
      </c>
      <c r="J114" s="6">
        <f t="shared" si="19"/>
        <v>0.28299526891076188</v>
      </c>
      <c r="K114" s="35">
        <f t="shared" si="20"/>
        <v>52308.666500199535</v>
      </c>
      <c r="L114" s="39">
        <f t="shared" si="28"/>
        <v>467.29709888000218</v>
      </c>
      <c r="M114" s="3">
        <f t="shared" si="29"/>
        <v>104617.33300039907</v>
      </c>
      <c r="N114" s="41">
        <f t="shared" si="23"/>
        <v>5.8384069991952172E-4</v>
      </c>
      <c r="P114"/>
    </row>
    <row r="115" spans="1:16" x14ac:dyDescent="0.2">
      <c r="A115" s="14">
        <v>46097</v>
      </c>
      <c r="B115" s="21">
        <v>157.22999999999999</v>
      </c>
      <c r="C115" s="11">
        <v>7.1099154496540203E-3</v>
      </c>
      <c r="D115" s="2">
        <f t="shared" si="24"/>
        <v>335.72190999299823</v>
      </c>
      <c r="E115" s="12">
        <f t="shared" si="25"/>
        <v>0.71781112028428873</v>
      </c>
      <c r="F115" s="23">
        <f t="shared" si="26"/>
        <v>52785.555908199109</v>
      </c>
      <c r="G115" s="21">
        <v>399.95</v>
      </c>
      <c r="H115" s="11">
        <v>1.1123751738086199E-2</v>
      </c>
      <c r="I115" s="3">
        <f t="shared" si="27"/>
        <v>131.98038731891265</v>
      </c>
      <c r="J115" s="6">
        <f t="shared" si="19"/>
        <v>0.28218887971571127</v>
      </c>
      <c r="K115" s="35">
        <f t="shared" si="20"/>
        <v>52785.555908199109</v>
      </c>
      <c r="L115" s="39">
        <f t="shared" si="28"/>
        <v>467.70229731191091</v>
      </c>
      <c r="M115" s="3">
        <f t="shared" si="29"/>
        <v>105571.11181639822</v>
      </c>
      <c r="N115" s="41">
        <f t="shared" si="23"/>
        <v>9.1168335938702303E-3</v>
      </c>
      <c r="P115"/>
    </row>
    <row r="116" spans="1:16" x14ac:dyDescent="0.2">
      <c r="A116" s="14">
        <v>46098</v>
      </c>
      <c r="B116" s="21">
        <v>158.81</v>
      </c>
      <c r="C116" s="11">
        <v>1.0048972842333E-2</v>
      </c>
      <c r="D116" s="2">
        <f t="shared" si="24"/>
        <v>333.82747630827703</v>
      </c>
      <c r="E116" s="12">
        <f t="shared" si="25"/>
        <v>0.71550643115617496</v>
      </c>
      <c r="F116" s="23">
        <f t="shared" si="26"/>
        <v>53015.141512517475</v>
      </c>
      <c r="G116" s="21">
        <v>399.41</v>
      </c>
      <c r="H116" s="11">
        <v>-1.3501687710963E-3</v>
      </c>
      <c r="I116" s="3">
        <f t="shared" si="27"/>
        <v>132.73363589423769</v>
      </c>
      <c r="J116" s="6">
        <f t="shared" si="19"/>
        <v>0.28449356884382504</v>
      </c>
      <c r="K116" s="35">
        <f t="shared" si="20"/>
        <v>53015.141512517475</v>
      </c>
      <c r="L116" s="39">
        <f t="shared" si="28"/>
        <v>466.56111220251472</v>
      </c>
      <c r="M116" s="3">
        <f t="shared" si="29"/>
        <v>106030.28302503495</v>
      </c>
      <c r="N116" s="41">
        <f t="shared" si="23"/>
        <v>4.349402035618336E-3</v>
      </c>
      <c r="P116"/>
    </row>
    <row r="117" spans="1:16" x14ac:dyDescent="0.2">
      <c r="A117" s="14">
        <v>46099</v>
      </c>
      <c r="B117" s="21">
        <v>157.59</v>
      </c>
      <c r="C117" s="11">
        <v>-7.68213588564951E-3</v>
      </c>
      <c r="D117" s="2">
        <f t="shared" si="24"/>
        <v>331.91060092145688</v>
      </c>
      <c r="E117" s="12">
        <f t="shared" si="25"/>
        <v>0.71314936837889986</v>
      </c>
      <c r="F117" s="23">
        <f t="shared" si="26"/>
        <v>52305.791599212389</v>
      </c>
      <c r="G117" s="21">
        <v>391.79</v>
      </c>
      <c r="H117" s="11">
        <v>-1.90781402568789E-2</v>
      </c>
      <c r="I117" s="3">
        <f t="shared" si="27"/>
        <v>133.50466218946983</v>
      </c>
      <c r="J117" s="6">
        <f t="shared" si="19"/>
        <v>0.28685063162110008</v>
      </c>
      <c r="K117" s="35">
        <f t="shared" si="20"/>
        <v>52305.791599212389</v>
      </c>
      <c r="L117" s="39">
        <f t="shared" si="28"/>
        <v>465.41526311092673</v>
      </c>
      <c r="M117" s="3">
        <f t="shared" si="29"/>
        <v>104611.58319842478</v>
      </c>
      <c r="N117" s="41">
        <f t="shared" si="23"/>
        <v>-1.3380138071264052E-2</v>
      </c>
      <c r="P117"/>
    </row>
    <row r="118" spans="1:16" x14ac:dyDescent="0.2">
      <c r="A118" s="14">
        <v>46100</v>
      </c>
      <c r="B118" s="21">
        <v>158.16</v>
      </c>
      <c r="C118" s="11">
        <v>3.6169807728916401E-3</v>
      </c>
      <c r="D118" s="2">
        <f t="shared" si="24"/>
        <v>330.14341276771989</v>
      </c>
      <c r="E118" s="12">
        <f t="shared" si="25"/>
        <v>0.71095434774662813</v>
      </c>
      <c r="F118" s="23">
        <f t="shared" si="26"/>
        <v>52215.482163342582</v>
      </c>
      <c r="G118" s="21">
        <v>389.02</v>
      </c>
      <c r="H118" s="11">
        <v>-7.0701140917329101E-3</v>
      </c>
      <c r="I118" s="3">
        <f t="shared" si="27"/>
        <v>134.22313033608191</v>
      </c>
      <c r="J118" s="6">
        <f t="shared" si="19"/>
        <v>0.28904565225337187</v>
      </c>
      <c r="K118" s="35">
        <f t="shared" si="20"/>
        <v>52215.482163342582</v>
      </c>
      <c r="L118" s="39">
        <f t="shared" si="28"/>
        <v>464.3665431038018</v>
      </c>
      <c r="M118" s="3">
        <f t="shared" si="29"/>
        <v>104430.96432668516</v>
      </c>
      <c r="N118" s="41">
        <f t="shared" si="23"/>
        <v>-1.7265666594206953E-3</v>
      </c>
      <c r="P118"/>
    </row>
    <row r="119" spans="1:16" x14ac:dyDescent="0.2">
      <c r="A119" s="14">
        <v>46101</v>
      </c>
      <c r="B119" s="21">
        <v>159.66999999999999</v>
      </c>
      <c r="C119" s="11">
        <v>9.5472938796155194E-3</v>
      </c>
      <c r="D119" s="2">
        <f t="shared" si="24"/>
        <v>325.57708241392072</v>
      </c>
      <c r="E119" s="12">
        <f t="shared" si="25"/>
        <v>0.7051556671714001</v>
      </c>
      <c r="F119" s="23">
        <f t="shared" si="26"/>
        <v>51984.892749030718</v>
      </c>
      <c r="G119" s="21">
        <v>381.87</v>
      </c>
      <c r="H119" s="11">
        <v>-1.83795177625828E-2</v>
      </c>
      <c r="I119" s="3">
        <f t="shared" si="27"/>
        <v>136.1324344646888</v>
      </c>
      <c r="J119" s="6">
        <f t="shared" si="19"/>
        <v>0.2948443328285999</v>
      </c>
      <c r="K119" s="35">
        <f t="shared" si="20"/>
        <v>51984.892749030718</v>
      </c>
      <c r="L119" s="39">
        <f t="shared" si="28"/>
        <v>461.70951687860952</v>
      </c>
      <c r="M119" s="3">
        <f t="shared" si="29"/>
        <v>103969.78549806144</v>
      </c>
      <c r="N119" s="41">
        <f t="shared" si="23"/>
        <v>-4.4161119414836544E-3</v>
      </c>
      <c r="P119"/>
    </row>
    <row r="120" spans="1:16" x14ac:dyDescent="0.2">
      <c r="A120" s="14">
        <v>46104</v>
      </c>
      <c r="B120" s="21">
        <v>161.13</v>
      </c>
      <c r="C120" s="11">
        <v>9.1438592096198899E-3</v>
      </c>
      <c r="D120" s="2">
        <f t="shared" si="24"/>
        <v>324.57940076128239</v>
      </c>
      <c r="E120" s="12">
        <f t="shared" si="25"/>
        <v>0.70387591200632205</v>
      </c>
      <c r="F120" s="23">
        <f t="shared" si="26"/>
        <v>52299.478844665427</v>
      </c>
      <c r="G120" s="21">
        <v>383</v>
      </c>
      <c r="H120" s="11">
        <v>2.9591222143661301E-3</v>
      </c>
      <c r="I120" s="3">
        <f t="shared" si="27"/>
        <v>136.55216408528833</v>
      </c>
      <c r="J120" s="6">
        <f t="shared" si="19"/>
        <v>0.29612408799367795</v>
      </c>
      <c r="K120" s="35">
        <f t="shared" si="20"/>
        <v>52299.478844665427</v>
      </c>
      <c r="L120" s="39">
        <f t="shared" si="28"/>
        <v>461.13156484657071</v>
      </c>
      <c r="M120" s="3">
        <f t="shared" si="29"/>
        <v>104598.95768933085</v>
      </c>
      <c r="N120" s="41">
        <f t="shared" si="23"/>
        <v>6.0514907119929616E-3</v>
      </c>
      <c r="P120"/>
    </row>
    <row r="121" spans="1:16" x14ac:dyDescent="0.2">
      <c r="A121" s="14">
        <v>46105</v>
      </c>
      <c r="B121" s="21">
        <v>165.38</v>
      </c>
      <c r="C121" s="11">
        <v>2.6376217960652901E-2</v>
      </c>
      <c r="D121" s="2">
        <f t="shared" si="24"/>
        <v>316.17304069129051</v>
      </c>
      <c r="E121" s="12">
        <f t="shared" si="25"/>
        <v>0.69267077975172819</v>
      </c>
      <c r="F121" s="23">
        <f t="shared" si="26"/>
        <v>52288.697469525621</v>
      </c>
      <c r="G121" s="21">
        <v>372.74</v>
      </c>
      <c r="H121" s="11">
        <v>-2.67885117493472E-2</v>
      </c>
      <c r="I121" s="3">
        <f t="shared" si="27"/>
        <v>140.28195919280361</v>
      </c>
      <c r="J121" s="6">
        <f t="shared" si="19"/>
        <v>0.3073292202482717</v>
      </c>
      <c r="K121" s="35">
        <f t="shared" si="20"/>
        <v>52288.697469525621</v>
      </c>
      <c r="L121" s="39">
        <f t="shared" si="28"/>
        <v>456.45499988409415</v>
      </c>
      <c r="M121" s="3">
        <f t="shared" si="29"/>
        <v>104577.39493905124</v>
      </c>
      <c r="N121" s="41">
        <f t="shared" si="23"/>
        <v>-2.0614689434722525E-4</v>
      </c>
      <c r="P121"/>
    </row>
    <row r="122" spans="1:16" x14ac:dyDescent="0.2">
      <c r="A122" s="14">
        <v>46106</v>
      </c>
      <c r="B122" s="21">
        <v>163.26</v>
      </c>
      <c r="C122" s="11">
        <v>-1.28189623896481E-2</v>
      </c>
      <c r="D122" s="2">
        <f t="shared" si="24"/>
        <v>317.49549418766981</v>
      </c>
      <c r="E122" s="12">
        <f t="shared" si="25"/>
        <v>0.6944413250982594</v>
      </c>
      <c r="F122" s="23">
        <f t="shared" si="26"/>
        <v>51834.31438107897</v>
      </c>
      <c r="G122" s="21">
        <v>371.04</v>
      </c>
      <c r="H122" s="11">
        <v>-4.5608198744432797E-3</v>
      </c>
      <c r="I122" s="3">
        <f t="shared" si="27"/>
        <v>139.70007110036374</v>
      </c>
      <c r="J122" s="6">
        <f t="shared" si="19"/>
        <v>0.30555867490174055</v>
      </c>
      <c r="K122" s="35">
        <f t="shared" si="20"/>
        <v>51834.31438107897</v>
      </c>
      <c r="L122" s="39">
        <f t="shared" si="28"/>
        <v>457.19556528803355</v>
      </c>
      <c r="M122" s="3">
        <f t="shared" si="29"/>
        <v>103668.62876215794</v>
      </c>
      <c r="N122" s="41">
        <f t="shared" si="23"/>
        <v>-8.6898911320457076E-3</v>
      </c>
      <c r="P122"/>
    </row>
    <row r="123" spans="1:16" x14ac:dyDescent="0.2">
      <c r="A123" s="14">
        <v>46107</v>
      </c>
      <c r="B123" s="21">
        <v>165.43</v>
      </c>
      <c r="C123" s="11">
        <v>1.32916819796644E-2</v>
      </c>
      <c r="D123" s="2">
        <f t="shared" si="24"/>
        <v>313.27242526768526</v>
      </c>
      <c r="E123" s="12">
        <f t="shared" si="25"/>
        <v>0.68869025216409485</v>
      </c>
      <c r="F123" s="23">
        <f t="shared" si="26"/>
        <v>51824.657312033174</v>
      </c>
      <c r="G123" s="21">
        <v>365.97</v>
      </c>
      <c r="H123" s="11">
        <v>-1.36642949547218E-2</v>
      </c>
      <c r="I123" s="3">
        <f t="shared" si="27"/>
        <v>141.60903164749342</v>
      </c>
      <c r="J123" s="6">
        <f t="shared" si="19"/>
        <v>0.31130974783590515</v>
      </c>
      <c r="K123" s="35">
        <f t="shared" si="20"/>
        <v>51824.657312033174</v>
      </c>
      <c r="L123" s="39">
        <f t="shared" si="28"/>
        <v>454.88145691517866</v>
      </c>
      <c r="M123" s="3">
        <f t="shared" si="29"/>
        <v>103649.31462406635</v>
      </c>
      <c r="N123" s="41">
        <f t="shared" si="23"/>
        <v>-1.8630648752867004E-4</v>
      </c>
      <c r="P123"/>
    </row>
    <row r="124" spans="1:16" x14ac:dyDescent="0.2">
      <c r="A124" s="14">
        <v>46108</v>
      </c>
      <c r="B124" s="21">
        <v>170.99</v>
      </c>
      <c r="C124" s="11">
        <v>3.3609381611557798E-2</v>
      </c>
      <c r="D124" s="2">
        <f t="shared" si="24"/>
        <v>304.36957195566328</v>
      </c>
      <c r="E124" s="12">
        <f t="shared" si="25"/>
        <v>0.67600803395482789</v>
      </c>
      <c r="F124" s="23">
        <f t="shared" si="26"/>
        <v>52044.153108698869</v>
      </c>
      <c r="G124" s="21">
        <v>356.77</v>
      </c>
      <c r="H124" s="11">
        <v>-2.5138672568789901E-2</v>
      </c>
      <c r="I124" s="3">
        <f t="shared" si="27"/>
        <v>145.8759231681444</v>
      </c>
      <c r="J124" s="6">
        <f t="shared" si="19"/>
        <v>0.32399196604517211</v>
      </c>
      <c r="K124" s="35">
        <f t="shared" si="20"/>
        <v>52044.153108698869</v>
      </c>
      <c r="L124" s="39">
        <f t="shared" si="28"/>
        <v>450.2454951238077</v>
      </c>
      <c r="M124" s="3">
        <f t="shared" si="29"/>
        <v>104088.30621739774</v>
      </c>
      <c r="N124" s="41">
        <f t="shared" si="23"/>
        <v>4.2353545213839753E-3</v>
      </c>
      <c r="P124"/>
    </row>
    <row r="125" spans="1:16" x14ac:dyDescent="0.2">
      <c r="A125" s="14">
        <v>46111</v>
      </c>
      <c r="B125" s="21">
        <v>171.47</v>
      </c>
      <c r="C125" s="11">
        <v>2.8071817065324898E-3</v>
      </c>
      <c r="D125" s="2">
        <f t="shared" si="24"/>
        <v>304.87511484129789</v>
      </c>
      <c r="E125" s="12">
        <f t="shared" si="25"/>
        <v>0.67673397055219342</v>
      </c>
      <c r="F125" s="23">
        <f t="shared" si="26"/>
        <v>52276.93594183735</v>
      </c>
      <c r="G125" s="21">
        <v>358.96</v>
      </c>
      <c r="H125" s="11">
        <v>6.1384084984724002E-3</v>
      </c>
      <c r="I125" s="3">
        <f t="shared" si="27"/>
        <v>145.63443264385268</v>
      </c>
      <c r="J125" s="6">
        <f t="shared" si="19"/>
        <v>0.32326602944780652</v>
      </c>
      <c r="K125" s="35">
        <f t="shared" si="20"/>
        <v>52276.93594183735</v>
      </c>
      <c r="L125" s="39">
        <f t="shared" si="28"/>
        <v>450.50954748515056</v>
      </c>
      <c r="M125" s="3">
        <f t="shared" si="29"/>
        <v>104553.8718836747</v>
      </c>
      <c r="N125" s="41">
        <f t="shared" si="23"/>
        <v>4.4727951025025428E-3</v>
      </c>
      <c r="P125"/>
    </row>
    <row r="126" spans="1:16" x14ac:dyDescent="0.2">
      <c r="A126" s="14">
        <v>46112</v>
      </c>
      <c r="B126" s="21">
        <v>169.66</v>
      </c>
      <c r="C126" s="11">
        <v>-1.05557823525981E-2</v>
      </c>
      <c r="D126" s="2">
        <f t="shared" si="24"/>
        <v>311.31265447291509</v>
      </c>
      <c r="E126" s="12">
        <f t="shared" si="25"/>
        <v>0.68571587351573637</v>
      </c>
      <c r="F126" s="23">
        <f t="shared" si="26"/>
        <v>52817.304957874774</v>
      </c>
      <c r="G126" s="21">
        <v>370.17</v>
      </c>
      <c r="H126" s="11">
        <v>3.1229106307109501E-2</v>
      </c>
      <c r="I126" s="3">
        <f t="shared" si="27"/>
        <v>142.68391538448489</v>
      </c>
      <c r="J126" s="6">
        <f t="shared" si="19"/>
        <v>0.31428412648426352</v>
      </c>
      <c r="K126" s="35">
        <f t="shared" si="20"/>
        <v>52817.304957874774</v>
      </c>
      <c r="L126" s="39">
        <f t="shared" si="28"/>
        <v>453.9965698574</v>
      </c>
      <c r="M126" s="3">
        <f t="shared" si="29"/>
        <v>105634.60991574955</v>
      </c>
      <c r="N126" s="41">
        <f t="shared" si="23"/>
        <v>1.0336661977255746E-2</v>
      </c>
      <c r="P126"/>
    </row>
    <row r="127" spans="1:16" x14ac:dyDescent="0.2">
      <c r="A127" s="15">
        <v>46113</v>
      </c>
      <c r="B127" s="24">
        <v>160.78</v>
      </c>
      <c r="C127" s="26">
        <v>-5.2339974065778602E-2</v>
      </c>
      <c r="D127" s="27">
        <f t="shared" si="24"/>
        <v>319.55469091840553</v>
      </c>
      <c r="E127" s="28">
        <f t="shared" si="25"/>
        <v>0.69672734131849479</v>
      </c>
      <c r="F127" s="29">
        <f t="shared" si="26"/>
        <v>51378.003205861241</v>
      </c>
      <c r="G127" s="24">
        <v>369.37</v>
      </c>
      <c r="H127" s="26">
        <v>-2.16116919253319E-3</v>
      </c>
      <c r="I127" s="36">
        <f t="shared" si="27"/>
        <v>139.09630778314764</v>
      </c>
      <c r="J127" s="37">
        <f t="shared" si="19"/>
        <v>0.30327265868150527</v>
      </c>
      <c r="K127" s="38">
        <f t="shared" si="20"/>
        <v>51378.003205861241</v>
      </c>
      <c r="L127" s="42">
        <f t="shared" si="28"/>
        <v>458.65099870155314</v>
      </c>
      <c r="M127" s="36">
        <f t="shared" si="29"/>
        <v>102756.00641172248</v>
      </c>
      <c r="N127" s="43">
        <f t="shared" si="23"/>
        <v>-2.7250571629155809E-2</v>
      </c>
      <c r="P127"/>
    </row>
    <row r="129" spans="1:28" x14ac:dyDescent="0.2">
      <c r="A129" s="102"/>
      <c r="B129" s="64"/>
      <c r="C129" s="64"/>
      <c r="D129" s="103"/>
      <c r="E129" s="104"/>
      <c r="F129" s="103"/>
      <c r="G129" s="58"/>
    </row>
    <row r="130" spans="1:28" x14ac:dyDescent="0.2">
      <c r="A130" s="59" t="s">
        <v>41</v>
      </c>
      <c r="B130" t="s">
        <v>28</v>
      </c>
      <c r="C130" t="s">
        <v>42</v>
      </c>
      <c r="D130" t="s">
        <v>15</v>
      </c>
      <c r="E130" t="s">
        <v>43</v>
      </c>
      <c r="F130" s="5" t="s">
        <v>45</v>
      </c>
      <c r="G130" s="105" t="s">
        <v>44</v>
      </c>
      <c r="H130" s="4"/>
      <c r="I130" s="5"/>
      <c r="J130"/>
      <c r="L130" s="4"/>
      <c r="P130"/>
      <c r="R130" s="10"/>
    </row>
    <row r="131" spans="1:28" x14ac:dyDescent="0.2">
      <c r="A131" s="59">
        <v>0</v>
      </c>
      <c r="B131" s="3">
        <f>D$127*B$127*B4/B3</f>
        <v>52287.470959617611</v>
      </c>
      <c r="C131" s="3">
        <f>B131-F$127</f>
        <v>909.46775375636935</v>
      </c>
      <c r="D131" s="3">
        <f>I$127*G$127*G4/G3</f>
        <v>51538.391357180582</v>
      </c>
      <c r="E131" s="3">
        <f>D131-K$127</f>
        <v>160.38815131934098</v>
      </c>
      <c r="F131" s="5">
        <f>B131+D131</f>
        <v>103825.86231679819</v>
      </c>
      <c r="G131" s="105">
        <f t="shared" ref="G131:G162" si="30">F131-M$127</f>
        <v>1069.855905075703</v>
      </c>
      <c r="H131" s="4"/>
      <c r="I131" s="5"/>
      <c r="J131"/>
      <c r="L131" s="4"/>
      <c r="P131"/>
      <c r="R131" s="10"/>
    </row>
    <row r="132" spans="1:28" x14ac:dyDescent="0.2">
      <c r="A132" s="59">
        <v>1</v>
      </c>
      <c r="B132" s="3">
        <f t="shared" ref="B132:B195" si="31">D$127*B$127*B5/B4</f>
        <v>51804.414321996766</v>
      </c>
      <c r="C132" s="3">
        <f t="shared" ref="C132:C195" si="32">B132-F$127</f>
        <v>426.41111613552494</v>
      </c>
      <c r="D132" s="3">
        <f t="shared" ref="D132:D195" si="33">I$127*G$127*G5/G4</f>
        <v>52492.260857295987</v>
      </c>
      <c r="E132" s="3">
        <f t="shared" ref="E132:E195" si="34">D132-K$127</f>
        <v>1114.2576514347456</v>
      </c>
      <c r="F132" s="5">
        <f t="shared" ref="F132:F195" si="35">B132+D132</f>
        <v>104296.67517929275</v>
      </c>
      <c r="G132" s="105">
        <f t="shared" si="30"/>
        <v>1540.6687675702706</v>
      </c>
      <c r="H132" s="4"/>
      <c r="I132" s="5"/>
      <c r="J132"/>
      <c r="L132" s="4"/>
      <c r="P132"/>
      <c r="R132" s="10"/>
    </row>
    <row r="133" spans="1:28" x14ac:dyDescent="0.2">
      <c r="A133" s="59">
        <v>2</v>
      </c>
      <c r="B133" s="3">
        <f t="shared" si="31"/>
        <v>51404.996902817031</v>
      </c>
      <c r="C133" s="3">
        <f t="shared" si="32"/>
        <v>26.993696955789346</v>
      </c>
      <c r="D133" s="3">
        <f t="shared" si="33"/>
        <v>50931.846528950133</v>
      </c>
      <c r="E133" s="3">
        <f t="shared" si="34"/>
        <v>-446.15667691110866</v>
      </c>
      <c r="F133" s="5">
        <f t="shared" si="35"/>
        <v>102336.84343176716</v>
      </c>
      <c r="G133" s="105">
        <f t="shared" si="30"/>
        <v>-419.16297995531932</v>
      </c>
      <c r="H133" s="4"/>
      <c r="I133" s="131" t="s">
        <v>28</v>
      </c>
      <c r="J133" s="132"/>
      <c r="K133" s="132"/>
      <c r="L133" s="133"/>
      <c r="O133" s="57"/>
      <c r="P133" s="134" t="s">
        <v>28</v>
      </c>
      <c r="Q133" s="135"/>
      <c r="R133" s="136"/>
      <c r="S133" s="135" t="s">
        <v>15</v>
      </c>
      <c r="T133" s="135"/>
      <c r="U133" s="135"/>
      <c r="V133" s="134" t="s">
        <v>19</v>
      </c>
      <c r="W133" s="135"/>
      <c r="X133" s="136"/>
      <c r="Y133" s="132" t="s">
        <v>49</v>
      </c>
      <c r="Z133" s="132"/>
      <c r="AA133" s="133"/>
      <c r="AB133" s="98"/>
    </row>
    <row r="134" spans="1:28" x14ac:dyDescent="0.2">
      <c r="A134" s="59">
        <v>3</v>
      </c>
      <c r="B134" s="3">
        <f t="shared" si="31"/>
        <v>51270.085117559058</v>
      </c>
      <c r="C134" s="3">
        <f t="shared" si="32"/>
        <v>-107.91808830218361</v>
      </c>
      <c r="D134" s="3">
        <f t="shared" si="33"/>
        <v>51463.309635093465</v>
      </c>
      <c r="E134" s="3">
        <f t="shared" si="34"/>
        <v>85.306429232223309</v>
      </c>
      <c r="F134" s="5">
        <f t="shared" si="35"/>
        <v>102733.39475265253</v>
      </c>
      <c r="G134" s="105">
        <f t="shared" si="30"/>
        <v>-22.611659069953021</v>
      </c>
      <c r="H134" s="4"/>
      <c r="I134" s="109" t="s">
        <v>23</v>
      </c>
      <c r="J134" s="5" t="s">
        <v>46</v>
      </c>
      <c r="K134" s="5" t="s">
        <v>47</v>
      </c>
      <c r="L134" s="105" t="s">
        <v>48</v>
      </c>
      <c r="O134" s="59" t="s">
        <v>23</v>
      </c>
      <c r="P134" s="59" t="s">
        <v>46</v>
      </c>
      <c r="Q134" t="s">
        <v>47</v>
      </c>
      <c r="R134" s="40" t="s">
        <v>48</v>
      </c>
      <c r="S134" t="s">
        <v>46</v>
      </c>
      <c r="T134" t="s">
        <v>47</v>
      </c>
      <c r="U134" t="s">
        <v>48</v>
      </c>
      <c r="V134" s="59" t="s">
        <v>46</v>
      </c>
      <c r="W134" t="s">
        <v>47</v>
      </c>
      <c r="X134" s="99" t="s">
        <v>48</v>
      </c>
      <c r="Y134" s="5" t="s">
        <v>46</v>
      </c>
      <c r="Z134" s="5" t="s">
        <v>47</v>
      </c>
      <c r="AA134" s="105" t="s">
        <v>48</v>
      </c>
    </row>
    <row r="135" spans="1:28" x14ac:dyDescent="0.2">
      <c r="A135" s="59">
        <v>4</v>
      </c>
      <c r="B135" s="3">
        <f t="shared" si="31"/>
        <v>50877.831450392849</v>
      </c>
      <c r="C135" s="3">
        <f t="shared" si="32"/>
        <v>-500.1717554683928</v>
      </c>
      <c r="D135" s="3">
        <f t="shared" si="33"/>
        <v>51138.170667318111</v>
      </c>
      <c r="E135" s="3">
        <f t="shared" si="34"/>
        <v>-239.8325385431308</v>
      </c>
      <c r="F135" s="5">
        <f t="shared" si="35"/>
        <v>102016.00211771096</v>
      </c>
      <c r="G135" s="105">
        <f t="shared" si="30"/>
        <v>-740.0042940115236</v>
      </c>
      <c r="H135" s="4"/>
      <c r="I135" s="110">
        <v>1</v>
      </c>
      <c r="J135" s="69">
        <f>-_xlfn.PERCENTILE.INC(C131:C254, 0.05)</f>
        <v>1072.3696416235812</v>
      </c>
      <c r="K135" s="69">
        <f>-_xlfn.PERCENTILE.INC(C131:C254, 0.01)</f>
        <v>1838.0650100237106</v>
      </c>
      <c r="L135" s="70">
        <f>-_xlfn.PERCENTILE.INC(C131:C254, 0.005)</f>
        <v>2178.8826075201564</v>
      </c>
      <c r="M135" s="69"/>
      <c r="N135" s="69"/>
      <c r="O135" s="92">
        <v>1</v>
      </c>
      <c r="P135" s="92">
        <v>1072.3696416235812</v>
      </c>
      <c r="Q135" s="69">
        <v>1838.0650100237106</v>
      </c>
      <c r="R135" s="70">
        <v>2178.8826075201564</v>
      </c>
      <c r="S135" s="69">
        <v>1385.3843105974727</v>
      </c>
      <c r="T135" s="69">
        <v>2339.5422298565863</v>
      </c>
      <c r="U135">
        <v>3542.1149534397755</v>
      </c>
      <c r="V135" s="59">
        <v>1841.7511404028539</v>
      </c>
      <c r="W135">
        <v>3008.7409747806223</v>
      </c>
      <c r="X135" s="99">
        <v>3444.1300841724892</v>
      </c>
      <c r="Y135" s="69">
        <f>P135+S135-V135</f>
        <v>616.00281181819969</v>
      </c>
      <c r="Z135" s="69">
        <f t="shared" ref="Z135:AA135" si="36">Q135+T135-W135</f>
        <v>1168.8662650996748</v>
      </c>
      <c r="AA135" s="70">
        <f t="shared" si="36"/>
        <v>2276.8674767874422</v>
      </c>
    </row>
    <row r="136" spans="1:28" x14ac:dyDescent="0.2">
      <c r="A136" s="59">
        <v>5</v>
      </c>
      <c r="B136" s="3">
        <f t="shared" si="31"/>
        <v>50386.026879683079</v>
      </c>
      <c r="C136" s="3">
        <f t="shared" si="32"/>
        <v>-991.97632617816271</v>
      </c>
      <c r="D136" s="3">
        <f t="shared" si="33"/>
        <v>50252.880011613444</v>
      </c>
      <c r="E136" s="3">
        <f t="shared" si="34"/>
        <v>-1125.1231942477971</v>
      </c>
      <c r="F136" s="5">
        <f t="shared" si="35"/>
        <v>100638.90689129653</v>
      </c>
      <c r="G136" s="105">
        <f t="shared" si="30"/>
        <v>-2117.0995204259525</v>
      </c>
      <c r="H136" s="4"/>
      <c r="I136" s="110">
        <v>5</v>
      </c>
      <c r="J136" s="69">
        <f>J$135*SQRT($I136)</f>
        <v>2397.8914156774154</v>
      </c>
      <c r="K136" s="69">
        <f>K135*SQRT($I136)</f>
        <v>4110.0383094768495</v>
      </c>
      <c r="L136" s="70">
        <f>L135*SQRT($I136)</f>
        <v>4872.1296254070649</v>
      </c>
      <c r="M136" s="69"/>
      <c r="N136" s="69"/>
      <c r="O136" s="92">
        <v>2</v>
      </c>
      <c r="P136" s="92">
        <f>P$135*SQRT($O136)</f>
        <v>1516.5596910612442</v>
      </c>
      <c r="Q136" s="69">
        <f t="shared" ref="Q136:X151" si="37">Q$135*SQRT($O136)</f>
        <v>2599.4164656989706</v>
      </c>
      <c r="R136" s="70">
        <f t="shared" si="37"/>
        <v>3081.4053343738588</v>
      </c>
      <c r="S136" s="69">
        <f t="shared" si="37"/>
        <v>1959.2292811458462</v>
      </c>
      <c r="T136" s="69">
        <f t="shared" si="37"/>
        <v>3308.6123512077775</v>
      </c>
      <c r="U136" s="69">
        <f t="shared" si="37"/>
        <v>5009.3070066390746</v>
      </c>
      <c r="V136" s="92">
        <f>V$135*SQRT($O136)</f>
        <v>2604.6294412738307</v>
      </c>
      <c r="W136" s="69">
        <f t="shared" si="37"/>
        <v>4255.0022922024027</v>
      </c>
      <c r="X136" s="70">
        <f t="shared" si="37"/>
        <v>4870.7354756139239</v>
      </c>
      <c r="Y136" s="69">
        <f t="shared" ref="Y136:Y199" si="38">P136+S136-V136</f>
        <v>871.1595309332597</v>
      </c>
      <c r="Z136" s="69">
        <f t="shared" ref="Z136:Z199" si="39">Q136+T136-W136</f>
        <v>1653.0265247043453</v>
      </c>
      <c r="AA136" s="70">
        <f t="shared" ref="AA136:AA199" si="40">R136+U136-X136</f>
        <v>3219.9768653990095</v>
      </c>
    </row>
    <row r="137" spans="1:28" x14ac:dyDescent="0.2">
      <c r="A137" s="59">
        <v>6</v>
      </c>
      <c r="B137" s="3">
        <f t="shared" si="31"/>
        <v>52078.633431101465</v>
      </c>
      <c r="C137" s="3">
        <f t="shared" si="32"/>
        <v>700.63022524022381</v>
      </c>
      <c r="D137" s="3">
        <f t="shared" si="33"/>
        <v>51688.708603360283</v>
      </c>
      <c r="E137" s="3">
        <f t="shared" si="34"/>
        <v>310.70539749904128</v>
      </c>
      <c r="F137" s="5">
        <f t="shared" si="35"/>
        <v>103767.34203446175</v>
      </c>
      <c r="G137" s="105">
        <f t="shared" si="30"/>
        <v>1011.3356227392651</v>
      </c>
      <c r="H137" s="4"/>
      <c r="I137" s="110">
        <v>10</v>
      </c>
      <c r="J137" s="69">
        <f>J$135*SQRT($I137)</f>
        <v>3391.130561149022</v>
      </c>
      <c r="K137" s="69">
        <f t="shared" ref="K137:L139" si="41">K$135*SQRT($I137)</f>
        <v>5812.4719191351487</v>
      </c>
      <c r="L137" s="70">
        <f t="shared" si="41"/>
        <v>6890.231793890418</v>
      </c>
      <c r="M137" s="69"/>
      <c r="N137" s="69"/>
      <c r="O137" s="92">
        <v>3</v>
      </c>
      <c r="P137" s="92">
        <f t="shared" ref="P137:X168" si="42">P$135*SQRT($O137)</f>
        <v>1857.3987037864713</v>
      </c>
      <c r="Q137" s="69">
        <f t="shared" si="37"/>
        <v>3183.6219849756644</v>
      </c>
      <c r="R137" s="70">
        <f t="shared" si="37"/>
        <v>3773.9353799530677</v>
      </c>
      <c r="S137" s="69">
        <f t="shared" si="37"/>
        <v>2399.5560139636045</v>
      </c>
      <c r="T137" s="69">
        <f t="shared" si="37"/>
        <v>4052.2060085645921</v>
      </c>
      <c r="U137" s="69">
        <f t="shared" si="37"/>
        <v>6135.1230656071593</v>
      </c>
      <c r="V137" s="92">
        <f t="shared" si="37"/>
        <v>3190.0065500756637</v>
      </c>
      <c r="W137" s="69">
        <f t="shared" si="37"/>
        <v>5211.2922351343477</v>
      </c>
      <c r="X137" s="70">
        <f t="shared" si="37"/>
        <v>5965.4082936632249</v>
      </c>
      <c r="Y137" s="69">
        <f t="shared" si="38"/>
        <v>1066.9481676744117</v>
      </c>
      <c r="Z137" s="69">
        <f t="shared" si="39"/>
        <v>2024.5357584059093</v>
      </c>
      <c r="AA137" s="70">
        <f t="shared" si="40"/>
        <v>3943.6501518970026</v>
      </c>
    </row>
    <row r="138" spans="1:28" x14ac:dyDescent="0.2">
      <c r="A138" s="59">
        <v>7</v>
      </c>
      <c r="B138" s="3">
        <f t="shared" si="31"/>
        <v>51400.890769655729</v>
      </c>
      <c r="C138" s="3">
        <f t="shared" si="32"/>
        <v>22.887563794487505</v>
      </c>
      <c r="D138" s="3">
        <f t="shared" si="33"/>
        <v>51330.028414423032</v>
      </c>
      <c r="E138" s="3">
        <f t="shared" si="34"/>
        <v>-47.97479143820965</v>
      </c>
      <c r="F138" s="5">
        <f t="shared" si="35"/>
        <v>102730.91918407875</v>
      </c>
      <c r="G138" s="105">
        <f t="shared" si="30"/>
        <v>-25.08722764372942</v>
      </c>
      <c r="H138" s="4"/>
      <c r="I138" s="110">
        <v>50</v>
      </c>
      <c r="J138" s="69">
        <f>J$135*SQRT($I138)</f>
        <v>7582.7984553062206</v>
      </c>
      <c r="K138" s="69">
        <f t="shared" si="41"/>
        <v>12997.082328494853</v>
      </c>
      <c r="L138" s="70">
        <f t="shared" si="41"/>
        <v>15407.026671869295</v>
      </c>
      <c r="M138" s="69"/>
      <c r="N138" s="69"/>
      <c r="O138" s="92">
        <v>4</v>
      </c>
      <c r="P138" s="92">
        <f t="shared" si="42"/>
        <v>2144.7392832471623</v>
      </c>
      <c r="Q138" s="69">
        <f t="shared" si="37"/>
        <v>3676.1300200474211</v>
      </c>
      <c r="R138" s="70">
        <f t="shared" si="37"/>
        <v>4357.7652150403128</v>
      </c>
      <c r="S138" s="69">
        <f t="shared" si="37"/>
        <v>2770.7686211949454</v>
      </c>
      <c r="T138" s="69">
        <f t="shared" si="37"/>
        <v>4679.0844597131727</v>
      </c>
      <c r="U138" s="69">
        <f t="shared" si="37"/>
        <v>7084.229906879551</v>
      </c>
      <c r="V138" s="92">
        <f t="shared" si="37"/>
        <v>3683.5022808057079</v>
      </c>
      <c r="W138" s="69">
        <f t="shared" si="37"/>
        <v>6017.4819495612446</v>
      </c>
      <c r="X138" s="70">
        <f t="shared" si="37"/>
        <v>6888.2601683449784</v>
      </c>
      <c r="Y138" s="69">
        <f t="shared" si="38"/>
        <v>1232.0056236363994</v>
      </c>
      <c r="Z138" s="69">
        <f t="shared" si="39"/>
        <v>2337.7325301993496</v>
      </c>
      <c r="AA138" s="70">
        <f t="shared" si="40"/>
        <v>4553.7349535748845</v>
      </c>
    </row>
    <row r="139" spans="1:28" x14ac:dyDescent="0.2">
      <c r="A139" s="59">
        <v>8</v>
      </c>
      <c r="B139" s="3">
        <f t="shared" si="31"/>
        <v>51066.870939586544</v>
      </c>
      <c r="C139" s="3">
        <f t="shared" si="32"/>
        <v>-311.13226627469703</v>
      </c>
      <c r="D139" s="3">
        <f t="shared" si="33"/>
        <v>51363.997480353857</v>
      </c>
      <c r="E139" s="3">
        <f t="shared" si="34"/>
        <v>-14.005725507384341</v>
      </c>
      <c r="F139" s="5">
        <f t="shared" si="35"/>
        <v>102430.86841994041</v>
      </c>
      <c r="G139" s="105">
        <f t="shared" si="30"/>
        <v>-325.1379917820741</v>
      </c>
      <c r="H139" s="4"/>
      <c r="I139" s="111">
        <v>100</v>
      </c>
      <c r="J139" s="71">
        <f>J$135*SQRT($I139)</f>
        <v>10723.696416235813</v>
      </c>
      <c r="K139" s="71">
        <f t="shared" si="41"/>
        <v>18380.650100237104</v>
      </c>
      <c r="L139" s="72">
        <f t="shared" si="41"/>
        <v>21788.826075201563</v>
      </c>
      <c r="M139" s="69"/>
      <c r="N139" s="69"/>
      <c r="O139" s="92">
        <v>5</v>
      </c>
      <c r="P139" s="92">
        <f t="shared" si="42"/>
        <v>2397.8914156774154</v>
      </c>
      <c r="Q139" s="69">
        <f t="shared" si="37"/>
        <v>4110.0383094768495</v>
      </c>
      <c r="R139" s="70">
        <f t="shared" si="37"/>
        <v>4872.1296254070649</v>
      </c>
      <c r="S139" s="69">
        <f t="shared" si="37"/>
        <v>3097.8134934576315</v>
      </c>
      <c r="T139" s="69">
        <f t="shared" si="37"/>
        <v>5231.3754621907656</v>
      </c>
      <c r="U139" s="69">
        <f t="shared" si="37"/>
        <v>7920.4098200098406</v>
      </c>
      <c r="V139" s="92">
        <f t="shared" si="37"/>
        <v>4118.2807475785412</v>
      </c>
      <c r="W139" s="69">
        <f t="shared" si="37"/>
        <v>6727.7493462984521</v>
      </c>
      <c r="X139" s="70">
        <f t="shared" si="37"/>
        <v>7701.3089915617584</v>
      </c>
      <c r="Y139" s="69">
        <f t="shared" si="38"/>
        <v>1377.4241615565061</v>
      </c>
      <c r="Z139" s="69">
        <f t="shared" si="39"/>
        <v>2613.6644253691638</v>
      </c>
      <c r="AA139" s="70">
        <f t="shared" si="40"/>
        <v>5091.2304538551471</v>
      </c>
    </row>
    <row r="140" spans="1:28" x14ac:dyDescent="0.2">
      <c r="A140" s="59">
        <v>9</v>
      </c>
      <c r="B140" s="3">
        <f t="shared" si="31"/>
        <v>50931.478135440266</v>
      </c>
      <c r="C140" s="3">
        <f t="shared" si="32"/>
        <v>-446.52507042097568</v>
      </c>
      <c r="D140" s="3">
        <f t="shared" si="33"/>
        <v>51195.879126951433</v>
      </c>
      <c r="E140" s="3">
        <f t="shared" si="34"/>
        <v>-182.1240789098083</v>
      </c>
      <c r="F140" s="5">
        <f t="shared" si="35"/>
        <v>102127.3572623917</v>
      </c>
      <c r="G140" s="105">
        <f t="shared" si="30"/>
        <v>-628.64914933078398</v>
      </c>
      <c r="H140" s="4"/>
      <c r="I140" s="5"/>
      <c r="J140"/>
      <c r="L140" s="4"/>
      <c r="O140" s="92">
        <v>6</v>
      </c>
      <c r="P140" s="92">
        <f t="shared" si="42"/>
        <v>2626.7584376290347</v>
      </c>
      <c r="Q140" s="69">
        <f t="shared" si="37"/>
        <v>4502.3213886217382</v>
      </c>
      <c r="R140" s="70">
        <f t="shared" si="37"/>
        <v>5337.1505978492878</v>
      </c>
      <c r="S140" s="69">
        <f t="shared" si="37"/>
        <v>3393.4846586212534</v>
      </c>
      <c r="T140" s="69">
        <f t="shared" si="37"/>
        <v>5730.6846948417924</v>
      </c>
      <c r="U140" s="69">
        <f t="shared" si="37"/>
        <v>8676.3742462096434</v>
      </c>
      <c r="V140" s="92">
        <f t="shared" si="37"/>
        <v>4511.3505271760114</v>
      </c>
      <c r="W140" s="69">
        <f t="shared" si="37"/>
        <v>7369.8801564165942</v>
      </c>
      <c r="X140" s="70">
        <f t="shared" si="37"/>
        <v>8436.361313991476</v>
      </c>
      <c r="Y140" s="69">
        <f t="shared" si="38"/>
        <v>1508.8925690742763</v>
      </c>
      <c r="Z140" s="69">
        <f t="shared" si="39"/>
        <v>2863.1259270469354</v>
      </c>
      <c r="AA140" s="70">
        <f t="shared" si="40"/>
        <v>5577.1635300674552</v>
      </c>
    </row>
    <row r="141" spans="1:28" x14ac:dyDescent="0.2">
      <c r="A141" s="59">
        <v>10</v>
      </c>
      <c r="B141" s="3">
        <f t="shared" si="31"/>
        <v>52120.996744630014</v>
      </c>
      <c r="C141" s="3">
        <f t="shared" si="32"/>
        <v>742.99353876877285</v>
      </c>
      <c r="D141" s="3">
        <f t="shared" si="33"/>
        <v>51575.838796087293</v>
      </c>
      <c r="E141" s="3">
        <f t="shared" si="34"/>
        <v>197.83559022605186</v>
      </c>
      <c r="F141" s="5">
        <f t="shared" si="35"/>
        <v>103696.83554071731</v>
      </c>
      <c r="G141" s="105">
        <f t="shared" si="30"/>
        <v>940.82912899482471</v>
      </c>
      <c r="H141" s="4"/>
      <c r="I141" s="131" t="s">
        <v>15</v>
      </c>
      <c r="J141" s="132"/>
      <c r="K141" s="132"/>
      <c r="L141" s="133"/>
      <c r="O141" s="92">
        <v>7</v>
      </c>
      <c r="P141" s="92">
        <f t="shared" si="42"/>
        <v>2837.2233852714553</v>
      </c>
      <c r="Q141" s="69">
        <f t="shared" si="37"/>
        <v>4863.0629100921824</v>
      </c>
      <c r="R141" s="70">
        <f t="shared" si="37"/>
        <v>5764.7815155022881</v>
      </c>
      <c r="S141" s="69">
        <f t="shared" si="37"/>
        <v>3665.3823560915775</v>
      </c>
      <c r="T141" s="69">
        <f t="shared" si="37"/>
        <v>6189.8469219340395</v>
      </c>
      <c r="U141" s="69">
        <f t="shared" si="37"/>
        <v>9371.5552820047778</v>
      </c>
      <c r="V141" s="92">
        <f t="shared" si="37"/>
        <v>4872.8154943755562</v>
      </c>
      <c r="W141" s="69">
        <f t="shared" si="37"/>
        <v>7960.3803786795861</v>
      </c>
      <c r="X141" s="70">
        <f t="shared" si="37"/>
        <v>9112.3116856763627</v>
      </c>
      <c r="Y141" s="69">
        <f t="shared" si="38"/>
        <v>1629.7902469874771</v>
      </c>
      <c r="Z141" s="69">
        <f t="shared" si="39"/>
        <v>3092.5294533466358</v>
      </c>
      <c r="AA141" s="70">
        <f t="shared" si="40"/>
        <v>6024.0251118307024</v>
      </c>
    </row>
    <row r="142" spans="1:28" x14ac:dyDescent="0.2">
      <c r="A142" s="59">
        <v>11</v>
      </c>
      <c r="B142" s="3">
        <f t="shared" si="31"/>
        <v>51588.568792770515</v>
      </c>
      <c r="C142" s="3">
        <f t="shared" si="32"/>
        <v>210.56558690927341</v>
      </c>
      <c r="D142" s="3">
        <f t="shared" si="33"/>
        <v>51699.128230766437</v>
      </c>
      <c r="E142" s="3">
        <f t="shared" si="34"/>
        <v>321.12502490519546</v>
      </c>
      <c r="F142" s="5">
        <f t="shared" si="35"/>
        <v>103287.69702353695</v>
      </c>
      <c r="G142" s="105">
        <f t="shared" si="30"/>
        <v>531.69061181446887</v>
      </c>
      <c r="H142" s="4"/>
      <c r="I142" s="109" t="s">
        <v>23</v>
      </c>
      <c r="J142" s="5" t="s">
        <v>46</v>
      </c>
      <c r="K142" s="5" t="s">
        <v>47</v>
      </c>
      <c r="L142" s="105" t="s">
        <v>48</v>
      </c>
      <c r="O142" s="92">
        <v>8</v>
      </c>
      <c r="P142" s="92">
        <f t="shared" si="42"/>
        <v>3033.1193821224883</v>
      </c>
      <c r="Q142" s="69">
        <f t="shared" si="37"/>
        <v>5198.8329313979411</v>
      </c>
      <c r="R142" s="70">
        <f t="shared" si="37"/>
        <v>6162.8106687477175</v>
      </c>
      <c r="S142" s="69">
        <f t="shared" si="37"/>
        <v>3918.4585622916925</v>
      </c>
      <c r="T142" s="69">
        <f t="shared" si="37"/>
        <v>6617.2247024155549</v>
      </c>
      <c r="U142" s="69">
        <f t="shared" si="37"/>
        <v>10018.614013278149</v>
      </c>
      <c r="V142" s="92">
        <f t="shared" si="37"/>
        <v>5209.2588825476614</v>
      </c>
      <c r="W142" s="69">
        <f t="shared" si="37"/>
        <v>8510.0045844048054</v>
      </c>
      <c r="X142" s="70">
        <f t="shared" si="37"/>
        <v>9741.4709512278478</v>
      </c>
      <c r="Y142" s="69">
        <f t="shared" si="38"/>
        <v>1742.3190618665194</v>
      </c>
      <c r="Z142" s="69">
        <f t="shared" si="39"/>
        <v>3306.0530494086906</v>
      </c>
      <c r="AA142" s="70">
        <f t="shared" si="40"/>
        <v>6439.953730798019</v>
      </c>
    </row>
    <row r="143" spans="1:28" x14ac:dyDescent="0.2">
      <c r="A143" s="59">
        <v>12</v>
      </c>
      <c r="B143" s="3">
        <f t="shared" si="31"/>
        <v>51382.562034894589</v>
      </c>
      <c r="C143" s="3">
        <f t="shared" si="32"/>
        <v>4.5588290333471377</v>
      </c>
      <c r="D143" s="3">
        <f t="shared" si="33"/>
        <v>51464.496487056895</v>
      </c>
      <c r="E143" s="3">
        <f t="shared" si="34"/>
        <v>86.493281195653253</v>
      </c>
      <c r="F143" s="5">
        <f t="shared" si="35"/>
        <v>102847.05852195149</v>
      </c>
      <c r="G143" s="105">
        <f t="shared" si="30"/>
        <v>91.052110229007667</v>
      </c>
      <c r="H143" s="4"/>
      <c r="I143" s="110">
        <v>1</v>
      </c>
      <c r="J143" s="69">
        <f>-_xlfn.PERCENTILE.INC(E131:E254, 0.05)</f>
        <v>1385.3843105974727</v>
      </c>
      <c r="K143" s="69">
        <f>-_xlfn.PERCENTILE.INC(E131:E254, 0.01)</f>
        <v>2339.5422298565863</v>
      </c>
      <c r="L143" s="70">
        <f>-_xlfn.PERCENTILE.INC(E131:E254, 0.005)</f>
        <v>3542.1149534397755</v>
      </c>
      <c r="O143" s="92">
        <v>9</v>
      </c>
      <c r="P143" s="92">
        <f t="shared" si="42"/>
        <v>3217.1089248707435</v>
      </c>
      <c r="Q143" s="69">
        <f t="shared" si="37"/>
        <v>5514.1950300711314</v>
      </c>
      <c r="R143" s="70">
        <f t="shared" si="37"/>
        <v>6536.6478225604696</v>
      </c>
      <c r="S143" s="69">
        <f t="shared" si="37"/>
        <v>4156.1529317924178</v>
      </c>
      <c r="T143" s="69">
        <f t="shared" si="37"/>
        <v>7018.626689569759</v>
      </c>
      <c r="U143" s="69">
        <f t="shared" si="37"/>
        <v>10626.344860319326</v>
      </c>
      <c r="V143" s="92">
        <f t="shared" si="37"/>
        <v>5525.253421208562</v>
      </c>
      <c r="W143" s="69">
        <f t="shared" si="37"/>
        <v>9026.222924341866</v>
      </c>
      <c r="X143" s="70">
        <f t="shared" si="37"/>
        <v>10332.390252517467</v>
      </c>
      <c r="Y143" s="69">
        <f t="shared" si="38"/>
        <v>1848.0084354545988</v>
      </c>
      <c r="Z143" s="69">
        <f t="shared" si="39"/>
        <v>3506.5987952990254</v>
      </c>
      <c r="AA143" s="70">
        <f t="shared" si="40"/>
        <v>6830.6024303623308</v>
      </c>
    </row>
    <row r="144" spans="1:28" x14ac:dyDescent="0.2">
      <c r="A144" s="59">
        <v>13</v>
      </c>
      <c r="B144" s="3">
        <f t="shared" si="31"/>
        <v>52289.68811768559</v>
      </c>
      <c r="C144" s="3">
        <f t="shared" si="32"/>
        <v>911.68491182434809</v>
      </c>
      <c r="D144" s="3">
        <f t="shared" si="33"/>
        <v>51663.844586753876</v>
      </c>
      <c r="E144" s="3">
        <f t="shared" si="34"/>
        <v>285.84138089263433</v>
      </c>
      <c r="F144" s="5">
        <f t="shared" si="35"/>
        <v>103953.53270443947</v>
      </c>
      <c r="G144" s="105">
        <f t="shared" si="30"/>
        <v>1197.5262927169824</v>
      </c>
      <c r="H144" s="4"/>
      <c r="I144" s="110">
        <v>5</v>
      </c>
      <c r="J144" s="69">
        <f>J$143*SQRT($I144)</f>
        <v>3097.8134934576315</v>
      </c>
      <c r="K144" s="69">
        <f>K143*SQRT($I144)</f>
        <v>5231.3754621907656</v>
      </c>
      <c r="L144" s="70">
        <f>L143*SQRT($I144)</f>
        <v>7920.4098200098406</v>
      </c>
      <c r="O144" s="92">
        <v>10</v>
      </c>
      <c r="P144" s="92">
        <f t="shared" si="42"/>
        <v>3391.130561149022</v>
      </c>
      <c r="Q144" s="69">
        <f t="shared" si="37"/>
        <v>5812.4719191351487</v>
      </c>
      <c r="R144" s="70">
        <f t="shared" si="37"/>
        <v>6890.231793890418</v>
      </c>
      <c r="S144" s="69">
        <f t="shared" si="37"/>
        <v>4380.9698561501591</v>
      </c>
      <c r="T144" s="69">
        <f t="shared" si="37"/>
        <v>7398.2821284959991</v>
      </c>
      <c r="U144" s="69">
        <f t="shared" si="37"/>
        <v>11201.150987010962</v>
      </c>
      <c r="V144" s="92">
        <f t="shared" si="37"/>
        <v>5824.1284868855819</v>
      </c>
      <c r="W144" s="69">
        <f t="shared" si="37"/>
        <v>9514.4743697819958</v>
      </c>
      <c r="X144" s="70">
        <f t="shared" si="37"/>
        <v>10891.295623892503</v>
      </c>
      <c r="Y144" s="69">
        <f t="shared" si="38"/>
        <v>1947.9719304135997</v>
      </c>
      <c r="Z144" s="69">
        <f t="shared" si="39"/>
        <v>3696.279677849152</v>
      </c>
      <c r="AA144" s="70">
        <f t="shared" si="40"/>
        <v>7200.0871570088784</v>
      </c>
    </row>
    <row r="145" spans="1:27" x14ac:dyDescent="0.2">
      <c r="A145" s="59">
        <v>14</v>
      </c>
      <c r="B145" s="3">
        <f t="shared" si="31"/>
        <v>51946.829498873572</v>
      </c>
      <c r="C145" s="3">
        <f t="shared" si="32"/>
        <v>568.82629301233101</v>
      </c>
      <c r="D145" s="3">
        <f t="shared" si="33"/>
        <v>51379.9772329564</v>
      </c>
      <c r="E145" s="3">
        <f t="shared" si="34"/>
        <v>1.9740270951588172</v>
      </c>
      <c r="F145" s="5">
        <f t="shared" si="35"/>
        <v>103326.80673182997</v>
      </c>
      <c r="G145" s="105">
        <f t="shared" si="30"/>
        <v>570.80032010748982</v>
      </c>
      <c r="H145" s="4"/>
      <c r="I145" s="110">
        <v>10</v>
      </c>
      <c r="J145" s="69">
        <f>J$143*SQRT($I145)</f>
        <v>4380.9698561501591</v>
      </c>
      <c r="K145" s="69">
        <f>K$143*SQRT($I145)</f>
        <v>7398.2821284959991</v>
      </c>
      <c r="L145" s="70">
        <f>L$143*SQRT($I145)</f>
        <v>11201.150987010962</v>
      </c>
      <c r="O145" s="92">
        <v>11</v>
      </c>
      <c r="P145" s="92">
        <f t="shared" si="42"/>
        <v>3556.6477378333052</v>
      </c>
      <c r="Q145" s="69">
        <f t="shared" si="37"/>
        <v>6096.1719785294845</v>
      </c>
      <c r="R145" s="70">
        <f t="shared" si="37"/>
        <v>7226.5360713755654</v>
      </c>
      <c r="S145" s="69">
        <f t="shared" si="37"/>
        <v>4594.7999486970029</v>
      </c>
      <c r="T145" s="69">
        <f t="shared" si="37"/>
        <v>7759.3837576257056</v>
      </c>
      <c r="U145" s="69">
        <f t="shared" si="37"/>
        <v>11747.866264866921</v>
      </c>
      <c r="V145" s="92">
        <f t="shared" si="37"/>
        <v>6108.3974899254335</v>
      </c>
      <c r="W145" s="69">
        <f t="shared" si="37"/>
        <v>9978.8649047154831</v>
      </c>
      <c r="X145" s="70">
        <f t="shared" si="37"/>
        <v>11422.887218375308</v>
      </c>
      <c r="Y145" s="69">
        <f t="shared" si="38"/>
        <v>2043.0501966048741</v>
      </c>
      <c r="Z145" s="69">
        <f t="shared" si="39"/>
        <v>3876.6908314397078</v>
      </c>
      <c r="AA145" s="70">
        <f t="shared" si="40"/>
        <v>7551.5151178671767</v>
      </c>
    </row>
    <row r="146" spans="1:27" x14ac:dyDescent="0.2">
      <c r="A146" s="59">
        <v>15</v>
      </c>
      <c r="B146" s="3">
        <f t="shared" si="31"/>
        <v>51116.63898882849</v>
      </c>
      <c r="C146" s="3">
        <f t="shared" si="32"/>
        <v>-261.36421703275118</v>
      </c>
      <c r="D146" s="3">
        <f t="shared" si="33"/>
        <v>51679.030771901424</v>
      </c>
      <c r="E146" s="3">
        <f t="shared" si="34"/>
        <v>301.02756604018214</v>
      </c>
      <c r="F146" s="5">
        <f t="shared" si="35"/>
        <v>102795.66976072991</v>
      </c>
      <c r="G146" s="105">
        <f t="shared" si="30"/>
        <v>39.663349007430952</v>
      </c>
      <c r="H146" s="4"/>
      <c r="I146" s="110">
        <v>50</v>
      </c>
      <c r="J146" s="69">
        <f t="shared" ref="J146:L147" si="43">J$143*SQRT($I146)</f>
        <v>9796.1464057292305</v>
      </c>
      <c r="K146" s="69">
        <f t="shared" si="43"/>
        <v>16543.061756038889</v>
      </c>
      <c r="L146" s="70">
        <f t="shared" si="43"/>
        <v>25046.535033195374</v>
      </c>
      <c r="O146" s="92">
        <v>12</v>
      </c>
      <c r="P146" s="92">
        <f t="shared" si="42"/>
        <v>3714.7974075729426</v>
      </c>
      <c r="Q146" s="69">
        <f t="shared" si="37"/>
        <v>6367.2439699513288</v>
      </c>
      <c r="R146" s="70">
        <f t="shared" si="37"/>
        <v>7547.8707599061354</v>
      </c>
      <c r="S146" s="69">
        <f t="shared" si="37"/>
        <v>4799.1120279272091</v>
      </c>
      <c r="T146" s="69">
        <f t="shared" si="37"/>
        <v>8104.4120171291843</v>
      </c>
      <c r="U146" s="69">
        <f t="shared" si="37"/>
        <v>12270.246131214319</v>
      </c>
      <c r="V146" s="92">
        <f t="shared" si="37"/>
        <v>6380.0131001513273</v>
      </c>
      <c r="W146" s="69">
        <f t="shared" si="37"/>
        <v>10422.584470268695</v>
      </c>
      <c r="X146" s="70">
        <f t="shared" si="37"/>
        <v>11930.81658732645</v>
      </c>
      <c r="Y146" s="69">
        <f t="shared" si="38"/>
        <v>2133.8963353488234</v>
      </c>
      <c r="Z146" s="69">
        <f t="shared" si="39"/>
        <v>4049.0715168118186</v>
      </c>
      <c r="AA146" s="70">
        <f t="shared" si="40"/>
        <v>7887.3003037940052</v>
      </c>
    </row>
    <row r="147" spans="1:27" x14ac:dyDescent="0.2">
      <c r="A147" s="59">
        <v>16</v>
      </c>
      <c r="B147" s="3">
        <f t="shared" si="31"/>
        <v>51622.893592924447</v>
      </c>
      <c r="C147" s="3">
        <f t="shared" si="32"/>
        <v>244.89038706320571</v>
      </c>
      <c r="D147" s="3">
        <f t="shared" si="33"/>
        <v>52154.153404211851</v>
      </c>
      <c r="E147" s="3">
        <f t="shared" si="34"/>
        <v>776.15019835060957</v>
      </c>
      <c r="F147" s="5">
        <f t="shared" si="35"/>
        <v>103777.04699713629</v>
      </c>
      <c r="G147" s="105">
        <f t="shared" si="30"/>
        <v>1021.040585413808</v>
      </c>
      <c r="H147" s="4"/>
      <c r="I147" s="111">
        <v>100</v>
      </c>
      <c r="J147" s="71">
        <f t="shared" si="43"/>
        <v>13853.843105974727</v>
      </c>
      <c r="K147" s="71">
        <f t="shared" si="43"/>
        <v>23395.422298565863</v>
      </c>
      <c r="L147" s="72">
        <f t="shared" si="43"/>
        <v>35421.149534397759</v>
      </c>
      <c r="O147" s="92">
        <v>13</v>
      </c>
      <c r="P147" s="92">
        <f t="shared" si="42"/>
        <v>3866.4837291247641</v>
      </c>
      <c r="Q147" s="69">
        <f t="shared" si="37"/>
        <v>6627.2376412767198</v>
      </c>
      <c r="R147" s="70">
        <f t="shared" si="37"/>
        <v>7856.0729646306027</v>
      </c>
      <c r="S147" s="69">
        <f t="shared" si="37"/>
        <v>4995.0741680825167</v>
      </c>
      <c r="T147" s="69">
        <f t="shared" si="37"/>
        <v>8435.3394708612796</v>
      </c>
      <c r="U147" s="69">
        <f t="shared" si="37"/>
        <v>12771.277088214851</v>
      </c>
      <c r="V147" s="92">
        <f t="shared" si="37"/>
        <v>6640.5281733667662</v>
      </c>
      <c r="W147" s="69">
        <f t="shared" si="37"/>
        <v>10848.169859161038</v>
      </c>
      <c r="X147" s="70">
        <f t="shared" si="37"/>
        <v>12417.987617852015</v>
      </c>
      <c r="Y147" s="69">
        <f t="shared" si="38"/>
        <v>2221.0297238405137</v>
      </c>
      <c r="Z147" s="69">
        <f t="shared" si="39"/>
        <v>4214.4072529769601</v>
      </c>
      <c r="AA147" s="70">
        <f t="shared" si="40"/>
        <v>8209.362434993438</v>
      </c>
    </row>
    <row r="148" spans="1:27" x14ac:dyDescent="0.2">
      <c r="A148" s="59">
        <v>17</v>
      </c>
      <c r="B148" s="3">
        <f t="shared" si="31"/>
        <v>50974.743046146439</v>
      </c>
      <c r="C148" s="3">
        <f t="shared" si="32"/>
        <v>-403.26015971480228</v>
      </c>
      <c r="D148" s="3">
        <f t="shared" si="33"/>
        <v>52397.791612359288</v>
      </c>
      <c r="E148" s="3">
        <f t="shared" si="34"/>
        <v>1019.7884064980462</v>
      </c>
      <c r="F148" s="5">
        <f t="shared" si="35"/>
        <v>103372.53465850573</v>
      </c>
      <c r="G148" s="105">
        <f t="shared" si="30"/>
        <v>616.52824678324396</v>
      </c>
      <c r="H148" s="4"/>
      <c r="I148" s="5"/>
      <c r="J148"/>
      <c r="L148" s="4"/>
      <c r="O148" s="92">
        <v>14</v>
      </c>
      <c r="P148" s="92">
        <f t="shared" si="42"/>
        <v>4012.4397909329969</v>
      </c>
      <c r="Q148" s="69">
        <f t="shared" si="37"/>
        <v>6877.4095221259349</v>
      </c>
      <c r="R148" s="70">
        <f t="shared" si="37"/>
        <v>8152.6322033410597</v>
      </c>
      <c r="S148" s="69">
        <f t="shared" si="37"/>
        <v>5183.6334392677581</v>
      </c>
      <c r="T148" s="69">
        <f t="shared" si="37"/>
        <v>8753.7654660124736</v>
      </c>
      <c r="U148" s="69">
        <f t="shared" si="37"/>
        <v>13253.380580340372</v>
      </c>
      <c r="V148" s="92">
        <f t="shared" si="37"/>
        <v>6891.2017590876685</v>
      </c>
      <c r="W148" s="69">
        <f t="shared" si="37"/>
        <v>11257.677893177344</v>
      </c>
      <c r="X148" s="70">
        <f t="shared" si="37"/>
        <v>12886.75477045435</v>
      </c>
      <c r="Y148" s="69">
        <f t="shared" si="38"/>
        <v>2304.871471113086</v>
      </c>
      <c r="Z148" s="69">
        <f t="shared" si="39"/>
        <v>4373.4970949610652</v>
      </c>
      <c r="AA148" s="70">
        <f t="shared" si="40"/>
        <v>8519.2580132270814</v>
      </c>
    </row>
    <row r="149" spans="1:27" x14ac:dyDescent="0.2">
      <c r="A149" s="59">
        <v>18</v>
      </c>
      <c r="B149" s="3">
        <f t="shared" si="31"/>
        <v>52012.24439991777</v>
      </c>
      <c r="C149" s="3">
        <f t="shared" si="32"/>
        <v>634.24119405652891</v>
      </c>
      <c r="D149" s="3">
        <f t="shared" si="33"/>
        <v>51328.717022034332</v>
      </c>
      <c r="E149" s="3">
        <f t="shared" si="34"/>
        <v>-49.286183826909109</v>
      </c>
      <c r="F149" s="5">
        <f t="shared" si="35"/>
        <v>103340.9614219521</v>
      </c>
      <c r="G149" s="105">
        <f t="shared" si="30"/>
        <v>584.9550102296198</v>
      </c>
      <c r="H149" s="4"/>
      <c r="I149" s="131" t="s">
        <v>19</v>
      </c>
      <c r="J149" s="132"/>
      <c r="K149" s="132"/>
      <c r="L149" s="133"/>
      <c r="O149" s="92">
        <v>15</v>
      </c>
      <c r="P149" s="92">
        <f t="shared" si="42"/>
        <v>4153.2697629865461</v>
      </c>
      <c r="Q149" s="69">
        <f t="shared" si="37"/>
        <v>7118.7951730683999</v>
      </c>
      <c r="R149" s="70">
        <f t="shared" si="37"/>
        <v>8438.7760522665576</v>
      </c>
      <c r="S149" s="69">
        <f t="shared" si="37"/>
        <v>5365.5703630410553</v>
      </c>
      <c r="T149" s="69">
        <f t="shared" si="37"/>
        <v>9061.0080939835243</v>
      </c>
      <c r="U149" s="69">
        <f t="shared" si="37"/>
        <v>13718.55222502451</v>
      </c>
      <c r="V149" s="92">
        <f t="shared" si="37"/>
        <v>7133.0714946387716</v>
      </c>
      <c r="W149" s="69">
        <f t="shared" si="37"/>
        <v>11652.80368837722</v>
      </c>
      <c r="X149" s="70">
        <f t="shared" si="37"/>
        <v>13339.058458172</v>
      </c>
      <c r="Y149" s="69">
        <f t="shared" si="38"/>
        <v>2385.7686313888289</v>
      </c>
      <c r="Z149" s="69">
        <f t="shared" si="39"/>
        <v>4526.999578674704</v>
      </c>
      <c r="AA149" s="70">
        <f t="shared" si="40"/>
        <v>8818.2698191190684</v>
      </c>
    </row>
    <row r="150" spans="1:27" x14ac:dyDescent="0.2">
      <c r="A150" s="59">
        <v>19</v>
      </c>
      <c r="B150" s="3">
        <f t="shared" si="31"/>
        <v>50601.48722782504</v>
      </c>
      <c r="C150" s="3">
        <f t="shared" si="32"/>
        <v>-776.51597803620098</v>
      </c>
      <c r="D150" s="3">
        <f t="shared" si="33"/>
        <v>49879.972238045622</v>
      </c>
      <c r="E150" s="3">
        <f t="shared" si="34"/>
        <v>-1498.0309678156191</v>
      </c>
      <c r="F150" s="5">
        <f t="shared" si="35"/>
        <v>100481.45946587066</v>
      </c>
      <c r="G150" s="105">
        <f t="shared" si="30"/>
        <v>-2274.5469458518201</v>
      </c>
      <c r="H150" s="4"/>
      <c r="I150" s="109" t="s">
        <v>23</v>
      </c>
      <c r="J150" s="5" t="s">
        <v>46</v>
      </c>
      <c r="K150" s="5" t="s">
        <v>47</v>
      </c>
      <c r="L150" s="105" t="s">
        <v>48</v>
      </c>
      <c r="O150" s="92">
        <v>16</v>
      </c>
      <c r="P150" s="92">
        <f t="shared" si="42"/>
        <v>4289.4785664943247</v>
      </c>
      <c r="Q150" s="69">
        <f t="shared" si="37"/>
        <v>7352.2600400948422</v>
      </c>
      <c r="R150" s="70">
        <f t="shared" si="37"/>
        <v>8715.5304300806256</v>
      </c>
      <c r="S150" s="69">
        <f t="shared" si="37"/>
        <v>5541.5372423898907</v>
      </c>
      <c r="T150" s="69">
        <f t="shared" si="37"/>
        <v>9358.1689194263454</v>
      </c>
      <c r="U150" s="69">
        <f t="shared" si="37"/>
        <v>14168.459813759102</v>
      </c>
      <c r="V150" s="92">
        <f t="shared" si="37"/>
        <v>7367.0045616114157</v>
      </c>
      <c r="W150" s="69">
        <f t="shared" si="37"/>
        <v>12034.963899122489</v>
      </c>
      <c r="X150" s="70">
        <f t="shared" si="37"/>
        <v>13776.520336689957</v>
      </c>
      <c r="Y150" s="69">
        <f t="shared" si="38"/>
        <v>2464.0112472727988</v>
      </c>
      <c r="Z150" s="69">
        <f t="shared" si="39"/>
        <v>4675.4650603986993</v>
      </c>
      <c r="AA150" s="70">
        <f t="shared" si="40"/>
        <v>9107.4699071497689</v>
      </c>
    </row>
    <row r="151" spans="1:27" x14ac:dyDescent="0.2">
      <c r="A151" s="59">
        <v>20</v>
      </c>
      <c r="B151" s="3">
        <f t="shared" si="31"/>
        <v>51230.172173879953</v>
      </c>
      <c r="C151" s="3">
        <f t="shared" si="32"/>
        <v>-147.83103198128811</v>
      </c>
      <c r="D151" s="3">
        <f t="shared" si="33"/>
        <v>50601.118076740357</v>
      </c>
      <c r="E151" s="3">
        <f t="shared" si="34"/>
        <v>-776.88512912088481</v>
      </c>
      <c r="F151" s="5">
        <f t="shared" si="35"/>
        <v>101831.29025062031</v>
      </c>
      <c r="G151" s="105">
        <f t="shared" si="30"/>
        <v>-924.71616110217292</v>
      </c>
      <c r="H151" s="4"/>
      <c r="I151" s="110">
        <v>1</v>
      </c>
      <c r="J151" s="69">
        <f>-_xlfn.PERCENTILE.INC(G131:G254, 0.05)</f>
        <v>1841.7511404028539</v>
      </c>
      <c r="K151" s="69">
        <f>-_xlfn.PERCENTILE.INC(G131:G254, 0.01)</f>
        <v>3008.7409747806223</v>
      </c>
      <c r="L151" s="70">
        <f>-_xlfn.PERCENTILE.INC(G131:G254, 0.005)</f>
        <v>3444.1300841724892</v>
      </c>
      <c r="O151" s="92">
        <v>17</v>
      </c>
      <c r="P151" s="92">
        <f t="shared" si="42"/>
        <v>4421.4933021197821</v>
      </c>
      <c r="Q151" s="69">
        <f t="shared" si="37"/>
        <v>7578.5361830797428</v>
      </c>
      <c r="R151" s="70">
        <f t="shared" si="37"/>
        <v>8983.7631366268342</v>
      </c>
      <c r="S151" s="69">
        <f t="shared" si="37"/>
        <v>5712.0858446668844</v>
      </c>
      <c r="T151" s="69">
        <f t="shared" si="37"/>
        <v>9646.1797292917763</v>
      </c>
      <c r="U151" s="69">
        <f t="shared" si="37"/>
        <v>14604.514091111976</v>
      </c>
      <c r="V151" s="92">
        <f t="shared" si="37"/>
        <v>7593.7344879827488</v>
      </c>
      <c r="W151" s="69">
        <f t="shared" si="37"/>
        <v>12405.356839144348</v>
      </c>
      <c r="X151" s="70">
        <f t="shared" si="37"/>
        <v>14200.512125410618</v>
      </c>
      <c r="Y151" s="69">
        <f t="shared" si="38"/>
        <v>2539.8446588039169</v>
      </c>
      <c r="Z151" s="69">
        <f t="shared" si="39"/>
        <v>4819.3590732271696</v>
      </c>
      <c r="AA151" s="70">
        <f t="shared" si="40"/>
        <v>9387.7651023281924</v>
      </c>
    </row>
    <row r="152" spans="1:27" x14ac:dyDescent="0.2">
      <c r="A152" s="59">
        <v>21</v>
      </c>
      <c r="B152" s="3">
        <f t="shared" si="31"/>
        <v>51108.443902577608</v>
      </c>
      <c r="C152" s="3">
        <f t="shared" si="32"/>
        <v>-269.5593032836332</v>
      </c>
      <c r="D152" s="3">
        <f t="shared" si="33"/>
        <v>51300.610257674511</v>
      </c>
      <c r="E152" s="3">
        <f t="shared" si="34"/>
        <v>-77.392948186730791</v>
      </c>
      <c r="F152" s="5">
        <f t="shared" si="35"/>
        <v>102409.05416025213</v>
      </c>
      <c r="G152" s="105">
        <f t="shared" si="30"/>
        <v>-346.95225147035671</v>
      </c>
      <c r="H152" s="4"/>
      <c r="I152" s="110">
        <v>5</v>
      </c>
      <c r="J152" s="69">
        <f>J$151*SQRT($I152)</f>
        <v>4118.2807475785412</v>
      </c>
      <c r="K152" s="69">
        <f>K$151*SQRT($I152)</f>
        <v>6727.7493462984521</v>
      </c>
      <c r="L152" s="70">
        <f>L$151*SQRT($I152)</f>
        <v>7701.3089915617584</v>
      </c>
      <c r="O152" s="92">
        <v>18</v>
      </c>
      <c r="P152" s="92">
        <f t="shared" si="42"/>
        <v>4549.6790731837318</v>
      </c>
      <c r="Q152" s="69">
        <f t="shared" si="42"/>
        <v>7798.2493970969108</v>
      </c>
      <c r="R152" s="70">
        <f t="shared" si="42"/>
        <v>9244.2160031215753</v>
      </c>
      <c r="S152" s="69">
        <f t="shared" si="42"/>
        <v>5877.6878434375385</v>
      </c>
      <c r="T152" s="69">
        <f t="shared" si="42"/>
        <v>9925.8370536233306</v>
      </c>
      <c r="U152" s="69">
        <f t="shared" si="42"/>
        <v>15027.921019917223</v>
      </c>
      <c r="V152" s="92">
        <f t="shared" si="42"/>
        <v>7813.8883238214903</v>
      </c>
      <c r="W152" s="69">
        <f t="shared" si="42"/>
        <v>12765.006876607205</v>
      </c>
      <c r="X152" s="70">
        <f t="shared" si="42"/>
        <v>14612.206426841769</v>
      </c>
      <c r="Y152" s="69">
        <f t="shared" si="38"/>
        <v>2613.4785927997809</v>
      </c>
      <c r="Z152" s="69">
        <f t="shared" si="39"/>
        <v>4959.0795741130369</v>
      </c>
      <c r="AA152" s="70">
        <f t="shared" si="40"/>
        <v>9659.9305961970294</v>
      </c>
    </row>
    <row r="153" spans="1:27" x14ac:dyDescent="0.2">
      <c r="A153" s="59">
        <v>22</v>
      </c>
      <c r="B153" s="3">
        <f t="shared" si="31"/>
        <v>51549.624524586863</v>
      </c>
      <c r="C153" s="3">
        <f t="shared" si="32"/>
        <v>171.62131872562168</v>
      </c>
      <c r="D153" s="3">
        <f t="shared" si="33"/>
        <v>51109.700382706258</v>
      </c>
      <c r="E153" s="3">
        <f t="shared" si="34"/>
        <v>-268.30282315498334</v>
      </c>
      <c r="F153" s="5">
        <f t="shared" si="35"/>
        <v>102659.32490729312</v>
      </c>
      <c r="G153" s="105">
        <f t="shared" si="30"/>
        <v>-96.681504429361667</v>
      </c>
      <c r="H153" s="4"/>
      <c r="I153" s="110">
        <v>10</v>
      </c>
      <c r="J153" s="69">
        <f t="shared" ref="J153:L155" si="44">J$151*SQRT($I153)</f>
        <v>5824.1284868855819</v>
      </c>
      <c r="K153" s="69">
        <f t="shared" si="44"/>
        <v>9514.4743697819958</v>
      </c>
      <c r="L153" s="70">
        <f t="shared" si="44"/>
        <v>10891.295623892503</v>
      </c>
      <c r="O153" s="92">
        <v>19</v>
      </c>
      <c r="P153" s="92">
        <f t="shared" si="42"/>
        <v>4674.3508979581193</v>
      </c>
      <c r="Q153" s="69">
        <f t="shared" si="42"/>
        <v>8011.9396303514304</v>
      </c>
      <c r="R153" s="70">
        <f t="shared" si="42"/>
        <v>9497.5290960187594</v>
      </c>
      <c r="S153" s="69">
        <f t="shared" si="42"/>
        <v>6038.7502078611487</v>
      </c>
      <c r="T153" s="69">
        <f t="shared" si="42"/>
        <v>10197.828154090666</v>
      </c>
      <c r="U153" s="69">
        <f t="shared" si="42"/>
        <v>15439.721128448262</v>
      </c>
      <c r="V153" s="92">
        <f t="shared" si="42"/>
        <v>8028.0071001668312</v>
      </c>
      <c r="W153" s="69">
        <f t="shared" si="42"/>
        <v>13114.797856358793</v>
      </c>
      <c r="X153" s="70">
        <f t="shared" si="42"/>
        <v>15012.614985316115</v>
      </c>
      <c r="Y153" s="69">
        <f t="shared" si="38"/>
        <v>2685.094005652436</v>
      </c>
      <c r="Z153" s="69">
        <f t="shared" si="39"/>
        <v>5094.9699280833047</v>
      </c>
      <c r="AA153" s="70">
        <f t="shared" si="40"/>
        <v>9924.6352391509063</v>
      </c>
    </row>
    <row r="154" spans="1:27" x14ac:dyDescent="0.2">
      <c r="A154" s="59">
        <v>23</v>
      </c>
      <c r="B154" s="3">
        <f t="shared" si="31"/>
        <v>51170.942740864783</v>
      </c>
      <c r="C154" s="3">
        <f t="shared" si="32"/>
        <v>-207.0604649964589</v>
      </c>
      <c r="D154" s="3">
        <f t="shared" si="33"/>
        <v>50661.769886813112</v>
      </c>
      <c r="E154" s="3">
        <f t="shared" si="34"/>
        <v>-716.23331904812949</v>
      </c>
      <c r="F154" s="5">
        <f t="shared" si="35"/>
        <v>101832.71262767789</v>
      </c>
      <c r="G154" s="105">
        <f t="shared" si="30"/>
        <v>-923.29378404459567</v>
      </c>
      <c r="H154" s="4"/>
      <c r="I154" s="110">
        <v>50</v>
      </c>
      <c r="J154" s="69">
        <f t="shared" si="44"/>
        <v>13023.147206369153</v>
      </c>
      <c r="K154" s="69">
        <f t="shared" si="44"/>
        <v>21275.011461012014</v>
      </c>
      <c r="L154" s="70">
        <f t="shared" si="44"/>
        <v>24353.67737806962</v>
      </c>
      <c r="O154" s="92">
        <v>20</v>
      </c>
      <c r="P154" s="92">
        <f t="shared" si="42"/>
        <v>4795.7828313548307</v>
      </c>
      <c r="Q154" s="69">
        <f t="shared" si="42"/>
        <v>8220.0766189536989</v>
      </c>
      <c r="R154" s="70">
        <f t="shared" si="42"/>
        <v>9744.2592508141297</v>
      </c>
      <c r="S154" s="69">
        <f t="shared" si="42"/>
        <v>6195.6269869152629</v>
      </c>
      <c r="T154" s="69">
        <f t="shared" si="42"/>
        <v>10462.750924381531</v>
      </c>
      <c r="U154" s="69">
        <f t="shared" si="42"/>
        <v>15840.819640019681</v>
      </c>
      <c r="V154" s="92">
        <f t="shared" si="42"/>
        <v>8236.5614951570824</v>
      </c>
      <c r="W154" s="69">
        <f t="shared" si="42"/>
        <v>13455.498692596904</v>
      </c>
      <c r="X154" s="70">
        <f t="shared" si="42"/>
        <v>15402.617983123517</v>
      </c>
      <c r="Y154" s="69">
        <f t="shared" si="38"/>
        <v>2754.8483231130122</v>
      </c>
      <c r="Z154" s="69">
        <f t="shared" si="39"/>
        <v>5227.3288507383277</v>
      </c>
      <c r="AA154" s="70">
        <f t="shared" si="40"/>
        <v>10182.460907710294</v>
      </c>
    </row>
    <row r="155" spans="1:27" x14ac:dyDescent="0.2">
      <c r="A155" s="59">
        <v>24</v>
      </c>
      <c r="B155" s="3">
        <f t="shared" si="31"/>
        <v>51748.604566072405</v>
      </c>
      <c r="C155" s="3">
        <f t="shared" si="32"/>
        <v>370.60136021116341</v>
      </c>
      <c r="D155" s="3">
        <f t="shared" si="33"/>
        <v>50358.87174389467</v>
      </c>
      <c r="E155" s="3">
        <f t="shared" si="34"/>
        <v>-1019.1314619665718</v>
      </c>
      <c r="F155" s="5">
        <f t="shared" si="35"/>
        <v>102107.47630996708</v>
      </c>
      <c r="G155" s="105">
        <f t="shared" si="30"/>
        <v>-648.53010175540112</v>
      </c>
      <c r="H155" s="4"/>
      <c r="I155" s="111">
        <v>100</v>
      </c>
      <c r="J155" s="71">
        <f t="shared" si="44"/>
        <v>18417.511404028541</v>
      </c>
      <c r="K155" s="71">
        <f t="shared" si="44"/>
        <v>30087.409747806225</v>
      </c>
      <c r="L155" s="72">
        <f t="shared" si="44"/>
        <v>34441.300841724893</v>
      </c>
      <c r="O155" s="92">
        <v>21</v>
      </c>
      <c r="P155" s="92">
        <f t="shared" si="42"/>
        <v>4914.215055712727</v>
      </c>
      <c r="Q155" s="69">
        <f t="shared" si="42"/>
        <v>8423.0720406834189</v>
      </c>
      <c r="R155" s="70">
        <f t="shared" si="42"/>
        <v>9984.8944793838727</v>
      </c>
      <c r="S155" s="69">
        <f t="shared" si="42"/>
        <v>6348.6284699171301</v>
      </c>
      <c r="T155" s="69">
        <f t="shared" si="42"/>
        <v>10721.129359863582</v>
      </c>
      <c r="U155" s="69">
        <f t="shared" si="42"/>
        <v>16232.009894372752</v>
      </c>
      <c r="V155" s="92">
        <f t="shared" si="42"/>
        <v>8439.9640121673183</v>
      </c>
      <c r="W155" s="69">
        <f t="shared" si="42"/>
        <v>13787.783263447422</v>
      </c>
      <c r="X155" s="70">
        <f t="shared" si="42"/>
        <v>15782.986813995059</v>
      </c>
      <c r="Y155" s="69">
        <f t="shared" si="38"/>
        <v>2822.8795134625398</v>
      </c>
      <c r="Z155" s="69">
        <f t="shared" si="39"/>
        <v>5356.4181370995793</v>
      </c>
      <c r="AA155" s="70">
        <f t="shared" si="40"/>
        <v>10433.917559761565</v>
      </c>
    </row>
    <row r="156" spans="1:27" x14ac:dyDescent="0.2">
      <c r="A156" s="59">
        <v>25</v>
      </c>
      <c r="B156" s="3">
        <f t="shared" si="31"/>
        <v>52598.511229616197</v>
      </c>
      <c r="C156" s="3">
        <f t="shared" si="32"/>
        <v>1220.5080237549555</v>
      </c>
      <c r="D156" s="3">
        <f t="shared" si="33"/>
        <v>51349.063674785713</v>
      </c>
      <c r="E156" s="3">
        <f t="shared" si="34"/>
        <v>-28.939531075528066</v>
      </c>
      <c r="F156" s="5">
        <f t="shared" si="35"/>
        <v>103947.5749044019</v>
      </c>
      <c r="G156" s="105">
        <f t="shared" si="30"/>
        <v>1191.5684926794202</v>
      </c>
      <c r="H156" s="4"/>
      <c r="I156" s="5"/>
      <c r="J156"/>
      <c r="L156" s="4"/>
      <c r="O156" s="92">
        <v>22</v>
      </c>
      <c r="P156" s="92">
        <f t="shared" si="42"/>
        <v>5029.8594674274482</v>
      </c>
      <c r="Q156" s="69">
        <f t="shared" si="42"/>
        <v>8621.2890905952227</v>
      </c>
      <c r="R156" s="70">
        <f t="shared" si="42"/>
        <v>10219.86532111771</v>
      </c>
      <c r="S156" s="69">
        <f t="shared" si="42"/>
        <v>6498.0284038385034</v>
      </c>
      <c r="T156" s="69">
        <f t="shared" si="42"/>
        <v>10973.425745691782</v>
      </c>
      <c r="U156" s="69">
        <f t="shared" si="42"/>
        <v>16613.991800720156</v>
      </c>
      <c r="V156" s="92">
        <f t="shared" si="42"/>
        <v>8638.578574618321</v>
      </c>
      <c r="W156" s="69">
        <f t="shared" si="42"/>
        <v>14112.24608533754</v>
      </c>
      <c r="X156" s="70">
        <f t="shared" si="42"/>
        <v>16154.40202568464</v>
      </c>
      <c r="Y156" s="69">
        <f t="shared" si="38"/>
        <v>2889.3092966476306</v>
      </c>
      <c r="Z156" s="69">
        <f t="shared" si="39"/>
        <v>5482.468750949467</v>
      </c>
      <c r="AA156" s="70">
        <f t="shared" si="40"/>
        <v>10679.455096153224</v>
      </c>
    </row>
    <row r="157" spans="1:27" x14ac:dyDescent="0.2">
      <c r="A157" s="59">
        <v>26</v>
      </c>
      <c r="B157" s="3">
        <f t="shared" si="31"/>
        <v>51816.307276888896</v>
      </c>
      <c r="C157" s="3">
        <f t="shared" si="32"/>
        <v>438.30407102765457</v>
      </c>
      <c r="D157" s="3">
        <f t="shared" si="33"/>
        <v>52327.341133943461</v>
      </c>
      <c r="E157" s="3">
        <f t="shared" si="34"/>
        <v>949.33792808221915</v>
      </c>
      <c r="F157" s="5">
        <f t="shared" si="35"/>
        <v>104143.64841083236</v>
      </c>
      <c r="G157" s="105">
        <f t="shared" si="30"/>
        <v>1387.641999109881</v>
      </c>
      <c r="H157" s="4"/>
      <c r="I157" s="131" t="s">
        <v>49</v>
      </c>
      <c r="J157" s="132"/>
      <c r="K157" s="132"/>
      <c r="L157" s="133"/>
      <c r="O157" s="92">
        <v>23</v>
      </c>
      <c r="P157" s="92">
        <f t="shared" si="42"/>
        <v>5142.9041319419339</v>
      </c>
      <c r="Q157" s="69">
        <f t="shared" si="42"/>
        <v>8815.05011696982</v>
      </c>
      <c r="R157" s="70">
        <f t="shared" si="42"/>
        <v>10449.553894742981</v>
      </c>
      <c r="S157" s="69">
        <f t="shared" si="42"/>
        <v>6644.0697486662184</v>
      </c>
      <c r="T157" s="69">
        <f t="shared" si="42"/>
        <v>11220.050376067547</v>
      </c>
      <c r="U157" s="69">
        <f t="shared" si="42"/>
        <v>16987.386552903841</v>
      </c>
      <c r="V157" s="92">
        <f t="shared" si="42"/>
        <v>8832.728177241157</v>
      </c>
      <c r="W157" s="69">
        <f t="shared" si="42"/>
        <v>14429.414812335548</v>
      </c>
      <c r="X157" s="70">
        <f t="shared" si="42"/>
        <v>16517.467628064111</v>
      </c>
      <c r="Y157" s="69">
        <f t="shared" si="38"/>
        <v>2954.2457033669943</v>
      </c>
      <c r="Z157" s="69">
        <f t="shared" si="39"/>
        <v>5605.6856807018194</v>
      </c>
      <c r="AA157" s="70">
        <f t="shared" si="40"/>
        <v>10919.472819582712</v>
      </c>
    </row>
    <row r="158" spans="1:27" x14ac:dyDescent="0.2">
      <c r="A158" s="59">
        <v>27</v>
      </c>
      <c r="B158" s="3">
        <f t="shared" si="31"/>
        <v>52055.973811521399</v>
      </c>
      <c r="C158" s="3">
        <f t="shared" si="32"/>
        <v>677.97060566015716</v>
      </c>
      <c r="D158" s="3">
        <f t="shared" si="33"/>
        <v>51650.123855251964</v>
      </c>
      <c r="E158" s="3">
        <f t="shared" si="34"/>
        <v>272.12064939072297</v>
      </c>
      <c r="F158" s="5">
        <f t="shared" si="35"/>
        <v>103706.09766677336</v>
      </c>
      <c r="G158" s="105">
        <f t="shared" si="30"/>
        <v>950.09125505088014</v>
      </c>
      <c r="H158" s="4"/>
      <c r="I158" s="109" t="s">
        <v>23</v>
      </c>
      <c r="J158" s="5">
        <v>0.95</v>
      </c>
      <c r="K158" s="5">
        <v>0.99</v>
      </c>
      <c r="L158" s="41">
        <v>0.995</v>
      </c>
      <c r="O158" s="92">
        <v>24</v>
      </c>
      <c r="P158" s="92">
        <f t="shared" si="42"/>
        <v>5253.5168752580694</v>
      </c>
      <c r="Q158" s="69">
        <f t="shared" si="42"/>
        <v>9004.6427772434763</v>
      </c>
      <c r="R158" s="70">
        <f t="shared" si="42"/>
        <v>10674.301195698576</v>
      </c>
      <c r="S158" s="69">
        <f t="shared" si="42"/>
        <v>6786.9693172425068</v>
      </c>
      <c r="T158" s="69">
        <f t="shared" si="42"/>
        <v>11461.369389683585</v>
      </c>
      <c r="U158" s="69">
        <f t="shared" si="42"/>
        <v>17352.748492419287</v>
      </c>
      <c r="V158" s="92">
        <f t="shared" si="42"/>
        <v>9022.7010543520228</v>
      </c>
      <c r="W158" s="69">
        <f t="shared" si="42"/>
        <v>14739.760312833188</v>
      </c>
      <c r="X158" s="70">
        <f t="shared" si="42"/>
        <v>16872.722627982952</v>
      </c>
      <c r="Y158" s="69">
        <f t="shared" si="38"/>
        <v>3017.7851381485525</v>
      </c>
      <c r="Z158" s="69">
        <f t="shared" si="39"/>
        <v>5726.2518540938709</v>
      </c>
      <c r="AA158" s="70">
        <f t="shared" si="40"/>
        <v>11154.32706013491</v>
      </c>
    </row>
    <row r="159" spans="1:27" x14ac:dyDescent="0.2">
      <c r="A159" s="59">
        <v>28</v>
      </c>
      <c r="B159" s="3">
        <f t="shared" si="31"/>
        <v>50665.968765038655</v>
      </c>
      <c r="C159" s="3">
        <f t="shared" si="32"/>
        <v>-712.03444082258648</v>
      </c>
      <c r="D159" s="3">
        <f t="shared" si="33"/>
        <v>51626.469604945967</v>
      </c>
      <c r="E159" s="3">
        <f t="shared" si="34"/>
        <v>248.46639908472571</v>
      </c>
      <c r="F159" s="5">
        <f t="shared" si="35"/>
        <v>102292.43836998462</v>
      </c>
      <c r="G159" s="105">
        <f t="shared" si="30"/>
        <v>-463.56804173786077</v>
      </c>
      <c r="H159" s="4"/>
      <c r="I159" s="110">
        <v>1</v>
      </c>
      <c r="J159" s="69">
        <f>J135+J143-J151</f>
        <v>616.00281181819969</v>
      </c>
      <c r="K159" s="69">
        <f t="shared" ref="K159:L159" si="45">K135+K143-K151</f>
        <v>1168.8662650996748</v>
      </c>
      <c r="L159" s="70">
        <f t="shared" si="45"/>
        <v>2276.8674767874422</v>
      </c>
      <c r="O159" s="92">
        <v>25</v>
      </c>
      <c r="P159" s="92">
        <f t="shared" si="42"/>
        <v>5361.8482081179063</v>
      </c>
      <c r="Q159" s="69">
        <f t="shared" si="42"/>
        <v>9190.3250501185521</v>
      </c>
      <c r="R159" s="70">
        <f t="shared" si="42"/>
        <v>10894.413037600782</v>
      </c>
      <c r="S159" s="69">
        <f t="shared" si="42"/>
        <v>6926.9215529873636</v>
      </c>
      <c r="T159" s="69">
        <f t="shared" si="42"/>
        <v>11697.711149282932</v>
      </c>
      <c r="U159" s="69">
        <f t="shared" si="42"/>
        <v>17710.574767198879</v>
      </c>
      <c r="V159" s="92">
        <f t="shared" si="42"/>
        <v>9208.7557020142704</v>
      </c>
      <c r="W159" s="69">
        <f t="shared" si="42"/>
        <v>15043.704873903112</v>
      </c>
      <c r="X159" s="70">
        <f t="shared" si="42"/>
        <v>17220.650420862446</v>
      </c>
      <c r="Y159" s="69">
        <f t="shared" si="38"/>
        <v>3080.0140590909996</v>
      </c>
      <c r="Z159" s="69">
        <f t="shared" si="39"/>
        <v>5844.3313254983696</v>
      </c>
      <c r="AA159" s="70">
        <f t="shared" si="40"/>
        <v>11384.337383937214</v>
      </c>
    </row>
    <row r="160" spans="1:27" x14ac:dyDescent="0.2">
      <c r="A160" s="59">
        <v>29</v>
      </c>
      <c r="B160" s="3">
        <f t="shared" si="31"/>
        <v>51669.429400814908</v>
      </c>
      <c r="C160" s="3">
        <f t="shared" si="32"/>
        <v>291.42619495366671</v>
      </c>
      <c r="D160" s="3">
        <f t="shared" si="33"/>
        <v>50588.948690139507</v>
      </c>
      <c r="E160" s="3">
        <f t="shared" si="34"/>
        <v>-789.05451572173479</v>
      </c>
      <c r="F160" s="5">
        <f t="shared" si="35"/>
        <v>102258.37809095441</v>
      </c>
      <c r="G160" s="105">
        <f t="shared" si="30"/>
        <v>-497.62832076806808</v>
      </c>
      <c r="H160" s="4"/>
      <c r="I160" s="110">
        <v>5</v>
      </c>
      <c r="J160" s="69">
        <f t="shared" ref="J160:L160" si="46">J136+J144-J152</f>
        <v>1377.4241615565061</v>
      </c>
      <c r="K160" s="69">
        <f t="shared" si="46"/>
        <v>2613.6644253691638</v>
      </c>
      <c r="L160" s="70">
        <f t="shared" si="46"/>
        <v>5091.2304538551471</v>
      </c>
      <c r="O160" s="92">
        <v>26</v>
      </c>
      <c r="P160" s="92">
        <f t="shared" si="42"/>
        <v>5468.0337284231418</v>
      </c>
      <c r="Q160" s="69">
        <f t="shared" si="42"/>
        <v>9372.3293533630167</v>
      </c>
      <c r="R160" s="70">
        <f t="shared" si="42"/>
        <v>11110.164933573205</v>
      </c>
      <c r="S160" s="69">
        <f t="shared" si="42"/>
        <v>7064.1016335618006</v>
      </c>
      <c r="T160" s="69">
        <f t="shared" si="42"/>
        <v>11929.37148291311</v>
      </c>
      <c r="U160" s="69">
        <f t="shared" si="42"/>
        <v>18061.313266978214</v>
      </c>
      <c r="V160" s="92">
        <f t="shared" si="42"/>
        <v>9391.1250040959167</v>
      </c>
      <c r="W160" s="69">
        <f t="shared" si="42"/>
        <v>15341.62894175257</v>
      </c>
      <c r="X160" s="70">
        <f t="shared" si="42"/>
        <v>17561.686506547481</v>
      </c>
      <c r="Y160" s="69">
        <f t="shared" si="38"/>
        <v>3141.0103578890266</v>
      </c>
      <c r="Z160" s="69">
        <f t="shared" si="39"/>
        <v>5960.0718945235567</v>
      </c>
      <c r="AA160" s="70">
        <f t="shared" si="40"/>
        <v>11609.791694003939</v>
      </c>
    </row>
    <row r="161" spans="1:27" x14ac:dyDescent="0.2">
      <c r="A161" s="59">
        <v>30</v>
      </c>
      <c r="B161" s="3">
        <f t="shared" si="31"/>
        <v>51594.258796423834</v>
      </c>
      <c r="C161" s="3">
        <f t="shared" si="32"/>
        <v>216.25559056259226</v>
      </c>
      <c r="D161" s="3">
        <f t="shared" si="33"/>
        <v>52081.363976169385</v>
      </c>
      <c r="E161" s="3">
        <f t="shared" si="34"/>
        <v>703.3607703081434</v>
      </c>
      <c r="F161" s="5">
        <f t="shared" si="35"/>
        <v>103675.62277259323</v>
      </c>
      <c r="G161" s="105">
        <f t="shared" si="30"/>
        <v>919.61636087074294</v>
      </c>
      <c r="H161" s="4"/>
      <c r="I161" s="110">
        <v>10</v>
      </c>
      <c r="J161" s="69">
        <f t="shared" ref="J161:L161" si="47">J137+J145-J153</f>
        <v>1947.9719304135997</v>
      </c>
      <c r="K161" s="69">
        <f t="shared" si="47"/>
        <v>3696.279677849152</v>
      </c>
      <c r="L161" s="70">
        <f t="shared" si="47"/>
        <v>7200.0871570088784</v>
      </c>
      <c r="O161" s="92">
        <v>27</v>
      </c>
      <c r="P161" s="92">
        <f t="shared" si="42"/>
        <v>5572.1961113594143</v>
      </c>
      <c r="Q161" s="69">
        <f t="shared" si="42"/>
        <v>9550.8659549269942</v>
      </c>
      <c r="R161" s="70">
        <f t="shared" si="42"/>
        <v>11321.806139859204</v>
      </c>
      <c r="S161" s="69">
        <f t="shared" si="42"/>
        <v>7198.6680418908145</v>
      </c>
      <c r="T161" s="69">
        <f t="shared" si="42"/>
        <v>12156.618025693777</v>
      </c>
      <c r="U161" s="69">
        <f t="shared" si="42"/>
        <v>18405.369196821477</v>
      </c>
      <c r="V161" s="92">
        <f t="shared" si="42"/>
        <v>9570.0196502269919</v>
      </c>
      <c r="W161" s="69">
        <f t="shared" si="42"/>
        <v>15633.876705403045</v>
      </c>
      <c r="X161" s="70">
        <f t="shared" si="42"/>
        <v>17896.224880989677</v>
      </c>
      <c r="Y161" s="69">
        <f t="shared" si="38"/>
        <v>3200.8445030232378</v>
      </c>
      <c r="Z161" s="69">
        <f t="shared" si="39"/>
        <v>6073.6072752177261</v>
      </c>
      <c r="AA161" s="70">
        <f t="shared" si="40"/>
        <v>11830.950455691003</v>
      </c>
    </row>
    <row r="162" spans="1:27" x14ac:dyDescent="0.2">
      <c r="A162" s="59">
        <v>31</v>
      </c>
      <c r="B162" s="3">
        <f t="shared" si="31"/>
        <v>50684.578902387046</v>
      </c>
      <c r="C162" s="3">
        <f t="shared" si="32"/>
        <v>-693.42430347419577</v>
      </c>
      <c r="D162" s="3">
        <f t="shared" si="33"/>
        <v>51107.105035365013</v>
      </c>
      <c r="E162" s="3">
        <f t="shared" si="34"/>
        <v>-270.89817049622798</v>
      </c>
      <c r="F162" s="5">
        <f t="shared" si="35"/>
        <v>101791.68393775207</v>
      </c>
      <c r="G162" s="105">
        <f t="shared" si="30"/>
        <v>-964.32247397041647</v>
      </c>
      <c r="H162" s="4"/>
      <c r="I162" s="110">
        <v>50</v>
      </c>
      <c r="J162" s="69">
        <f t="shared" ref="J162:L162" si="48">J138+J146-J154</f>
        <v>4355.7976546662994</v>
      </c>
      <c r="K162" s="69">
        <f t="shared" si="48"/>
        <v>8265.1326235217275</v>
      </c>
      <c r="L162" s="70">
        <f t="shared" si="48"/>
        <v>16099.884326995048</v>
      </c>
      <c r="O162" s="92">
        <v>28</v>
      </c>
      <c r="P162" s="92">
        <f t="shared" si="42"/>
        <v>5674.4467705429106</v>
      </c>
      <c r="Q162" s="69">
        <f t="shared" si="42"/>
        <v>9726.1258201843648</v>
      </c>
      <c r="R162" s="70">
        <f t="shared" si="42"/>
        <v>11529.563031004576</v>
      </c>
      <c r="S162" s="69">
        <f t="shared" si="42"/>
        <v>7330.7647121831551</v>
      </c>
      <c r="T162" s="69">
        <f t="shared" si="42"/>
        <v>12379.693843868079</v>
      </c>
      <c r="U162" s="69">
        <f t="shared" si="42"/>
        <v>18743.110564009556</v>
      </c>
      <c r="V162" s="92">
        <f t="shared" si="42"/>
        <v>9745.6309887511125</v>
      </c>
      <c r="W162" s="69">
        <f t="shared" si="42"/>
        <v>15920.760757359172</v>
      </c>
      <c r="X162" s="70">
        <f t="shared" si="42"/>
        <v>18224.623371352725</v>
      </c>
      <c r="Y162" s="69">
        <f t="shared" si="38"/>
        <v>3259.5804939749542</v>
      </c>
      <c r="Z162" s="69">
        <f t="shared" si="39"/>
        <v>6185.0589066932716</v>
      </c>
      <c r="AA162" s="70">
        <f t="shared" si="40"/>
        <v>12048.050223661405</v>
      </c>
    </row>
    <row r="163" spans="1:27" x14ac:dyDescent="0.2">
      <c r="A163" s="59">
        <v>32</v>
      </c>
      <c r="B163" s="3">
        <f t="shared" si="31"/>
        <v>51967.400761332967</v>
      </c>
      <c r="C163" s="3">
        <f t="shared" si="32"/>
        <v>589.39755547172535</v>
      </c>
      <c r="D163" s="3">
        <f t="shared" si="33"/>
        <v>49991.02288325331</v>
      </c>
      <c r="E163" s="3">
        <f t="shared" si="34"/>
        <v>-1386.9803226079312</v>
      </c>
      <c r="F163" s="5">
        <f t="shared" si="35"/>
        <v>101958.42364458628</v>
      </c>
      <c r="G163" s="105">
        <f t="shared" ref="G163:G194" si="49">F163-M$127</f>
        <v>-797.5827671362058</v>
      </c>
      <c r="H163" s="4"/>
      <c r="I163" s="111">
        <v>100</v>
      </c>
      <c r="J163" s="71">
        <f t="shared" ref="J163:L163" si="50">J139+J147-J155</f>
        <v>6160.0281181819992</v>
      </c>
      <c r="K163" s="71">
        <f t="shared" si="50"/>
        <v>11688.662650996739</v>
      </c>
      <c r="L163" s="72">
        <f t="shared" si="50"/>
        <v>22768.674767874429</v>
      </c>
      <c r="O163" s="92">
        <v>29</v>
      </c>
      <c r="P163" s="92">
        <f t="shared" si="42"/>
        <v>5774.8872543107491</v>
      </c>
      <c r="Q163" s="69">
        <f t="shared" si="42"/>
        <v>9898.2830052050158</v>
      </c>
      <c r="R163" s="70">
        <f t="shared" si="42"/>
        <v>11733.641936895008</v>
      </c>
      <c r="S163" s="69">
        <f t="shared" si="42"/>
        <v>7460.5228337858061</v>
      </c>
      <c r="T163" s="69">
        <f t="shared" si="42"/>
        <v>12598.82048102867</v>
      </c>
      <c r="U163" s="69">
        <f t="shared" si="42"/>
        <v>19074.87279008875</v>
      </c>
      <c r="V163" s="92">
        <f t="shared" si="42"/>
        <v>9918.1334247972864</v>
      </c>
      <c r="W163" s="69">
        <f t="shared" si="42"/>
        <v>16202.566011172168</v>
      </c>
      <c r="X163" s="70">
        <f t="shared" si="42"/>
        <v>18547.208120478885</v>
      </c>
      <c r="Y163" s="69">
        <f t="shared" si="38"/>
        <v>3317.2766632992698</v>
      </c>
      <c r="Z163" s="69">
        <f t="shared" si="39"/>
        <v>6294.5374750615174</v>
      </c>
      <c r="AA163" s="70">
        <f t="shared" si="40"/>
        <v>12261.306606504873</v>
      </c>
    </row>
    <row r="164" spans="1:27" x14ac:dyDescent="0.2">
      <c r="A164" s="59">
        <v>33</v>
      </c>
      <c r="B164" s="3">
        <f t="shared" si="31"/>
        <v>50652.849501871933</v>
      </c>
      <c r="C164" s="3">
        <f t="shared" si="32"/>
        <v>-725.15370398930827</v>
      </c>
      <c r="D164" s="3">
        <f t="shared" si="33"/>
        <v>50684.001137404826</v>
      </c>
      <c r="E164" s="3">
        <f t="shared" si="34"/>
        <v>-694.00206845641515</v>
      </c>
      <c r="F164" s="5">
        <f t="shared" si="35"/>
        <v>101336.85063927676</v>
      </c>
      <c r="G164" s="105">
        <f t="shared" si="49"/>
        <v>-1419.1557724457234</v>
      </c>
      <c r="H164" s="4"/>
      <c r="I164" s="5"/>
      <c r="J164"/>
      <c r="L164" s="4"/>
      <c r="O164" s="92">
        <v>30</v>
      </c>
      <c r="P164" s="92">
        <f t="shared" si="42"/>
        <v>5873.610427009663</v>
      </c>
      <c r="Q164" s="69">
        <f t="shared" si="42"/>
        <v>10067.496681509456</v>
      </c>
      <c r="R164" s="70">
        <f t="shared" si="42"/>
        <v>11934.231542944652</v>
      </c>
      <c r="S164" s="69">
        <f t="shared" si="42"/>
        <v>7588.0623772797917</v>
      </c>
      <c r="T164" s="69">
        <f t="shared" si="42"/>
        <v>12814.200535283886</v>
      </c>
      <c r="U164" s="69">
        <f t="shared" si="42"/>
        <v>19400.962612753261</v>
      </c>
      <c r="V164" s="92">
        <f t="shared" si="42"/>
        <v>10087.686449095074</v>
      </c>
      <c r="W164" s="69">
        <f t="shared" si="42"/>
        <v>16479.553015774291</v>
      </c>
      <c r="X164" s="70">
        <f t="shared" si="42"/>
        <v>18864.277380834388</v>
      </c>
      <c r="Y164" s="69">
        <f t="shared" si="38"/>
        <v>3373.9863551943799</v>
      </c>
      <c r="Z164" s="69">
        <f t="shared" si="39"/>
        <v>6402.1442010190513</v>
      </c>
      <c r="AA164" s="70">
        <f t="shared" si="40"/>
        <v>12470.916774863526</v>
      </c>
    </row>
    <row r="165" spans="1:27" x14ac:dyDescent="0.2">
      <c r="A165" s="59">
        <v>34</v>
      </c>
      <c r="B165" s="3">
        <f t="shared" si="31"/>
        <v>51233.523094587836</v>
      </c>
      <c r="C165" s="3">
        <f t="shared" si="32"/>
        <v>-144.48011127340578</v>
      </c>
      <c r="D165" s="3">
        <f t="shared" si="33"/>
        <v>50461.442917105014</v>
      </c>
      <c r="E165" s="3">
        <f t="shared" si="34"/>
        <v>-916.56028875622724</v>
      </c>
      <c r="F165" s="5">
        <f t="shared" si="35"/>
        <v>101694.96601169286</v>
      </c>
      <c r="G165" s="105">
        <f t="shared" si="49"/>
        <v>-1061.0404000296257</v>
      </c>
      <c r="H165" s="4"/>
      <c r="I165" s="5"/>
      <c r="J165"/>
      <c r="L165" s="4"/>
      <c r="O165" s="92">
        <v>31</v>
      </c>
      <c r="P165" s="92">
        <f t="shared" si="42"/>
        <v>5970.7014744125772</v>
      </c>
      <c r="Q165" s="69">
        <f t="shared" si="42"/>
        <v>10233.912859374823</v>
      </c>
      <c r="R165" s="70">
        <f t="shared" si="42"/>
        <v>12131.504932940879</v>
      </c>
      <c r="S165" s="69">
        <f t="shared" si="42"/>
        <v>7713.493393368446</v>
      </c>
      <c r="T165" s="69">
        <f t="shared" si="42"/>
        <v>13026.019852731384</v>
      </c>
      <c r="U165" s="69">
        <f t="shared" si="42"/>
        <v>19721.661406809304</v>
      </c>
      <c r="V165" s="92">
        <f t="shared" si="42"/>
        <v>10254.436364736561</v>
      </c>
      <c r="W165" s="69">
        <f t="shared" si="42"/>
        <v>16751.960776370008</v>
      </c>
      <c r="X165" s="70">
        <f t="shared" si="42"/>
        <v>19176.104743606349</v>
      </c>
      <c r="Y165" s="69">
        <f t="shared" si="38"/>
        <v>3429.7585030444625</v>
      </c>
      <c r="Z165" s="69">
        <f t="shared" si="39"/>
        <v>6507.971935736201</v>
      </c>
      <c r="AA165" s="70">
        <f t="shared" si="40"/>
        <v>12677.061596143834</v>
      </c>
    </row>
    <row r="166" spans="1:27" x14ac:dyDescent="0.2">
      <c r="A166" s="59">
        <v>35</v>
      </c>
      <c r="B166" s="3">
        <f t="shared" si="31"/>
        <v>51404.346396703419</v>
      </c>
      <c r="C166" s="3">
        <f t="shared" si="32"/>
        <v>26.343190842177137</v>
      </c>
      <c r="D166" s="3">
        <f t="shared" si="33"/>
        <v>50700.380146627947</v>
      </c>
      <c r="E166" s="3">
        <f t="shared" si="34"/>
        <v>-677.62305923329404</v>
      </c>
      <c r="F166" s="5">
        <f t="shared" si="35"/>
        <v>102104.72654333137</v>
      </c>
      <c r="G166" s="105">
        <f t="shared" si="49"/>
        <v>-651.27986839110963</v>
      </c>
      <c r="H166" s="4"/>
      <c r="I166" s="5"/>
      <c r="J166"/>
      <c r="L166" s="4"/>
      <c r="O166" s="92">
        <v>32</v>
      </c>
      <c r="P166" s="92">
        <f t="shared" si="42"/>
        <v>6066.2387642449767</v>
      </c>
      <c r="Q166" s="69">
        <f t="shared" si="42"/>
        <v>10397.665862795882</v>
      </c>
      <c r="R166" s="70">
        <f t="shared" si="42"/>
        <v>12325.621337495435</v>
      </c>
      <c r="S166" s="69">
        <f t="shared" si="42"/>
        <v>7836.917124583385</v>
      </c>
      <c r="T166" s="69">
        <f t="shared" si="42"/>
        <v>13234.44940483111</v>
      </c>
      <c r="U166" s="69">
        <f t="shared" si="42"/>
        <v>20037.228026556299</v>
      </c>
      <c r="V166" s="92">
        <f t="shared" si="42"/>
        <v>10418.517765095323</v>
      </c>
      <c r="W166" s="69">
        <f t="shared" si="42"/>
        <v>17020.009168809611</v>
      </c>
      <c r="X166" s="70">
        <f t="shared" si="42"/>
        <v>19482.941902455696</v>
      </c>
      <c r="Y166" s="69">
        <f t="shared" si="38"/>
        <v>3484.6381237330388</v>
      </c>
      <c r="Z166" s="69">
        <f t="shared" si="39"/>
        <v>6612.1060988173813</v>
      </c>
      <c r="AA166" s="70">
        <f t="shared" si="40"/>
        <v>12879.907461596038</v>
      </c>
    </row>
    <row r="167" spans="1:27" x14ac:dyDescent="0.2">
      <c r="A167" s="59">
        <v>36</v>
      </c>
      <c r="B167" s="3">
        <f t="shared" si="31"/>
        <v>50890.903927090265</v>
      </c>
      <c r="C167" s="3">
        <f t="shared" si="32"/>
        <v>-487.09927877097653</v>
      </c>
      <c r="D167" s="3">
        <f t="shared" si="33"/>
        <v>51582.592390871454</v>
      </c>
      <c r="E167" s="3">
        <f t="shared" si="34"/>
        <v>204.58918501021253</v>
      </c>
      <c r="F167" s="5">
        <f t="shared" si="35"/>
        <v>102473.49631796172</v>
      </c>
      <c r="G167" s="105">
        <f t="shared" si="49"/>
        <v>-282.51009376076399</v>
      </c>
      <c r="H167" s="4"/>
      <c r="I167" s="5"/>
      <c r="J167"/>
      <c r="L167" s="4"/>
      <c r="O167" s="92">
        <v>33</v>
      </c>
      <c r="P167" s="92">
        <f t="shared" si="42"/>
        <v>6160.294586552197</v>
      </c>
      <c r="Q167" s="69">
        <f t="shared" si="42"/>
        <v>10558.879598490756</v>
      </c>
      <c r="R167" s="70">
        <f t="shared" si="42"/>
        <v>12516.727638351671</v>
      </c>
      <c r="S167" s="69">
        <f t="shared" si="42"/>
        <v>7958.4269617580803</v>
      </c>
      <c r="T167" s="69">
        <f t="shared" si="42"/>
        <v>13439.646903632432</v>
      </c>
      <c r="U167" s="69">
        <f t="shared" si="42"/>
        <v>20347.901251273921</v>
      </c>
      <c r="V167" s="92">
        <f t="shared" si="42"/>
        <v>10580.054805377051</v>
      </c>
      <c r="W167" s="69">
        <f t="shared" si="42"/>
        <v>17283.901016833181</v>
      </c>
      <c r="X167" s="70">
        <f t="shared" si="42"/>
        <v>19785.021031355158</v>
      </c>
      <c r="Y167" s="69">
        <f t="shared" si="38"/>
        <v>3538.6667429332265</v>
      </c>
      <c r="Z167" s="69">
        <f t="shared" si="39"/>
        <v>6714.6254852900092</v>
      </c>
      <c r="AA167" s="70">
        <f t="shared" si="40"/>
        <v>13079.607858270436</v>
      </c>
    </row>
    <row r="168" spans="1:27" x14ac:dyDescent="0.2">
      <c r="A168" s="59">
        <v>37</v>
      </c>
      <c r="B168" s="3">
        <f t="shared" si="31"/>
        <v>50731.181746168586</v>
      </c>
      <c r="C168" s="3">
        <f t="shared" si="32"/>
        <v>-646.82145969265548</v>
      </c>
      <c r="D168" s="3">
        <f t="shared" si="33"/>
        <v>51702.096517223108</v>
      </c>
      <c r="E168" s="3">
        <f t="shared" si="34"/>
        <v>324.09331136186665</v>
      </c>
      <c r="F168" s="5">
        <f t="shared" si="35"/>
        <v>102433.27826339169</v>
      </c>
      <c r="G168" s="105">
        <f t="shared" si="49"/>
        <v>-322.72814833078883</v>
      </c>
      <c r="H168" s="4"/>
      <c r="I168" s="5"/>
      <c r="J168"/>
      <c r="L168" s="4"/>
      <c r="O168" s="92">
        <v>34</v>
      </c>
      <c r="P168" s="92">
        <f t="shared" si="42"/>
        <v>6252.9357937995965</v>
      </c>
      <c r="Q168" s="69">
        <f t="shared" si="42"/>
        <v>10717.668653046601</v>
      </c>
      <c r="R168" s="70">
        <f t="shared" si="42"/>
        <v>12704.959668965126</v>
      </c>
      <c r="S168" s="69">
        <f t="shared" si="42"/>
        <v>8078.1092709672839</v>
      </c>
      <c r="T168" s="69">
        <f t="shared" si="42"/>
        <v>13641.758198252863</v>
      </c>
      <c r="U168" s="69">
        <f t="shared" si="42"/>
        <v>20653.901899519533</v>
      </c>
      <c r="V168" s="92">
        <f t="shared" si="42"/>
        <v>10739.162301965514</v>
      </c>
      <c r="W168" s="69">
        <f t="shared" si="42"/>
        <v>17543.823887995768</v>
      </c>
      <c r="X168" s="70">
        <f t="shared" si="42"/>
        <v>20082.55684039928</v>
      </c>
      <c r="Y168" s="69">
        <f t="shared" si="38"/>
        <v>3591.882762801366</v>
      </c>
      <c r="Z168" s="69">
        <f t="shared" si="39"/>
        <v>6815.602963303696</v>
      </c>
      <c r="AA168" s="70">
        <f t="shared" si="40"/>
        <v>13276.304728085379</v>
      </c>
    </row>
    <row r="169" spans="1:27" x14ac:dyDescent="0.2">
      <c r="A169" s="59">
        <v>38</v>
      </c>
      <c r="B169" s="3">
        <f t="shared" si="31"/>
        <v>51494.659225715608</v>
      </c>
      <c r="C169" s="3">
        <f t="shared" si="32"/>
        <v>116.6560198543666</v>
      </c>
      <c r="D169" s="3">
        <f t="shared" si="33"/>
        <v>52294.640467191413</v>
      </c>
      <c r="E169" s="3">
        <f t="shared" si="34"/>
        <v>916.6372613301719</v>
      </c>
      <c r="F169" s="5">
        <f t="shared" si="35"/>
        <v>103789.29969290702</v>
      </c>
      <c r="G169" s="105">
        <f t="shared" si="49"/>
        <v>1033.2932811845385</v>
      </c>
      <c r="H169" s="4"/>
      <c r="I169" s="5"/>
      <c r="J169"/>
      <c r="L169" s="4"/>
      <c r="O169" s="92">
        <v>35</v>
      </c>
      <c r="P169" s="92">
        <f t="shared" ref="P169:X197" si="51">P$135*SQRT($O169)</f>
        <v>6344.2243568190488</v>
      </c>
      <c r="Q169" s="69">
        <f t="shared" si="51"/>
        <v>10874.139245824068</v>
      </c>
      <c r="R169" s="70">
        <f t="shared" si="51"/>
        <v>12890.443344097373</v>
      </c>
      <c r="S169" s="69">
        <f t="shared" si="51"/>
        <v>8196.0441117491082</v>
      </c>
      <c r="T169" s="69">
        <f t="shared" si="51"/>
        <v>13840.918487762345</v>
      </c>
      <c r="U169" s="69">
        <f t="shared" si="51"/>
        <v>20955.434665459892</v>
      </c>
      <c r="V169" s="92">
        <f t="shared" si="51"/>
        <v>10895.946687237987</v>
      </c>
      <c r="W169" s="69">
        <f t="shared" si="51"/>
        <v>17799.951653483073</v>
      </c>
      <c r="X169" s="70">
        <f t="shared" si="51"/>
        <v>20375.748361338043</v>
      </c>
      <c r="Y169" s="69">
        <f t="shared" si="38"/>
        <v>3644.321781330169</v>
      </c>
      <c r="Z169" s="69">
        <f t="shared" si="39"/>
        <v>6915.1060801033418</v>
      </c>
      <c r="AA169" s="70">
        <f t="shared" si="40"/>
        <v>13470.129648219223</v>
      </c>
    </row>
    <row r="170" spans="1:27" x14ac:dyDescent="0.2">
      <c r="A170" s="59">
        <v>39</v>
      </c>
      <c r="B170" s="3">
        <f t="shared" si="31"/>
        <v>51892.812857222576</v>
      </c>
      <c r="C170" s="3">
        <f t="shared" si="32"/>
        <v>514.80965136133455</v>
      </c>
      <c r="D170" s="3">
        <f t="shared" si="33"/>
        <v>52066.923496016047</v>
      </c>
      <c r="E170" s="3">
        <f t="shared" si="34"/>
        <v>688.92029015480512</v>
      </c>
      <c r="F170" s="5">
        <f t="shared" si="35"/>
        <v>103959.73635323862</v>
      </c>
      <c r="G170" s="105">
        <f t="shared" si="49"/>
        <v>1203.7299415161397</v>
      </c>
      <c r="H170" s="4"/>
      <c r="I170" s="5"/>
      <c r="J170"/>
      <c r="L170" s="4"/>
      <c r="O170" s="92">
        <v>36</v>
      </c>
      <c r="P170" s="92">
        <f t="shared" si="51"/>
        <v>6434.217849741487</v>
      </c>
      <c r="Q170" s="69">
        <f t="shared" si="51"/>
        <v>11028.390060142263</v>
      </c>
      <c r="R170" s="70">
        <f t="shared" si="51"/>
        <v>13073.295645120939</v>
      </c>
      <c r="S170" s="69">
        <f t="shared" si="51"/>
        <v>8312.3058635848356</v>
      </c>
      <c r="T170" s="69">
        <f t="shared" si="51"/>
        <v>14037.253379139518</v>
      </c>
      <c r="U170" s="69">
        <f t="shared" si="51"/>
        <v>21252.689720638653</v>
      </c>
      <c r="V170" s="92">
        <f t="shared" si="51"/>
        <v>11050.506842417124</v>
      </c>
      <c r="W170" s="69">
        <f t="shared" si="51"/>
        <v>18052.445848683732</v>
      </c>
      <c r="X170" s="70">
        <f t="shared" si="51"/>
        <v>20664.780505034934</v>
      </c>
      <c r="Y170" s="69">
        <f t="shared" si="38"/>
        <v>3696.0168709091977</v>
      </c>
      <c r="Z170" s="69">
        <f t="shared" si="39"/>
        <v>7013.1975905980507</v>
      </c>
      <c r="AA170" s="70">
        <f t="shared" si="40"/>
        <v>13661.204860724662</v>
      </c>
    </row>
    <row r="171" spans="1:27" x14ac:dyDescent="0.2">
      <c r="A171" s="59">
        <v>40</v>
      </c>
      <c r="B171" s="3">
        <f t="shared" si="31"/>
        <v>51692.689043302249</v>
      </c>
      <c r="C171" s="3">
        <f t="shared" si="32"/>
        <v>314.68583744100761</v>
      </c>
      <c r="D171" s="3">
        <f t="shared" si="33"/>
        <v>50827.684966608198</v>
      </c>
      <c r="E171" s="3">
        <f t="shared" si="34"/>
        <v>-550.31823925304343</v>
      </c>
      <c r="F171" s="5">
        <f t="shared" si="35"/>
        <v>102520.37400991045</v>
      </c>
      <c r="G171" s="105">
        <f t="shared" si="49"/>
        <v>-235.63240181203582</v>
      </c>
      <c r="H171" s="4"/>
      <c r="I171" s="5"/>
      <c r="J171"/>
      <c r="L171" s="4"/>
      <c r="O171" s="92">
        <v>37</v>
      </c>
      <c r="P171" s="92">
        <f t="shared" si="51"/>
        <v>6522.969874697249</v>
      </c>
      <c r="Q171" s="69">
        <f t="shared" si="51"/>
        <v>11180.512971224447</v>
      </c>
      <c r="R171" s="70">
        <f t="shared" si="51"/>
        <v>13253.625482942089</v>
      </c>
      <c r="S171" s="69">
        <f t="shared" si="51"/>
        <v>8426.9637745653363</v>
      </c>
      <c r="T171" s="69">
        <f t="shared" si="51"/>
        <v>14230.879813821988</v>
      </c>
      <c r="U171" s="69">
        <f t="shared" si="51"/>
        <v>21545.844116792487</v>
      </c>
      <c r="V171" s="92">
        <f t="shared" si="51"/>
        <v>11202.934826976494</v>
      </c>
      <c r="W171" s="69">
        <f t="shared" si="51"/>
        <v>18301.456864768508</v>
      </c>
      <c r="X171" s="70">
        <f t="shared" si="51"/>
        <v>20949.825425477269</v>
      </c>
      <c r="Y171" s="69">
        <f t="shared" si="38"/>
        <v>3746.9988222860902</v>
      </c>
      <c r="Z171" s="69">
        <f t="shared" si="39"/>
        <v>7109.9359202779269</v>
      </c>
      <c r="AA171" s="70">
        <f t="shared" si="40"/>
        <v>13849.644174257308</v>
      </c>
    </row>
    <row r="172" spans="1:27" x14ac:dyDescent="0.2">
      <c r="A172" s="59">
        <v>41</v>
      </c>
      <c r="B172" s="3">
        <f t="shared" si="31"/>
        <v>50827.351538131443</v>
      </c>
      <c r="C172" s="3">
        <f t="shared" si="32"/>
        <v>-550.65166772979865</v>
      </c>
      <c r="D172" s="3">
        <f t="shared" si="33"/>
        <v>51722.113594263894</v>
      </c>
      <c r="E172" s="3">
        <f t="shared" si="34"/>
        <v>344.11038840265246</v>
      </c>
      <c r="F172" s="5">
        <f t="shared" si="35"/>
        <v>102549.46513239533</v>
      </c>
      <c r="G172" s="105">
        <f t="shared" si="49"/>
        <v>-206.54127932715346</v>
      </c>
      <c r="H172" s="4"/>
      <c r="I172" s="5"/>
      <c r="J172"/>
      <c r="L172" s="4"/>
      <c r="O172" s="92">
        <v>38</v>
      </c>
      <c r="P172" s="92">
        <f t="shared" si="51"/>
        <v>6610.5304351832265</v>
      </c>
      <c r="Q172" s="69">
        <f t="shared" si="51"/>
        <v>11330.593686157472</v>
      </c>
      <c r="R172" s="70">
        <f t="shared" si="51"/>
        <v>13431.534456622807</v>
      </c>
      <c r="S172" s="69">
        <f t="shared" si="51"/>
        <v>8540.0824437405809</v>
      </c>
      <c r="T172" s="69">
        <f t="shared" si="51"/>
        <v>14421.906882265204</v>
      </c>
      <c r="U172" s="69">
        <f t="shared" si="51"/>
        <v>21835.063019109955</v>
      </c>
      <c r="V172" s="92">
        <f t="shared" si="51"/>
        <v>11353.316519883434</v>
      </c>
      <c r="W172" s="69">
        <f t="shared" si="51"/>
        <v>18547.124996244194</v>
      </c>
      <c r="X172" s="70">
        <f t="shared" si="51"/>
        <v>21231.043718919609</v>
      </c>
      <c r="Y172" s="69">
        <f t="shared" si="38"/>
        <v>3797.2963590403724</v>
      </c>
      <c r="Z172" s="69">
        <f t="shared" si="39"/>
        <v>7205.3755721784837</v>
      </c>
      <c r="AA172" s="70">
        <f t="shared" si="40"/>
        <v>14035.553756813155</v>
      </c>
    </row>
    <row r="173" spans="1:27" x14ac:dyDescent="0.2">
      <c r="A173" s="59">
        <v>42</v>
      </c>
      <c r="B173" s="3">
        <f t="shared" si="31"/>
        <v>52455.614297542503</v>
      </c>
      <c r="C173" s="3">
        <f t="shared" si="32"/>
        <v>1077.6110916812613</v>
      </c>
      <c r="D173" s="3">
        <f t="shared" si="33"/>
        <v>50091.456064359372</v>
      </c>
      <c r="E173" s="3">
        <f t="shared" si="34"/>
        <v>-1286.5471415018692</v>
      </c>
      <c r="F173" s="5">
        <f t="shared" si="35"/>
        <v>102547.07036190188</v>
      </c>
      <c r="G173" s="105">
        <f t="shared" si="49"/>
        <v>-208.93604982060788</v>
      </c>
      <c r="H173" s="4"/>
      <c r="I173" s="5"/>
      <c r="J173"/>
      <c r="L173" s="4"/>
      <c r="O173" s="92">
        <v>39</v>
      </c>
      <c r="P173" s="92">
        <f t="shared" si="51"/>
        <v>6696.946265482472</v>
      </c>
      <c r="Q173" s="69">
        <f t="shared" si="51"/>
        <v>11478.712308524204</v>
      </c>
      <c r="R173" s="70">
        <f t="shared" si="51"/>
        <v>13607.11752270846</v>
      </c>
      <c r="S173" s="69">
        <f t="shared" si="51"/>
        <v>8651.7222466937619</v>
      </c>
      <c r="T173" s="69">
        <f t="shared" si="51"/>
        <v>14610.436542622907</v>
      </c>
      <c r="U173" s="69">
        <f t="shared" si="51"/>
        <v>22120.500794328433</v>
      </c>
      <c r="V173" s="92">
        <f t="shared" si="51"/>
        <v>11501.73218536379</v>
      </c>
      <c r="W173" s="69">
        <f t="shared" si="51"/>
        <v>18789.581365204231</v>
      </c>
      <c r="X173" s="70">
        <f t="shared" si="51"/>
        <v>21508.585481880902</v>
      </c>
      <c r="Y173" s="69">
        <f t="shared" si="38"/>
        <v>3846.9363268124453</v>
      </c>
      <c r="Z173" s="69">
        <f t="shared" si="39"/>
        <v>7299.56748594288</v>
      </c>
      <c r="AA173" s="70">
        <f t="shared" si="40"/>
        <v>14219.032835155987</v>
      </c>
    </row>
    <row r="174" spans="1:27" x14ac:dyDescent="0.2">
      <c r="A174" s="59">
        <v>43</v>
      </c>
      <c r="B174" s="3">
        <f t="shared" si="31"/>
        <v>51090.146821176451</v>
      </c>
      <c r="C174" s="3">
        <f t="shared" si="32"/>
        <v>-287.8563846847901</v>
      </c>
      <c r="D174" s="3">
        <f t="shared" si="33"/>
        <v>51712.471608453139</v>
      </c>
      <c r="E174" s="3">
        <f t="shared" si="34"/>
        <v>334.46840259189776</v>
      </c>
      <c r="F174" s="5">
        <f t="shared" si="35"/>
        <v>102802.6184296296</v>
      </c>
      <c r="G174" s="105">
        <f t="shared" si="49"/>
        <v>46.612017907114932</v>
      </c>
      <c r="H174" s="4"/>
      <c r="I174" s="5"/>
      <c r="J174"/>
      <c r="L174" s="4"/>
      <c r="O174" s="92">
        <v>40</v>
      </c>
      <c r="P174" s="92">
        <f t="shared" si="51"/>
        <v>6782.261122298044</v>
      </c>
      <c r="Q174" s="69">
        <f t="shared" si="51"/>
        <v>11624.943838270297</v>
      </c>
      <c r="R174" s="70">
        <f t="shared" si="51"/>
        <v>13780.463587780836</v>
      </c>
      <c r="S174" s="69">
        <f t="shared" si="51"/>
        <v>8761.9397123003182</v>
      </c>
      <c r="T174" s="69">
        <f t="shared" si="51"/>
        <v>14796.564256991998</v>
      </c>
      <c r="U174" s="69">
        <f t="shared" si="51"/>
        <v>22402.301974021924</v>
      </c>
      <c r="V174" s="92">
        <f t="shared" si="51"/>
        <v>11648.256973771164</v>
      </c>
      <c r="W174" s="69">
        <f t="shared" si="51"/>
        <v>19028.948739563992</v>
      </c>
      <c r="X174" s="70">
        <f t="shared" si="51"/>
        <v>21782.591247785007</v>
      </c>
      <c r="Y174" s="69">
        <f t="shared" si="38"/>
        <v>3895.9438608271994</v>
      </c>
      <c r="Z174" s="69">
        <f t="shared" si="39"/>
        <v>7392.559355698304</v>
      </c>
      <c r="AA174" s="70">
        <f t="shared" si="40"/>
        <v>14400.174314017757</v>
      </c>
    </row>
    <row r="175" spans="1:27" x14ac:dyDescent="0.2">
      <c r="A175" s="59">
        <v>44</v>
      </c>
      <c r="B175" s="3">
        <f t="shared" si="31"/>
        <v>51114.841161098426</v>
      </c>
      <c r="C175" s="3">
        <f t="shared" si="32"/>
        <v>-263.16204476281564</v>
      </c>
      <c r="D175" s="3">
        <f t="shared" si="33"/>
        <v>51625.896408252062</v>
      </c>
      <c r="E175" s="3">
        <f t="shared" si="34"/>
        <v>247.89320239082008</v>
      </c>
      <c r="F175" s="5">
        <f t="shared" si="35"/>
        <v>102740.73756935049</v>
      </c>
      <c r="G175" s="105">
        <f t="shared" si="49"/>
        <v>-15.268842371995561</v>
      </c>
      <c r="H175" s="4"/>
      <c r="I175" s="5"/>
      <c r="J175"/>
      <c r="L175" s="4"/>
      <c r="O175" s="92">
        <v>41</v>
      </c>
      <c r="P175" s="92">
        <f t="shared" si="51"/>
        <v>6866.5160437671302</v>
      </c>
      <c r="Q175" s="69">
        <f t="shared" si="51"/>
        <v>11769.358615660072</v>
      </c>
      <c r="R175" s="70">
        <f t="shared" si="51"/>
        <v>13951.656034733198</v>
      </c>
      <c r="S175" s="69">
        <f t="shared" si="51"/>
        <v>8870.7878573458747</v>
      </c>
      <c r="T175" s="69">
        <f t="shared" si="51"/>
        <v>14980.3795564924</v>
      </c>
      <c r="U175" s="69">
        <f t="shared" si="51"/>
        <v>22680.602110143551</v>
      </c>
      <c r="V175" s="92">
        <f t="shared" si="51"/>
        <v>11792.961366433103</v>
      </c>
      <c r="W175" s="69">
        <f t="shared" si="51"/>
        <v>19265.342259775138</v>
      </c>
      <c r="X175" s="70">
        <f t="shared" si="51"/>
        <v>22053.192818836502</v>
      </c>
      <c r="Y175" s="69">
        <f t="shared" si="38"/>
        <v>3944.3425346799031</v>
      </c>
      <c r="Z175" s="69">
        <f t="shared" si="39"/>
        <v>7484.3959123773348</v>
      </c>
      <c r="AA175" s="70">
        <f t="shared" si="40"/>
        <v>14579.065326040243</v>
      </c>
    </row>
    <row r="176" spans="1:27" x14ac:dyDescent="0.2">
      <c r="A176" s="59">
        <v>45</v>
      </c>
      <c r="B176" s="3">
        <f t="shared" si="31"/>
        <v>51131.120746660257</v>
      </c>
      <c r="C176" s="3">
        <f t="shared" si="32"/>
        <v>-246.88245920098416</v>
      </c>
      <c r="D176" s="3">
        <f t="shared" si="33"/>
        <v>52213.815576914443</v>
      </c>
      <c r="E176" s="3">
        <f t="shared" si="34"/>
        <v>835.81237105320179</v>
      </c>
      <c r="F176" s="5">
        <f t="shared" si="35"/>
        <v>103344.9363235747</v>
      </c>
      <c r="G176" s="105">
        <f t="shared" si="49"/>
        <v>588.92991185221763</v>
      </c>
      <c r="H176" s="4"/>
      <c r="I176" s="5"/>
      <c r="J176"/>
      <c r="L176" s="4"/>
      <c r="O176" s="92">
        <v>42</v>
      </c>
      <c r="P176" s="92">
        <f t="shared" si="51"/>
        <v>6949.7495802069943</v>
      </c>
      <c r="Q176" s="69">
        <f t="shared" si="51"/>
        <v>11912.022716780113</v>
      </c>
      <c r="R176" s="70">
        <f t="shared" si="51"/>
        <v>14120.773191608918</v>
      </c>
      <c r="S176" s="69">
        <f t="shared" si="51"/>
        <v>8978.3164846247564</v>
      </c>
      <c r="T176" s="69">
        <f t="shared" si="51"/>
        <v>15161.966544675457</v>
      </c>
      <c r="U176" s="69">
        <f t="shared" si="51"/>
        <v>22955.528537196216</v>
      </c>
      <c r="V176" s="92">
        <f t="shared" si="51"/>
        <v>11935.911571947865</v>
      </c>
      <c r="W176" s="69">
        <f t="shared" si="51"/>
        <v>19498.870086228118</v>
      </c>
      <c r="X176" s="70">
        <f t="shared" si="51"/>
        <v>22320.51400710754</v>
      </c>
      <c r="Y176" s="69">
        <f t="shared" si="38"/>
        <v>3992.1544928838848</v>
      </c>
      <c r="Z176" s="69">
        <f t="shared" si="39"/>
        <v>7575.1191752274535</v>
      </c>
      <c r="AA176" s="70">
        <f t="shared" si="40"/>
        <v>14755.787721697594</v>
      </c>
    </row>
    <row r="177" spans="1:27" x14ac:dyDescent="0.2">
      <c r="A177" s="59">
        <v>46</v>
      </c>
      <c r="B177" s="3">
        <f t="shared" si="31"/>
        <v>52383.590956139778</v>
      </c>
      <c r="C177" s="3">
        <f t="shared" si="32"/>
        <v>1005.587750278537</v>
      </c>
      <c r="D177" s="3">
        <f t="shared" si="33"/>
        <v>51482.638461463583</v>
      </c>
      <c r="E177" s="3">
        <f t="shared" si="34"/>
        <v>104.6352556023412</v>
      </c>
      <c r="F177" s="5">
        <f t="shared" si="35"/>
        <v>103866.22941760336</v>
      </c>
      <c r="G177" s="105">
        <f t="shared" si="49"/>
        <v>1110.2230058808782</v>
      </c>
      <c r="H177" s="4"/>
      <c r="I177" s="5"/>
      <c r="J177"/>
      <c r="L177" s="4"/>
      <c r="O177" s="92">
        <v>43</v>
      </c>
      <c r="P177" s="92">
        <f t="shared" si="51"/>
        <v>7031.9980002744014</v>
      </c>
      <c r="Q177" s="69">
        <f t="shared" si="51"/>
        <v>12052.998306901021</v>
      </c>
      <c r="R177" s="70">
        <f t="shared" si="51"/>
        <v>14287.88875048427</v>
      </c>
      <c r="S177" s="69">
        <f t="shared" si="51"/>
        <v>9084.5724492754362</v>
      </c>
      <c r="T177" s="69">
        <f t="shared" si="51"/>
        <v>15341.404347292984</v>
      </c>
      <c r="U177" s="69">
        <f t="shared" si="51"/>
        <v>23227.20105319217</v>
      </c>
      <c r="V177" s="92">
        <f t="shared" si="51"/>
        <v>12077.169880254816</v>
      </c>
      <c r="W177" s="69">
        <f t="shared" si="51"/>
        <v>19729.633977672405</v>
      </c>
      <c r="X177" s="70">
        <f t="shared" si="51"/>
        <v>22584.671296660174</v>
      </c>
      <c r="Y177" s="69">
        <f t="shared" si="38"/>
        <v>4039.4005692950213</v>
      </c>
      <c r="Z177" s="69">
        <f t="shared" si="39"/>
        <v>7664.7686765215985</v>
      </c>
      <c r="AA177" s="70">
        <f t="shared" si="40"/>
        <v>14930.418507016268</v>
      </c>
    </row>
    <row r="178" spans="1:27" x14ac:dyDescent="0.2">
      <c r="A178" s="59">
        <v>47</v>
      </c>
      <c r="B178" s="3">
        <f t="shared" si="31"/>
        <v>51938.490513561548</v>
      </c>
      <c r="C178" s="3">
        <f t="shared" si="32"/>
        <v>560.4873077003067</v>
      </c>
      <c r="D178" s="3">
        <f t="shared" si="33"/>
        <v>49972.475131492538</v>
      </c>
      <c r="E178" s="3">
        <f t="shared" si="34"/>
        <v>-1405.5280743687035</v>
      </c>
      <c r="F178" s="5">
        <f t="shared" si="35"/>
        <v>101910.96564505409</v>
      </c>
      <c r="G178" s="105">
        <f t="shared" si="49"/>
        <v>-845.04076666838955</v>
      </c>
      <c r="H178" s="4"/>
      <c r="I178" s="5"/>
      <c r="J178"/>
      <c r="L178" s="4"/>
      <c r="O178" s="92">
        <v>44</v>
      </c>
      <c r="P178" s="92">
        <f t="shared" si="51"/>
        <v>7113.2954756666104</v>
      </c>
      <c r="Q178" s="69">
        <f t="shared" si="51"/>
        <v>12192.343957058969</v>
      </c>
      <c r="R178" s="70">
        <f t="shared" si="51"/>
        <v>14453.072142751131</v>
      </c>
      <c r="S178" s="69">
        <f t="shared" si="51"/>
        <v>9189.5998973940059</v>
      </c>
      <c r="T178" s="69">
        <f t="shared" si="51"/>
        <v>15518.767515251411</v>
      </c>
      <c r="U178" s="69">
        <f t="shared" si="51"/>
        <v>23495.732529733843</v>
      </c>
      <c r="V178" s="92">
        <f t="shared" si="51"/>
        <v>12216.794979850867</v>
      </c>
      <c r="W178" s="69">
        <f t="shared" si="51"/>
        <v>19957.729809430966</v>
      </c>
      <c r="X178" s="70">
        <f t="shared" si="51"/>
        <v>22845.774436750617</v>
      </c>
      <c r="Y178" s="69">
        <f t="shared" si="38"/>
        <v>4086.1003932097483</v>
      </c>
      <c r="Z178" s="69">
        <f t="shared" si="39"/>
        <v>7753.3816628794157</v>
      </c>
      <c r="AA178" s="70">
        <f t="shared" si="40"/>
        <v>15103.030235734353</v>
      </c>
    </row>
    <row r="179" spans="1:27" x14ac:dyDescent="0.2">
      <c r="A179" s="59">
        <v>48</v>
      </c>
      <c r="B179" s="3">
        <f t="shared" si="31"/>
        <v>51378.003205861241</v>
      </c>
      <c r="C179" s="3">
        <f t="shared" si="32"/>
        <v>0</v>
      </c>
      <c r="D179" s="3">
        <f t="shared" si="33"/>
        <v>51905.138770347992</v>
      </c>
      <c r="E179" s="3">
        <f t="shared" si="34"/>
        <v>527.13556448675081</v>
      </c>
      <c r="F179" s="5">
        <f t="shared" si="35"/>
        <v>103283.14197620924</v>
      </c>
      <c r="G179" s="105">
        <f t="shared" si="49"/>
        <v>527.13556448675808</v>
      </c>
      <c r="H179" s="4"/>
      <c r="I179" s="5"/>
      <c r="J179"/>
      <c r="L179" s="4"/>
      <c r="O179" s="92">
        <v>45</v>
      </c>
      <c r="P179" s="92">
        <f t="shared" si="51"/>
        <v>7193.674247032247</v>
      </c>
      <c r="Q179" s="69">
        <f t="shared" si="51"/>
        <v>12330.114928430548</v>
      </c>
      <c r="R179" s="70">
        <f t="shared" si="51"/>
        <v>14616.388876221194</v>
      </c>
      <c r="S179" s="69">
        <f t="shared" si="51"/>
        <v>9293.4404803728939</v>
      </c>
      <c r="T179" s="69">
        <f t="shared" si="51"/>
        <v>15694.126386572296</v>
      </c>
      <c r="U179" s="69">
        <f t="shared" si="51"/>
        <v>23761.229460029524</v>
      </c>
      <c r="V179" s="92">
        <f t="shared" si="51"/>
        <v>12354.842242735624</v>
      </c>
      <c r="W179" s="69">
        <f t="shared" si="51"/>
        <v>20183.248038895355</v>
      </c>
      <c r="X179" s="70">
        <f t="shared" si="51"/>
        <v>23103.926974685277</v>
      </c>
      <c r="Y179" s="69">
        <f t="shared" si="38"/>
        <v>4132.2724846695164</v>
      </c>
      <c r="Z179" s="69">
        <f t="shared" si="39"/>
        <v>7840.9932761074888</v>
      </c>
      <c r="AA179" s="70">
        <f t="shared" si="40"/>
        <v>15273.691361565438</v>
      </c>
    </row>
    <row r="180" spans="1:27" x14ac:dyDescent="0.2">
      <c r="A180" s="59">
        <v>49</v>
      </c>
      <c r="B180" s="3">
        <f t="shared" si="31"/>
        <v>51068.548945293893</v>
      </c>
      <c r="C180" s="3">
        <f t="shared" si="32"/>
        <v>-309.45426056734868</v>
      </c>
      <c r="D180" s="3">
        <f t="shared" si="33"/>
        <v>50853.033019837378</v>
      </c>
      <c r="E180" s="3">
        <f t="shared" si="34"/>
        <v>-524.97018602386379</v>
      </c>
      <c r="F180" s="5">
        <f t="shared" si="35"/>
        <v>101921.58196513128</v>
      </c>
      <c r="G180" s="105">
        <f t="shared" si="49"/>
        <v>-834.4244465912052</v>
      </c>
      <c r="H180" s="4"/>
      <c r="I180" s="5"/>
      <c r="J180"/>
      <c r="L180" s="4"/>
      <c r="O180" s="92">
        <v>46</v>
      </c>
      <c r="P180" s="92">
        <f t="shared" si="51"/>
        <v>7273.1647733769132</v>
      </c>
      <c r="Q180" s="69">
        <f t="shared" si="51"/>
        <v>12466.363428417259</v>
      </c>
      <c r="R180" s="70">
        <f t="shared" si="51"/>
        <v>14777.900838694122</v>
      </c>
      <c r="S180" s="69">
        <f t="shared" si="51"/>
        <v>9396.1335479165682</v>
      </c>
      <c r="T180" s="69">
        <f t="shared" si="51"/>
        <v>15867.547412344073</v>
      </c>
      <c r="U180" s="69">
        <f t="shared" si="51"/>
        <v>24023.792452390953</v>
      </c>
      <c r="V180" s="92">
        <f t="shared" si="51"/>
        <v>12491.363981009432</v>
      </c>
      <c r="W180" s="69">
        <f t="shared" si="51"/>
        <v>20406.274124712159</v>
      </c>
      <c r="X180" s="70">
        <f t="shared" si="51"/>
        <v>23359.226735666827</v>
      </c>
      <c r="Y180" s="69">
        <f t="shared" si="38"/>
        <v>4177.9343402840495</v>
      </c>
      <c r="Z180" s="69">
        <f t="shared" si="39"/>
        <v>7927.6367160491718</v>
      </c>
      <c r="AA180" s="70">
        <f t="shared" si="40"/>
        <v>15442.466555418247</v>
      </c>
    </row>
    <row r="181" spans="1:27" x14ac:dyDescent="0.2">
      <c r="A181" s="59">
        <v>50</v>
      </c>
      <c r="B181" s="3">
        <f t="shared" si="31"/>
        <v>50919.657107576335</v>
      </c>
      <c r="C181" s="3">
        <f t="shared" si="32"/>
        <v>-458.34609828490647</v>
      </c>
      <c r="D181" s="3">
        <f t="shared" si="33"/>
        <v>50979.674173420761</v>
      </c>
      <c r="E181" s="3">
        <f t="shared" si="34"/>
        <v>-398.32903244048066</v>
      </c>
      <c r="F181" s="5">
        <f t="shared" si="35"/>
        <v>101899.3312809971</v>
      </c>
      <c r="G181" s="105">
        <f t="shared" si="49"/>
        <v>-856.67513072538713</v>
      </c>
      <c r="H181" s="4"/>
      <c r="I181" s="5"/>
      <c r="J181"/>
      <c r="L181" s="4"/>
      <c r="O181" s="92">
        <v>47</v>
      </c>
      <c r="P181" s="92">
        <f t="shared" si="51"/>
        <v>7351.7958669271229</v>
      </c>
      <c r="Q181" s="69">
        <f t="shared" si="51"/>
        <v>12601.138841805243</v>
      </c>
      <c r="R181" s="70">
        <f t="shared" si="51"/>
        <v>14937.666571979382</v>
      </c>
      <c r="S181" s="69">
        <f t="shared" si="51"/>
        <v>9497.7163222709914</v>
      </c>
      <c r="T181" s="69">
        <f t="shared" si="51"/>
        <v>16039.093450948823</v>
      </c>
      <c r="U181" s="69">
        <f t="shared" si="51"/>
        <v>24283.516675698727</v>
      </c>
      <c r="V181" s="92">
        <f t="shared" si="51"/>
        <v>12626.409678496695</v>
      </c>
      <c r="W181" s="69">
        <f t="shared" si="51"/>
        <v>20626.888905169893</v>
      </c>
      <c r="X181" s="70">
        <f t="shared" si="51"/>
        <v>23611.76625593676</v>
      </c>
      <c r="Y181" s="69">
        <f t="shared" si="38"/>
        <v>4223.1025107014193</v>
      </c>
      <c r="Z181" s="69">
        <f t="shared" si="39"/>
        <v>8013.3433875841729</v>
      </c>
      <c r="AA181" s="70">
        <f t="shared" si="40"/>
        <v>15609.416991741353</v>
      </c>
    </row>
    <row r="182" spans="1:27" x14ac:dyDescent="0.2">
      <c r="A182" s="59">
        <v>51</v>
      </c>
      <c r="B182" s="3">
        <f t="shared" si="31"/>
        <v>50034.217116577507</v>
      </c>
      <c r="C182" s="3">
        <f t="shared" si="32"/>
        <v>-1343.7860892837343</v>
      </c>
      <c r="D182" s="3">
        <f t="shared" si="33"/>
        <v>51547.88540339547</v>
      </c>
      <c r="E182" s="3">
        <f t="shared" si="34"/>
        <v>169.88219753422891</v>
      </c>
      <c r="F182" s="5">
        <f t="shared" si="35"/>
        <v>101582.10251997298</v>
      </c>
      <c r="G182" s="105">
        <f t="shared" si="49"/>
        <v>-1173.9038917495054</v>
      </c>
      <c r="H182" s="4"/>
      <c r="I182" s="5"/>
      <c r="J182"/>
      <c r="L182" s="4"/>
      <c r="O182" s="92">
        <v>48</v>
      </c>
      <c r="P182" s="92">
        <f t="shared" si="51"/>
        <v>7429.5948151458851</v>
      </c>
      <c r="Q182" s="69">
        <f t="shared" si="51"/>
        <v>12734.487939902658</v>
      </c>
      <c r="R182" s="70">
        <f t="shared" si="51"/>
        <v>15095.741519812271</v>
      </c>
      <c r="S182" s="69">
        <f t="shared" si="51"/>
        <v>9598.2240558544181</v>
      </c>
      <c r="T182" s="69">
        <f t="shared" si="51"/>
        <v>16208.824034258369</v>
      </c>
      <c r="U182" s="69">
        <f t="shared" si="51"/>
        <v>24540.492262428637</v>
      </c>
      <c r="V182" s="92">
        <f t="shared" si="51"/>
        <v>12760.026200302655</v>
      </c>
      <c r="W182" s="69">
        <f t="shared" si="51"/>
        <v>20845.168940537391</v>
      </c>
      <c r="X182" s="70">
        <f t="shared" si="51"/>
        <v>23861.633174652899</v>
      </c>
      <c r="Y182" s="69">
        <f t="shared" si="38"/>
        <v>4267.7926706976468</v>
      </c>
      <c r="Z182" s="69">
        <f t="shared" si="39"/>
        <v>8098.1430336236372</v>
      </c>
      <c r="AA182" s="70">
        <f t="shared" si="40"/>
        <v>15774.60060758801</v>
      </c>
    </row>
    <row r="183" spans="1:27" x14ac:dyDescent="0.2">
      <c r="A183" s="59">
        <v>52</v>
      </c>
      <c r="B183" s="3">
        <f t="shared" si="31"/>
        <v>52601.075657483154</v>
      </c>
      <c r="C183" s="3">
        <f t="shared" si="32"/>
        <v>1223.0724516219125</v>
      </c>
      <c r="D183" s="3">
        <f t="shared" si="33"/>
        <v>51348.884078957693</v>
      </c>
      <c r="E183" s="3">
        <f t="shared" si="34"/>
        <v>-29.119126903548022</v>
      </c>
      <c r="F183" s="5">
        <f t="shared" si="35"/>
        <v>103949.95973644085</v>
      </c>
      <c r="G183" s="105">
        <f t="shared" si="49"/>
        <v>1193.9533247183717</v>
      </c>
      <c r="H183" s="4"/>
      <c r="I183" s="5"/>
      <c r="J183"/>
      <c r="L183" s="4"/>
      <c r="O183" s="92">
        <v>49</v>
      </c>
      <c r="P183" s="92">
        <f t="shared" si="51"/>
        <v>7506.5874913650678</v>
      </c>
      <c r="Q183" s="69">
        <f t="shared" si="51"/>
        <v>12866.455070165974</v>
      </c>
      <c r="R183" s="70">
        <f t="shared" si="51"/>
        <v>15252.178252641095</v>
      </c>
      <c r="S183" s="69">
        <f t="shared" si="51"/>
        <v>9697.6901741823094</v>
      </c>
      <c r="T183" s="69">
        <f t="shared" si="51"/>
        <v>16376.795608996104</v>
      </c>
      <c r="U183" s="69">
        <f t="shared" si="51"/>
        <v>24794.804674078427</v>
      </c>
      <c r="V183" s="92">
        <f t="shared" si="51"/>
        <v>12892.257982819978</v>
      </c>
      <c r="W183" s="69">
        <f t="shared" si="51"/>
        <v>21061.186823464355</v>
      </c>
      <c r="X183" s="70">
        <f t="shared" si="51"/>
        <v>24108.910589207426</v>
      </c>
      <c r="Y183" s="69">
        <f t="shared" si="38"/>
        <v>4312.0196827274012</v>
      </c>
      <c r="Z183" s="69">
        <f t="shared" si="39"/>
        <v>8182.063855697721</v>
      </c>
      <c r="AA183" s="70">
        <f t="shared" si="40"/>
        <v>15938.072337512098</v>
      </c>
    </row>
    <row r="184" spans="1:27" x14ac:dyDescent="0.2">
      <c r="A184" s="59">
        <v>53</v>
      </c>
      <c r="B184" s="3">
        <f t="shared" si="31"/>
        <v>50997.295746623538</v>
      </c>
      <c r="C184" s="3">
        <f t="shared" si="32"/>
        <v>-380.70745923770301</v>
      </c>
      <c r="D184" s="3">
        <f t="shared" si="33"/>
        <v>52226.174056063013</v>
      </c>
      <c r="E184" s="3">
        <f t="shared" si="34"/>
        <v>848.17085020177183</v>
      </c>
      <c r="F184" s="5">
        <f t="shared" si="35"/>
        <v>103223.46980268655</v>
      </c>
      <c r="G184" s="105">
        <f t="shared" si="49"/>
        <v>467.46339096406882</v>
      </c>
      <c r="H184" s="4"/>
      <c r="I184" s="5"/>
      <c r="J184"/>
      <c r="L184" s="4"/>
      <c r="O184" s="92">
        <v>50</v>
      </c>
      <c r="P184" s="92">
        <f t="shared" si="51"/>
        <v>7582.7984553062206</v>
      </c>
      <c r="Q184" s="69">
        <f t="shared" si="51"/>
        <v>12997.082328494853</v>
      </c>
      <c r="R184" s="70">
        <f t="shared" si="51"/>
        <v>15407.026671869295</v>
      </c>
      <c r="S184" s="69">
        <f t="shared" si="51"/>
        <v>9796.1464057292305</v>
      </c>
      <c r="T184" s="69">
        <f t="shared" si="51"/>
        <v>16543.061756038889</v>
      </c>
      <c r="U184" s="69">
        <f t="shared" si="51"/>
        <v>25046.535033195374</v>
      </c>
      <c r="V184" s="92">
        <f t="shared" si="51"/>
        <v>13023.147206369153</v>
      </c>
      <c r="W184" s="69">
        <f t="shared" si="51"/>
        <v>21275.011461012014</v>
      </c>
      <c r="X184" s="70">
        <f t="shared" si="51"/>
        <v>24353.67737806962</v>
      </c>
      <c r="Y184" s="69">
        <f t="shared" si="38"/>
        <v>4355.7976546662994</v>
      </c>
      <c r="Z184" s="69">
        <f t="shared" si="39"/>
        <v>8265.1326235217275</v>
      </c>
      <c r="AA184" s="70">
        <f t="shared" si="40"/>
        <v>16099.884326995048</v>
      </c>
    </row>
    <row r="185" spans="1:27" x14ac:dyDescent="0.2">
      <c r="A185" s="59">
        <v>54</v>
      </c>
      <c r="B185" s="3">
        <f t="shared" si="31"/>
        <v>51444.132436004351</v>
      </c>
      <c r="C185" s="3">
        <f t="shared" si="32"/>
        <v>66.129230143109453</v>
      </c>
      <c r="D185" s="3">
        <f t="shared" si="33"/>
        <v>51583.948340410956</v>
      </c>
      <c r="E185" s="3">
        <f t="shared" si="34"/>
        <v>205.94513454971457</v>
      </c>
      <c r="F185" s="5">
        <f t="shared" si="35"/>
        <v>103028.0807764153</v>
      </c>
      <c r="G185" s="105">
        <f t="shared" si="49"/>
        <v>272.07436469281674</v>
      </c>
      <c r="H185" s="4"/>
      <c r="I185" s="5"/>
      <c r="J185"/>
      <c r="L185" s="4"/>
      <c r="O185" s="92">
        <v>51</v>
      </c>
      <c r="P185" s="92">
        <f t="shared" si="51"/>
        <v>7658.251044596951</v>
      </c>
      <c r="Q185" s="69">
        <f t="shared" si="51"/>
        <v>13126.409716093225</v>
      </c>
      <c r="R185" s="70">
        <f t="shared" si="51"/>
        <v>15560.334195802019</v>
      </c>
      <c r="S185" s="69">
        <f t="shared" si="51"/>
        <v>9893.6229001580286</v>
      </c>
      <c r="T185" s="69">
        <f t="shared" si="51"/>
        <v>16707.673390074357</v>
      </c>
      <c r="U185" s="69">
        <f t="shared" si="51"/>
        <v>25295.760425661549</v>
      </c>
      <c r="V185" s="92">
        <f t="shared" si="51"/>
        <v>13152.733952374156</v>
      </c>
      <c r="W185" s="69">
        <f t="shared" si="51"/>
        <v>21486.708331420064</v>
      </c>
      <c r="X185" s="70">
        <f t="shared" si="51"/>
        <v>24596.008494709095</v>
      </c>
      <c r="Y185" s="69">
        <f t="shared" si="38"/>
        <v>4399.1399923808258</v>
      </c>
      <c r="Z185" s="69">
        <f t="shared" si="39"/>
        <v>8347.3747747475172</v>
      </c>
      <c r="AA185" s="70">
        <f t="shared" si="40"/>
        <v>16260.086126754475</v>
      </c>
    </row>
    <row r="186" spans="1:27" x14ac:dyDescent="0.2">
      <c r="A186" s="59">
        <v>55</v>
      </c>
      <c r="B186" s="3">
        <f t="shared" si="31"/>
        <v>52020.833651319786</v>
      </c>
      <c r="C186" s="3">
        <f t="shared" si="32"/>
        <v>642.830445458545</v>
      </c>
      <c r="D186" s="3">
        <f t="shared" si="33"/>
        <v>51272.26974519722</v>
      </c>
      <c r="E186" s="3">
        <f t="shared" si="34"/>
        <v>-105.73346066402155</v>
      </c>
      <c r="F186" s="5">
        <f t="shared" si="35"/>
        <v>103293.10339651701</v>
      </c>
      <c r="G186" s="105">
        <f t="shared" si="49"/>
        <v>537.09698479452345</v>
      </c>
      <c r="H186" s="4"/>
      <c r="I186" s="5"/>
      <c r="J186"/>
      <c r="L186" s="4"/>
      <c r="O186" s="92">
        <v>52</v>
      </c>
      <c r="P186" s="92">
        <f t="shared" si="51"/>
        <v>7732.9674582495281</v>
      </c>
      <c r="Q186" s="69">
        <f t="shared" si="51"/>
        <v>13254.47528255344</v>
      </c>
      <c r="R186" s="70">
        <f t="shared" si="51"/>
        <v>15712.145929261205</v>
      </c>
      <c r="S186" s="69">
        <f t="shared" si="51"/>
        <v>9990.1483361650335</v>
      </c>
      <c r="T186" s="69">
        <f t="shared" si="51"/>
        <v>16870.678941722559</v>
      </c>
      <c r="U186" s="69">
        <f t="shared" si="51"/>
        <v>25542.554176429701</v>
      </c>
      <c r="V186" s="92">
        <f t="shared" si="51"/>
        <v>13281.056346733532</v>
      </c>
      <c r="W186" s="69">
        <f t="shared" si="51"/>
        <v>21696.339718322077</v>
      </c>
      <c r="X186" s="70">
        <f t="shared" si="51"/>
        <v>24835.975235704031</v>
      </c>
      <c r="Y186" s="69">
        <f t="shared" si="38"/>
        <v>4442.0594476810275</v>
      </c>
      <c r="Z186" s="69">
        <f t="shared" si="39"/>
        <v>8428.8145059539202</v>
      </c>
      <c r="AA186" s="70">
        <f t="shared" si="40"/>
        <v>16418.724869986876</v>
      </c>
    </row>
    <row r="187" spans="1:27" x14ac:dyDescent="0.2">
      <c r="A187" s="59">
        <v>56</v>
      </c>
      <c r="B187" s="3">
        <f t="shared" si="31"/>
        <v>51930.267819246292</v>
      </c>
      <c r="C187" s="3">
        <f t="shared" si="32"/>
        <v>552.26461338505032</v>
      </c>
      <c r="D187" s="3">
        <f t="shared" si="33"/>
        <v>51582.489608128235</v>
      </c>
      <c r="E187" s="3">
        <f t="shared" si="34"/>
        <v>204.48640226699354</v>
      </c>
      <c r="F187" s="5">
        <f t="shared" si="35"/>
        <v>103512.75742737453</v>
      </c>
      <c r="G187" s="105">
        <f t="shared" si="49"/>
        <v>756.75101565204386</v>
      </c>
      <c r="H187" s="4"/>
      <c r="I187" s="5"/>
      <c r="J187"/>
      <c r="L187" s="4"/>
      <c r="O187" s="92">
        <v>53</v>
      </c>
      <c r="P187" s="92">
        <f t="shared" si="51"/>
        <v>7806.9688329480387</v>
      </c>
      <c r="Q187" s="69">
        <f t="shared" si="51"/>
        <v>13381.315256614109</v>
      </c>
      <c r="R187" s="70">
        <f t="shared" si="51"/>
        <v>15862.504818588812</v>
      </c>
      <c r="S187" s="69">
        <f t="shared" si="51"/>
        <v>10085.750020034733</v>
      </c>
      <c r="T187" s="69">
        <f t="shared" si="51"/>
        <v>17032.12452396833</v>
      </c>
      <c r="U187" s="69">
        <f t="shared" si="51"/>
        <v>25786.98610150531</v>
      </c>
      <c r="V187" s="92">
        <f t="shared" si="51"/>
        <v>13408.150690840488</v>
      </c>
      <c r="W187" s="69">
        <f t="shared" si="51"/>
        <v>21903.964924783915</v>
      </c>
      <c r="X187" s="70">
        <f t="shared" si="51"/>
        <v>25073.645485752681</v>
      </c>
      <c r="Y187" s="69">
        <f t="shared" si="38"/>
        <v>4484.5681621422846</v>
      </c>
      <c r="Z187" s="69">
        <f t="shared" si="39"/>
        <v>8509.4748557985258</v>
      </c>
      <c r="AA187" s="70">
        <f t="shared" si="40"/>
        <v>16575.845434341438</v>
      </c>
    </row>
    <row r="188" spans="1:27" x14ac:dyDescent="0.2">
      <c r="A188" s="59">
        <v>57</v>
      </c>
      <c r="B188" s="3">
        <f t="shared" si="31"/>
        <v>51291.957312031293</v>
      </c>
      <c r="C188" s="3">
        <f t="shared" si="32"/>
        <v>-86.045893829948909</v>
      </c>
      <c r="D188" s="3">
        <f t="shared" si="33"/>
        <v>51501.475042671053</v>
      </c>
      <c r="E188" s="3">
        <f t="shared" si="34"/>
        <v>123.47183680981107</v>
      </c>
      <c r="F188" s="5">
        <f t="shared" si="35"/>
        <v>102793.43235470235</v>
      </c>
      <c r="G188" s="105">
        <f t="shared" si="49"/>
        <v>37.425942979869433</v>
      </c>
      <c r="H188" s="4"/>
      <c r="I188" s="5"/>
      <c r="J188"/>
      <c r="L188" s="4"/>
      <c r="O188" s="92">
        <v>54</v>
      </c>
      <c r="P188" s="92">
        <f t="shared" si="51"/>
        <v>7880.2753128871045</v>
      </c>
      <c r="Q188" s="69">
        <f t="shared" si="51"/>
        <v>13506.964165865216</v>
      </c>
      <c r="R188" s="70">
        <f t="shared" si="51"/>
        <v>16011.451793547865</v>
      </c>
      <c r="S188" s="69">
        <f t="shared" si="51"/>
        <v>10180.453975863762</v>
      </c>
      <c r="T188" s="69">
        <f t="shared" si="51"/>
        <v>17192.054084525378</v>
      </c>
      <c r="U188" s="69">
        <f t="shared" si="51"/>
        <v>26029.122738628936</v>
      </c>
      <c r="V188" s="92">
        <f t="shared" si="51"/>
        <v>13534.051581528036</v>
      </c>
      <c r="W188" s="69">
        <f t="shared" si="51"/>
        <v>22109.640469249785</v>
      </c>
      <c r="X188" s="70">
        <f t="shared" si="51"/>
        <v>25309.08394197443</v>
      </c>
      <c r="Y188" s="69">
        <f t="shared" si="38"/>
        <v>4526.6777072228306</v>
      </c>
      <c r="Z188" s="69">
        <f t="shared" si="39"/>
        <v>8589.3777811408108</v>
      </c>
      <c r="AA188" s="70">
        <f t="shared" si="40"/>
        <v>16731.490590202375</v>
      </c>
    </row>
    <row r="189" spans="1:27" x14ac:dyDescent="0.2">
      <c r="A189" s="59">
        <v>58</v>
      </c>
      <c r="B189" s="3">
        <f t="shared" si="31"/>
        <v>51330.598572807692</v>
      </c>
      <c r="C189" s="3">
        <f t="shared" si="32"/>
        <v>-47.404633053549333</v>
      </c>
      <c r="D189" s="3">
        <f t="shared" si="33"/>
        <v>51345.366877444751</v>
      </c>
      <c r="E189" s="3">
        <f t="shared" si="34"/>
        <v>-32.636328416490869</v>
      </c>
      <c r="F189" s="5">
        <f t="shared" si="35"/>
        <v>102675.96545025244</v>
      </c>
      <c r="G189" s="105">
        <f t="shared" si="49"/>
        <v>-80.040961470047478</v>
      </c>
      <c r="H189" s="4"/>
      <c r="I189" s="5"/>
      <c r="J189"/>
      <c r="L189" s="4"/>
      <c r="O189" s="92">
        <v>55</v>
      </c>
      <c r="P189" s="92">
        <f t="shared" si="51"/>
        <v>7952.9061138161214</v>
      </c>
      <c r="Q189" s="69">
        <f t="shared" si="51"/>
        <v>13631.454946521317</v>
      </c>
      <c r="R189" s="70">
        <f t="shared" si="51"/>
        <v>16159.025897450038</v>
      </c>
      <c r="S189" s="69">
        <f t="shared" si="51"/>
        <v>10274.285028299046</v>
      </c>
      <c r="T189" s="69">
        <f t="shared" si="51"/>
        <v>17350.509545558831</v>
      </c>
      <c r="U189" s="69">
        <f t="shared" si="51"/>
        <v>26269.027558818987</v>
      </c>
      <c r="V189" s="92">
        <f t="shared" si="51"/>
        <v>13658.792021062358</v>
      </c>
      <c r="W189" s="69">
        <f t="shared" si="51"/>
        <v>22313.420265230783</v>
      </c>
      <c r="X189" s="70">
        <f t="shared" si="51"/>
        <v>25542.352319600672</v>
      </c>
      <c r="Y189" s="69">
        <f t="shared" si="38"/>
        <v>4568.3991210528093</v>
      </c>
      <c r="Z189" s="69">
        <f t="shared" si="39"/>
        <v>8668.5442268493643</v>
      </c>
      <c r="AA189" s="70">
        <f t="shared" si="40"/>
        <v>16885.701136668351</v>
      </c>
    </row>
    <row r="190" spans="1:27" x14ac:dyDescent="0.2">
      <c r="A190" s="59">
        <v>59</v>
      </c>
      <c r="B190" s="3">
        <f t="shared" si="31"/>
        <v>51990.519069788061</v>
      </c>
      <c r="C190" s="3">
        <f t="shared" si="32"/>
        <v>612.51586392681929</v>
      </c>
      <c r="D190" s="3">
        <f t="shared" si="33"/>
        <v>51313.74251414778</v>
      </c>
      <c r="E190" s="3">
        <f t="shared" si="34"/>
        <v>-64.260691713461711</v>
      </c>
      <c r="F190" s="5">
        <f t="shared" si="35"/>
        <v>103304.26158393585</v>
      </c>
      <c r="G190" s="105">
        <f t="shared" si="49"/>
        <v>548.25517221336486</v>
      </c>
      <c r="H190" s="4"/>
      <c r="I190" s="5"/>
      <c r="J190"/>
      <c r="L190" s="4"/>
      <c r="O190" s="92">
        <v>56</v>
      </c>
      <c r="P190" s="92">
        <f t="shared" si="51"/>
        <v>8024.8795818659937</v>
      </c>
      <c r="Q190" s="69">
        <f t="shared" si="51"/>
        <v>13754.81904425187</v>
      </c>
      <c r="R190" s="70">
        <f t="shared" si="51"/>
        <v>16305.264406682119</v>
      </c>
      <c r="S190" s="69">
        <f t="shared" si="51"/>
        <v>10367.266878535516</v>
      </c>
      <c r="T190" s="69">
        <f t="shared" si="51"/>
        <v>17507.530932024947</v>
      </c>
      <c r="U190" s="69">
        <f t="shared" si="51"/>
        <v>26506.761160680744</v>
      </c>
      <c r="V190" s="92">
        <f t="shared" si="51"/>
        <v>13782.403518175337</v>
      </c>
      <c r="W190" s="69">
        <f t="shared" si="51"/>
        <v>22515.355786354688</v>
      </c>
      <c r="X190" s="70">
        <f t="shared" si="51"/>
        <v>25773.509540908701</v>
      </c>
      <c r="Y190" s="69">
        <f t="shared" si="38"/>
        <v>4609.7429422261721</v>
      </c>
      <c r="Z190" s="69">
        <f t="shared" si="39"/>
        <v>8746.9941899221303</v>
      </c>
      <c r="AA190" s="70">
        <f t="shared" si="40"/>
        <v>17038.516026454163</v>
      </c>
    </row>
    <row r="191" spans="1:27" x14ac:dyDescent="0.2">
      <c r="A191" s="59">
        <v>60</v>
      </c>
      <c r="B191" s="3">
        <f t="shared" si="31"/>
        <v>51574.086184992542</v>
      </c>
      <c r="C191" s="3">
        <f t="shared" si="32"/>
        <v>196.08297913130082</v>
      </c>
      <c r="D191" s="3">
        <f t="shared" si="33"/>
        <v>51418.084587955731</v>
      </c>
      <c r="E191" s="3">
        <f t="shared" si="34"/>
        <v>40.081382094489527</v>
      </c>
      <c r="F191" s="5">
        <f t="shared" si="35"/>
        <v>102992.17077294827</v>
      </c>
      <c r="G191" s="105">
        <f t="shared" si="49"/>
        <v>236.16436122579034</v>
      </c>
      <c r="H191" s="4"/>
      <c r="I191" s="5"/>
      <c r="J191"/>
      <c r="L191" s="4"/>
      <c r="O191" s="92">
        <v>57</v>
      </c>
      <c r="P191" s="92">
        <f t="shared" si="51"/>
        <v>8096.2132476686666</v>
      </c>
      <c r="Q191" s="69">
        <f t="shared" si="51"/>
        <v>13877.086506943286</v>
      </c>
      <c r="R191" s="70">
        <f t="shared" si="51"/>
        <v>16450.202940668198</v>
      </c>
      <c r="S191" s="69">
        <f t="shared" si="51"/>
        <v>10459.422174232628</v>
      </c>
      <c r="T191" s="69">
        <f t="shared" si="51"/>
        <v>17663.15648974137</v>
      </c>
      <c r="U191" s="69">
        <f t="shared" si="51"/>
        <v>26742.381449167067</v>
      </c>
      <c r="V191" s="92">
        <f t="shared" si="51"/>
        <v>13904.916181012641</v>
      </c>
      <c r="W191" s="69">
        <f t="shared" si="51"/>
        <v>22715.496218208824</v>
      </c>
      <c r="X191" s="70">
        <f t="shared" si="51"/>
        <v>26002.611909037405</v>
      </c>
      <c r="Y191" s="69">
        <f t="shared" si="38"/>
        <v>4650.7192408886531</v>
      </c>
      <c r="Z191" s="69">
        <f t="shared" si="39"/>
        <v>8824.7467784758301</v>
      </c>
      <c r="AA191" s="70">
        <f t="shared" si="40"/>
        <v>17189.972480797856</v>
      </c>
    </row>
    <row r="192" spans="1:27" x14ac:dyDescent="0.2">
      <c r="A192" s="59">
        <v>61</v>
      </c>
      <c r="B192" s="3">
        <f t="shared" si="31"/>
        <v>51101.982856379385</v>
      </c>
      <c r="C192" s="3">
        <f t="shared" si="32"/>
        <v>-276.0203494818561</v>
      </c>
      <c r="D192" s="3">
        <f t="shared" si="33"/>
        <v>50971.178120986733</v>
      </c>
      <c r="E192" s="3">
        <f t="shared" si="34"/>
        <v>-406.82508487450832</v>
      </c>
      <c r="F192" s="5">
        <f t="shared" si="35"/>
        <v>102073.16097736612</v>
      </c>
      <c r="G192" s="105">
        <f t="shared" si="49"/>
        <v>-682.84543435636442</v>
      </c>
      <c r="H192" s="4"/>
      <c r="I192" s="5"/>
      <c r="J192"/>
      <c r="L192" s="4"/>
      <c r="O192" s="92">
        <v>58</v>
      </c>
      <c r="P192" s="92">
        <f t="shared" si="51"/>
        <v>8166.9238762217874</v>
      </c>
      <c r="Q192" s="69">
        <f t="shared" si="51"/>
        <v>13998.286070168051</v>
      </c>
      <c r="R192" s="70">
        <f t="shared" si="51"/>
        <v>16593.875563186633</v>
      </c>
      <c r="S192" s="69">
        <f t="shared" si="51"/>
        <v>10550.772573934044</v>
      </c>
      <c r="T192" s="69">
        <f t="shared" si="51"/>
        <v>17817.422794174669</v>
      </c>
      <c r="U192" s="69">
        <f t="shared" si="51"/>
        <v>26975.943800285033</v>
      </c>
      <c r="V192" s="92">
        <f t="shared" si="51"/>
        <v>14026.358802774239</v>
      </c>
      <c r="W192" s="69">
        <f t="shared" si="51"/>
        <v>22913.888598245023</v>
      </c>
      <c r="X192" s="70">
        <f t="shared" si="51"/>
        <v>26229.713268137642</v>
      </c>
      <c r="Y192" s="69">
        <f t="shared" si="38"/>
        <v>4691.3376473815933</v>
      </c>
      <c r="Z192" s="69">
        <f t="shared" si="39"/>
        <v>8901.8202660976967</v>
      </c>
      <c r="AA192" s="70">
        <f t="shared" si="40"/>
        <v>17340.106095334024</v>
      </c>
    </row>
    <row r="193" spans="1:27" x14ac:dyDescent="0.2">
      <c r="A193" s="59">
        <v>62</v>
      </c>
      <c r="B193" s="3">
        <f t="shared" si="31"/>
        <v>52364.235442902456</v>
      </c>
      <c r="C193" s="3">
        <f t="shared" si="32"/>
        <v>986.23223704121483</v>
      </c>
      <c r="D193" s="3">
        <f t="shared" si="33"/>
        <v>50243.399437947184</v>
      </c>
      <c r="E193" s="3">
        <f t="shared" si="34"/>
        <v>-1134.6037679140572</v>
      </c>
      <c r="F193" s="5">
        <f t="shared" si="35"/>
        <v>102607.63488084964</v>
      </c>
      <c r="G193" s="105">
        <f t="shared" si="49"/>
        <v>-148.37153087284241</v>
      </c>
      <c r="H193" s="4"/>
      <c r="I193" s="5"/>
      <c r="J193"/>
      <c r="L193" s="4"/>
      <c r="O193" s="92">
        <v>59</v>
      </c>
      <c r="P193" s="92">
        <f t="shared" si="51"/>
        <v>8237.027512900353</v>
      </c>
      <c r="Q193" s="69">
        <f t="shared" si="51"/>
        <v>14118.445236049694</v>
      </c>
      <c r="R193" s="70">
        <f t="shared" si="51"/>
        <v>16736.314875858316</v>
      </c>
      <c r="S193" s="69">
        <f t="shared" si="51"/>
        <v>10641.338806509661</v>
      </c>
      <c r="T193" s="69">
        <f t="shared" si="51"/>
        <v>17970.364850821959</v>
      </c>
      <c r="U193" s="69">
        <f t="shared" si="51"/>
        <v>27207.501213075742</v>
      </c>
      <c r="V193" s="92">
        <f t="shared" si="51"/>
        <v>14146.758940737542</v>
      </c>
      <c r="W193" s="69">
        <f t="shared" si="51"/>
        <v>23110.577944874229</v>
      </c>
      <c r="X193" s="70">
        <f t="shared" si="51"/>
        <v>26454.865151147867</v>
      </c>
      <c r="Y193" s="69">
        <f t="shared" si="38"/>
        <v>4731.6073786724737</v>
      </c>
      <c r="Z193" s="69">
        <f t="shared" si="39"/>
        <v>8978.2321419974251</v>
      </c>
      <c r="AA193" s="70">
        <f t="shared" si="40"/>
        <v>17488.95093778619</v>
      </c>
    </row>
    <row r="194" spans="1:27" x14ac:dyDescent="0.2">
      <c r="A194" s="59">
        <v>63</v>
      </c>
      <c r="B194" s="3">
        <f t="shared" si="31"/>
        <v>52513.22039858756</v>
      </c>
      <c r="C194" s="3">
        <f t="shared" si="32"/>
        <v>1135.2171927263189</v>
      </c>
      <c r="D194" s="3">
        <f t="shared" si="33"/>
        <v>51368.226024213407</v>
      </c>
      <c r="E194" s="3">
        <f t="shared" si="34"/>
        <v>-9.7771816478343681</v>
      </c>
      <c r="F194" s="5">
        <f t="shared" si="35"/>
        <v>103881.44642280097</v>
      </c>
      <c r="G194" s="105">
        <f t="shared" si="49"/>
        <v>1125.4400110784918</v>
      </c>
      <c r="H194" s="4"/>
      <c r="I194" s="5"/>
      <c r="J194"/>
      <c r="L194" s="4"/>
      <c r="O194" s="92">
        <v>60</v>
      </c>
      <c r="P194" s="92">
        <f t="shared" si="51"/>
        <v>8306.5395259730922</v>
      </c>
      <c r="Q194" s="69">
        <f t="shared" si="51"/>
        <v>14237.5903461368</v>
      </c>
      <c r="R194" s="70">
        <f t="shared" si="51"/>
        <v>16877.552104533115</v>
      </c>
      <c r="S194" s="69">
        <f t="shared" si="51"/>
        <v>10731.140726082111</v>
      </c>
      <c r="T194" s="69">
        <f t="shared" si="51"/>
        <v>18122.016187967049</v>
      </c>
      <c r="U194" s="69">
        <f t="shared" si="51"/>
        <v>27437.104450049021</v>
      </c>
      <c r="V194" s="92">
        <f t="shared" si="51"/>
        <v>14266.142989277543</v>
      </c>
      <c r="W194" s="69">
        <f t="shared" si="51"/>
        <v>23305.60737675444</v>
      </c>
      <c r="X194" s="70">
        <f t="shared" si="51"/>
        <v>26678.116916343999</v>
      </c>
      <c r="Y194" s="69">
        <f t="shared" si="38"/>
        <v>4771.5372627776578</v>
      </c>
      <c r="Z194" s="69">
        <f t="shared" si="39"/>
        <v>9053.9991573494081</v>
      </c>
      <c r="AA194" s="70">
        <f t="shared" si="40"/>
        <v>17636.539638238137</v>
      </c>
    </row>
    <row r="195" spans="1:27" x14ac:dyDescent="0.2">
      <c r="A195" s="59">
        <v>64</v>
      </c>
      <c r="B195" s="3">
        <f t="shared" si="31"/>
        <v>49611.576962902865</v>
      </c>
      <c r="C195" s="3">
        <f t="shared" si="32"/>
        <v>-1766.426242958376</v>
      </c>
      <c r="D195" s="3">
        <f t="shared" si="33"/>
        <v>51992.996328722984</v>
      </c>
      <c r="E195" s="3">
        <f t="shared" si="34"/>
        <v>614.99312286174245</v>
      </c>
      <c r="F195" s="5">
        <f t="shared" si="35"/>
        <v>101604.57329162586</v>
      </c>
      <c r="G195" s="105">
        <f t="shared" ref="G195:G226" si="52">F195-M$127</f>
        <v>-1151.4331200966262</v>
      </c>
      <c r="H195" s="4"/>
      <c r="I195" s="5"/>
      <c r="J195"/>
      <c r="L195" s="4"/>
      <c r="O195" s="92">
        <v>61</v>
      </c>
      <c r="P195" s="92">
        <f t="shared" si="51"/>
        <v>8375.4746459427097</v>
      </c>
      <c r="Q195" s="69">
        <f t="shared" si="51"/>
        <v>14355.746648833046</v>
      </c>
      <c r="R195" s="70">
        <f t="shared" si="51"/>
        <v>17017.617179222947</v>
      </c>
      <c r="S195" s="69">
        <f t="shared" si="51"/>
        <v>10820.197362850075</v>
      </c>
      <c r="T195" s="69">
        <f t="shared" si="51"/>
        <v>18272.408942507333</v>
      </c>
      <c r="U195" s="69">
        <f t="shared" si="51"/>
        <v>27664.80216712712</v>
      </c>
      <c r="V195" s="92">
        <f t="shared" si="51"/>
        <v>14384.536247432101</v>
      </c>
      <c r="W195" s="69">
        <f t="shared" si="51"/>
        <v>23499.018223167426</v>
      </c>
      <c r="X195" s="70">
        <f t="shared" si="51"/>
        <v>26899.515873688542</v>
      </c>
      <c r="Y195" s="69">
        <f t="shared" si="38"/>
        <v>4811.1357613606815</v>
      </c>
      <c r="Z195" s="69">
        <f t="shared" si="39"/>
        <v>9129.1373681729528</v>
      </c>
      <c r="AA195" s="70">
        <f t="shared" si="40"/>
        <v>17782.903472661528</v>
      </c>
    </row>
    <row r="196" spans="1:27" x14ac:dyDescent="0.2">
      <c r="A196" s="59">
        <v>65</v>
      </c>
      <c r="B196" s="3">
        <f t="shared" ref="B196:B254" si="53">D$127*B$127*B69/B68</f>
        <v>50291.446508570822</v>
      </c>
      <c r="C196" s="3">
        <f t="shared" ref="C196:C254" si="54">B196-F$127</f>
        <v>-1086.5566972904198</v>
      </c>
      <c r="D196" s="3">
        <f t="shared" ref="D196:D254" si="55">I$127*G$127*G69/G68</f>
        <v>51910.562391460444</v>
      </c>
      <c r="E196" s="3">
        <f t="shared" ref="E196:E254" si="56">D196-K$127</f>
        <v>532.55918559920246</v>
      </c>
      <c r="F196" s="5">
        <f t="shared" ref="F196:F254" si="57">B196+D196</f>
        <v>102202.00890003127</v>
      </c>
      <c r="G196" s="105">
        <f t="shared" si="52"/>
        <v>-553.99751169121009</v>
      </c>
      <c r="H196" s="4"/>
      <c r="I196" s="5"/>
      <c r="J196"/>
      <c r="L196" s="4"/>
      <c r="O196" s="92">
        <v>62</v>
      </c>
      <c r="P196" s="92">
        <f t="shared" si="51"/>
        <v>8443.847001995302</v>
      </c>
      <c r="Q196" s="69">
        <f t="shared" si="51"/>
        <v>14472.938361872295</v>
      </c>
      <c r="R196" s="70">
        <f t="shared" si="51"/>
        <v>17156.538808161098</v>
      </c>
      <c r="S196" s="69">
        <f t="shared" si="51"/>
        <v>10908.526970176925</v>
      </c>
      <c r="T196" s="69">
        <f t="shared" si="51"/>
        <v>18421.57393947391</v>
      </c>
      <c r="U196" s="69">
        <f t="shared" si="51"/>
        <v>27890.641034039771</v>
      </c>
      <c r="V196" s="92">
        <f t="shared" si="51"/>
        <v>14501.962981502305</v>
      </c>
      <c r="W196" s="69">
        <f t="shared" si="51"/>
        <v>23690.850126284593</v>
      </c>
      <c r="X196" s="70">
        <f t="shared" si="51"/>
        <v>27119.10740189514</v>
      </c>
      <c r="Y196" s="69">
        <f t="shared" si="38"/>
        <v>4850.4109906699214</v>
      </c>
      <c r="Z196" s="69">
        <f t="shared" si="39"/>
        <v>9203.6621750616141</v>
      </c>
      <c r="AA196" s="70">
        <f t="shared" si="40"/>
        <v>17928.072440305732</v>
      </c>
    </row>
    <row r="197" spans="1:27" x14ac:dyDescent="0.2">
      <c r="A197" s="59">
        <v>66</v>
      </c>
      <c r="B197" s="3">
        <f t="shared" si="53"/>
        <v>53294.542780254917</v>
      </c>
      <c r="C197" s="3">
        <f t="shared" si="54"/>
        <v>1916.5395743936751</v>
      </c>
      <c r="D197" s="3">
        <f t="shared" si="55"/>
        <v>50808.399927098515</v>
      </c>
      <c r="E197" s="3">
        <f t="shared" si="56"/>
        <v>-569.6032787627264</v>
      </c>
      <c r="F197" s="5">
        <f t="shared" si="57"/>
        <v>104102.94270735343</v>
      </c>
      <c r="G197" s="105">
        <f t="shared" si="52"/>
        <v>1346.9362956309487</v>
      </c>
      <c r="H197" s="4"/>
      <c r="I197" s="5"/>
      <c r="J197"/>
      <c r="L197" s="4"/>
      <c r="O197" s="92">
        <v>63</v>
      </c>
      <c r="P197" s="92">
        <f t="shared" si="51"/>
        <v>8511.670155814365</v>
      </c>
      <c r="Q197" s="69">
        <f t="shared" si="51"/>
        <v>14589.188730276546</v>
      </c>
      <c r="R197" s="70">
        <f t="shared" si="51"/>
        <v>17294.344546506865</v>
      </c>
      <c r="S197" s="69">
        <f t="shared" ref="Q197:X229" si="58">S$135*SQRT($O197)</f>
        <v>10996.147068274733</v>
      </c>
      <c r="T197" s="69">
        <f t="shared" si="58"/>
        <v>18569.540765802118</v>
      </c>
      <c r="U197" s="69">
        <f t="shared" si="58"/>
        <v>28114.665846014334</v>
      </c>
      <c r="V197" s="92">
        <f t="shared" si="58"/>
        <v>14618.446483126667</v>
      </c>
      <c r="W197" s="69">
        <f t="shared" si="58"/>
        <v>23881.141136038757</v>
      </c>
      <c r="X197" s="70">
        <f t="shared" si="58"/>
        <v>27336.935057029088</v>
      </c>
      <c r="Y197" s="69">
        <f t="shared" si="38"/>
        <v>4889.370740962433</v>
      </c>
      <c r="Z197" s="69">
        <f t="shared" si="39"/>
        <v>9277.5883600399102</v>
      </c>
      <c r="AA197" s="70">
        <f t="shared" si="40"/>
        <v>18072.075335492114</v>
      </c>
    </row>
    <row r="198" spans="1:27" x14ac:dyDescent="0.2">
      <c r="A198" s="59">
        <v>67</v>
      </c>
      <c r="B198" s="3">
        <f t="shared" si="53"/>
        <v>52088.625656841345</v>
      </c>
      <c r="C198" s="3">
        <f t="shared" si="54"/>
        <v>710.62245098010317</v>
      </c>
      <c r="D198" s="3">
        <f t="shared" si="55"/>
        <v>51503.73214637881</v>
      </c>
      <c r="E198" s="3">
        <f t="shared" si="56"/>
        <v>125.72894051756884</v>
      </c>
      <c r="F198" s="5">
        <f t="shared" si="57"/>
        <v>103592.35780322016</v>
      </c>
      <c r="G198" s="105">
        <f t="shared" si="52"/>
        <v>836.35139149767929</v>
      </c>
      <c r="H198" s="4"/>
      <c r="I198" s="5"/>
      <c r="J198"/>
      <c r="L198" s="4"/>
      <c r="O198" s="92">
        <v>64</v>
      </c>
      <c r="P198" s="92">
        <f t="shared" ref="P198:P234" si="59">P$135*SQRT($O198)</f>
        <v>8578.9571329886494</v>
      </c>
      <c r="Q198" s="69">
        <f t="shared" si="58"/>
        <v>14704.520080189684</v>
      </c>
      <c r="R198" s="70">
        <f t="shared" si="58"/>
        <v>17431.060860161251</v>
      </c>
      <c r="S198" s="69">
        <f t="shared" si="58"/>
        <v>11083.074484779781</v>
      </c>
      <c r="T198" s="69">
        <f t="shared" si="58"/>
        <v>18716.337838852691</v>
      </c>
      <c r="U198" s="69">
        <f t="shared" si="58"/>
        <v>28336.919627518204</v>
      </c>
      <c r="V198" s="92">
        <f t="shared" si="58"/>
        <v>14734.009123222831</v>
      </c>
      <c r="W198" s="69">
        <f t="shared" si="58"/>
        <v>24069.927798244978</v>
      </c>
      <c r="X198" s="70">
        <f t="shared" si="58"/>
        <v>27553.040673379914</v>
      </c>
      <c r="Y198" s="69">
        <f t="shared" si="38"/>
        <v>4928.0224945455975</v>
      </c>
      <c r="Z198" s="69">
        <f t="shared" si="39"/>
        <v>9350.9301207973986</v>
      </c>
      <c r="AA198" s="70">
        <f t="shared" si="40"/>
        <v>18214.939814299538</v>
      </c>
    </row>
    <row r="199" spans="1:27" x14ac:dyDescent="0.2">
      <c r="A199" s="59">
        <v>68</v>
      </c>
      <c r="B199" s="3">
        <f t="shared" si="53"/>
        <v>51138.863154024315</v>
      </c>
      <c r="C199" s="3">
        <f t="shared" si="54"/>
        <v>-239.14005183692643</v>
      </c>
      <c r="D199" s="3">
        <f t="shared" si="55"/>
        <v>51152.886767177581</v>
      </c>
      <c r="E199" s="3">
        <f t="shared" si="56"/>
        <v>-225.11643868366082</v>
      </c>
      <c r="F199" s="5">
        <f t="shared" si="57"/>
        <v>102291.7499212019</v>
      </c>
      <c r="G199" s="105">
        <f t="shared" si="52"/>
        <v>-464.25649052057997</v>
      </c>
      <c r="H199" s="4"/>
      <c r="I199" s="5"/>
      <c r="J199"/>
      <c r="L199" s="4"/>
      <c r="O199" s="92">
        <v>65</v>
      </c>
      <c r="P199" s="92">
        <f t="shared" si="59"/>
        <v>8645.7204522198554</v>
      </c>
      <c r="Q199" s="69">
        <f t="shared" si="58"/>
        <v>14818.953868940111</v>
      </c>
      <c r="R199" s="70">
        <f t="shared" si="58"/>
        <v>17566.713185112327</v>
      </c>
      <c r="S199" s="69">
        <f t="shared" si="58"/>
        <v>11169.325392485718</v>
      </c>
      <c r="T199" s="69">
        <f t="shared" si="58"/>
        <v>18861.992470132929</v>
      </c>
      <c r="U199" s="69">
        <f t="shared" si="58"/>
        <v>28557.443728733986</v>
      </c>
      <c r="V199" s="92">
        <f t="shared" si="58"/>
        <v>14848.672402150598</v>
      </c>
      <c r="W199" s="69">
        <f t="shared" si="58"/>
        <v>24257.245236548402</v>
      </c>
      <c r="X199" s="70">
        <f t="shared" si="58"/>
        <v>27767.464457267786</v>
      </c>
      <c r="Y199" s="69">
        <f t="shared" si="38"/>
        <v>4966.3734425549737</v>
      </c>
      <c r="Z199" s="69">
        <f t="shared" si="39"/>
        <v>9423.7011025246356</v>
      </c>
      <c r="AA199" s="70">
        <f t="shared" si="40"/>
        <v>18356.692456578523</v>
      </c>
    </row>
    <row r="200" spans="1:27" x14ac:dyDescent="0.2">
      <c r="A200" s="59">
        <v>69</v>
      </c>
      <c r="B200" s="3">
        <f t="shared" si="53"/>
        <v>52417.7418823646</v>
      </c>
      <c r="C200" s="3">
        <f t="shared" si="54"/>
        <v>1039.7386765033589</v>
      </c>
      <c r="D200" s="3">
        <f t="shared" si="55"/>
        <v>50677.071061030874</v>
      </c>
      <c r="E200" s="3">
        <f t="shared" si="56"/>
        <v>-700.93214483036718</v>
      </c>
      <c r="F200" s="5">
        <f t="shared" si="57"/>
        <v>103094.81294339547</v>
      </c>
      <c r="G200" s="105">
        <f t="shared" si="52"/>
        <v>338.8065316729917</v>
      </c>
      <c r="H200" s="4"/>
      <c r="I200" s="5"/>
      <c r="J200"/>
      <c r="L200" s="4"/>
      <c r="O200" s="92">
        <v>66</v>
      </c>
      <c r="P200" s="92">
        <f t="shared" si="59"/>
        <v>8711.9721525156747</v>
      </c>
      <c r="Q200" s="69">
        <f t="shared" si="58"/>
        <v>14932.510731650207</v>
      </c>
      <c r="R200" s="70">
        <f t="shared" si="58"/>
        <v>17701.325982687093</v>
      </c>
      <c r="S200" s="69">
        <f t="shared" si="58"/>
        <v>11254.915344473982</v>
      </c>
      <c r="T200" s="69">
        <f t="shared" si="58"/>
        <v>19006.530924622559</v>
      </c>
      <c r="U200" s="69">
        <f t="shared" si="58"/>
        <v>28776.277915380055</v>
      </c>
      <c r="V200" s="92">
        <f t="shared" si="58"/>
        <v>14962.456996414863</v>
      </c>
      <c r="W200" s="69">
        <f t="shared" si="58"/>
        <v>24443.127228719612</v>
      </c>
      <c r="X200" s="70">
        <f t="shared" si="58"/>
        <v>27980.245074379385</v>
      </c>
      <c r="Y200" s="69">
        <f t="shared" ref="Y200:Y234" si="60">P200+S200-V200</f>
        <v>5004.4305005747938</v>
      </c>
      <c r="Z200" s="69">
        <f t="shared" ref="Z200:Z234" si="61">Q200+T200-W200</f>
        <v>9495.9144275531507</v>
      </c>
      <c r="AA200" s="70">
        <f t="shared" ref="AA200:AA234" si="62">R200+U200-X200</f>
        <v>18497.358823687759</v>
      </c>
    </row>
    <row r="201" spans="1:27" x14ac:dyDescent="0.2">
      <c r="A201" s="59">
        <v>70</v>
      </c>
      <c r="B201" s="3">
        <f t="shared" si="53"/>
        <v>52864.043127889468</v>
      </c>
      <c r="C201" s="3">
        <f t="shared" si="54"/>
        <v>1486.039922028227</v>
      </c>
      <c r="D201" s="3">
        <f t="shared" si="55"/>
        <v>50145.594817406112</v>
      </c>
      <c r="E201" s="3">
        <f t="shared" si="56"/>
        <v>-1232.4083884551292</v>
      </c>
      <c r="F201" s="5">
        <f t="shared" si="57"/>
        <v>103009.63794529557</v>
      </c>
      <c r="G201" s="105">
        <f t="shared" si="52"/>
        <v>253.63153357309056</v>
      </c>
      <c r="H201" s="4"/>
      <c r="I201" s="5"/>
      <c r="J201"/>
      <c r="L201" s="4"/>
      <c r="O201" s="92">
        <v>67</v>
      </c>
      <c r="P201" s="92">
        <f t="shared" si="59"/>
        <v>8777.7238185354472</v>
      </c>
      <c r="Q201" s="69">
        <f t="shared" si="58"/>
        <v>15045.210524679342</v>
      </c>
      <c r="R201" s="70">
        <f t="shared" si="58"/>
        <v>17834.922791049783</v>
      </c>
      <c r="S201" s="69">
        <f t="shared" si="58"/>
        <v>11339.859306857627</v>
      </c>
      <c r="T201" s="69">
        <f t="shared" si="58"/>
        <v>19149.978476069264</v>
      </c>
      <c r="U201" s="69">
        <f t="shared" si="58"/>
        <v>28993.460452429121</v>
      </c>
      <c r="V201" s="92">
        <f t="shared" si="58"/>
        <v>15075.382802195747</v>
      </c>
      <c r="W201" s="69">
        <f t="shared" si="58"/>
        <v>24627.606277766787</v>
      </c>
      <c r="X201" s="70">
        <f t="shared" si="58"/>
        <v>28191.419731170579</v>
      </c>
      <c r="Y201" s="69">
        <f t="shared" si="60"/>
        <v>5042.2003231973267</v>
      </c>
      <c r="Z201" s="69">
        <f t="shared" si="61"/>
        <v>9567.5827229818206</v>
      </c>
      <c r="AA201" s="70">
        <f t="shared" si="62"/>
        <v>18636.963512308328</v>
      </c>
    </row>
    <row r="202" spans="1:27" x14ac:dyDescent="0.2">
      <c r="A202" s="59">
        <v>71</v>
      </c>
      <c r="B202" s="3">
        <f t="shared" si="53"/>
        <v>50955.772303939033</v>
      </c>
      <c r="C202" s="3">
        <f t="shared" si="54"/>
        <v>-422.23090192220843</v>
      </c>
      <c r="D202" s="3">
        <f t="shared" si="55"/>
        <v>51073.792816379893</v>
      </c>
      <c r="E202" s="3">
        <f t="shared" si="56"/>
        <v>-304.2103894813481</v>
      </c>
      <c r="F202" s="5">
        <f t="shared" si="57"/>
        <v>102029.56512031893</v>
      </c>
      <c r="G202" s="105">
        <f t="shared" si="52"/>
        <v>-726.44129140354926</v>
      </c>
      <c r="H202" s="4"/>
      <c r="I202" s="5"/>
      <c r="J202"/>
      <c r="L202" s="4"/>
      <c r="O202" s="92">
        <v>68</v>
      </c>
      <c r="P202" s="92">
        <f t="shared" si="59"/>
        <v>8842.9866042395643</v>
      </c>
      <c r="Q202" s="69">
        <f t="shared" si="58"/>
        <v>15157.072366159486</v>
      </c>
      <c r="R202" s="70">
        <f t="shared" si="58"/>
        <v>17967.526273253668</v>
      </c>
      <c r="S202" s="69">
        <f t="shared" si="58"/>
        <v>11424.171689333769</v>
      </c>
      <c r="T202" s="69">
        <f t="shared" si="58"/>
        <v>19292.359458583553</v>
      </c>
      <c r="U202" s="69">
        <f t="shared" si="58"/>
        <v>29209.028182223952</v>
      </c>
      <c r="V202" s="92">
        <f t="shared" si="58"/>
        <v>15187.468975965498</v>
      </c>
      <c r="W202" s="69">
        <f t="shared" si="58"/>
        <v>24810.713678288696</v>
      </c>
      <c r="X202" s="70">
        <f t="shared" si="58"/>
        <v>28401.024250821236</v>
      </c>
      <c r="Y202" s="69">
        <f t="shared" si="60"/>
        <v>5079.6893176078338</v>
      </c>
      <c r="Z202" s="69">
        <f t="shared" si="61"/>
        <v>9638.7181464543391</v>
      </c>
      <c r="AA202" s="70">
        <f t="shared" si="62"/>
        <v>18775.530204656385</v>
      </c>
    </row>
    <row r="203" spans="1:27" x14ac:dyDescent="0.2">
      <c r="A203" s="59">
        <v>72</v>
      </c>
      <c r="B203" s="3">
        <f t="shared" si="53"/>
        <v>51680.390586303081</v>
      </c>
      <c r="C203" s="3">
        <f t="shared" si="54"/>
        <v>302.38738044183992</v>
      </c>
      <c r="D203" s="3">
        <f t="shared" si="55"/>
        <v>51738.029506081875</v>
      </c>
      <c r="E203" s="3">
        <f t="shared" si="56"/>
        <v>360.02630022063386</v>
      </c>
      <c r="F203" s="5">
        <f t="shared" si="57"/>
        <v>103418.42009238496</v>
      </c>
      <c r="G203" s="105">
        <f t="shared" si="52"/>
        <v>662.41368066247378</v>
      </c>
      <c r="H203" s="4"/>
      <c r="I203" s="5"/>
      <c r="J203"/>
      <c r="L203" s="4"/>
      <c r="O203" s="92">
        <v>69</v>
      </c>
      <c r="P203" s="92">
        <f t="shared" si="59"/>
        <v>8907.7712549793432</v>
      </c>
      <c r="Q203" s="69">
        <f t="shared" si="58"/>
        <v>15268.114673857704</v>
      </c>
      <c r="R203" s="70">
        <f t="shared" si="58"/>
        <v>18099.158262124089</v>
      </c>
      <c r="S203" s="69">
        <f t="shared" si="58"/>
        <v>11507.866373721272</v>
      </c>
      <c r="T203" s="69">
        <f t="shared" si="58"/>
        <v>19433.697314831283</v>
      </c>
      <c r="U203" s="69">
        <f t="shared" si="58"/>
        <v>29423.016597441783</v>
      </c>
      <c r="V203" s="92">
        <f t="shared" si="58"/>
        <v>15298.733972426924</v>
      </c>
      <c r="W203" s="69">
        <f t="shared" si="58"/>
        <v>24992.479578452108</v>
      </c>
      <c r="X203" s="70">
        <f t="shared" si="58"/>
        <v>28609.093144181235</v>
      </c>
      <c r="Y203" s="69">
        <f t="shared" si="60"/>
        <v>5116.9036562736892</v>
      </c>
      <c r="Z203" s="69">
        <f t="shared" si="61"/>
        <v>9709.3324102368824</v>
      </c>
      <c r="AA203" s="70">
        <f t="shared" si="62"/>
        <v>18913.081715384636</v>
      </c>
    </row>
    <row r="204" spans="1:27" x14ac:dyDescent="0.2">
      <c r="A204" s="59">
        <v>73</v>
      </c>
      <c r="B204" s="3">
        <f t="shared" si="53"/>
        <v>51603.46676600707</v>
      </c>
      <c r="C204" s="3">
        <f t="shared" si="54"/>
        <v>225.46356014582852</v>
      </c>
      <c r="D204" s="3">
        <f t="shared" si="55"/>
        <v>50781.390025503519</v>
      </c>
      <c r="E204" s="3">
        <f t="shared" si="56"/>
        <v>-596.61318035772274</v>
      </c>
      <c r="F204" s="5">
        <f t="shared" si="57"/>
        <v>102384.8567915106</v>
      </c>
      <c r="G204" s="105">
        <f t="shared" si="52"/>
        <v>-371.14962021188694</v>
      </c>
      <c r="H204" s="4"/>
      <c r="I204" s="5"/>
      <c r="J204"/>
      <c r="L204" s="4"/>
      <c r="O204" s="92">
        <v>70</v>
      </c>
      <c r="P204" s="92">
        <f t="shared" si="59"/>
        <v>8972.0881281512247</v>
      </c>
      <c r="Q204" s="69">
        <f t="shared" si="58"/>
        <v>15378.355200577935</v>
      </c>
      <c r="R204" s="70">
        <f t="shared" si="58"/>
        <v>18229.839802224498</v>
      </c>
      <c r="S204" s="69">
        <f t="shared" si="58"/>
        <v>11590.956740643735</v>
      </c>
      <c r="T204" s="69">
        <f t="shared" si="58"/>
        <v>19574.014641094018</v>
      </c>
      <c r="U204" s="69">
        <f t="shared" si="58"/>
        <v>29635.459909316683</v>
      </c>
      <c r="V204" s="92">
        <f t="shared" si="58"/>
        <v>15409.195579986157</v>
      </c>
      <c r="W204" s="69">
        <f t="shared" si="58"/>
        <v>25172.933037941159</v>
      </c>
      <c r="X204" s="70">
        <f t="shared" si="58"/>
        <v>28815.659676105628</v>
      </c>
      <c r="Y204" s="69">
        <f t="shared" si="60"/>
        <v>5153.849288808804</v>
      </c>
      <c r="Z204" s="69">
        <f t="shared" si="61"/>
        <v>9779.4368037307977</v>
      </c>
      <c r="AA204" s="70">
        <f t="shared" si="62"/>
        <v>19049.640035435557</v>
      </c>
    </row>
    <row r="205" spans="1:27" x14ac:dyDescent="0.2">
      <c r="A205" s="59">
        <v>74</v>
      </c>
      <c r="B205" s="3">
        <f t="shared" si="53"/>
        <v>52618.542145754414</v>
      </c>
      <c r="C205" s="3">
        <f t="shared" si="54"/>
        <v>1240.5389398931729</v>
      </c>
      <c r="D205" s="3">
        <f t="shared" si="55"/>
        <v>50201.278279844752</v>
      </c>
      <c r="E205" s="3">
        <f t="shared" si="56"/>
        <v>-1176.7249260164899</v>
      </c>
      <c r="F205" s="5">
        <f t="shared" si="57"/>
        <v>102819.82042559917</v>
      </c>
      <c r="G205" s="105">
        <f t="shared" si="52"/>
        <v>63.814013876690296</v>
      </c>
      <c r="H205" s="4"/>
      <c r="I205" s="5"/>
      <c r="J205"/>
      <c r="L205" s="4"/>
      <c r="O205" s="92">
        <v>71</v>
      </c>
      <c r="P205" s="92">
        <f t="shared" si="59"/>
        <v>9035.9472125277516</v>
      </c>
      <c r="Q205" s="69">
        <f t="shared" si="58"/>
        <v>15487.811067294691</v>
      </c>
      <c r="R205" s="70">
        <f t="shared" si="58"/>
        <v>18359.59118913388</v>
      </c>
      <c r="S205" s="69">
        <f t="shared" si="58"/>
        <v>11673.455694502982</v>
      </c>
      <c r="T205" s="69">
        <f t="shared" si="58"/>
        <v>19713.333229442589</v>
      </c>
      <c r="U205" s="69">
        <f t="shared" si="58"/>
        <v>29846.391111491153</v>
      </c>
      <c r="V205" s="92">
        <f t="shared" si="58"/>
        <v>15518.870953952808</v>
      </c>
      <c r="W205" s="69">
        <f t="shared" si="58"/>
        <v>25352.102082194157</v>
      </c>
      <c r="X205" s="70">
        <f t="shared" si="58"/>
        <v>29020.755927539893</v>
      </c>
      <c r="Y205" s="69">
        <f t="shared" si="60"/>
        <v>5190.5319530779252</v>
      </c>
      <c r="Z205" s="69">
        <f t="shared" si="61"/>
        <v>9849.0422145431221</v>
      </c>
      <c r="AA205" s="70">
        <f t="shared" si="62"/>
        <v>19185.226373085145</v>
      </c>
    </row>
    <row r="206" spans="1:27" x14ac:dyDescent="0.2">
      <c r="A206" s="59">
        <v>75</v>
      </c>
      <c r="B206" s="3">
        <f t="shared" si="53"/>
        <v>51389.53931914748</v>
      </c>
      <c r="C206" s="3">
        <f t="shared" si="54"/>
        <v>11.536113286238106</v>
      </c>
      <c r="D206" s="3">
        <f t="shared" si="55"/>
        <v>52191.286767450038</v>
      </c>
      <c r="E206" s="3">
        <f t="shared" si="56"/>
        <v>813.28356158879615</v>
      </c>
      <c r="F206" s="5">
        <f t="shared" si="57"/>
        <v>103580.82608659752</v>
      </c>
      <c r="G206" s="105">
        <f t="shared" si="52"/>
        <v>824.81967487503425</v>
      </c>
      <c r="H206" s="4"/>
      <c r="I206" s="5"/>
      <c r="J206"/>
      <c r="L206" s="4"/>
      <c r="O206" s="92">
        <v>72</v>
      </c>
      <c r="P206" s="92">
        <f t="shared" si="59"/>
        <v>9099.3581463674636</v>
      </c>
      <c r="Q206" s="69">
        <f t="shared" si="58"/>
        <v>15596.498794193822</v>
      </c>
      <c r="R206" s="70">
        <f t="shared" si="58"/>
        <v>18488.432006243151</v>
      </c>
      <c r="S206" s="69">
        <f t="shared" si="58"/>
        <v>11755.375686875077</v>
      </c>
      <c r="T206" s="69">
        <f t="shared" si="58"/>
        <v>19851.674107246661</v>
      </c>
      <c r="U206" s="69">
        <f t="shared" si="58"/>
        <v>30055.842039834446</v>
      </c>
      <c r="V206" s="92">
        <f t="shared" si="58"/>
        <v>15627.776647642981</v>
      </c>
      <c r="W206" s="69">
        <f t="shared" si="58"/>
        <v>25530.013753214411</v>
      </c>
      <c r="X206" s="70">
        <f t="shared" si="58"/>
        <v>29224.412853683538</v>
      </c>
      <c r="Y206" s="69">
        <f t="shared" si="60"/>
        <v>5226.9571855995619</v>
      </c>
      <c r="Z206" s="69">
        <f t="shared" si="61"/>
        <v>9918.1591482260737</v>
      </c>
      <c r="AA206" s="70">
        <f t="shared" si="62"/>
        <v>19319.861192394059</v>
      </c>
    </row>
    <row r="207" spans="1:27" x14ac:dyDescent="0.2">
      <c r="A207" s="59">
        <v>76</v>
      </c>
      <c r="B207" s="3">
        <f t="shared" si="53"/>
        <v>51889.32275288157</v>
      </c>
      <c r="C207" s="3">
        <f t="shared" si="54"/>
        <v>511.31954702032817</v>
      </c>
      <c r="D207" s="3">
        <f t="shared" si="55"/>
        <v>53064.63757097807</v>
      </c>
      <c r="E207" s="3">
        <f t="shared" si="56"/>
        <v>1686.6343651168281</v>
      </c>
      <c r="F207" s="5">
        <f t="shared" si="57"/>
        <v>104953.96032385965</v>
      </c>
      <c r="G207" s="105">
        <f t="shared" si="52"/>
        <v>2197.9539121371636</v>
      </c>
      <c r="H207" s="4"/>
      <c r="I207" s="5"/>
      <c r="J207"/>
      <c r="L207" s="4"/>
      <c r="O207" s="92">
        <v>73</v>
      </c>
      <c r="P207" s="92">
        <f t="shared" si="59"/>
        <v>9162.3302343966952</v>
      </c>
      <c r="Q207" s="69">
        <f t="shared" si="58"/>
        <v>15704.434329779688</v>
      </c>
      <c r="R207" s="70">
        <f t="shared" si="58"/>
        <v>18616.381159259443</v>
      </c>
      <c r="S207" s="69">
        <f t="shared" si="58"/>
        <v>11836.728738448952</v>
      </c>
      <c r="T207" s="69">
        <f t="shared" si="58"/>
        <v>19989.057574223199</v>
      </c>
      <c r="U207" s="69">
        <f t="shared" si="58"/>
        <v>30263.84342853467</v>
      </c>
      <c r="V207" s="92">
        <f t="shared" si="58"/>
        <v>15735.928641544817</v>
      </c>
      <c r="W207" s="69">
        <f t="shared" si="58"/>
        <v>25706.694157215956</v>
      </c>
      <c r="X207" s="70">
        <f t="shared" si="58"/>
        <v>29426.660338530528</v>
      </c>
      <c r="Y207" s="69">
        <f t="shared" si="60"/>
        <v>5263.1303313008302</v>
      </c>
      <c r="Z207" s="69">
        <f t="shared" si="61"/>
        <v>9986.797746786935</v>
      </c>
      <c r="AA207" s="70">
        <f t="shared" si="62"/>
        <v>19453.564249263589</v>
      </c>
    </row>
    <row r="208" spans="1:27" x14ac:dyDescent="0.2">
      <c r="A208" s="59">
        <v>77</v>
      </c>
      <c r="B208" s="3">
        <f t="shared" si="53"/>
        <v>51328.517094749426</v>
      </c>
      <c r="C208" s="3">
        <f t="shared" si="54"/>
        <v>-49.486111111815262</v>
      </c>
      <c r="D208" s="3">
        <f t="shared" si="55"/>
        <v>51855.450901711396</v>
      </c>
      <c r="E208" s="3">
        <f t="shared" si="56"/>
        <v>477.44769585015456</v>
      </c>
      <c r="F208" s="5">
        <f t="shared" si="57"/>
        <v>103183.96799646082</v>
      </c>
      <c r="G208" s="105">
        <f t="shared" si="52"/>
        <v>427.9615847383393</v>
      </c>
      <c r="H208" s="4"/>
      <c r="I208" s="5"/>
      <c r="J208"/>
      <c r="L208" s="4"/>
      <c r="O208" s="92">
        <v>74</v>
      </c>
      <c r="P208" s="92">
        <f t="shared" si="59"/>
        <v>9224.8724637479791</v>
      </c>
      <c r="Q208" s="69">
        <f t="shared" si="58"/>
        <v>15811.633078193925</v>
      </c>
      <c r="R208" s="70">
        <f t="shared" si="58"/>
        <v>18743.456908590364</v>
      </c>
      <c r="S208" s="69">
        <f t="shared" si="58"/>
        <v>11917.526459617069</v>
      </c>
      <c r="T208" s="69">
        <f t="shared" si="58"/>
        <v>20125.503237208562</v>
      </c>
      <c r="U208" s="69">
        <f t="shared" si="58"/>
        <v>30470.424962744499</v>
      </c>
      <c r="V208" s="92">
        <f t="shared" si="58"/>
        <v>15843.342370692042</v>
      </c>
      <c r="W208" s="69">
        <f t="shared" si="58"/>
        <v>25882.168509341809</v>
      </c>
      <c r="X208" s="70">
        <f t="shared" si="58"/>
        <v>29627.527246058653</v>
      </c>
      <c r="Y208" s="69">
        <f t="shared" si="60"/>
        <v>5299.0565526730079</v>
      </c>
      <c r="Z208" s="69">
        <f t="shared" si="61"/>
        <v>10054.967806060678</v>
      </c>
      <c r="AA208" s="70">
        <f t="shared" si="62"/>
        <v>19586.354625276206</v>
      </c>
    </row>
    <row r="209" spans="1:27" x14ac:dyDescent="0.2">
      <c r="A209" s="59">
        <v>78</v>
      </c>
      <c r="B209" s="3">
        <f t="shared" si="53"/>
        <v>52136.251695772728</v>
      </c>
      <c r="C209" s="3">
        <f t="shared" si="54"/>
        <v>758.2484899114861</v>
      </c>
      <c r="D209" s="3">
        <f t="shared" si="55"/>
        <v>52503.276304909414</v>
      </c>
      <c r="E209" s="3">
        <f t="shared" si="56"/>
        <v>1125.2730990481723</v>
      </c>
      <c r="F209" s="5">
        <f t="shared" si="57"/>
        <v>104639.52800068214</v>
      </c>
      <c r="G209" s="105">
        <f t="shared" si="52"/>
        <v>1883.5215889596584</v>
      </c>
      <c r="H209" s="4"/>
      <c r="I209" s="5"/>
      <c r="J209"/>
      <c r="L209" s="4"/>
      <c r="O209" s="92">
        <v>75</v>
      </c>
      <c r="P209" s="92">
        <f t="shared" si="59"/>
        <v>9286.9935189323569</v>
      </c>
      <c r="Q209" s="69">
        <f t="shared" si="58"/>
        <v>15918.109924878323</v>
      </c>
      <c r="R209" s="70">
        <f t="shared" si="58"/>
        <v>18869.676899765342</v>
      </c>
      <c r="S209" s="69">
        <f t="shared" si="58"/>
        <v>11997.780069818025</v>
      </c>
      <c r="T209" s="69">
        <f t="shared" si="58"/>
        <v>20261.030042822964</v>
      </c>
      <c r="U209" s="69">
        <f t="shared" si="58"/>
        <v>30675.615328035801</v>
      </c>
      <c r="V209" s="92">
        <f t="shared" si="58"/>
        <v>15950.032750378321</v>
      </c>
      <c r="W209" s="69">
        <f t="shared" si="58"/>
        <v>26056.461175671742</v>
      </c>
      <c r="X209" s="70">
        <f t="shared" si="58"/>
        <v>29827.041468316129</v>
      </c>
      <c r="Y209" s="69">
        <f t="shared" si="60"/>
        <v>5334.7408383720594</v>
      </c>
      <c r="Z209" s="69">
        <f t="shared" si="61"/>
        <v>10122.678792029546</v>
      </c>
      <c r="AA209" s="70">
        <f t="shared" si="62"/>
        <v>19718.25075948501</v>
      </c>
    </row>
    <row r="210" spans="1:27" x14ac:dyDescent="0.2">
      <c r="A210" s="59">
        <v>79</v>
      </c>
      <c r="B210" s="3">
        <f t="shared" si="53"/>
        <v>51659.619097145289</v>
      </c>
      <c r="C210" s="3">
        <f t="shared" si="54"/>
        <v>281.61589128404739</v>
      </c>
      <c r="D210" s="3">
        <f t="shared" si="55"/>
        <v>51490.256947935719</v>
      </c>
      <c r="E210" s="3">
        <f t="shared" si="56"/>
        <v>112.25374207447749</v>
      </c>
      <c r="F210" s="5">
        <f t="shared" si="57"/>
        <v>103149.87604508101</v>
      </c>
      <c r="G210" s="105">
        <f t="shared" si="52"/>
        <v>393.86963335852488</v>
      </c>
      <c r="H210" s="4"/>
      <c r="I210" s="5"/>
      <c r="J210"/>
      <c r="L210" s="4"/>
      <c r="O210" s="92">
        <v>76</v>
      </c>
      <c r="P210" s="92">
        <f t="shared" si="59"/>
        <v>9348.7017959162386</v>
      </c>
      <c r="Q210" s="69">
        <f t="shared" si="58"/>
        <v>16023.879260702861</v>
      </c>
      <c r="R210" s="70">
        <f t="shared" si="58"/>
        <v>18995.058192037519</v>
      </c>
      <c r="S210" s="69">
        <f t="shared" si="58"/>
        <v>12077.500415722297</v>
      </c>
      <c r="T210" s="69">
        <f t="shared" si="58"/>
        <v>20395.656308181333</v>
      </c>
      <c r="U210" s="69">
        <f t="shared" si="58"/>
        <v>30879.442256896524</v>
      </c>
      <c r="V210" s="92">
        <f t="shared" si="58"/>
        <v>16056.014200333662</v>
      </c>
      <c r="W210" s="69">
        <f t="shared" si="58"/>
        <v>26229.595712717586</v>
      </c>
      <c r="X210" s="70">
        <f t="shared" si="58"/>
        <v>30025.22997063223</v>
      </c>
      <c r="Y210" s="69">
        <f t="shared" si="60"/>
        <v>5370.1880113048719</v>
      </c>
      <c r="Z210" s="69">
        <f t="shared" si="61"/>
        <v>10189.939856166609</v>
      </c>
      <c r="AA210" s="70">
        <f t="shared" si="62"/>
        <v>19849.270478301813</v>
      </c>
    </row>
    <row r="211" spans="1:27" x14ac:dyDescent="0.2">
      <c r="A211" s="59">
        <v>80</v>
      </c>
      <c r="B211" s="3">
        <f t="shared" si="53"/>
        <v>52472.18513196367</v>
      </c>
      <c r="C211" s="3">
        <f t="shared" si="54"/>
        <v>1094.1819261024284</v>
      </c>
      <c r="D211" s="3">
        <f t="shared" si="55"/>
        <v>46243.723168699726</v>
      </c>
      <c r="E211" s="3">
        <f t="shared" si="56"/>
        <v>-5134.2800371615158</v>
      </c>
      <c r="F211" s="5">
        <f t="shared" si="57"/>
        <v>98715.908300663403</v>
      </c>
      <c r="G211" s="105">
        <f t="shared" si="52"/>
        <v>-4040.0981110590801</v>
      </c>
      <c r="H211" s="4"/>
      <c r="I211" s="5"/>
      <c r="J211"/>
      <c r="L211" s="4"/>
      <c r="O211" s="92">
        <v>77</v>
      </c>
      <c r="P211" s="92">
        <f t="shared" si="59"/>
        <v>9410.0054153673773</v>
      </c>
      <c r="Q211" s="69">
        <f t="shared" si="58"/>
        <v>16128.955004669606</v>
      </c>
      <c r="R211" s="70">
        <f t="shared" si="58"/>
        <v>19119.61728529746</v>
      </c>
      <c r="S211" s="69">
        <f t="shared" si="58"/>
        <v>12156.697988344609</v>
      </c>
      <c r="T211" s="69">
        <f t="shared" si="58"/>
        <v>20529.399749791501</v>
      </c>
      <c r="U211" s="69">
        <f t="shared" si="58"/>
        <v>31081.932572483136</v>
      </c>
      <c r="V211" s="92">
        <f t="shared" si="58"/>
        <v>16161.300667473872</v>
      </c>
      <c r="W211" s="69">
        <f t="shared" si="58"/>
        <v>26401.594904587422</v>
      </c>
      <c r="X211" s="70">
        <f t="shared" si="58"/>
        <v>30222.118834159428</v>
      </c>
      <c r="Y211" s="69">
        <f t="shared" si="60"/>
        <v>5405.4027362381166</v>
      </c>
      <c r="Z211" s="69">
        <f t="shared" si="61"/>
        <v>10256.759849873684</v>
      </c>
      <c r="AA211" s="70">
        <f t="shared" si="62"/>
        <v>19979.431023621171</v>
      </c>
    </row>
    <row r="212" spans="1:27" x14ac:dyDescent="0.2">
      <c r="A212" s="59">
        <v>81</v>
      </c>
      <c r="B212" s="3">
        <f t="shared" si="53"/>
        <v>51703.43501038204</v>
      </c>
      <c r="C212" s="3">
        <f t="shared" si="54"/>
        <v>325.43180452079832</v>
      </c>
      <c r="D212" s="3">
        <f t="shared" si="55"/>
        <v>50997.557092156945</v>
      </c>
      <c r="E212" s="3">
        <f t="shared" si="56"/>
        <v>-380.44611370429629</v>
      </c>
      <c r="F212" s="5">
        <f t="shared" si="57"/>
        <v>102700.99210253899</v>
      </c>
      <c r="G212" s="105">
        <f t="shared" si="52"/>
        <v>-55.014309183490695</v>
      </c>
      <c r="H212" s="4"/>
      <c r="I212" s="5"/>
      <c r="J212"/>
      <c r="L212" s="4"/>
      <c r="O212" s="92">
        <v>78</v>
      </c>
      <c r="P212" s="92">
        <f t="shared" si="59"/>
        <v>9470.9122351291626</v>
      </c>
      <c r="Q212" s="69">
        <f t="shared" si="58"/>
        <v>16233.35062529391</v>
      </c>
      <c r="R212" s="70">
        <f t="shared" si="58"/>
        <v>19243.370145418896</v>
      </c>
      <c r="S212" s="69">
        <f t="shared" si="58"/>
        <v>12235.382939159343</v>
      </c>
      <c r="T212" s="69">
        <f t="shared" si="58"/>
        <v>20662.277510768788</v>
      </c>
      <c r="U212" s="69">
        <f t="shared" si="58"/>
        <v>31283.112229824095</v>
      </c>
      <c r="V212" s="92">
        <f t="shared" si="58"/>
        <v>16265.905647324611</v>
      </c>
      <c r="W212" s="69">
        <f t="shared" si="58"/>
        <v>26572.480797984601</v>
      </c>
      <c r="X212" s="70">
        <f t="shared" si="58"/>
        <v>30417.733295937025</v>
      </c>
      <c r="Y212" s="69">
        <f t="shared" si="60"/>
        <v>5440.3895269638942</v>
      </c>
      <c r="Z212" s="69">
        <f t="shared" si="61"/>
        <v>10323.147338078095</v>
      </c>
      <c r="AA212" s="70">
        <f t="shared" si="62"/>
        <v>20108.74907930597</v>
      </c>
    </row>
    <row r="213" spans="1:27" x14ac:dyDescent="0.2">
      <c r="A213" s="59">
        <v>82</v>
      </c>
      <c r="B213" s="3">
        <f t="shared" si="53"/>
        <v>50287.946560758101</v>
      </c>
      <c r="C213" s="3">
        <f t="shared" si="54"/>
        <v>-1090.0566451031409</v>
      </c>
      <c r="D213" s="3">
        <f t="shared" si="55"/>
        <v>50551.73305739263</v>
      </c>
      <c r="E213" s="3">
        <f t="shared" si="56"/>
        <v>-826.2701484686113</v>
      </c>
      <c r="F213" s="5">
        <f t="shared" si="57"/>
        <v>100839.67961815072</v>
      </c>
      <c r="G213" s="105">
        <f t="shared" si="52"/>
        <v>-1916.3267935717595</v>
      </c>
      <c r="H213" s="4"/>
      <c r="I213" s="5"/>
      <c r="J213"/>
      <c r="L213" s="4"/>
      <c r="O213" s="92">
        <v>79</v>
      </c>
      <c r="P213" s="92">
        <f t="shared" si="59"/>
        <v>9531.4298619774327</v>
      </c>
      <c r="Q213" s="69">
        <f t="shared" si="58"/>
        <v>16337.079160755866</v>
      </c>
      <c r="R213" s="70">
        <f t="shared" si="58"/>
        <v>19366.332228146686</v>
      </c>
      <c r="S213" s="69">
        <f t="shared" si="58"/>
        <v>12313.565095289063</v>
      </c>
      <c r="T213" s="69">
        <f t="shared" si="58"/>
        <v>20794.306186485373</v>
      </c>
      <c r="U213" s="69">
        <f t="shared" si="58"/>
        <v>31483.00635465348</v>
      </c>
      <c r="V213" s="92">
        <f t="shared" si="58"/>
        <v>16369.842204213266</v>
      </c>
      <c r="W213" s="69">
        <f t="shared" si="58"/>
        <v>26742.274735193791</v>
      </c>
      <c r="X213" s="70">
        <f t="shared" si="58"/>
        <v>30612.097786650585</v>
      </c>
      <c r="Y213" s="69">
        <f t="shared" si="60"/>
        <v>5475.1527530532294</v>
      </c>
      <c r="Z213" s="69">
        <f t="shared" si="61"/>
        <v>10389.110612047447</v>
      </c>
      <c r="AA213" s="70">
        <f t="shared" si="62"/>
        <v>20237.240796149577</v>
      </c>
    </row>
    <row r="214" spans="1:27" x14ac:dyDescent="0.2">
      <c r="A214" s="59">
        <v>83</v>
      </c>
      <c r="B214" s="3">
        <f t="shared" si="53"/>
        <v>53356.650294641877</v>
      </c>
      <c r="C214" s="3">
        <f t="shared" si="54"/>
        <v>1978.6470887806354</v>
      </c>
      <c r="D214" s="3">
        <f t="shared" si="55"/>
        <v>49902.328219482253</v>
      </c>
      <c r="E214" s="3">
        <f t="shared" si="56"/>
        <v>-1475.6749863789883</v>
      </c>
      <c r="F214" s="5">
        <f t="shared" si="57"/>
        <v>103258.97851412413</v>
      </c>
      <c r="G214" s="105">
        <f t="shared" si="52"/>
        <v>502.97210240164713</v>
      </c>
      <c r="H214" s="4"/>
      <c r="I214" s="5"/>
      <c r="J214"/>
      <c r="L214" s="4"/>
      <c r="O214" s="92">
        <v>80</v>
      </c>
      <c r="P214" s="92">
        <f t="shared" si="59"/>
        <v>9591.5656627096614</v>
      </c>
      <c r="Q214" s="69">
        <f t="shared" si="58"/>
        <v>16440.153237907398</v>
      </c>
      <c r="R214" s="70">
        <f t="shared" si="58"/>
        <v>19488.518501628259</v>
      </c>
      <c r="S214" s="69">
        <f t="shared" si="58"/>
        <v>12391.253973830526</v>
      </c>
      <c r="T214" s="69">
        <f t="shared" si="58"/>
        <v>20925.501848763062</v>
      </c>
      <c r="U214" s="69">
        <f t="shared" si="58"/>
        <v>31681.639280039362</v>
      </c>
      <c r="V214" s="92">
        <f t="shared" si="58"/>
        <v>16473.122990314165</v>
      </c>
      <c r="W214" s="69">
        <f t="shared" si="58"/>
        <v>26910.997385193808</v>
      </c>
      <c r="X214" s="70">
        <f t="shared" si="58"/>
        <v>30805.235966247034</v>
      </c>
      <c r="Y214" s="69">
        <f t="shared" si="60"/>
        <v>5509.6966462260243</v>
      </c>
      <c r="Z214" s="69">
        <f t="shared" si="61"/>
        <v>10454.657701476655</v>
      </c>
      <c r="AA214" s="70">
        <f t="shared" si="62"/>
        <v>20364.921815420588</v>
      </c>
    </row>
    <row r="215" spans="1:27" x14ac:dyDescent="0.2">
      <c r="A215" s="59">
        <v>84</v>
      </c>
      <c r="B215" s="3">
        <f t="shared" si="53"/>
        <v>52757.806255848198</v>
      </c>
      <c r="C215" s="3">
        <f t="shared" si="54"/>
        <v>1379.8030499869565</v>
      </c>
      <c r="D215" s="3">
        <f t="shared" si="55"/>
        <v>51750.334738541547</v>
      </c>
      <c r="E215" s="3">
        <f t="shared" si="56"/>
        <v>372.33153268030583</v>
      </c>
      <c r="F215" s="5">
        <f t="shared" si="57"/>
        <v>104508.14099438975</v>
      </c>
      <c r="G215" s="105">
        <f t="shared" si="52"/>
        <v>1752.1345826672623</v>
      </c>
      <c r="H215" s="4"/>
      <c r="I215" s="5"/>
      <c r="J215"/>
      <c r="L215" s="4"/>
      <c r="O215" s="92">
        <v>81</v>
      </c>
      <c r="P215" s="92">
        <f t="shared" si="59"/>
        <v>9651.326774612231</v>
      </c>
      <c r="Q215" s="69">
        <f t="shared" si="58"/>
        <v>16542.585090213393</v>
      </c>
      <c r="R215" s="70">
        <f t="shared" si="58"/>
        <v>19609.943467681409</v>
      </c>
      <c r="S215" s="69">
        <f t="shared" si="58"/>
        <v>12468.458795377253</v>
      </c>
      <c r="T215" s="69">
        <f t="shared" si="58"/>
        <v>21055.880068709277</v>
      </c>
      <c r="U215" s="69">
        <f t="shared" si="58"/>
        <v>31879.034580957981</v>
      </c>
      <c r="V215" s="92">
        <f t="shared" si="58"/>
        <v>16575.760263625685</v>
      </c>
      <c r="W215" s="69">
        <f t="shared" si="58"/>
        <v>27078.668773025602</v>
      </c>
      <c r="X215" s="70">
        <f t="shared" si="58"/>
        <v>30997.170757552401</v>
      </c>
      <c r="Y215" s="69">
        <f t="shared" si="60"/>
        <v>5544.0253063638011</v>
      </c>
      <c r="Z215" s="69">
        <f t="shared" si="61"/>
        <v>10519.796385897069</v>
      </c>
      <c r="AA215" s="70">
        <f t="shared" si="62"/>
        <v>20491.807291086985</v>
      </c>
    </row>
    <row r="216" spans="1:27" x14ac:dyDescent="0.2">
      <c r="A216" s="59">
        <v>85</v>
      </c>
      <c r="B216" s="3">
        <f t="shared" si="53"/>
        <v>50852.352519223597</v>
      </c>
      <c r="C216" s="3">
        <f t="shared" si="54"/>
        <v>-525.65068663764396</v>
      </c>
      <c r="D216" s="3">
        <f t="shared" si="55"/>
        <v>48832.609483694425</v>
      </c>
      <c r="E216" s="3">
        <f t="shared" si="56"/>
        <v>-2545.3937221668166</v>
      </c>
      <c r="F216" s="5">
        <f t="shared" si="57"/>
        <v>99684.962002918022</v>
      </c>
      <c r="G216" s="105">
        <f t="shared" si="52"/>
        <v>-3071.0444088044605</v>
      </c>
      <c r="H216" s="4"/>
      <c r="I216" s="5"/>
      <c r="J216"/>
      <c r="L216" s="4"/>
      <c r="O216" s="92">
        <v>82</v>
      </c>
      <c r="P216" s="92">
        <f t="shared" si="59"/>
        <v>9710.7201153479255</v>
      </c>
      <c r="Q216" s="69">
        <f t="shared" si="58"/>
        <v>16644.38657469911</v>
      </c>
      <c r="R216" s="70">
        <f t="shared" si="58"/>
        <v>19730.621181884126</v>
      </c>
      <c r="S216" s="69">
        <f t="shared" si="58"/>
        <v>12545.188496793106</v>
      </c>
      <c r="T216" s="69">
        <f t="shared" si="58"/>
        <v>21185.455938288207</v>
      </c>
      <c r="U216" s="69">
        <f t="shared" si="58"/>
        <v>32075.215106952852</v>
      </c>
      <c r="V216" s="92">
        <f t="shared" si="58"/>
        <v>16677.765904951644</v>
      </c>
      <c r="W216" s="69">
        <f t="shared" si="58"/>
        <v>27245.308307533534</v>
      </c>
      <c r="X216" s="70">
        <f t="shared" si="58"/>
        <v>31187.924378027532</v>
      </c>
      <c r="Y216" s="69">
        <f t="shared" si="60"/>
        <v>5578.142707189385</v>
      </c>
      <c r="Z216" s="69">
        <f t="shared" si="61"/>
        <v>10584.534205453787</v>
      </c>
      <c r="AA216" s="70">
        <f t="shared" si="62"/>
        <v>20617.911910809442</v>
      </c>
    </row>
    <row r="217" spans="1:27" x14ac:dyDescent="0.2">
      <c r="A217" s="59">
        <v>86</v>
      </c>
      <c r="B217" s="3">
        <f t="shared" si="53"/>
        <v>52422.586102365953</v>
      </c>
      <c r="C217" s="3">
        <f t="shared" si="54"/>
        <v>1044.5828965047112</v>
      </c>
      <c r="D217" s="3">
        <f t="shared" si="55"/>
        <v>52352.915401222286</v>
      </c>
      <c r="E217" s="3">
        <f t="shared" si="56"/>
        <v>974.91219536104472</v>
      </c>
      <c r="F217" s="5">
        <f t="shared" si="57"/>
        <v>104775.50150358824</v>
      </c>
      <c r="G217" s="105">
        <f t="shared" si="52"/>
        <v>2019.495091865756</v>
      </c>
      <c r="H217" s="4"/>
      <c r="I217" s="5"/>
      <c r="J217"/>
      <c r="L217" s="4"/>
      <c r="O217" s="92">
        <v>83</v>
      </c>
      <c r="P217" s="92">
        <f t="shared" si="59"/>
        <v>9769.7523923024128</v>
      </c>
      <c r="Q217" s="69">
        <f t="shared" si="58"/>
        <v>16745.569187970217</v>
      </c>
      <c r="R217" s="70">
        <f t="shared" si="58"/>
        <v>19850.565272565123</v>
      </c>
      <c r="S217" s="69">
        <f t="shared" si="58"/>
        <v>12621.451743286891</v>
      </c>
      <c r="T217" s="69">
        <f t="shared" si="58"/>
        <v>21314.244090711574</v>
      </c>
      <c r="U217" s="69">
        <f t="shared" si="58"/>
        <v>32270.203013006878</v>
      </c>
      <c r="V217" s="92">
        <f t="shared" si="58"/>
        <v>16779.151433953466</v>
      </c>
      <c r="W217" s="69">
        <f t="shared" si="58"/>
        <v>27410.934807588732</v>
      </c>
      <c r="X217" s="70">
        <f t="shared" si="58"/>
        <v>31377.518369786128</v>
      </c>
      <c r="Y217" s="69">
        <f t="shared" si="60"/>
        <v>5612.0527016358355</v>
      </c>
      <c r="Z217" s="69">
        <f t="shared" si="61"/>
        <v>10648.878471093056</v>
      </c>
      <c r="AA217" s="70">
        <f t="shared" si="62"/>
        <v>20743.249915785877</v>
      </c>
    </row>
    <row r="218" spans="1:27" x14ac:dyDescent="0.2">
      <c r="A218" s="59">
        <v>87</v>
      </c>
      <c r="B218" s="3">
        <f t="shared" si="53"/>
        <v>52122.561990998176</v>
      </c>
      <c r="C218" s="3">
        <f t="shared" si="54"/>
        <v>744.5587851369346</v>
      </c>
      <c r="D218" s="3">
        <f t="shared" si="55"/>
        <v>52973.879757551513</v>
      </c>
      <c r="E218" s="3">
        <f t="shared" si="56"/>
        <v>1595.8765516902713</v>
      </c>
      <c r="F218" s="5">
        <f t="shared" si="57"/>
        <v>105096.4417485497</v>
      </c>
      <c r="G218" s="105">
        <f t="shared" si="52"/>
        <v>2340.4353368272132</v>
      </c>
      <c r="H218" s="4"/>
      <c r="I218" s="5"/>
      <c r="J218"/>
      <c r="L218" s="4"/>
      <c r="O218" s="92">
        <v>84</v>
      </c>
      <c r="P218" s="92">
        <f t="shared" si="59"/>
        <v>9828.430111425454</v>
      </c>
      <c r="Q218" s="69">
        <f t="shared" si="58"/>
        <v>16846.144081366838</v>
      </c>
      <c r="R218" s="70">
        <f t="shared" si="58"/>
        <v>19969.788958767745</v>
      </c>
      <c r="S218" s="69">
        <f t="shared" si="58"/>
        <v>12697.25693983426</v>
      </c>
      <c r="T218" s="69">
        <f t="shared" si="58"/>
        <v>21442.258719727164</v>
      </c>
      <c r="U218" s="69">
        <f t="shared" si="58"/>
        <v>32464.019788745503</v>
      </c>
      <c r="V218" s="92">
        <f t="shared" si="58"/>
        <v>16879.928024334637</v>
      </c>
      <c r="W218" s="69">
        <f t="shared" si="58"/>
        <v>27575.566526894843</v>
      </c>
      <c r="X218" s="70">
        <f t="shared" si="58"/>
        <v>31565.973627990119</v>
      </c>
      <c r="Y218" s="69">
        <f t="shared" si="60"/>
        <v>5645.7590269250795</v>
      </c>
      <c r="Z218" s="69">
        <f t="shared" si="61"/>
        <v>10712.836274199159</v>
      </c>
      <c r="AA218" s="70">
        <f t="shared" si="62"/>
        <v>20867.83511952313</v>
      </c>
    </row>
    <row r="219" spans="1:27" x14ac:dyDescent="0.2">
      <c r="A219" s="59">
        <v>88</v>
      </c>
      <c r="B219" s="3">
        <f t="shared" si="53"/>
        <v>51507.119277670165</v>
      </c>
      <c r="C219" s="3">
        <f t="shared" si="54"/>
        <v>129.11607180892315</v>
      </c>
      <c r="D219" s="3">
        <f t="shared" si="55"/>
        <v>51337.010118196988</v>
      </c>
      <c r="E219" s="3">
        <f t="shared" si="56"/>
        <v>-40.993087664253835</v>
      </c>
      <c r="F219" s="5">
        <f t="shared" si="57"/>
        <v>102844.12939586714</v>
      </c>
      <c r="G219" s="105">
        <f t="shared" si="52"/>
        <v>88.122984144662041</v>
      </c>
      <c r="H219" s="4"/>
      <c r="I219" s="5"/>
      <c r="J219"/>
      <c r="L219" s="4"/>
      <c r="O219" s="92">
        <v>85</v>
      </c>
      <c r="P219" s="92">
        <f t="shared" si="59"/>
        <v>9886.7595855998479</v>
      </c>
      <c r="Q219" s="69">
        <f t="shared" si="58"/>
        <v>16946.122075308096</v>
      </c>
      <c r="R219" s="70">
        <f t="shared" si="58"/>
        <v>20088.305067254332</v>
      </c>
      <c r="S219" s="69">
        <f t="shared" si="58"/>
        <v>12772.612241989456</v>
      </c>
      <c r="T219" s="69">
        <f t="shared" si="58"/>
        <v>21569.513597876932</v>
      </c>
      <c r="U219" s="69">
        <f t="shared" si="58"/>
        <v>32656.686286079934</v>
      </c>
      <c r="V219" s="92">
        <f t="shared" si="58"/>
        <v>16980.106518213986</v>
      </c>
      <c r="W219" s="69">
        <f t="shared" si="58"/>
        <v>27739.221177468684</v>
      </c>
      <c r="X219" s="70">
        <f t="shared" si="58"/>
        <v>31753.310427728156</v>
      </c>
      <c r="Y219" s="69">
        <f t="shared" si="60"/>
        <v>5679.2653093753179</v>
      </c>
      <c r="Z219" s="69">
        <f t="shared" si="61"/>
        <v>10776.414495716341</v>
      </c>
      <c r="AA219" s="70">
        <f t="shared" si="62"/>
        <v>20991.680925606106</v>
      </c>
    </row>
    <row r="220" spans="1:27" x14ac:dyDescent="0.2">
      <c r="A220" s="59">
        <v>89</v>
      </c>
      <c r="B220" s="3">
        <f t="shared" si="53"/>
        <v>52723.54494824048</v>
      </c>
      <c r="C220" s="3">
        <f t="shared" si="54"/>
        <v>1345.5417423792387</v>
      </c>
      <c r="D220" s="3">
        <f t="shared" si="55"/>
        <v>50271.5492446926</v>
      </c>
      <c r="E220" s="3">
        <f t="shared" si="56"/>
        <v>-1106.4539611686414</v>
      </c>
      <c r="F220" s="5">
        <f t="shared" si="57"/>
        <v>102995.09419293309</v>
      </c>
      <c r="G220" s="105">
        <f t="shared" si="52"/>
        <v>239.08778121060459</v>
      </c>
      <c r="H220" s="4"/>
      <c r="I220" s="5"/>
      <c r="J220"/>
      <c r="L220" s="4"/>
      <c r="O220" s="92">
        <v>86</v>
      </c>
      <c r="P220" s="92">
        <f t="shared" si="59"/>
        <v>9944.7469425685413</v>
      </c>
      <c r="Q220" s="69">
        <f t="shared" si="58"/>
        <v>17045.51367287938</v>
      </c>
      <c r="R220" s="70">
        <f t="shared" si="58"/>
        <v>20206.12604861283</v>
      </c>
      <c r="S220" s="69">
        <f t="shared" si="58"/>
        <v>12847.525566126287</v>
      </c>
      <c r="T220" s="69">
        <f t="shared" si="58"/>
        <v>21696.0220937913</v>
      </c>
      <c r="U220" s="69">
        <f t="shared" si="58"/>
        <v>32848.222745391009</v>
      </c>
      <c r="V220" s="92">
        <f t="shared" si="58"/>
        <v>17079.697439740212</v>
      </c>
      <c r="W220" s="69">
        <f t="shared" si="58"/>
        <v>27901.915951881354</v>
      </c>
      <c r="X220" s="70">
        <f t="shared" si="58"/>
        <v>31939.548449475173</v>
      </c>
      <c r="Y220" s="69">
        <f t="shared" si="60"/>
        <v>5712.5750689546148</v>
      </c>
      <c r="Z220" s="69">
        <f t="shared" si="61"/>
        <v>10839.61981478933</v>
      </c>
      <c r="AA220" s="70">
        <f t="shared" si="62"/>
        <v>21114.800344528667</v>
      </c>
    </row>
    <row r="221" spans="1:27" x14ac:dyDescent="0.2">
      <c r="A221" s="59">
        <v>90</v>
      </c>
      <c r="B221" s="3">
        <f t="shared" si="53"/>
        <v>49518.539603077756</v>
      </c>
      <c r="C221" s="3">
        <f t="shared" si="54"/>
        <v>-1859.4636027834858</v>
      </c>
      <c r="D221" s="3">
        <f t="shared" si="55"/>
        <v>51056.549220375593</v>
      </c>
      <c r="E221" s="3">
        <f t="shared" si="56"/>
        <v>-321.45398548564845</v>
      </c>
      <c r="F221" s="5">
        <f t="shared" si="57"/>
        <v>100575.08882345335</v>
      </c>
      <c r="G221" s="105">
        <f t="shared" si="52"/>
        <v>-2180.9175882691343</v>
      </c>
      <c r="H221" s="4"/>
      <c r="I221" s="5"/>
      <c r="J221"/>
      <c r="L221" s="4"/>
      <c r="O221" s="92">
        <v>87</v>
      </c>
      <c r="P221" s="92">
        <f t="shared" si="59"/>
        <v>10002.398132448152</v>
      </c>
      <c r="Q221" s="69">
        <f t="shared" si="58"/>
        <v>17144.329072710643</v>
      </c>
      <c r="R221" s="70">
        <f t="shared" si="58"/>
        <v>20323.263992523047</v>
      </c>
      <c r="S221" s="69">
        <f t="shared" si="58"/>
        <v>12922.004599144757</v>
      </c>
      <c r="T221" s="69">
        <f t="shared" si="58"/>
        <v>21821.797188581022</v>
      </c>
      <c r="U221" s="69">
        <f t="shared" si="58"/>
        <v>33038.648820346825</v>
      </c>
      <c r="V221" s="92">
        <f t="shared" si="58"/>
        <v>17178.711007996018</v>
      </c>
      <c r="W221" s="69">
        <f t="shared" si="58"/>
        <v>28063.667544338801</v>
      </c>
      <c r="X221" s="70">
        <f t="shared" si="58"/>
        <v>32124.706803223497</v>
      </c>
      <c r="Y221" s="69">
        <f t="shared" si="60"/>
        <v>5745.6917235968904</v>
      </c>
      <c r="Z221" s="69">
        <f t="shared" si="61"/>
        <v>10902.45871695286</v>
      </c>
      <c r="AA221" s="70">
        <f t="shared" si="62"/>
        <v>21237.206009646376</v>
      </c>
    </row>
    <row r="222" spans="1:27" x14ac:dyDescent="0.2">
      <c r="A222" s="59">
        <v>91</v>
      </c>
      <c r="B222" s="3">
        <f t="shared" si="53"/>
        <v>50870.83689661909</v>
      </c>
      <c r="C222" s="3">
        <f t="shared" si="54"/>
        <v>-507.16630924215133</v>
      </c>
      <c r="D222" s="3">
        <f t="shared" si="55"/>
        <v>51311.517635318123</v>
      </c>
      <c r="E222" s="3">
        <f t="shared" si="56"/>
        <v>-66.485570543118229</v>
      </c>
      <c r="F222" s="5">
        <f t="shared" si="57"/>
        <v>102182.35453193722</v>
      </c>
      <c r="G222" s="105">
        <f t="shared" si="52"/>
        <v>-573.65187978526228</v>
      </c>
      <c r="H222" s="4"/>
      <c r="I222" s="5"/>
      <c r="J222"/>
      <c r="L222" s="4"/>
      <c r="O222" s="92">
        <v>88</v>
      </c>
      <c r="P222" s="92">
        <f t="shared" si="59"/>
        <v>10059.718934854896</v>
      </c>
      <c r="Q222" s="69">
        <f t="shared" si="58"/>
        <v>17242.578181190445</v>
      </c>
      <c r="R222" s="70">
        <f t="shared" si="58"/>
        <v>20439.73064223542</v>
      </c>
      <c r="S222" s="69">
        <f t="shared" si="58"/>
        <v>12996.056807677007</v>
      </c>
      <c r="T222" s="69">
        <f t="shared" si="58"/>
        <v>21946.851491383564</v>
      </c>
      <c r="U222" s="69">
        <f t="shared" si="58"/>
        <v>33227.983601440312</v>
      </c>
      <c r="V222" s="92">
        <f t="shared" si="58"/>
        <v>17277.157149236642</v>
      </c>
      <c r="W222" s="69">
        <f t="shared" si="58"/>
        <v>28224.492170675079</v>
      </c>
      <c r="X222" s="70">
        <f t="shared" si="58"/>
        <v>32308.804051369279</v>
      </c>
      <c r="Y222" s="69">
        <f t="shared" si="60"/>
        <v>5778.6185932952612</v>
      </c>
      <c r="Z222" s="69">
        <f t="shared" si="61"/>
        <v>10964.937501898934</v>
      </c>
      <c r="AA222" s="70">
        <f t="shared" si="62"/>
        <v>21358.910192306448</v>
      </c>
    </row>
    <row r="223" spans="1:27" x14ac:dyDescent="0.2">
      <c r="A223" s="59">
        <v>92</v>
      </c>
      <c r="B223" s="3">
        <f t="shared" si="53"/>
        <v>50595.825454124999</v>
      </c>
      <c r="C223" s="3">
        <f t="shared" si="54"/>
        <v>-782.1777517362425</v>
      </c>
      <c r="D223" s="3">
        <f t="shared" si="55"/>
        <v>50807.022705766212</v>
      </c>
      <c r="E223" s="3">
        <f t="shared" si="56"/>
        <v>-570.98050009502913</v>
      </c>
      <c r="F223" s="5">
        <f t="shared" si="57"/>
        <v>101402.8481598912</v>
      </c>
      <c r="G223" s="105">
        <f t="shared" si="52"/>
        <v>-1353.1582518312789</v>
      </c>
      <c r="H223" s="4"/>
      <c r="I223" s="5"/>
      <c r="J223"/>
      <c r="L223" s="4"/>
      <c r="O223" s="92">
        <v>89</v>
      </c>
      <c r="P223" s="92">
        <f t="shared" si="59"/>
        <v>10116.714965667166</v>
      </c>
      <c r="Q223" s="69">
        <f t="shared" si="58"/>
        <v>17340.270624057117</v>
      </c>
      <c r="R223" s="70">
        <f t="shared" si="58"/>
        <v>20555.537408311448</v>
      </c>
      <c r="S223" s="69">
        <f t="shared" si="58"/>
        <v>13069.689446823802</v>
      </c>
      <c r="T223" s="69">
        <f t="shared" si="58"/>
        <v>22071.197254116669</v>
      </c>
      <c r="U223" s="69">
        <f t="shared" si="58"/>
        <v>33416.245638326393</v>
      </c>
      <c r="V223" s="92">
        <f t="shared" si="58"/>
        <v>17375.045508504256</v>
      </c>
      <c r="W223" s="69">
        <f t="shared" si="58"/>
        <v>28384.405587325982</v>
      </c>
      <c r="X223" s="70">
        <f t="shared" si="58"/>
        <v>32491.858230431782</v>
      </c>
      <c r="Y223" s="69">
        <f t="shared" si="60"/>
        <v>5811.3589039867147</v>
      </c>
      <c r="Z223" s="69">
        <f t="shared" si="61"/>
        <v>11027.062290847807</v>
      </c>
      <c r="AA223" s="70">
        <f t="shared" si="62"/>
        <v>21479.924816206054</v>
      </c>
    </row>
    <row r="224" spans="1:27" x14ac:dyDescent="0.2">
      <c r="A224" s="59">
        <v>93</v>
      </c>
      <c r="B224" s="3">
        <f t="shared" si="53"/>
        <v>52955.999200076425</v>
      </c>
      <c r="C224" s="3">
        <f t="shared" si="54"/>
        <v>1577.9959942151836</v>
      </c>
      <c r="D224" s="3">
        <f t="shared" si="55"/>
        <v>51732.727110472588</v>
      </c>
      <c r="E224" s="3">
        <f t="shared" si="56"/>
        <v>354.72390461134637</v>
      </c>
      <c r="F224" s="5">
        <f t="shared" si="57"/>
        <v>104688.72631054901</v>
      </c>
      <c r="G224" s="105">
        <f t="shared" si="52"/>
        <v>1932.71989882653</v>
      </c>
      <c r="H224" s="4"/>
      <c r="I224" s="5"/>
      <c r="J224"/>
      <c r="L224" s="4"/>
      <c r="O224" s="92">
        <v>90</v>
      </c>
      <c r="P224" s="92">
        <f t="shared" si="59"/>
        <v>10173.391683447066</v>
      </c>
      <c r="Q224" s="69">
        <f t="shared" si="58"/>
        <v>17437.415757405444</v>
      </c>
      <c r="R224" s="70">
        <f t="shared" si="58"/>
        <v>20670.695381671252</v>
      </c>
      <c r="S224" s="69">
        <f t="shared" si="58"/>
        <v>13142.909568450477</v>
      </c>
      <c r="T224" s="69">
        <f t="shared" si="58"/>
        <v>22194.846385487996</v>
      </c>
      <c r="U224" s="69">
        <f t="shared" si="58"/>
        <v>33603.452961032883</v>
      </c>
      <c r="V224" s="92">
        <f t="shared" si="58"/>
        <v>17472.385460656744</v>
      </c>
      <c r="W224" s="69">
        <f t="shared" si="58"/>
        <v>28543.423109345986</v>
      </c>
      <c r="X224" s="70">
        <f t="shared" si="58"/>
        <v>32673.886871677507</v>
      </c>
      <c r="Y224" s="69">
        <f t="shared" si="60"/>
        <v>5843.9157912408009</v>
      </c>
      <c r="Z224" s="69">
        <f t="shared" si="61"/>
        <v>11088.839033547451</v>
      </c>
      <c r="AA224" s="70">
        <f t="shared" si="62"/>
        <v>21600.261471026632</v>
      </c>
    </row>
    <row r="225" spans="1:27" x14ac:dyDescent="0.2">
      <c r="A225" s="59">
        <v>94</v>
      </c>
      <c r="B225" s="3">
        <f t="shared" si="53"/>
        <v>51476.885744550513</v>
      </c>
      <c r="C225" s="3">
        <f t="shared" si="54"/>
        <v>98.882538689271314</v>
      </c>
      <c r="D225" s="3">
        <f t="shared" si="55"/>
        <v>51231.429322841512</v>
      </c>
      <c r="E225" s="3">
        <f t="shared" si="56"/>
        <v>-146.57388301972969</v>
      </c>
      <c r="F225" s="5">
        <f t="shared" si="57"/>
        <v>102708.31506739202</v>
      </c>
      <c r="G225" s="105">
        <f t="shared" si="52"/>
        <v>-47.691344330465654</v>
      </c>
      <c r="H225" s="4"/>
      <c r="I225" s="5"/>
      <c r="J225"/>
      <c r="L225" s="4"/>
      <c r="O225" s="92">
        <v>91</v>
      </c>
      <c r="P225" s="92">
        <f t="shared" si="59"/>
        <v>10229.754395541751</v>
      </c>
      <c r="Q225" s="69">
        <f t="shared" si="58"/>
        <v>17534.022678144487</v>
      </c>
      <c r="R225" s="70">
        <f t="shared" si="58"/>
        <v>20785.215345990502</v>
      </c>
      <c r="S225" s="69">
        <f t="shared" si="58"/>
        <v>13215.724029069188</v>
      </c>
      <c r="T225" s="69">
        <f t="shared" si="58"/>
        <v>22317.810464306123</v>
      </c>
      <c r="U225" s="69">
        <f t="shared" si="58"/>
        <v>33789.623100113611</v>
      </c>
      <c r="V225" s="92">
        <f t="shared" si="58"/>
        <v>17569.186120846472</v>
      </c>
      <c r="W225" s="69">
        <f t="shared" si="58"/>
        <v>28701.559627526694</v>
      </c>
      <c r="X225" s="70">
        <f t="shared" si="58"/>
        <v>32854.907020715822</v>
      </c>
      <c r="Y225" s="69">
        <f t="shared" si="60"/>
        <v>5876.2923037644687</v>
      </c>
      <c r="Z225" s="69">
        <f t="shared" si="61"/>
        <v>11150.273514923916</v>
      </c>
      <c r="AA225" s="70">
        <f t="shared" si="62"/>
        <v>21719.931425388291</v>
      </c>
    </row>
    <row r="226" spans="1:27" x14ac:dyDescent="0.2">
      <c r="A226" s="59">
        <v>95</v>
      </c>
      <c r="B226" s="3">
        <f t="shared" si="53"/>
        <v>50122.225025894179</v>
      </c>
      <c r="C226" s="3">
        <f t="shared" si="54"/>
        <v>-1255.7781799670629</v>
      </c>
      <c r="D226" s="3">
        <f t="shared" si="55"/>
        <v>51219.405243849476</v>
      </c>
      <c r="E226" s="3">
        <f t="shared" si="56"/>
        <v>-158.59796201176505</v>
      </c>
      <c r="F226" s="5">
        <f t="shared" si="57"/>
        <v>101341.63026974365</v>
      </c>
      <c r="G226" s="105">
        <f t="shared" si="52"/>
        <v>-1414.3761419788352</v>
      </c>
      <c r="H226" s="4"/>
      <c r="I226" s="5"/>
      <c r="J226"/>
      <c r="L226" s="4"/>
      <c r="O226" s="92">
        <v>92</v>
      </c>
      <c r="P226" s="92">
        <f t="shared" si="59"/>
        <v>10285.808263883868</v>
      </c>
      <c r="Q226" s="69">
        <f t="shared" si="58"/>
        <v>17630.10023393964</v>
      </c>
      <c r="R226" s="70">
        <f t="shared" si="58"/>
        <v>20899.107789485963</v>
      </c>
      <c r="S226" s="69">
        <f t="shared" si="58"/>
        <v>13288.139497332437</v>
      </c>
      <c r="T226" s="69">
        <f t="shared" si="58"/>
        <v>22440.100752135095</v>
      </c>
      <c r="U226" s="69">
        <f t="shared" si="58"/>
        <v>33974.773105807682</v>
      </c>
      <c r="V226" s="92">
        <f t="shared" si="58"/>
        <v>17665.456354482314</v>
      </c>
      <c r="W226" s="69">
        <f t="shared" si="58"/>
        <v>28858.829624671096</v>
      </c>
      <c r="X226" s="70">
        <f t="shared" si="58"/>
        <v>33034.935256128221</v>
      </c>
      <c r="Y226" s="69">
        <f t="shared" si="60"/>
        <v>5908.4914067339887</v>
      </c>
      <c r="Z226" s="69">
        <f t="shared" si="61"/>
        <v>11211.371361403639</v>
      </c>
      <c r="AA226" s="70">
        <f t="shared" si="62"/>
        <v>21838.945639165424</v>
      </c>
    </row>
    <row r="227" spans="1:27" x14ac:dyDescent="0.2">
      <c r="A227" s="59">
        <v>96</v>
      </c>
      <c r="B227" s="3">
        <f t="shared" si="53"/>
        <v>52591.986442936177</v>
      </c>
      <c r="C227" s="3">
        <f t="shared" si="54"/>
        <v>1213.9832370749355</v>
      </c>
      <c r="D227" s="3">
        <f t="shared" si="55"/>
        <v>49727.615971999774</v>
      </c>
      <c r="E227" s="3">
        <f t="shared" si="56"/>
        <v>-1650.3872338614674</v>
      </c>
      <c r="F227" s="5">
        <f t="shared" si="57"/>
        <v>102319.60241493594</v>
      </c>
      <c r="G227" s="105">
        <f t="shared" ref="G227:G254" si="63">F227-M$127</f>
        <v>-436.40399678653921</v>
      </c>
      <c r="H227" s="4"/>
      <c r="I227" s="5"/>
      <c r="J227"/>
      <c r="L227" s="4"/>
      <c r="O227" s="92">
        <v>93</v>
      </c>
      <c r="P227" s="92">
        <f t="shared" si="59"/>
        <v>10341.558310508992</v>
      </c>
      <c r="Q227" s="69">
        <f t="shared" si="58"/>
        <v>17725.657032669678</v>
      </c>
      <c r="R227" s="70">
        <f t="shared" si="58"/>
        <v>21012.382916126069</v>
      </c>
      <c r="S227" s="69">
        <f t="shared" si="58"/>
        <v>13360.162461161017</v>
      </c>
      <c r="T227" s="69">
        <f t="shared" si="58"/>
        <v>22561.728205331623</v>
      </c>
      <c r="U227" s="69">
        <f t="shared" si="58"/>
        <v>34158.91956626402</v>
      </c>
      <c r="V227" s="92">
        <f t="shared" si="58"/>
        <v>17761.204786705624</v>
      </c>
      <c r="W227" s="69">
        <f t="shared" si="58"/>
        <v>29015.247191073835</v>
      </c>
      <c r="X227" s="70">
        <f t="shared" si="58"/>
        <v>33213.987707188753</v>
      </c>
      <c r="Y227" s="69">
        <f t="shared" si="60"/>
        <v>5940.5159849643824</v>
      </c>
      <c r="Z227" s="69">
        <f t="shared" si="61"/>
        <v>11272.138046927463</v>
      </c>
      <c r="AA227" s="70">
        <f t="shared" si="62"/>
        <v>21957.314775201339</v>
      </c>
    </row>
    <row r="228" spans="1:27" x14ac:dyDescent="0.2">
      <c r="A228" s="59">
        <v>97</v>
      </c>
      <c r="B228" s="3">
        <f t="shared" si="53"/>
        <v>50866.813203149701</v>
      </c>
      <c r="C228" s="3">
        <f t="shared" si="54"/>
        <v>-511.19000271154073</v>
      </c>
      <c r="D228" s="3">
        <f t="shared" si="55"/>
        <v>51983.362153302005</v>
      </c>
      <c r="E228" s="3">
        <f t="shared" si="56"/>
        <v>605.35894744076359</v>
      </c>
      <c r="F228" s="5">
        <f t="shared" si="57"/>
        <v>102850.17535645171</v>
      </c>
      <c r="G228" s="105">
        <f t="shared" si="63"/>
        <v>94.168944729230134</v>
      </c>
      <c r="H228" s="4"/>
      <c r="I228" s="5"/>
      <c r="J228"/>
      <c r="L228" s="4"/>
      <c r="O228" s="92">
        <v>94</v>
      </c>
      <c r="P228" s="92">
        <f t="shared" si="59"/>
        <v>10397.009422806805</v>
      </c>
      <c r="Q228" s="69">
        <f t="shared" si="58"/>
        <v>17820.701451427369</v>
      </c>
      <c r="R228" s="70">
        <f t="shared" si="58"/>
        <v>21125.050656300464</v>
      </c>
      <c r="S228" s="69">
        <f t="shared" si="58"/>
        <v>13431.799234527953</v>
      </c>
      <c r="T228" s="69">
        <f t="shared" si="58"/>
        <v>22682.703486501316</v>
      </c>
      <c r="U228" s="69">
        <f t="shared" si="58"/>
        <v>34342.078624886359</v>
      </c>
      <c r="V228" s="92">
        <f t="shared" si="58"/>
        <v>17856.439811408938</v>
      </c>
      <c r="W228" s="69">
        <f t="shared" si="58"/>
        <v>29170.826039254389</v>
      </c>
      <c r="X228" s="70">
        <f t="shared" si="58"/>
        <v>33392.080070729164</v>
      </c>
      <c r="Y228" s="69">
        <f t="shared" si="60"/>
        <v>5972.3688459258192</v>
      </c>
      <c r="Z228" s="69">
        <f t="shared" si="61"/>
        <v>11332.578898674299</v>
      </c>
      <c r="AA228" s="70">
        <f t="shared" si="62"/>
        <v>22075.049210457655</v>
      </c>
    </row>
    <row r="229" spans="1:27" x14ac:dyDescent="0.2">
      <c r="A229" s="59">
        <v>98</v>
      </c>
      <c r="B229" s="3">
        <f t="shared" si="53"/>
        <v>51309.159572997974</v>
      </c>
      <c r="C229" s="3">
        <f t="shared" si="54"/>
        <v>-68.843632863266976</v>
      </c>
      <c r="D229" s="3">
        <f t="shared" si="55"/>
        <v>52910.097903002606</v>
      </c>
      <c r="E229" s="3">
        <f t="shared" si="56"/>
        <v>1532.094697141365</v>
      </c>
      <c r="F229" s="5">
        <f t="shared" si="57"/>
        <v>104219.25747600058</v>
      </c>
      <c r="G229" s="105">
        <f t="shared" si="63"/>
        <v>1463.2510642780981</v>
      </c>
      <c r="H229" s="4"/>
      <c r="I229" s="5"/>
      <c r="J229"/>
      <c r="L229" s="4"/>
      <c r="O229" s="92">
        <v>95</v>
      </c>
      <c r="P229" s="92">
        <f t="shared" si="59"/>
        <v>10452.166358521536</v>
      </c>
      <c r="Q229" s="69">
        <f t="shared" si="58"/>
        <v>17915.241645090333</v>
      </c>
      <c r="R229" s="70">
        <f t="shared" ref="Q229:X234" si="64">R$135*SQRT($O229)</f>
        <v>21237.120676980066</v>
      </c>
      <c r="S229" s="69">
        <f t="shared" si="64"/>
        <v>13503.05596391851</v>
      </c>
      <c r="T229" s="69">
        <f t="shared" si="64"/>
        <v>22803.036975407926</v>
      </c>
      <c r="U229" s="69">
        <f t="shared" si="64"/>
        <v>34524.265996850067</v>
      </c>
      <c r="V229" s="92">
        <f t="shared" si="64"/>
        <v>17951.169599823996</v>
      </c>
      <c r="W229" s="69">
        <f t="shared" si="64"/>
        <v>29325.579517986778</v>
      </c>
      <c r="X229" s="70">
        <f t="shared" si="64"/>
        <v>33569.227627198838</v>
      </c>
      <c r="Y229" s="69">
        <f t="shared" si="60"/>
        <v>6004.0527226160484</v>
      </c>
      <c r="Z229" s="69">
        <f t="shared" si="61"/>
        <v>11392.699102511477</v>
      </c>
      <c r="AA229" s="70">
        <f t="shared" si="62"/>
        <v>22192.159046631292</v>
      </c>
    </row>
    <row r="230" spans="1:27" x14ac:dyDescent="0.2">
      <c r="A230" s="59">
        <v>99</v>
      </c>
      <c r="B230" s="3">
        <f t="shared" si="53"/>
        <v>51198.769597468323</v>
      </c>
      <c r="C230" s="3">
        <f t="shared" si="54"/>
        <v>-179.23360839291854</v>
      </c>
      <c r="D230" s="3">
        <f t="shared" si="55"/>
        <v>51521.646150420813</v>
      </c>
      <c r="E230" s="3">
        <f t="shared" si="56"/>
        <v>143.64294455957133</v>
      </c>
      <c r="F230" s="5">
        <f t="shared" si="57"/>
        <v>102720.41574788914</v>
      </c>
      <c r="G230" s="105">
        <f t="shared" si="63"/>
        <v>-35.590663833339931</v>
      </c>
      <c r="H230" s="4"/>
      <c r="I230" s="5"/>
      <c r="J230"/>
      <c r="L230" s="4"/>
      <c r="O230" s="92">
        <v>96</v>
      </c>
      <c r="P230" s="92">
        <f t="shared" si="59"/>
        <v>10507.033750516139</v>
      </c>
      <c r="Q230" s="69">
        <f t="shared" si="64"/>
        <v>18009.285554486953</v>
      </c>
      <c r="R230" s="70">
        <f t="shared" si="64"/>
        <v>21348.602391397151</v>
      </c>
      <c r="S230" s="69">
        <f t="shared" si="64"/>
        <v>13573.938634485014</v>
      </c>
      <c r="T230" s="69">
        <f t="shared" si="64"/>
        <v>22922.73877936717</v>
      </c>
      <c r="U230" s="69">
        <f t="shared" si="64"/>
        <v>34705.496984838574</v>
      </c>
      <c r="V230" s="92">
        <f t="shared" si="64"/>
        <v>18045.402108704046</v>
      </c>
      <c r="W230" s="69">
        <f t="shared" si="64"/>
        <v>29479.520625666377</v>
      </c>
      <c r="X230" s="70">
        <f t="shared" si="64"/>
        <v>33745.445255965904</v>
      </c>
      <c r="Y230" s="69">
        <f t="shared" si="60"/>
        <v>6035.570276297105</v>
      </c>
      <c r="Z230" s="69">
        <f t="shared" si="61"/>
        <v>11452.503708187742</v>
      </c>
      <c r="AA230" s="70">
        <f t="shared" si="62"/>
        <v>22308.654120269821</v>
      </c>
    </row>
    <row r="231" spans="1:27" x14ac:dyDescent="0.2">
      <c r="A231" s="59">
        <v>100</v>
      </c>
      <c r="B231" s="3">
        <f t="shared" si="53"/>
        <v>52747.714345589338</v>
      </c>
      <c r="C231" s="3">
        <f t="shared" si="54"/>
        <v>1369.7111397280969</v>
      </c>
      <c r="D231" s="3">
        <f t="shared" si="55"/>
        <v>50229.505573707916</v>
      </c>
      <c r="E231" s="3">
        <f t="shared" si="56"/>
        <v>-1148.497632153325</v>
      </c>
      <c r="F231" s="5">
        <f t="shared" si="57"/>
        <v>102977.21991929726</v>
      </c>
      <c r="G231" s="105">
        <f t="shared" si="63"/>
        <v>221.21350757477921</v>
      </c>
      <c r="H231" s="4"/>
      <c r="I231" s="5"/>
      <c r="J231"/>
      <c r="L231" s="4"/>
      <c r="O231" s="92">
        <v>97</v>
      </c>
      <c r="P231" s="92">
        <f t="shared" si="59"/>
        <v>10561.616111313699</v>
      </c>
      <c r="Q231" s="69">
        <f t="shared" si="64"/>
        <v>18102.840914180455</v>
      </c>
      <c r="R231" s="70">
        <f t="shared" si="64"/>
        <v>21459.504968272729</v>
      </c>
      <c r="S231" s="69">
        <f t="shared" si="64"/>
        <v>13644.453075913836</v>
      </c>
      <c r="T231" s="69">
        <f t="shared" si="64"/>
        <v>23041.818743154494</v>
      </c>
      <c r="U231" s="69">
        <f t="shared" si="64"/>
        <v>34885.786494043976</v>
      </c>
      <c r="V231" s="92">
        <f t="shared" si="64"/>
        <v>18139.145088123518</v>
      </c>
      <c r="W231" s="69">
        <f t="shared" si="64"/>
        <v>29632.662023051747</v>
      </c>
      <c r="X231" s="70">
        <f t="shared" si="64"/>
        <v>33920.74744990289</v>
      </c>
      <c r="Y231" s="69">
        <f t="shared" si="60"/>
        <v>6066.9240991040169</v>
      </c>
      <c r="Z231" s="69">
        <f t="shared" si="61"/>
        <v>11511.997634283205</v>
      </c>
      <c r="AA231" s="70">
        <f t="shared" si="62"/>
        <v>22424.544012413811</v>
      </c>
    </row>
    <row r="232" spans="1:27" x14ac:dyDescent="0.2">
      <c r="A232" s="59">
        <v>101</v>
      </c>
      <c r="B232" s="3">
        <f t="shared" si="53"/>
        <v>51957.47970103554</v>
      </c>
      <c r="C232" s="3">
        <f t="shared" si="54"/>
        <v>579.47649517429818</v>
      </c>
      <c r="D232" s="3">
        <f t="shared" si="55"/>
        <v>52138.063802250843</v>
      </c>
      <c r="E232" s="3">
        <f t="shared" si="56"/>
        <v>760.06059638960141</v>
      </c>
      <c r="F232" s="5">
        <f t="shared" si="57"/>
        <v>104095.54350328638</v>
      </c>
      <c r="G232" s="105">
        <f t="shared" si="63"/>
        <v>1339.5370915638923</v>
      </c>
      <c r="H232" s="4"/>
      <c r="I232" s="5"/>
      <c r="J232"/>
      <c r="L232" s="4"/>
      <c r="O232" s="92">
        <v>98</v>
      </c>
      <c r="P232" s="92">
        <f t="shared" si="59"/>
        <v>10615.917837428708</v>
      </c>
      <c r="Q232" s="69">
        <f t="shared" si="64"/>
        <v>18195.915259892794</v>
      </c>
      <c r="R232" s="70">
        <f t="shared" si="64"/>
        <v>21569.83734061701</v>
      </c>
      <c r="S232" s="69">
        <f t="shared" si="64"/>
        <v>13714.604968020923</v>
      </c>
      <c r="T232" s="69">
        <f t="shared" si="64"/>
        <v>23160.28645845444</v>
      </c>
      <c r="U232" s="69">
        <f t="shared" si="64"/>
        <v>35065.149046473525</v>
      </c>
      <c r="V232" s="92">
        <f t="shared" si="64"/>
        <v>18232.406088916814</v>
      </c>
      <c r="W232" s="69">
        <f t="shared" si="64"/>
        <v>29785.016045416818</v>
      </c>
      <c r="X232" s="70">
        <f t="shared" si="64"/>
        <v>34095.148329297466</v>
      </c>
      <c r="Y232" s="69">
        <f t="shared" si="60"/>
        <v>6098.1167165328188</v>
      </c>
      <c r="Z232" s="69">
        <f t="shared" si="61"/>
        <v>11571.185672930416</v>
      </c>
      <c r="AA232" s="70">
        <f t="shared" si="62"/>
        <v>22539.838057793073</v>
      </c>
    </row>
    <row r="233" spans="1:27" x14ac:dyDescent="0.2">
      <c r="A233" s="59">
        <v>102</v>
      </c>
      <c r="B233" s="3">
        <f t="shared" si="53"/>
        <v>50581.780746634111</v>
      </c>
      <c r="C233" s="3">
        <f t="shared" si="54"/>
        <v>-796.22245922713046</v>
      </c>
      <c r="D233" s="3">
        <f t="shared" si="55"/>
        <v>52071.55146140643</v>
      </c>
      <c r="E233" s="3">
        <f t="shared" si="56"/>
        <v>693.54825554518902</v>
      </c>
      <c r="F233" s="5">
        <f t="shared" si="57"/>
        <v>102653.33220804055</v>
      </c>
      <c r="G233" s="105">
        <f t="shared" si="63"/>
        <v>-102.67420368193416</v>
      </c>
      <c r="H233" s="4"/>
      <c r="I233" s="5"/>
      <c r="J233"/>
      <c r="L233" s="4"/>
      <c r="O233" s="92">
        <v>99</v>
      </c>
      <c r="P233" s="92">
        <f t="shared" si="59"/>
        <v>10669.943213499915</v>
      </c>
      <c r="Q233" s="69">
        <f t="shared" si="64"/>
        <v>18288.515935588453</v>
      </c>
      <c r="R233" s="70">
        <f t="shared" si="64"/>
        <v>21679.608214126696</v>
      </c>
      <c r="S233" s="69">
        <f t="shared" si="64"/>
        <v>13784.399846091008</v>
      </c>
      <c r="T233" s="69">
        <f t="shared" si="64"/>
        <v>23278.151272877116</v>
      </c>
      <c r="U233" s="69">
        <f t="shared" si="64"/>
        <v>35243.598794600766</v>
      </c>
      <c r="V233" s="92">
        <f t="shared" si="64"/>
        <v>18325.192469776302</v>
      </c>
      <c r="W233" s="69">
        <f t="shared" si="64"/>
        <v>29936.594714146449</v>
      </c>
      <c r="X233" s="70">
        <f t="shared" si="64"/>
        <v>34268.661655125921</v>
      </c>
      <c r="Y233" s="69">
        <f t="shared" si="60"/>
        <v>6129.1505898146206</v>
      </c>
      <c r="Z233" s="69">
        <f t="shared" si="61"/>
        <v>11630.072494319124</v>
      </c>
      <c r="AA233" s="70">
        <f t="shared" si="62"/>
        <v>22654.545353601541</v>
      </c>
    </row>
    <row r="234" spans="1:27" x14ac:dyDescent="0.2">
      <c r="A234" s="59">
        <v>103</v>
      </c>
      <c r="B234" s="3">
        <f t="shared" si="53"/>
        <v>50697.836002780285</v>
      </c>
      <c r="C234" s="3">
        <f t="shared" si="54"/>
        <v>-680.16720308095682</v>
      </c>
      <c r="D234" s="3">
        <f t="shared" si="55"/>
        <v>51539.541254709911</v>
      </c>
      <c r="E234" s="3">
        <f t="shared" si="56"/>
        <v>161.53804884866986</v>
      </c>
      <c r="F234" s="5">
        <f t="shared" si="57"/>
        <v>102237.3772574902</v>
      </c>
      <c r="G234" s="105">
        <f t="shared" si="63"/>
        <v>-518.62915423228696</v>
      </c>
      <c r="H234" s="4"/>
      <c r="I234" s="5"/>
      <c r="J234"/>
      <c r="L234" s="4"/>
      <c r="O234" s="93">
        <v>100</v>
      </c>
      <c r="P234" s="93">
        <f t="shared" si="59"/>
        <v>10723.696416235813</v>
      </c>
      <c r="Q234" s="71">
        <f t="shared" si="64"/>
        <v>18380.650100237104</v>
      </c>
      <c r="R234" s="72">
        <f t="shared" si="64"/>
        <v>21788.826075201563</v>
      </c>
      <c r="S234" s="71">
        <f t="shared" si="64"/>
        <v>13853.843105974727</v>
      </c>
      <c r="T234" s="71">
        <f t="shared" si="64"/>
        <v>23395.422298565863</v>
      </c>
      <c r="U234" s="71">
        <f t="shared" si="64"/>
        <v>35421.149534397759</v>
      </c>
      <c r="V234" s="93">
        <f t="shared" si="64"/>
        <v>18417.511404028541</v>
      </c>
      <c r="W234" s="71">
        <f t="shared" si="64"/>
        <v>30087.409747806225</v>
      </c>
      <c r="X234" s="72">
        <f t="shared" si="64"/>
        <v>34441.300841724893</v>
      </c>
      <c r="Y234" s="71">
        <f t="shared" si="60"/>
        <v>6160.0281181819992</v>
      </c>
      <c r="Z234" s="71">
        <f t="shared" si="61"/>
        <v>11688.662650996739</v>
      </c>
      <c r="AA234" s="72">
        <f t="shared" si="62"/>
        <v>22768.674767874429</v>
      </c>
    </row>
    <row r="235" spans="1:27" x14ac:dyDescent="0.2">
      <c r="A235" s="59">
        <v>104</v>
      </c>
      <c r="B235" s="3">
        <f t="shared" si="53"/>
        <v>51700.358852727542</v>
      </c>
      <c r="C235" s="3">
        <f t="shared" si="54"/>
        <v>322.35564686630096</v>
      </c>
      <c r="D235" s="3">
        <f t="shared" si="55"/>
        <v>52072.848856325509</v>
      </c>
      <c r="E235" s="3">
        <f t="shared" si="56"/>
        <v>694.84565046426724</v>
      </c>
      <c r="F235" s="5">
        <f t="shared" si="57"/>
        <v>103773.20770905305</v>
      </c>
      <c r="G235" s="105">
        <f t="shared" si="63"/>
        <v>1017.2012973305682</v>
      </c>
      <c r="H235" s="4"/>
      <c r="I235" s="5"/>
      <c r="J235"/>
      <c r="L235" s="4"/>
      <c r="P235"/>
      <c r="R235" s="10"/>
    </row>
    <row r="236" spans="1:27" x14ac:dyDescent="0.2">
      <c r="A236" s="59">
        <v>105</v>
      </c>
      <c r="B236" s="3">
        <f t="shared" si="53"/>
        <v>51531.360206674712</v>
      </c>
      <c r="C236" s="3">
        <f t="shared" si="54"/>
        <v>153.35700081347022</v>
      </c>
      <c r="D236" s="3">
        <f t="shared" si="55"/>
        <v>51162.823100879054</v>
      </c>
      <c r="E236" s="3">
        <f t="shared" si="56"/>
        <v>-215.18010498218791</v>
      </c>
      <c r="F236" s="5">
        <f t="shared" si="57"/>
        <v>102694.18330755376</v>
      </c>
      <c r="G236" s="105">
        <f t="shared" si="63"/>
        <v>-61.823104168724967</v>
      </c>
      <c r="H236" s="4"/>
      <c r="I236" s="5"/>
      <c r="J236"/>
      <c r="L236" s="4"/>
      <c r="P236"/>
      <c r="R236" s="10"/>
    </row>
    <row r="237" spans="1:27" x14ac:dyDescent="0.2">
      <c r="A237" s="59">
        <v>106</v>
      </c>
      <c r="B237" s="3">
        <f t="shared" si="53"/>
        <v>51116.373270880002</v>
      </c>
      <c r="C237" s="3">
        <f t="shared" si="54"/>
        <v>-261.62993498123978</v>
      </c>
      <c r="D237" s="3">
        <f t="shared" si="55"/>
        <v>51434.537100233894</v>
      </c>
      <c r="E237" s="3">
        <f t="shared" si="56"/>
        <v>56.533894372652867</v>
      </c>
      <c r="F237" s="5">
        <f t="shared" si="57"/>
        <v>102550.91037111389</v>
      </c>
      <c r="G237" s="105">
        <f t="shared" si="63"/>
        <v>-205.09604060859419</v>
      </c>
      <c r="H237" s="4"/>
      <c r="I237" s="5"/>
      <c r="J237"/>
      <c r="L237" s="4"/>
      <c r="P237"/>
      <c r="R237" s="10"/>
    </row>
    <row r="238" spans="1:27" x14ac:dyDescent="0.2">
      <c r="A238" s="59">
        <v>107</v>
      </c>
      <c r="B238" s="3">
        <f t="shared" si="53"/>
        <v>50589.096084048295</v>
      </c>
      <c r="C238" s="3">
        <f t="shared" si="54"/>
        <v>-788.90712181294657</v>
      </c>
      <c r="D238" s="3">
        <f t="shared" si="55"/>
        <v>50919.954521897984</v>
      </c>
      <c r="E238" s="3">
        <f t="shared" si="56"/>
        <v>-458.04868396325764</v>
      </c>
      <c r="F238" s="5">
        <f t="shared" si="57"/>
        <v>101509.05060594628</v>
      </c>
      <c r="G238" s="105">
        <f t="shared" si="63"/>
        <v>-1246.9558057762042</v>
      </c>
      <c r="H238" s="4"/>
      <c r="I238" s="5"/>
      <c r="J238"/>
      <c r="L238" s="4"/>
      <c r="P238"/>
      <c r="R238" s="10"/>
    </row>
    <row r="239" spans="1:27" x14ac:dyDescent="0.2">
      <c r="A239" s="59">
        <v>108</v>
      </c>
      <c r="B239" s="3">
        <f t="shared" si="53"/>
        <v>52574.615040467477</v>
      </c>
      <c r="C239" s="3">
        <f t="shared" si="54"/>
        <v>1196.6118346062358</v>
      </c>
      <c r="D239" s="3">
        <f t="shared" si="55"/>
        <v>51266.576148435284</v>
      </c>
      <c r="E239" s="3">
        <f t="shared" si="56"/>
        <v>-111.42705742595717</v>
      </c>
      <c r="F239" s="5">
        <f t="shared" si="57"/>
        <v>103841.19118890277</v>
      </c>
      <c r="G239" s="105">
        <f t="shared" si="63"/>
        <v>1085.1847771802859</v>
      </c>
      <c r="H239" s="4"/>
      <c r="I239" s="5"/>
      <c r="J239"/>
      <c r="L239" s="4"/>
      <c r="P239"/>
      <c r="R239" s="10"/>
    </row>
    <row r="240" spans="1:27" x14ac:dyDescent="0.2">
      <c r="A240" s="59">
        <v>109</v>
      </c>
      <c r="B240" s="3">
        <f t="shared" si="53"/>
        <v>52038.955219658761</v>
      </c>
      <c r="C240" s="3">
        <f t="shared" si="54"/>
        <v>660.95201379751961</v>
      </c>
      <c r="D240" s="3">
        <f t="shared" si="55"/>
        <v>50994.774669796978</v>
      </c>
      <c r="E240" s="3">
        <f t="shared" si="56"/>
        <v>-383.22853606426361</v>
      </c>
      <c r="F240" s="5">
        <f t="shared" si="57"/>
        <v>103033.72988945575</v>
      </c>
      <c r="G240" s="105">
        <f t="shared" si="63"/>
        <v>277.72347773326328</v>
      </c>
      <c r="H240" s="4"/>
      <c r="I240" s="5"/>
      <c r="J240"/>
      <c r="L240" s="4"/>
      <c r="P240"/>
      <c r="R240" s="10"/>
    </row>
    <row r="241" spans="1:18" x14ac:dyDescent="0.2">
      <c r="A241" s="59">
        <v>110</v>
      </c>
      <c r="B241" s="3">
        <f t="shared" si="53"/>
        <v>52244.733019599145</v>
      </c>
      <c r="C241" s="3">
        <f t="shared" si="54"/>
        <v>866.7298137379039</v>
      </c>
      <c r="D241" s="3">
        <f t="shared" si="55"/>
        <v>50571.266530827685</v>
      </c>
      <c r="E241" s="3">
        <f t="shared" si="56"/>
        <v>-806.73667503355682</v>
      </c>
      <c r="F241" s="5">
        <f t="shared" si="57"/>
        <v>102815.99955042683</v>
      </c>
      <c r="G241" s="105">
        <f t="shared" si="63"/>
        <v>59.993138704347075</v>
      </c>
      <c r="H241" s="4"/>
      <c r="I241" s="5"/>
      <c r="J241"/>
      <c r="L241" s="4"/>
      <c r="P241"/>
      <c r="R241" s="10"/>
    </row>
    <row r="242" spans="1:18" x14ac:dyDescent="0.2">
      <c r="A242" s="59">
        <v>111</v>
      </c>
      <c r="B242" s="3">
        <f t="shared" si="53"/>
        <v>51743.296464626968</v>
      </c>
      <c r="C242" s="3">
        <f t="shared" si="54"/>
        <v>365.29325876572693</v>
      </c>
      <c r="D242" s="3">
        <f t="shared" si="55"/>
        <v>51949.519358321835</v>
      </c>
      <c r="E242" s="3">
        <f t="shared" si="56"/>
        <v>571.51615246059373</v>
      </c>
      <c r="F242" s="5">
        <f t="shared" si="57"/>
        <v>103692.8158229488</v>
      </c>
      <c r="G242" s="105">
        <f t="shared" si="63"/>
        <v>936.80941122632066</v>
      </c>
      <c r="H242" s="4"/>
      <c r="I242" s="5"/>
      <c r="J242"/>
      <c r="L242" s="4"/>
      <c r="P242"/>
      <c r="R242" s="10"/>
    </row>
    <row r="243" spans="1:18" x14ac:dyDescent="0.2">
      <c r="A243" s="59">
        <v>112</v>
      </c>
      <c r="B243" s="3">
        <f t="shared" si="53"/>
        <v>51894.299364770239</v>
      </c>
      <c r="C243" s="3">
        <f t="shared" si="54"/>
        <v>516.29615890899731</v>
      </c>
      <c r="D243" s="3">
        <f t="shared" si="55"/>
        <v>51308.6342304114</v>
      </c>
      <c r="E243" s="3">
        <f t="shared" si="56"/>
        <v>-69.368975449840946</v>
      </c>
      <c r="F243" s="5">
        <f t="shared" si="57"/>
        <v>103202.93359518165</v>
      </c>
      <c r="G243" s="105">
        <f t="shared" si="63"/>
        <v>446.92718345916364</v>
      </c>
      <c r="H243" s="4"/>
      <c r="I243" s="5"/>
      <c r="J243"/>
      <c r="L243" s="4"/>
      <c r="P243"/>
      <c r="R243" s="10"/>
    </row>
    <row r="244" spans="1:18" x14ac:dyDescent="0.2">
      <c r="A244" s="59">
        <v>113</v>
      </c>
      <c r="B244" s="3">
        <f t="shared" si="53"/>
        <v>50983.310403700481</v>
      </c>
      <c r="C244" s="3">
        <f t="shared" si="54"/>
        <v>-394.69280216076004</v>
      </c>
      <c r="D244" s="3">
        <f t="shared" si="55"/>
        <v>50397.806454581449</v>
      </c>
      <c r="E244" s="3">
        <f t="shared" si="56"/>
        <v>-980.19675127979281</v>
      </c>
      <c r="F244" s="5">
        <f t="shared" si="57"/>
        <v>101381.11685828192</v>
      </c>
      <c r="G244" s="105">
        <f t="shared" si="63"/>
        <v>-1374.8895534405601</v>
      </c>
      <c r="H244" s="4"/>
      <c r="I244" s="5"/>
      <c r="J244"/>
      <c r="L244" s="4"/>
      <c r="P244"/>
      <c r="R244" s="10"/>
    </row>
    <row r="245" spans="1:18" x14ac:dyDescent="0.2">
      <c r="A245" s="59">
        <v>114</v>
      </c>
      <c r="B245" s="3">
        <f t="shared" si="53"/>
        <v>51563.836455606404</v>
      </c>
      <c r="C245" s="3">
        <f t="shared" si="54"/>
        <v>185.8332497451629</v>
      </c>
      <c r="D245" s="3">
        <f t="shared" si="55"/>
        <v>51014.754861390385</v>
      </c>
      <c r="E245" s="3">
        <f t="shared" si="56"/>
        <v>-363.24834447085595</v>
      </c>
      <c r="F245" s="5">
        <f t="shared" si="57"/>
        <v>102578.59131699678</v>
      </c>
      <c r="G245" s="105">
        <f t="shared" si="63"/>
        <v>-177.41509472570033</v>
      </c>
      <c r="H245" s="4"/>
      <c r="I245" s="5"/>
      <c r="J245"/>
      <c r="L245" s="4"/>
      <c r="P245"/>
      <c r="R245" s="10"/>
    </row>
    <row r="246" spans="1:18" x14ac:dyDescent="0.2">
      <c r="A246" s="59">
        <v>115</v>
      </c>
      <c r="B246" s="3">
        <f t="shared" si="53"/>
        <v>51868.524101415431</v>
      </c>
      <c r="C246" s="3">
        <f t="shared" si="54"/>
        <v>490.52089555418934</v>
      </c>
      <c r="D246" s="3">
        <f t="shared" si="55"/>
        <v>50433.70028333307</v>
      </c>
      <c r="E246" s="3">
        <f t="shared" si="56"/>
        <v>-944.30292252817162</v>
      </c>
      <c r="F246" s="5">
        <f t="shared" si="57"/>
        <v>102302.22438474849</v>
      </c>
      <c r="G246" s="105">
        <f t="shared" si="63"/>
        <v>-453.78202697398956</v>
      </c>
      <c r="H246" s="4"/>
      <c r="I246" s="5"/>
      <c r="J246"/>
      <c r="L246" s="4"/>
      <c r="P246"/>
      <c r="R246" s="10"/>
    </row>
    <row r="247" spans="1:18" x14ac:dyDescent="0.2">
      <c r="A247" s="59">
        <v>116</v>
      </c>
      <c r="B247" s="3">
        <f t="shared" si="53"/>
        <v>51847.79643364704</v>
      </c>
      <c r="C247" s="3">
        <f t="shared" si="54"/>
        <v>469.79322778579808</v>
      </c>
      <c r="D247" s="3">
        <f t="shared" si="55"/>
        <v>51530.03699647748</v>
      </c>
      <c r="E247" s="3">
        <f t="shared" si="56"/>
        <v>152.03379061623855</v>
      </c>
      <c r="F247" s="5">
        <f t="shared" si="57"/>
        <v>103377.83343012452</v>
      </c>
      <c r="G247" s="105">
        <f t="shared" si="63"/>
        <v>621.82701840203663</v>
      </c>
      <c r="H247" s="4"/>
      <c r="I247" s="5"/>
      <c r="J247"/>
      <c r="L247" s="4"/>
      <c r="P247"/>
      <c r="R247" s="10"/>
    </row>
    <row r="248" spans="1:18" x14ac:dyDescent="0.2">
      <c r="A248" s="59">
        <v>117</v>
      </c>
      <c r="B248" s="3">
        <f t="shared" si="53"/>
        <v>52733.160616802154</v>
      </c>
      <c r="C248" s="3">
        <f t="shared" si="54"/>
        <v>1355.1574109409121</v>
      </c>
      <c r="D248" s="3">
        <f t="shared" si="55"/>
        <v>50001.662963323033</v>
      </c>
      <c r="E248" s="3">
        <f t="shared" si="56"/>
        <v>-1376.3402425382083</v>
      </c>
      <c r="F248" s="5">
        <f t="shared" si="57"/>
        <v>102734.82358012519</v>
      </c>
      <c r="G248" s="105">
        <f t="shared" si="63"/>
        <v>-21.182831597296172</v>
      </c>
      <c r="H248" s="4"/>
      <c r="I248" s="5"/>
      <c r="J248"/>
      <c r="L248" s="4"/>
      <c r="P248"/>
      <c r="R248" s="10"/>
    </row>
    <row r="249" spans="1:18" x14ac:dyDescent="0.2">
      <c r="A249" s="59">
        <v>118</v>
      </c>
      <c r="B249" s="3">
        <f t="shared" si="53"/>
        <v>50719.390515110084</v>
      </c>
      <c r="C249" s="3">
        <f t="shared" si="54"/>
        <v>-658.61269075115706</v>
      </c>
      <c r="D249" s="3">
        <f t="shared" si="55"/>
        <v>51143.677387730735</v>
      </c>
      <c r="E249" s="3">
        <f t="shared" si="56"/>
        <v>-234.32581813050638</v>
      </c>
      <c r="F249" s="5">
        <f t="shared" si="57"/>
        <v>101863.06790284082</v>
      </c>
      <c r="G249" s="105">
        <f t="shared" si="63"/>
        <v>-892.93850888166344</v>
      </c>
      <c r="H249" s="4"/>
      <c r="I249" s="5"/>
      <c r="J249"/>
      <c r="L249" s="4"/>
      <c r="P249"/>
      <c r="R249" s="10"/>
    </row>
    <row r="250" spans="1:18" x14ac:dyDescent="0.2">
      <c r="A250" s="59">
        <v>119</v>
      </c>
      <c r="B250" s="3">
        <f t="shared" si="53"/>
        <v>52060.903285223729</v>
      </c>
      <c r="C250" s="3">
        <f t="shared" si="54"/>
        <v>682.9000793624873</v>
      </c>
      <c r="D250" s="3">
        <f t="shared" si="55"/>
        <v>50675.959015871711</v>
      </c>
      <c r="E250" s="3">
        <f t="shared" si="56"/>
        <v>-702.04418998953042</v>
      </c>
      <c r="F250" s="5">
        <f t="shared" si="57"/>
        <v>102736.86230109545</v>
      </c>
      <c r="G250" s="105">
        <f t="shared" si="63"/>
        <v>-19.144110627035843</v>
      </c>
      <c r="H250" s="4"/>
      <c r="I250" s="5"/>
      <c r="J250"/>
      <c r="L250" s="4"/>
      <c r="P250"/>
      <c r="R250" s="10"/>
    </row>
    <row r="251" spans="1:18" x14ac:dyDescent="0.2">
      <c r="A251" s="59">
        <v>120</v>
      </c>
      <c r="B251" s="3">
        <f t="shared" si="53"/>
        <v>53104.786122046862</v>
      </c>
      <c r="C251" s="3">
        <f t="shared" si="54"/>
        <v>1726.7829161856207</v>
      </c>
      <c r="D251" s="3">
        <f t="shared" si="55"/>
        <v>50086.428406030856</v>
      </c>
      <c r="E251" s="3">
        <f t="shared" si="56"/>
        <v>-1291.574799830385</v>
      </c>
      <c r="F251" s="5">
        <f t="shared" si="57"/>
        <v>103191.21452807772</v>
      </c>
      <c r="G251" s="105">
        <f t="shared" si="63"/>
        <v>435.20811635523569</v>
      </c>
      <c r="H251" s="4"/>
      <c r="I251" s="5"/>
      <c r="J251"/>
      <c r="L251" s="4"/>
      <c r="P251"/>
      <c r="R251" s="10"/>
    </row>
    <row r="252" spans="1:18" x14ac:dyDescent="0.2">
      <c r="A252" s="59">
        <v>121</v>
      </c>
      <c r="B252" s="3">
        <f t="shared" si="53"/>
        <v>51522.230596578906</v>
      </c>
      <c r="C252" s="3">
        <f t="shared" si="54"/>
        <v>144.22739071766409</v>
      </c>
      <c r="D252" s="3">
        <f t="shared" si="55"/>
        <v>51693.382377374641</v>
      </c>
      <c r="E252" s="3">
        <f t="shared" si="56"/>
        <v>315.37917151339934</v>
      </c>
      <c r="F252" s="5">
        <f t="shared" si="57"/>
        <v>103215.61297395354</v>
      </c>
      <c r="G252" s="105">
        <f t="shared" si="63"/>
        <v>459.60656223105616</v>
      </c>
      <c r="H252" s="4"/>
      <c r="I252" s="5"/>
      <c r="J252"/>
      <c r="L252" s="4"/>
      <c r="P252"/>
      <c r="R252" s="10"/>
    </row>
    <row r="253" spans="1:18" x14ac:dyDescent="0.2">
      <c r="A253" s="59">
        <v>122</v>
      </c>
      <c r="B253" s="3">
        <f t="shared" si="53"/>
        <v>50835.668186309078</v>
      </c>
      <c r="C253" s="3">
        <f t="shared" si="54"/>
        <v>-542.33501955216343</v>
      </c>
      <c r="D253" s="3">
        <f t="shared" si="55"/>
        <v>52982.492329824097</v>
      </c>
      <c r="E253" s="3">
        <f t="shared" si="56"/>
        <v>1604.489123962856</v>
      </c>
      <c r="F253" s="5">
        <f t="shared" si="57"/>
        <v>103818.16051613318</v>
      </c>
      <c r="G253" s="105">
        <f t="shared" si="63"/>
        <v>1062.1541044106998</v>
      </c>
      <c r="H253" s="4"/>
      <c r="I253" s="5"/>
      <c r="J253"/>
      <c r="L253" s="4"/>
      <c r="P253"/>
      <c r="R253" s="10"/>
    </row>
    <row r="254" spans="1:18" x14ac:dyDescent="0.2">
      <c r="A254" s="60">
        <v>123</v>
      </c>
      <c r="B254" s="106">
        <f t="shared" si="53"/>
        <v>48688.879850514975</v>
      </c>
      <c r="C254" s="106">
        <f t="shared" si="54"/>
        <v>-2689.1233553462662</v>
      </c>
      <c r="D254" s="106">
        <f t="shared" si="55"/>
        <v>51266.966648158865</v>
      </c>
      <c r="E254" s="106">
        <f t="shared" si="56"/>
        <v>-111.03655770237674</v>
      </c>
      <c r="F254" s="107">
        <f t="shared" si="57"/>
        <v>99955.84649867384</v>
      </c>
      <c r="G254" s="108">
        <f t="shared" si="63"/>
        <v>-2800.1599130486429</v>
      </c>
      <c r="H254" s="4"/>
      <c r="I254" s="5"/>
      <c r="J254"/>
      <c r="L254" s="4"/>
      <c r="P254"/>
      <c r="R254" s="10"/>
    </row>
  </sheetData>
  <mergeCells count="8">
    <mergeCell ref="I157:L157"/>
    <mergeCell ref="I133:L133"/>
    <mergeCell ref="I141:L141"/>
    <mergeCell ref="Y133:AA133"/>
    <mergeCell ref="P133:R133"/>
    <mergeCell ref="V133:X133"/>
    <mergeCell ref="S133:U133"/>
    <mergeCell ref="I149:L149"/>
  </mergeCells>
  <pageMargins left="0.7" right="0.7" top="0.75" bottom="0.75" header="0.3" footer="0.3"/>
  <ignoredErrors>
    <ignoredError sqref="F131 F132:F157 F158:F197 F198:F248 F249:F254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C94DF-6ABA-ED42-9C0A-63AE5B90AA27}">
  <sheetPr codeName="Foglio7"/>
  <dimension ref="A1:P254"/>
  <sheetViews>
    <sheetView topLeftCell="A195" zoomScale="50" workbookViewId="0">
      <selection activeCell="A234" sqref="A234:M234"/>
    </sheetView>
  </sheetViews>
  <sheetFormatPr baseColWidth="10" defaultRowHeight="15" x14ac:dyDescent="0.2"/>
  <cols>
    <col min="2" max="3" width="11" bestFit="1" customWidth="1"/>
    <col min="4" max="4" width="12.6640625" style="5" bestFit="1" customWidth="1"/>
    <col min="5" max="5" width="11.1640625" style="5" bestFit="1" customWidth="1"/>
    <col min="6" max="6" width="10.83203125" style="4"/>
    <col min="7" max="7" width="12" style="5" customWidth="1"/>
    <col min="10" max="10" width="10.83203125" style="4"/>
    <col min="11" max="11" width="11.6640625" bestFit="1" customWidth="1"/>
    <col min="15" max="15" width="12.33203125" bestFit="1" customWidth="1"/>
    <col min="16" max="16" width="10.83203125" style="10"/>
  </cols>
  <sheetData>
    <row r="1" spans="1:16" x14ac:dyDescent="0.2">
      <c r="B1" s="16" t="s">
        <v>0</v>
      </c>
      <c r="C1" s="17"/>
      <c r="D1" s="18"/>
      <c r="E1" s="18"/>
      <c r="F1" s="20"/>
      <c r="G1" s="30" t="s">
        <v>5</v>
      </c>
      <c r="H1" s="31"/>
      <c r="I1" s="32"/>
      <c r="J1" s="31"/>
      <c r="K1" s="34"/>
      <c r="N1" s="10"/>
      <c r="P1"/>
    </row>
    <row r="2" spans="1:16" x14ac:dyDescent="0.2">
      <c r="A2" s="44" t="s">
        <v>1</v>
      </c>
      <c r="B2" s="45" t="s">
        <v>2</v>
      </c>
      <c r="C2" s="47" t="s">
        <v>4</v>
      </c>
      <c r="D2" s="47" t="s">
        <v>6</v>
      </c>
      <c r="E2" s="48" t="s">
        <v>8</v>
      </c>
      <c r="F2" s="49" t="s">
        <v>13</v>
      </c>
      <c r="G2" s="50" t="s">
        <v>2</v>
      </c>
      <c r="H2" s="52" t="s">
        <v>4</v>
      </c>
      <c r="I2" s="52" t="s">
        <v>7</v>
      </c>
      <c r="J2" s="52" t="s">
        <v>9</v>
      </c>
      <c r="K2" s="53" t="s">
        <v>10</v>
      </c>
      <c r="L2" s="54" t="s">
        <v>11</v>
      </c>
      <c r="M2" s="55" t="s">
        <v>12</v>
      </c>
      <c r="N2" s="56" t="s">
        <v>18</v>
      </c>
      <c r="P2"/>
    </row>
    <row r="3" spans="1:16" x14ac:dyDescent="0.2">
      <c r="A3" s="14">
        <v>45932</v>
      </c>
      <c r="B3" s="21">
        <v>111.29</v>
      </c>
      <c r="C3" s="2"/>
      <c r="D3" s="2">
        <f t="shared" ref="D3:D66" si="0">F3/B3</f>
        <v>449.27666457004221</v>
      </c>
      <c r="E3" s="12">
        <f t="shared" ref="E3:E66" si="1">D3/L3</f>
        <v>0.82251247946669215</v>
      </c>
      <c r="F3" s="23">
        <f t="shared" ref="F3:F66" si="2">M3/2</f>
        <v>50000</v>
      </c>
      <c r="G3" s="21">
        <v>515.74</v>
      </c>
      <c r="H3" s="1"/>
      <c r="I3" s="3">
        <f t="shared" ref="I3:I66" si="3">K3/G3</f>
        <v>96.948074611238212</v>
      </c>
      <c r="J3" s="6">
        <f t="shared" ref="J3:J66" si="4">I3/L3</f>
        <v>0.1774875205333078</v>
      </c>
      <c r="K3" s="35">
        <f t="shared" ref="K3:K66" si="5">M3/2</f>
        <v>50000</v>
      </c>
      <c r="L3" s="39">
        <f t="shared" ref="L3:L66" si="6">I3+D3</f>
        <v>546.22473918128048</v>
      </c>
      <c r="M3" s="3">
        <v>100000</v>
      </c>
      <c r="N3" s="40"/>
      <c r="P3"/>
    </row>
    <row r="4" spans="1:16" x14ac:dyDescent="0.2">
      <c r="A4" s="14">
        <v>45933</v>
      </c>
      <c r="B4" s="21">
        <v>113.26</v>
      </c>
      <c r="C4" s="11">
        <v>1.7701500584059698E-2</v>
      </c>
      <c r="D4" s="2">
        <f t="shared" si="0"/>
        <v>446.05845589496317</v>
      </c>
      <c r="E4" s="12">
        <f t="shared" si="1"/>
        <v>0.82039612438749776</v>
      </c>
      <c r="F4" s="23">
        <f t="shared" si="2"/>
        <v>50520.580714663534</v>
      </c>
      <c r="G4" s="21">
        <v>517.35</v>
      </c>
      <c r="H4" s="11">
        <v>3.1217280024818999E-3</v>
      </c>
      <c r="I4" s="3">
        <f t="shared" si="3"/>
        <v>97.652615665726358</v>
      </c>
      <c r="J4" s="6">
        <f t="shared" si="4"/>
        <v>0.17960387561250218</v>
      </c>
      <c r="K4" s="35">
        <f t="shared" si="5"/>
        <v>50520.580714663534</v>
      </c>
      <c r="L4" s="39">
        <f t="shared" si="6"/>
        <v>543.71107156068956</v>
      </c>
      <c r="M4" s="3">
        <f t="shared" ref="M4:M67" si="7">D3*B4+I3*G4</f>
        <v>101041.16142932707</v>
      </c>
      <c r="N4" s="41">
        <f>(M4-M3)/M3</f>
        <v>1.0411614293270687E-2</v>
      </c>
      <c r="P4"/>
    </row>
    <row r="5" spans="1:16" x14ac:dyDescent="0.2">
      <c r="A5" s="14">
        <v>45936</v>
      </c>
      <c r="B5" s="21">
        <v>114.2</v>
      </c>
      <c r="C5" s="11">
        <v>8.2994879039378199E-3</v>
      </c>
      <c r="D5" s="2">
        <f t="shared" si="0"/>
        <v>449.01978426286246</v>
      </c>
      <c r="E5" s="12">
        <f t="shared" si="1"/>
        <v>0.8223314715994835</v>
      </c>
      <c r="F5" s="23">
        <f t="shared" si="2"/>
        <v>51278.059362818894</v>
      </c>
      <c r="G5" s="21">
        <v>528.57000000000005</v>
      </c>
      <c r="H5" s="11">
        <v>2.1687445636416398E-2</v>
      </c>
      <c r="I5" s="3">
        <f t="shared" si="3"/>
        <v>97.012806937243681</v>
      </c>
      <c r="J5" s="6">
        <f t="shared" si="4"/>
        <v>0.1776685284005165</v>
      </c>
      <c r="K5" s="35">
        <f t="shared" si="5"/>
        <v>51278.059362818894</v>
      </c>
      <c r="L5" s="39">
        <f t="shared" si="6"/>
        <v>546.03259120010614</v>
      </c>
      <c r="M5" s="3">
        <f t="shared" si="7"/>
        <v>102556.11872563779</v>
      </c>
      <c r="N5" s="41">
        <f t="shared" ref="N5:N68" si="8">(M5-M4)/M4</f>
        <v>1.4993466770177146E-2</v>
      </c>
      <c r="P5"/>
    </row>
    <row r="6" spans="1:16" x14ac:dyDescent="0.2">
      <c r="A6" s="14">
        <v>45937</v>
      </c>
      <c r="B6" s="21">
        <v>114.26</v>
      </c>
      <c r="C6" s="11">
        <v>5.2539404553417104E-4</v>
      </c>
      <c r="D6" s="2">
        <f t="shared" si="0"/>
        <v>446.95331318419221</v>
      </c>
      <c r="E6" s="12">
        <f t="shared" si="1"/>
        <v>0.82097643519679109</v>
      </c>
      <c r="F6" s="23">
        <f t="shared" si="2"/>
        <v>51068.885564425807</v>
      </c>
      <c r="G6" s="21">
        <v>523.98</v>
      </c>
      <c r="H6" s="11">
        <v>-8.6838072535331805E-3</v>
      </c>
      <c r="I6" s="3">
        <f t="shared" si="3"/>
        <v>97.463425253684889</v>
      </c>
      <c r="J6" s="6">
        <f t="shared" si="4"/>
        <v>0.17902356480320883</v>
      </c>
      <c r="K6" s="35">
        <f t="shared" si="5"/>
        <v>51068.885564425807</v>
      </c>
      <c r="L6" s="39">
        <f t="shared" si="6"/>
        <v>544.41673843787714</v>
      </c>
      <c r="M6" s="3">
        <f t="shared" si="7"/>
        <v>102137.77112885161</v>
      </c>
      <c r="N6" s="41">
        <f t="shared" si="8"/>
        <v>-4.0792066039994574E-3</v>
      </c>
      <c r="P6"/>
    </row>
    <row r="7" spans="1:16" x14ac:dyDescent="0.2">
      <c r="A7" s="14">
        <v>45938</v>
      </c>
      <c r="B7" s="21">
        <v>114.02</v>
      </c>
      <c r="C7" s="11">
        <v>-2.10047260633651E-3</v>
      </c>
      <c r="D7" s="2">
        <f t="shared" si="0"/>
        <v>447.79554250858672</v>
      </c>
      <c r="E7" s="12">
        <f t="shared" si="1"/>
        <v>0.82152863649881835</v>
      </c>
      <c r="F7" s="23">
        <f t="shared" si="2"/>
        <v>51057.647756829057</v>
      </c>
      <c r="G7" s="21">
        <v>524.85</v>
      </c>
      <c r="H7" s="11">
        <v>1.66036871636323E-3</v>
      </c>
      <c r="I7" s="3">
        <f t="shared" si="3"/>
        <v>97.280456810191595</v>
      </c>
      <c r="J7" s="6">
        <f t="shared" si="4"/>
        <v>0.17847136350118178</v>
      </c>
      <c r="K7" s="35">
        <f t="shared" si="5"/>
        <v>51057.647756829057</v>
      </c>
      <c r="L7" s="39">
        <f t="shared" si="6"/>
        <v>545.07599931877826</v>
      </c>
      <c r="M7" s="3">
        <f t="shared" si="7"/>
        <v>102115.29551365811</v>
      </c>
      <c r="N7" s="41">
        <f t="shared" si="8"/>
        <v>-2.2005194498659841E-4</v>
      </c>
      <c r="P7"/>
    </row>
    <row r="8" spans="1:16" x14ac:dyDescent="0.2">
      <c r="A8" s="14">
        <v>45939</v>
      </c>
      <c r="B8" s="21">
        <v>112.91</v>
      </c>
      <c r="C8" s="11">
        <v>-9.7351341869847292E-3</v>
      </c>
      <c r="D8" s="2">
        <f t="shared" si="0"/>
        <v>448.94121575718987</v>
      </c>
      <c r="E8" s="12">
        <f t="shared" si="1"/>
        <v>0.82227573940281118</v>
      </c>
      <c r="F8" s="23">
        <f t="shared" si="2"/>
        <v>50689.952671144303</v>
      </c>
      <c r="G8" s="21">
        <v>522.4</v>
      </c>
      <c r="H8" s="11">
        <v>-4.6680003810613399E-3</v>
      </c>
      <c r="I8" s="3">
        <f t="shared" si="3"/>
        <v>97.032834362833668</v>
      </c>
      <c r="J8" s="6">
        <f t="shared" si="4"/>
        <v>0.17772426059718877</v>
      </c>
      <c r="K8" s="35">
        <f t="shared" si="5"/>
        <v>50689.952671144303</v>
      </c>
      <c r="L8" s="39">
        <f t="shared" si="6"/>
        <v>545.97405012002355</v>
      </c>
      <c r="M8" s="3">
        <f t="shared" si="7"/>
        <v>101379.90534228861</v>
      </c>
      <c r="N8" s="41">
        <f t="shared" si="8"/>
        <v>-7.2015672840230758E-3</v>
      </c>
      <c r="P8"/>
    </row>
    <row r="9" spans="1:16" x14ac:dyDescent="0.2">
      <c r="A9" s="14">
        <v>45940</v>
      </c>
      <c r="B9" s="21">
        <v>110.73</v>
      </c>
      <c r="C9" s="11">
        <v>-1.9307412983792301E-2</v>
      </c>
      <c r="D9" s="2">
        <f t="shared" si="0"/>
        <v>448.34804419230164</v>
      </c>
      <c r="E9" s="12">
        <f t="shared" si="1"/>
        <v>0.82188872267528834</v>
      </c>
      <c r="F9" s="23">
        <f t="shared" si="2"/>
        <v>49645.578933413562</v>
      </c>
      <c r="G9" s="21">
        <v>510.96</v>
      </c>
      <c r="H9" s="11">
        <v>-2.1898928024502301E-2</v>
      </c>
      <c r="I9" s="3">
        <f t="shared" si="3"/>
        <v>97.16138040827768</v>
      </c>
      <c r="J9" s="6">
        <f t="shared" si="4"/>
        <v>0.17811127732471169</v>
      </c>
      <c r="K9" s="35">
        <f t="shared" si="5"/>
        <v>49645.578933413562</v>
      </c>
      <c r="L9" s="39">
        <f t="shared" si="6"/>
        <v>545.50942460057934</v>
      </c>
      <c r="M9" s="3">
        <f t="shared" si="7"/>
        <v>99291.157866827125</v>
      </c>
      <c r="N9" s="41">
        <f t="shared" si="8"/>
        <v>-2.0603170504147256E-2</v>
      </c>
      <c r="P9"/>
    </row>
    <row r="10" spans="1:16" x14ac:dyDescent="0.2">
      <c r="A10" s="14">
        <v>45943</v>
      </c>
      <c r="B10" s="21">
        <v>112.24</v>
      </c>
      <c r="C10" s="11">
        <v>1.3636774135283899E-2</v>
      </c>
      <c r="D10" s="2">
        <f t="shared" si="0"/>
        <v>446.66960120731949</v>
      </c>
      <c r="E10" s="12">
        <f t="shared" si="1"/>
        <v>0.82078589790672052</v>
      </c>
      <c r="F10" s="23">
        <f t="shared" si="2"/>
        <v>50134.196039509538</v>
      </c>
      <c r="G10" s="21">
        <v>514.04999999999995</v>
      </c>
      <c r="H10" s="11">
        <v>6.0474401127289298E-3</v>
      </c>
      <c r="I10" s="3">
        <f t="shared" si="3"/>
        <v>97.527859234528819</v>
      </c>
      <c r="J10" s="6">
        <f t="shared" si="4"/>
        <v>0.17921410209327948</v>
      </c>
      <c r="K10" s="35">
        <f t="shared" si="5"/>
        <v>50134.196039509538</v>
      </c>
      <c r="L10" s="39">
        <f t="shared" si="6"/>
        <v>544.19746044184831</v>
      </c>
      <c r="M10" s="3">
        <f t="shared" si="7"/>
        <v>100268.39207901908</v>
      </c>
      <c r="N10" s="41">
        <f t="shared" si="8"/>
        <v>9.8421071240064675E-3</v>
      </c>
      <c r="P10"/>
    </row>
    <row r="11" spans="1:16" x14ac:dyDescent="0.2">
      <c r="A11" s="14">
        <v>45944</v>
      </c>
      <c r="B11" s="21">
        <v>112.29</v>
      </c>
      <c r="C11" s="11">
        <v>4.4547398431941699E-4</v>
      </c>
      <c r="D11" s="2">
        <f t="shared" si="0"/>
        <v>446.3617071272904</v>
      </c>
      <c r="E11" s="12">
        <f t="shared" si="1"/>
        <v>0.82058287795992724</v>
      </c>
      <c r="F11" s="23">
        <f t="shared" si="2"/>
        <v>50121.956093323439</v>
      </c>
      <c r="G11" s="21">
        <v>513.57000000000005</v>
      </c>
      <c r="H11" s="11">
        <v>-9.3376130726564497E-4</v>
      </c>
      <c r="I11" s="3">
        <f t="shared" si="3"/>
        <v>97.59517902783152</v>
      </c>
      <c r="J11" s="6">
        <f t="shared" si="4"/>
        <v>0.17941712204007285</v>
      </c>
      <c r="K11" s="35">
        <f t="shared" si="5"/>
        <v>50121.956093323439</v>
      </c>
      <c r="L11" s="39">
        <f t="shared" si="6"/>
        <v>543.95688615512188</v>
      </c>
      <c r="M11" s="3">
        <f t="shared" si="7"/>
        <v>100243.91218664688</v>
      </c>
      <c r="N11" s="41">
        <f t="shared" si="8"/>
        <v>-2.4414366147315245E-4</v>
      </c>
      <c r="P11"/>
    </row>
    <row r="12" spans="1:16" x14ac:dyDescent="0.2">
      <c r="A12" s="14">
        <v>45945</v>
      </c>
      <c r="B12" s="21">
        <v>111.61</v>
      </c>
      <c r="C12" s="11">
        <v>-6.0557485083267103E-3</v>
      </c>
      <c r="D12" s="2">
        <f t="shared" si="0"/>
        <v>447.66025849268169</v>
      </c>
      <c r="E12" s="12">
        <f t="shared" si="1"/>
        <v>0.82143542813259951</v>
      </c>
      <c r="F12" s="23">
        <f t="shared" si="2"/>
        <v>49963.361450368204</v>
      </c>
      <c r="G12" s="21">
        <v>513.42999999999995</v>
      </c>
      <c r="H12" s="11">
        <v>-2.7260159277235797E-4</v>
      </c>
      <c r="I12" s="3">
        <f t="shared" si="3"/>
        <v>97.312898448412071</v>
      </c>
      <c r="J12" s="6">
        <f t="shared" si="4"/>
        <v>0.17856457186740052</v>
      </c>
      <c r="K12" s="35">
        <f t="shared" si="5"/>
        <v>49963.361450368204</v>
      </c>
      <c r="L12" s="39">
        <f t="shared" si="6"/>
        <v>544.97315694109375</v>
      </c>
      <c r="M12" s="3">
        <f t="shared" si="7"/>
        <v>99926.722900736408</v>
      </c>
      <c r="N12" s="41">
        <f t="shared" si="8"/>
        <v>-3.1641750505495701E-3</v>
      </c>
      <c r="P12"/>
    </row>
    <row r="13" spans="1:16" x14ac:dyDescent="0.2">
      <c r="A13" s="14">
        <v>45946</v>
      </c>
      <c r="B13" s="21">
        <v>110.64</v>
      </c>
      <c r="C13" s="11">
        <v>-8.6909775109757104E-3</v>
      </c>
      <c r="D13" s="2">
        <f t="shared" si="0"/>
        <v>448.82222964037595</v>
      </c>
      <c r="E13" s="12">
        <f t="shared" si="1"/>
        <v>0.822193652069104</v>
      </c>
      <c r="F13" s="23">
        <f t="shared" si="2"/>
        <v>49657.691487411197</v>
      </c>
      <c r="G13" s="21">
        <v>511.61</v>
      </c>
      <c r="H13" s="11">
        <v>-3.5447870206258602E-3</v>
      </c>
      <c r="I13" s="3">
        <f t="shared" si="3"/>
        <v>97.061612336371837</v>
      </c>
      <c r="J13" s="6">
        <f t="shared" si="4"/>
        <v>0.17780634793089595</v>
      </c>
      <c r="K13" s="35">
        <f t="shared" si="5"/>
        <v>49657.691487411197</v>
      </c>
      <c r="L13" s="39">
        <f t="shared" si="6"/>
        <v>545.88384197674782</v>
      </c>
      <c r="M13" s="3">
        <f t="shared" si="7"/>
        <v>99315.382974822394</v>
      </c>
      <c r="N13" s="41">
        <f t="shared" si="8"/>
        <v>-6.1178822658008733E-3</v>
      </c>
      <c r="P13"/>
    </row>
    <row r="14" spans="1:16" x14ac:dyDescent="0.2">
      <c r="A14" s="14">
        <v>45947</v>
      </c>
      <c r="B14" s="21">
        <v>112.24</v>
      </c>
      <c r="C14" s="11">
        <v>1.44613159797541E-2</v>
      </c>
      <c r="D14" s="2">
        <f t="shared" si="0"/>
        <v>446.47500854663957</v>
      </c>
      <c r="E14" s="12">
        <f t="shared" si="1"/>
        <v>0.82065130548720078</v>
      </c>
      <c r="F14" s="23">
        <f t="shared" si="2"/>
        <v>50112.354959274824</v>
      </c>
      <c r="G14" s="21">
        <v>513.58000000000004</v>
      </c>
      <c r="H14" s="11">
        <v>3.8505893160806601E-3</v>
      </c>
      <c r="I14" s="3">
        <f t="shared" si="3"/>
        <v>97.574584211368858</v>
      </c>
      <c r="J14" s="6">
        <f t="shared" si="4"/>
        <v>0.17934869451279919</v>
      </c>
      <c r="K14" s="35">
        <f t="shared" si="5"/>
        <v>50112.354959274824</v>
      </c>
      <c r="L14" s="39">
        <f t="shared" si="6"/>
        <v>544.04959275800843</v>
      </c>
      <c r="M14" s="3">
        <f t="shared" si="7"/>
        <v>100224.70991854965</v>
      </c>
      <c r="N14" s="41">
        <f t="shared" si="8"/>
        <v>9.1559526479173797E-3</v>
      </c>
      <c r="P14"/>
    </row>
    <row r="15" spans="1:16" x14ac:dyDescent="0.2">
      <c r="A15" s="14">
        <v>45950</v>
      </c>
      <c r="B15" s="21">
        <v>112.7</v>
      </c>
      <c r="C15" s="11">
        <v>4.0983606557377797E-3</v>
      </c>
      <c r="D15" s="2">
        <f t="shared" si="0"/>
        <v>446.95342873912864</v>
      </c>
      <c r="E15" s="12">
        <f t="shared" si="1"/>
        <v>0.82096617897027757</v>
      </c>
      <c r="F15" s="23">
        <f t="shared" si="2"/>
        <v>50371.651418899797</v>
      </c>
      <c r="G15" s="21">
        <v>516.79</v>
      </c>
      <c r="H15" s="11">
        <v>6.2502433895399402E-3</v>
      </c>
      <c r="I15" s="3">
        <f t="shared" si="3"/>
        <v>97.470251782928855</v>
      </c>
      <c r="J15" s="6">
        <f t="shared" si="4"/>
        <v>0.17903382102972251</v>
      </c>
      <c r="K15" s="35">
        <f t="shared" si="5"/>
        <v>50371.651418899797</v>
      </c>
      <c r="L15" s="39">
        <f t="shared" si="6"/>
        <v>544.42368052205745</v>
      </c>
      <c r="M15" s="3">
        <f t="shared" si="7"/>
        <v>100743.30283779959</v>
      </c>
      <c r="N15" s="41">
        <f t="shared" si="8"/>
        <v>5.1743020226388764E-3</v>
      </c>
      <c r="P15"/>
    </row>
    <row r="16" spans="1:16" x14ac:dyDescent="0.2">
      <c r="A16" s="14">
        <v>45951</v>
      </c>
      <c r="B16" s="21">
        <v>112.71</v>
      </c>
      <c r="C16" s="11">
        <v>8.8731144631684994E-5</v>
      </c>
      <c r="D16" s="2">
        <f t="shared" si="0"/>
        <v>447.30978391951976</v>
      </c>
      <c r="E16" s="12">
        <f t="shared" si="1"/>
        <v>0.82120024747370601</v>
      </c>
      <c r="F16" s="23">
        <f t="shared" si="2"/>
        <v>50416.285745569068</v>
      </c>
      <c r="G16" s="21">
        <v>517.66</v>
      </c>
      <c r="H16" s="11">
        <v>1.6834691073743799E-3</v>
      </c>
      <c r="I16" s="3">
        <f t="shared" si="3"/>
        <v>97.392662646464998</v>
      </c>
      <c r="J16" s="6">
        <f t="shared" si="4"/>
        <v>0.1787997525262941</v>
      </c>
      <c r="K16" s="35">
        <f t="shared" si="5"/>
        <v>50416.285745569068</v>
      </c>
      <c r="L16" s="39">
        <f t="shared" si="6"/>
        <v>544.7024465659847</v>
      </c>
      <c r="M16" s="3">
        <f t="shared" si="7"/>
        <v>100832.57149113814</v>
      </c>
      <c r="N16" s="41">
        <f t="shared" si="8"/>
        <v>8.8610012600309534E-4</v>
      </c>
      <c r="P16"/>
    </row>
    <row r="17" spans="1:16" x14ac:dyDescent="0.2">
      <c r="A17" s="14">
        <v>45952</v>
      </c>
      <c r="B17" s="21">
        <v>114.71</v>
      </c>
      <c r="C17" s="11">
        <v>1.77446544228551E-2</v>
      </c>
      <c r="D17" s="2">
        <f t="shared" si="0"/>
        <v>444.63290875860434</v>
      </c>
      <c r="E17" s="12">
        <f t="shared" si="1"/>
        <v>0.81942542306178667</v>
      </c>
      <c r="F17" s="23">
        <f t="shared" si="2"/>
        <v>51003.840963699498</v>
      </c>
      <c r="G17" s="21">
        <v>520.54</v>
      </c>
      <c r="H17" s="11">
        <v>5.5634972762044496E-3</v>
      </c>
      <c r="I17" s="3">
        <f t="shared" si="3"/>
        <v>97.982558427209241</v>
      </c>
      <c r="J17" s="6">
        <f t="shared" si="4"/>
        <v>0.18057457693821327</v>
      </c>
      <c r="K17" s="35">
        <f t="shared" si="5"/>
        <v>51003.840963699498</v>
      </c>
      <c r="L17" s="39">
        <f t="shared" si="6"/>
        <v>542.6154671858136</v>
      </c>
      <c r="M17" s="3">
        <f t="shared" si="7"/>
        <v>102007.681927399</v>
      </c>
      <c r="N17" s="41">
        <f t="shared" si="8"/>
        <v>1.1654075849529804E-2</v>
      </c>
      <c r="P17"/>
    </row>
    <row r="18" spans="1:16" x14ac:dyDescent="0.2">
      <c r="A18" s="14">
        <v>45953</v>
      </c>
      <c r="B18" s="21">
        <v>115.98</v>
      </c>
      <c r="C18" s="11">
        <v>1.10713974370152E-2</v>
      </c>
      <c r="D18" s="2">
        <f t="shared" si="0"/>
        <v>442.20695539183896</v>
      </c>
      <c r="E18" s="12">
        <f t="shared" si="1"/>
        <v>0.8177962107644452</v>
      </c>
      <c r="F18" s="23">
        <f t="shared" si="2"/>
        <v>51287.162686345488</v>
      </c>
      <c r="G18" s="21">
        <v>520.55999999999995</v>
      </c>
      <c r="H18" s="11">
        <v>3.8421639067087698E-5</v>
      </c>
      <c r="I18" s="3">
        <f t="shared" si="3"/>
        <v>98.52305725823247</v>
      </c>
      <c r="J18" s="6">
        <f t="shared" si="4"/>
        <v>0.18220378923555475</v>
      </c>
      <c r="K18" s="35">
        <f t="shared" si="5"/>
        <v>51287.162686345488</v>
      </c>
      <c r="L18" s="39">
        <f t="shared" si="6"/>
        <v>540.73001265007144</v>
      </c>
      <c r="M18" s="3">
        <f t="shared" si="7"/>
        <v>102574.32537269098</v>
      </c>
      <c r="N18" s="41">
        <f t="shared" si="8"/>
        <v>5.5549095380411683E-3</v>
      </c>
      <c r="P18"/>
    </row>
    <row r="19" spans="1:16" x14ac:dyDescent="0.2">
      <c r="A19" s="14">
        <v>45954</v>
      </c>
      <c r="B19" s="21">
        <v>115.39</v>
      </c>
      <c r="C19" s="11">
        <v>-5.0870839799965796E-3</v>
      </c>
      <c r="D19" s="2">
        <f t="shared" si="0"/>
        <v>444.63956405948261</v>
      </c>
      <c r="E19" s="12">
        <f t="shared" si="1"/>
        <v>0.81942097026604066</v>
      </c>
      <c r="F19" s="23">
        <f t="shared" si="2"/>
        <v>51306.959296823698</v>
      </c>
      <c r="G19" s="21">
        <v>523.61</v>
      </c>
      <c r="H19" s="11">
        <v>5.8590748424774599E-3</v>
      </c>
      <c r="I19" s="3">
        <f t="shared" si="3"/>
        <v>97.98697369573479</v>
      </c>
      <c r="J19" s="6">
        <f t="shared" si="4"/>
        <v>0.18057902973395928</v>
      </c>
      <c r="K19" s="35">
        <f t="shared" si="5"/>
        <v>51306.959296823698</v>
      </c>
      <c r="L19" s="39">
        <f t="shared" si="6"/>
        <v>542.62653775521744</v>
      </c>
      <c r="M19" s="3">
        <f t="shared" si="7"/>
        <v>102613.9185936474</v>
      </c>
      <c r="N19" s="41">
        <f t="shared" si="8"/>
        <v>3.8599543124035E-4</v>
      </c>
      <c r="P19"/>
    </row>
    <row r="20" spans="1:16" x14ac:dyDescent="0.2">
      <c r="A20" s="14">
        <v>45957</v>
      </c>
      <c r="B20" s="21">
        <v>115.94</v>
      </c>
      <c r="C20" s="11">
        <v>4.7664442326024502E-3</v>
      </c>
      <c r="D20" s="2">
        <f t="shared" si="0"/>
        <v>446.92749403059071</v>
      </c>
      <c r="E20" s="12">
        <f t="shared" si="1"/>
        <v>0.82093102276588514</v>
      </c>
      <c r="F20" s="23">
        <f t="shared" si="2"/>
        <v>51816.773657906684</v>
      </c>
      <c r="G20" s="21">
        <v>531.52</v>
      </c>
      <c r="H20" s="11">
        <v>1.51066633563148E-2</v>
      </c>
      <c r="I20" s="3">
        <f t="shared" si="3"/>
        <v>97.487909500878018</v>
      </c>
      <c r="J20" s="6">
        <f t="shared" si="4"/>
        <v>0.17906897723411483</v>
      </c>
      <c r="K20" s="35">
        <f t="shared" si="5"/>
        <v>51816.773657906684</v>
      </c>
      <c r="L20" s="39">
        <f t="shared" si="6"/>
        <v>544.41540353146877</v>
      </c>
      <c r="M20" s="3">
        <f t="shared" si="7"/>
        <v>103633.54731581337</v>
      </c>
      <c r="N20" s="41">
        <f t="shared" si="8"/>
        <v>9.9365537944586021E-3</v>
      </c>
      <c r="P20"/>
    </row>
    <row r="21" spans="1:16" x14ac:dyDescent="0.2">
      <c r="A21" s="14">
        <v>45958</v>
      </c>
      <c r="B21" s="21">
        <v>115.03</v>
      </c>
      <c r="C21" s="11">
        <v>-7.8488873555286904E-3</v>
      </c>
      <c r="D21" s="2">
        <f t="shared" si="0"/>
        <v>453.1658729960871</v>
      </c>
      <c r="E21" s="12">
        <f t="shared" si="1"/>
        <v>0.82494293106072147</v>
      </c>
      <c r="F21" s="23">
        <f t="shared" si="2"/>
        <v>52127.670370739899</v>
      </c>
      <c r="G21" s="21">
        <v>542.07000000000005</v>
      </c>
      <c r="H21" s="11">
        <v>1.98487357013848E-2</v>
      </c>
      <c r="I21" s="3">
        <f t="shared" si="3"/>
        <v>96.164093882229039</v>
      </c>
      <c r="J21" s="6">
        <f t="shared" si="4"/>
        <v>0.17505706893927864</v>
      </c>
      <c r="K21" s="35">
        <f t="shared" si="5"/>
        <v>52127.670370739899</v>
      </c>
      <c r="L21" s="39">
        <f t="shared" si="6"/>
        <v>549.3299668783161</v>
      </c>
      <c r="M21" s="3">
        <f t="shared" si="7"/>
        <v>104255.3407414798</v>
      </c>
      <c r="N21" s="41">
        <f t="shared" si="8"/>
        <v>5.9999241729280384E-3</v>
      </c>
      <c r="P21"/>
    </row>
    <row r="22" spans="1:16" x14ac:dyDescent="0.2">
      <c r="A22" s="14">
        <v>45959</v>
      </c>
      <c r="B22" s="21">
        <v>116.45</v>
      </c>
      <c r="C22" s="11">
        <v>1.23446057550204E-2</v>
      </c>
      <c r="D22" s="2">
        <f t="shared" si="0"/>
        <v>450.18819644618065</v>
      </c>
      <c r="E22" s="12">
        <f t="shared" si="1"/>
        <v>0.82302431610942239</v>
      </c>
      <c r="F22" s="23">
        <f t="shared" si="2"/>
        <v>52424.415476157737</v>
      </c>
      <c r="G22" s="21">
        <v>541.54999999999995</v>
      </c>
      <c r="H22" s="11">
        <v>-9.5928570110888898E-4</v>
      </c>
      <c r="I22" s="3">
        <f t="shared" si="3"/>
        <v>96.804386439216586</v>
      </c>
      <c r="J22" s="6">
        <f t="shared" si="4"/>
        <v>0.17697568389057752</v>
      </c>
      <c r="K22" s="35">
        <f t="shared" si="5"/>
        <v>52424.415476157737</v>
      </c>
      <c r="L22" s="39">
        <f t="shared" si="6"/>
        <v>546.99258288539727</v>
      </c>
      <c r="M22" s="3">
        <f t="shared" si="7"/>
        <v>104848.83095231547</v>
      </c>
      <c r="N22" s="41">
        <f t="shared" si="8"/>
        <v>5.6926600269557801E-3</v>
      </c>
      <c r="P22"/>
    </row>
    <row r="23" spans="1:16" x14ac:dyDescent="0.2">
      <c r="A23" s="14">
        <v>45960</v>
      </c>
      <c r="B23" s="21">
        <v>114.69</v>
      </c>
      <c r="C23" s="11">
        <v>-1.5113782739373201E-2</v>
      </c>
      <c r="D23" s="2">
        <f t="shared" si="0"/>
        <v>446.978631374553</v>
      </c>
      <c r="E23" s="12">
        <f t="shared" si="1"/>
        <v>0.82092278866422042</v>
      </c>
      <c r="F23" s="23">
        <f t="shared" si="2"/>
        <v>51263.979232347483</v>
      </c>
      <c r="G23" s="21">
        <v>525.76</v>
      </c>
      <c r="H23" s="11">
        <v>-2.9157049210599102E-2</v>
      </c>
      <c r="I23" s="3">
        <f t="shared" si="3"/>
        <v>97.504525320198354</v>
      </c>
      <c r="J23" s="6">
        <f t="shared" si="4"/>
        <v>0.17907721133577953</v>
      </c>
      <c r="K23" s="35">
        <f t="shared" si="5"/>
        <v>51263.979232347483</v>
      </c>
      <c r="L23" s="39">
        <f t="shared" si="6"/>
        <v>544.48315669475141</v>
      </c>
      <c r="M23" s="3">
        <f t="shared" si="7"/>
        <v>102527.95846469497</v>
      </c>
      <c r="N23" s="41">
        <f t="shared" si="8"/>
        <v>-2.2135415974986174E-2</v>
      </c>
      <c r="P23"/>
    </row>
    <row r="24" spans="1:16" x14ac:dyDescent="0.2">
      <c r="A24" s="14">
        <v>45961</v>
      </c>
      <c r="B24" s="21">
        <v>114.36</v>
      </c>
      <c r="C24" s="11">
        <v>-2.8773214752811798E-3</v>
      </c>
      <c r="D24" s="2">
        <f t="shared" si="0"/>
        <v>444.23441124539079</v>
      </c>
      <c r="E24" s="12">
        <f t="shared" si="1"/>
        <v>0.81909929291171679</v>
      </c>
      <c r="F24" s="23">
        <f t="shared" si="2"/>
        <v>50802.647270022891</v>
      </c>
      <c r="G24" s="21">
        <v>517.80999999999995</v>
      </c>
      <c r="H24" s="11">
        <v>-1.5120967741935601E-2</v>
      </c>
      <c r="I24" s="3">
        <f t="shared" si="3"/>
        <v>98.110595141119134</v>
      </c>
      <c r="J24" s="6">
        <f t="shared" si="4"/>
        <v>0.18090070708828324</v>
      </c>
      <c r="K24" s="35">
        <f t="shared" si="5"/>
        <v>50802.647270022891</v>
      </c>
      <c r="L24" s="39">
        <f t="shared" si="6"/>
        <v>542.34500638650991</v>
      </c>
      <c r="M24" s="3">
        <f t="shared" si="7"/>
        <v>101605.29454004578</v>
      </c>
      <c r="N24" s="41">
        <f t="shared" si="8"/>
        <v>-8.9991446086083761E-3</v>
      </c>
      <c r="P24"/>
    </row>
    <row r="25" spans="1:16" x14ac:dyDescent="0.2">
      <c r="A25" s="14">
        <v>45964</v>
      </c>
      <c r="B25" s="21">
        <v>113.76</v>
      </c>
      <c r="C25" s="11">
        <v>-5.2465897166841099E-3</v>
      </c>
      <c r="D25" s="2">
        <f t="shared" si="0"/>
        <v>445.06956588031147</v>
      </c>
      <c r="E25" s="12">
        <f t="shared" si="1"/>
        <v>0.81965471868609197</v>
      </c>
      <c r="F25" s="23">
        <f t="shared" si="2"/>
        <v>50631.113814544238</v>
      </c>
      <c r="G25" s="21">
        <v>517.03</v>
      </c>
      <c r="H25" s="11">
        <v>-1.5063440258009199E-3</v>
      </c>
      <c r="I25" s="3">
        <f t="shared" si="3"/>
        <v>97.926839476518268</v>
      </c>
      <c r="J25" s="6">
        <f t="shared" si="4"/>
        <v>0.18034528131390798</v>
      </c>
      <c r="K25" s="35">
        <f t="shared" si="5"/>
        <v>50631.113814544238</v>
      </c>
      <c r="L25" s="39">
        <f t="shared" si="6"/>
        <v>542.99640535682977</v>
      </c>
      <c r="M25" s="3">
        <f t="shared" si="7"/>
        <v>101262.22762908848</v>
      </c>
      <c r="N25" s="41">
        <f t="shared" si="8"/>
        <v>-3.3764668712425523E-3</v>
      </c>
      <c r="P25"/>
    </row>
    <row r="26" spans="1:16" x14ac:dyDescent="0.2">
      <c r="A26" s="14">
        <v>45965</v>
      </c>
      <c r="B26" s="21">
        <v>114.14</v>
      </c>
      <c r="C26" s="11">
        <v>3.3403656821377899E-3</v>
      </c>
      <c r="D26" s="2">
        <f t="shared" si="0"/>
        <v>443.17045557007356</v>
      </c>
      <c r="E26" s="12">
        <f t="shared" si="1"/>
        <v>0.81838433019873669</v>
      </c>
      <c r="F26" s="23">
        <f t="shared" si="2"/>
        <v>50583.475798768195</v>
      </c>
      <c r="G26" s="21">
        <v>514.33000000000004</v>
      </c>
      <c r="H26" s="11">
        <v>-5.2221341121403602E-3</v>
      </c>
      <c r="I26" s="3">
        <f t="shared" si="3"/>
        <v>98.348289617110012</v>
      </c>
      <c r="J26" s="6">
        <f t="shared" si="4"/>
        <v>0.1816156698012634</v>
      </c>
      <c r="K26" s="35">
        <f t="shared" si="5"/>
        <v>50583.475798768195</v>
      </c>
      <c r="L26" s="39">
        <f t="shared" si="6"/>
        <v>541.51874518718353</v>
      </c>
      <c r="M26" s="3">
        <f t="shared" si="7"/>
        <v>101166.95159753639</v>
      </c>
      <c r="N26" s="41">
        <f t="shared" si="8"/>
        <v>-9.4088421500138379E-4</v>
      </c>
      <c r="P26"/>
    </row>
    <row r="27" spans="1:16" x14ac:dyDescent="0.2">
      <c r="A27" s="14">
        <v>45966</v>
      </c>
      <c r="B27" s="21">
        <v>113.68</v>
      </c>
      <c r="C27" s="11">
        <v>-4.0301384264937196E-3</v>
      </c>
      <c r="D27" s="2">
        <f t="shared" si="0"/>
        <v>440.96558740068383</v>
      </c>
      <c r="E27" s="12">
        <f t="shared" si="1"/>
        <v>0.8168932414148572</v>
      </c>
      <c r="F27" s="23">
        <f t="shared" si="2"/>
        <v>50128.96797570974</v>
      </c>
      <c r="G27" s="21">
        <v>507.16</v>
      </c>
      <c r="H27" s="11">
        <v>-1.39404662376296E-2</v>
      </c>
      <c r="I27" s="3">
        <f t="shared" si="3"/>
        <v>98.842511191162032</v>
      </c>
      <c r="J27" s="6">
        <f t="shared" si="4"/>
        <v>0.18310675858514269</v>
      </c>
      <c r="K27" s="35">
        <f t="shared" si="5"/>
        <v>50128.96797570974</v>
      </c>
      <c r="L27" s="39">
        <f t="shared" si="6"/>
        <v>539.80809859184592</v>
      </c>
      <c r="M27" s="3">
        <f t="shared" si="7"/>
        <v>100257.93595141948</v>
      </c>
      <c r="N27" s="41">
        <f t="shared" si="8"/>
        <v>-8.9853023320616322E-3</v>
      </c>
      <c r="P27"/>
    </row>
    <row r="28" spans="1:16" x14ac:dyDescent="0.2">
      <c r="A28" s="14">
        <v>45967</v>
      </c>
      <c r="B28" s="21">
        <v>114.5</v>
      </c>
      <c r="C28" s="11">
        <v>7.2132301196339999E-3</v>
      </c>
      <c r="D28" s="2">
        <f t="shared" si="0"/>
        <v>435.04441952185567</v>
      </c>
      <c r="E28" s="12">
        <f t="shared" si="1"/>
        <v>0.81278613472858074</v>
      </c>
      <c r="F28" s="23">
        <f t="shared" si="2"/>
        <v>49812.586035252476</v>
      </c>
      <c r="G28" s="21">
        <v>497.1</v>
      </c>
      <c r="H28" s="11">
        <v>-1.9835949207350701E-2</v>
      </c>
      <c r="I28" s="3">
        <f t="shared" si="3"/>
        <v>100.2063690107674</v>
      </c>
      <c r="J28" s="6">
        <f t="shared" si="4"/>
        <v>0.18721386527141923</v>
      </c>
      <c r="K28" s="35">
        <f t="shared" si="5"/>
        <v>49812.586035252476</v>
      </c>
      <c r="L28" s="39">
        <f t="shared" si="6"/>
        <v>535.25078853262312</v>
      </c>
      <c r="M28" s="3">
        <f t="shared" si="7"/>
        <v>99625.172070504952</v>
      </c>
      <c r="N28" s="41">
        <f t="shared" si="8"/>
        <v>-6.3113595438583272E-3</v>
      </c>
      <c r="P28"/>
    </row>
    <row r="29" spans="1:16" x14ac:dyDescent="0.2">
      <c r="A29" s="14">
        <v>45968</v>
      </c>
      <c r="B29" s="21">
        <v>117.22</v>
      </c>
      <c r="C29" s="11">
        <v>2.3755458515283798E-2</v>
      </c>
      <c r="D29" s="2">
        <f t="shared" si="0"/>
        <v>429.87730382307365</v>
      </c>
      <c r="E29" s="12">
        <f t="shared" si="1"/>
        <v>0.80910038433978237</v>
      </c>
      <c r="F29" s="23">
        <f t="shared" si="2"/>
        <v>50390.21755414069</v>
      </c>
      <c r="G29" s="21">
        <v>496.82</v>
      </c>
      <c r="H29" s="11">
        <v>-5.6326694830019996E-4</v>
      </c>
      <c r="I29" s="3">
        <f t="shared" si="3"/>
        <v>101.4255012965273</v>
      </c>
      <c r="J29" s="6">
        <f t="shared" si="4"/>
        <v>0.19089961566021757</v>
      </c>
      <c r="K29" s="35">
        <f t="shared" si="5"/>
        <v>50390.21755414069</v>
      </c>
      <c r="L29" s="39">
        <f t="shared" si="6"/>
        <v>531.30280511960098</v>
      </c>
      <c r="M29" s="3">
        <f t="shared" si="7"/>
        <v>100780.43510828138</v>
      </c>
      <c r="N29" s="41">
        <f t="shared" si="8"/>
        <v>1.1596095783491814E-2</v>
      </c>
      <c r="P29"/>
    </row>
    <row r="30" spans="1:16" x14ac:dyDescent="0.2">
      <c r="A30" s="14">
        <v>45971</v>
      </c>
      <c r="B30" s="21">
        <v>118.22</v>
      </c>
      <c r="C30" s="11">
        <v>8.5309674117044904E-3</v>
      </c>
      <c r="D30" s="2">
        <f t="shared" si="0"/>
        <v>431.99711772122561</v>
      </c>
      <c r="E30" s="12">
        <f t="shared" si="1"/>
        <v>0.81061164333087687</v>
      </c>
      <c r="F30" s="23">
        <f t="shared" si="2"/>
        <v>51070.699257003289</v>
      </c>
      <c r="G30" s="21">
        <v>506</v>
      </c>
      <c r="H30" s="11">
        <v>1.8477517008172E-2</v>
      </c>
      <c r="I30" s="3">
        <f t="shared" si="3"/>
        <v>100.93023568577725</v>
      </c>
      <c r="J30" s="6">
        <f t="shared" si="4"/>
        <v>0.18938835666912304</v>
      </c>
      <c r="K30" s="35">
        <f t="shared" si="5"/>
        <v>51070.699257003289</v>
      </c>
      <c r="L30" s="39">
        <f t="shared" si="6"/>
        <v>532.9273534070029</v>
      </c>
      <c r="M30" s="3">
        <f t="shared" si="7"/>
        <v>102141.39851400658</v>
      </c>
      <c r="N30" s="41">
        <f t="shared" si="8"/>
        <v>1.3504242209938257E-2</v>
      </c>
      <c r="P30"/>
    </row>
    <row r="31" spans="1:16" x14ac:dyDescent="0.2">
      <c r="A31" s="14">
        <v>45972</v>
      </c>
      <c r="B31" s="21">
        <v>119.78</v>
      </c>
      <c r="C31" s="11">
        <v>1.3195736761969201E-2</v>
      </c>
      <c r="D31" s="2">
        <f t="shared" si="0"/>
        <v>430.31310339493064</v>
      </c>
      <c r="E31" s="12">
        <f t="shared" si="1"/>
        <v>0.80940712217165767</v>
      </c>
      <c r="F31" s="23">
        <f t="shared" si="2"/>
        <v>51542.903524644789</v>
      </c>
      <c r="G31" s="21">
        <v>508.68</v>
      </c>
      <c r="H31" s="11">
        <v>5.2964426877470496E-3</v>
      </c>
      <c r="I31" s="3">
        <f t="shared" si="3"/>
        <v>101.32677424833842</v>
      </c>
      <c r="J31" s="6">
        <f t="shared" si="4"/>
        <v>0.19059287782834228</v>
      </c>
      <c r="K31" s="35">
        <f t="shared" si="5"/>
        <v>51542.903524644789</v>
      </c>
      <c r="L31" s="39">
        <f t="shared" si="6"/>
        <v>531.63987764326907</v>
      </c>
      <c r="M31" s="3">
        <f t="shared" si="7"/>
        <v>103085.80704928958</v>
      </c>
      <c r="N31" s="41">
        <f t="shared" si="8"/>
        <v>9.2460897248581794E-3</v>
      </c>
      <c r="P31"/>
    </row>
    <row r="32" spans="1:16" x14ac:dyDescent="0.2">
      <c r="A32" s="14">
        <v>45973</v>
      </c>
      <c r="B32" s="21">
        <v>118.12</v>
      </c>
      <c r="C32" s="11">
        <v>-1.38587410252129E-2</v>
      </c>
      <c r="D32" s="2">
        <f t="shared" si="0"/>
        <v>434.39193685364427</v>
      </c>
      <c r="E32" s="12">
        <f t="shared" si="1"/>
        <v>0.81228744874932457</v>
      </c>
      <c r="F32" s="23">
        <f t="shared" si="2"/>
        <v>51310.375581152461</v>
      </c>
      <c r="G32" s="21">
        <v>511.14</v>
      </c>
      <c r="H32" s="11">
        <v>4.8360462373200803E-3</v>
      </c>
      <c r="I32" s="3">
        <f t="shared" si="3"/>
        <v>100.38419137839431</v>
      </c>
      <c r="J32" s="6">
        <f t="shared" si="4"/>
        <v>0.1877125512506754</v>
      </c>
      <c r="K32" s="35">
        <f t="shared" si="5"/>
        <v>51310.375581152461</v>
      </c>
      <c r="L32" s="39">
        <f t="shared" si="6"/>
        <v>534.77612823203856</v>
      </c>
      <c r="M32" s="3">
        <f t="shared" si="7"/>
        <v>102620.75116230492</v>
      </c>
      <c r="N32" s="41">
        <f t="shared" si="8"/>
        <v>-4.5113473939462382E-3</v>
      </c>
      <c r="P32"/>
    </row>
    <row r="33" spans="1:16" x14ac:dyDescent="0.2">
      <c r="A33" s="14">
        <v>45974</v>
      </c>
      <c r="B33" s="21">
        <v>118.79</v>
      </c>
      <c r="C33" s="11">
        <v>5.6721977649847799E-3</v>
      </c>
      <c r="D33" s="2">
        <f t="shared" si="0"/>
        <v>429.85006253757246</v>
      </c>
      <c r="E33" s="12">
        <f t="shared" si="1"/>
        <v>0.80904385288065839</v>
      </c>
      <c r="F33" s="23">
        <f t="shared" si="2"/>
        <v>51061.888928838234</v>
      </c>
      <c r="G33" s="21">
        <v>503.29</v>
      </c>
      <c r="H33" s="11">
        <v>-1.5357827601048601E-2</v>
      </c>
      <c r="I33" s="3">
        <f t="shared" si="3"/>
        <v>101.45619608742123</v>
      </c>
      <c r="J33" s="6">
        <f t="shared" si="4"/>
        <v>0.19095614711934156</v>
      </c>
      <c r="K33" s="35">
        <f t="shared" si="5"/>
        <v>51061.888928838234</v>
      </c>
      <c r="L33" s="39">
        <f t="shared" si="6"/>
        <v>531.30625862499369</v>
      </c>
      <c r="M33" s="3">
        <f t="shared" si="7"/>
        <v>102123.77785767647</v>
      </c>
      <c r="N33" s="41">
        <f t="shared" si="8"/>
        <v>-4.84281491803193E-3</v>
      </c>
      <c r="P33"/>
    </row>
    <row r="34" spans="1:16" x14ac:dyDescent="0.2">
      <c r="A34" s="14">
        <v>45975</v>
      </c>
      <c r="B34" s="21">
        <v>119.29</v>
      </c>
      <c r="C34" s="11">
        <v>4.2091085108174097E-3</v>
      </c>
      <c r="D34" s="2">
        <f t="shared" si="0"/>
        <v>431.87918551424087</v>
      </c>
      <c r="E34" s="12">
        <f t="shared" si="1"/>
        <v>0.81049136575214065</v>
      </c>
      <c r="F34" s="23">
        <f t="shared" si="2"/>
        <v>51518.868039993795</v>
      </c>
      <c r="G34" s="21">
        <v>510.18</v>
      </c>
      <c r="H34" s="11">
        <v>1.3689920324266301E-2</v>
      </c>
      <c r="I34" s="3">
        <f t="shared" si="3"/>
        <v>100.98174769687913</v>
      </c>
      <c r="J34" s="6">
        <f t="shared" si="4"/>
        <v>0.1895086342478593</v>
      </c>
      <c r="K34" s="35">
        <f t="shared" si="5"/>
        <v>51518.868039993795</v>
      </c>
      <c r="L34" s="39">
        <f t="shared" si="6"/>
        <v>532.86093321112003</v>
      </c>
      <c r="M34" s="3">
        <f t="shared" si="7"/>
        <v>103037.73607998759</v>
      </c>
      <c r="N34" s="41">
        <f t="shared" si="8"/>
        <v>8.9495144175418921E-3</v>
      </c>
      <c r="P34"/>
    </row>
    <row r="35" spans="1:16" x14ac:dyDescent="0.2">
      <c r="A35" s="14">
        <v>45978</v>
      </c>
      <c r="B35" s="21">
        <v>117.68</v>
      </c>
      <c r="C35" s="11">
        <v>-1.34965210830749E-2</v>
      </c>
      <c r="D35" s="2">
        <f t="shared" si="0"/>
        <v>433.67934096705068</v>
      </c>
      <c r="E35" s="12">
        <f t="shared" si="1"/>
        <v>0.81176320040948857</v>
      </c>
      <c r="F35" s="23">
        <f t="shared" si="2"/>
        <v>51035.384845002525</v>
      </c>
      <c r="G35" s="21">
        <v>507.49</v>
      </c>
      <c r="H35" s="11">
        <v>-5.2726488690266098E-3</v>
      </c>
      <c r="I35" s="3">
        <f t="shared" si="3"/>
        <v>100.56431623283714</v>
      </c>
      <c r="J35" s="6">
        <f t="shared" si="4"/>
        <v>0.18823679959051137</v>
      </c>
      <c r="K35" s="35">
        <f t="shared" si="5"/>
        <v>51035.384845002525</v>
      </c>
      <c r="L35" s="39">
        <f t="shared" si="6"/>
        <v>534.24365719988782</v>
      </c>
      <c r="M35" s="3">
        <f t="shared" si="7"/>
        <v>102070.76969000505</v>
      </c>
      <c r="N35" s="41">
        <f t="shared" si="8"/>
        <v>-9.3845849760508006E-3</v>
      </c>
      <c r="P35"/>
    </row>
    <row r="36" spans="1:16" x14ac:dyDescent="0.2">
      <c r="A36" s="14">
        <v>45979</v>
      </c>
      <c r="B36" s="21">
        <v>119.03</v>
      </c>
      <c r="C36" s="11">
        <v>1.1471787899388099E-2</v>
      </c>
      <c r="D36" s="2">
        <f t="shared" si="0"/>
        <v>425.43268784306764</v>
      </c>
      <c r="E36" s="12">
        <f t="shared" si="1"/>
        <v>0.80576678306843774</v>
      </c>
      <c r="F36" s="23">
        <f t="shared" si="2"/>
        <v>50639.252833960345</v>
      </c>
      <c r="G36" s="21">
        <v>493.79</v>
      </c>
      <c r="H36" s="11">
        <v>-2.6995605824745299E-2</v>
      </c>
      <c r="I36" s="3">
        <f t="shared" si="3"/>
        <v>102.55220404212386</v>
      </c>
      <c r="J36" s="6">
        <f t="shared" si="4"/>
        <v>0.19423321693156229</v>
      </c>
      <c r="K36" s="35">
        <f t="shared" si="5"/>
        <v>50639.252833960345</v>
      </c>
      <c r="L36" s="39">
        <f t="shared" si="6"/>
        <v>527.98489188519147</v>
      </c>
      <c r="M36" s="3">
        <f t="shared" si="7"/>
        <v>101278.50566792069</v>
      </c>
      <c r="N36" s="41">
        <f t="shared" si="8"/>
        <v>-7.7619089626786691E-3</v>
      </c>
      <c r="P36"/>
    </row>
    <row r="37" spans="1:16" x14ac:dyDescent="0.2">
      <c r="A37" s="14">
        <v>45980</v>
      </c>
      <c r="B37" s="21">
        <v>117.35</v>
      </c>
      <c r="C37" s="11">
        <v>-1.4114088885155101E-2</v>
      </c>
      <c r="D37" s="2">
        <f t="shared" si="0"/>
        <v>425.56350895348686</v>
      </c>
      <c r="E37" s="12">
        <f t="shared" si="1"/>
        <v>0.80586298741045881</v>
      </c>
      <c r="F37" s="23">
        <f t="shared" si="2"/>
        <v>49939.877775691682</v>
      </c>
      <c r="G37" s="21">
        <v>487.12</v>
      </c>
      <c r="H37" s="11">
        <v>-1.3507766459426101E-2</v>
      </c>
      <c r="I37" s="3">
        <f t="shared" si="3"/>
        <v>102.52068848680342</v>
      </c>
      <c r="J37" s="6">
        <f t="shared" si="4"/>
        <v>0.19413701258954125</v>
      </c>
      <c r="K37" s="35">
        <f t="shared" si="5"/>
        <v>49939.877775691682</v>
      </c>
      <c r="L37" s="39">
        <f t="shared" si="6"/>
        <v>528.08419744029027</v>
      </c>
      <c r="M37" s="3">
        <f t="shared" si="7"/>
        <v>99879.755551383365</v>
      </c>
      <c r="N37" s="41">
        <f t="shared" si="8"/>
        <v>-1.3810927672290588E-2</v>
      </c>
      <c r="P37"/>
    </row>
    <row r="38" spans="1:16" x14ac:dyDescent="0.2">
      <c r="A38" s="14">
        <v>45981</v>
      </c>
      <c r="B38" s="21">
        <v>117.02</v>
      </c>
      <c r="C38" s="11">
        <v>-2.8121005538985799E-3</v>
      </c>
      <c r="D38" s="2">
        <f t="shared" si="0"/>
        <v>422.35692535668431</v>
      </c>
      <c r="E38" s="12">
        <f t="shared" si="1"/>
        <v>0.80347636241498022</v>
      </c>
      <c r="F38" s="23">
        <f t="shared" si="2"/>
        <v>49424.207405239198</v>
      </c>
      <c r="G38" s="21">
        <v>478.43</v>
      </c>
      <c r="H38" s="11">
        <v>-1.78395467235999E-2</v>
      </c>
      <c r="I38" s="3">
        <f t="shared" si="3"/>
        <v>103.30499217281357</v>
      </c>
      <c r="J38" s="6">
        <f t="shared" si="4"/>
        <v>0.1965236375850197</v>
      </c>
      <c r="K38" s="35">
        <f t="shared" si="5"/>
        <v>49424.207405239198</v>
      </c>
      <c r="L38" s="39">
        <f t="shared" si="6"/>
        <v>525.66191752949794</v>
      </c>
      <c r="M38" s="3">
        <f t="shared" si="7"/>
        <v>98848.414810478396</v>
      </c>
      <c r="N38" s="41">
        <f t="shared" si="8"/>
        <v>-1.0325823638749227E-2</v>
      </c>
      <c r="P38"/>
    </row>
    <row r="39" spans="1:16" x14ac:dyDescent="0.2">
      <c r="A39" s="14">
        <v>45982</v>
      </c>
      <c r="B39" s="21">
        <v>117.08</v>
      </c>
      <c r="C39" s="11">
        <v>5.1273286617674102E-4</v>
      </c>
      <c r="D39" s="2">
        <f t="shared" si="0"/>
        <v>419.46490316616564</v>
      </c>
      <c r="E39" s="12">
        <f t="shared" si="1"/>
        <v>0.80128988458927353</v>
      </c>
      <c r="F39" s="23">
        <f t="shared" si="2"/>
        <v>49110.95086269467</v>
      </c>
      <c r="G39" s="21">
        <v>472.12</v>
      </c>
      <c r="H39" s="11">
        <v>-1.3188972263445E-2</v>
      </c>
      <c r="I39" s="3">
        <f t="shared" si="3"/>
        <v>104.0221783925584</v>
      </c>
      <c r="J39" s="6">
        <f t="shared" si="4"/>
        <v>0.19871011541072639</v>
      </c>
      <c r="K39" s="35">
        <f t="shared" si="5"/>
        <v>49110.95086269467</v>
      </c>
      <c r="L39" s="39">
        <f t="shared" si="6"/>
        <v>523.48708155872407</v>
      </c>
      <c r="M39" s="3">
        <f t="shared" si="7"/>
        <v>98221.90172538934</v>
      </c>
      <c r="N39" s="41">
        <f t="shared" si="8"/>
        <v>-6.3381196986341867E-3</v>
      </c>
      <c r="P39"/>
    </row>
    <row r="40" spans="1:16" x14ac:dyDescent="0.2">
      <c r="A40" s="14">
        <v>45985</v>
      </c>
      <c r="B40" s="21">
        <v>115.97</v>
      </c>
      <c r="C40" s="11">
        <v>-9.4806969593440298E-3</v>
      </c>
      <c r="D40" s="2">
        <f t="shared" si="0"/>
        <v>422.31550132902004</v>
      </c>
      <c r="E40" s="12">
        <f t="shared" si="1"/>
        <v>0.80343068291608055</v>
      </c>
      <c r="F40" s="23">
        <f t="shared" si="2"/>
        <v>48975.928689126456</v>
      </c>
      <c r="G40" s="21">
        <v>474</v>
      </c>
      <c r="H40" s="11">
        <v>3.9820384647970804E-3</v>
      </c>
      <c r="I40" s="3">
        <f t="shared" si="3"/>
        <v>103.32474406988703</v>
      </c>
      <c r="J40" s="6">
        <f t="shared" si="4"/>
        <v>0.19656931708391953</v>
      </c>
      <c r="K40" s="35">
        <f t="shared" si="5"/>
        <v>48975.928689126456</v>
      </c>
      <c r="L40" s="39">
        <f t="shared" si="6"/>
        <v>525.64024539890704</v>
      </c>
      <c r="M40" s="3">
        <f t="shared" si="7"/>
        <v>97951.857378252913</v>
      </c>
      <c r="N40" s="41">
        <f t="shared" si="8"/>
        <v>-2.749329247273404E-3</v>
      </c>
      <c r="P40"/>
    </row>
    <row r="41" spans="1:16" x14ac:dyDescent="0.2">
      <c r="A41" s="14">
        <v>45986</v>
      </c>
      <c r="B41" s="21">
        <v>114.51</v>
      </c>
      <c r="C41" s="11">
        <v>-1.2589462792101399E-2</v>
      </c>
      <c r="D41" s="2">
        <f t="shared" si="0"/>
        <v>426.35672749577111</v>
      </c>
      <c r="E41" s="12">
        <f t="shared" si="1"/>
        <v>0.8064074387151311</v>
      </c>
      <c r="F41" s="23">
        <f t="shared" si="2"/>
        <v>48822.108865540751</v>
      </c>
      <c r="G41" s="21">
        <v>476.99</v>
      </c>
      <c r="H41" s="11">
        <v>6.3080168776371501E-3</v>
      </c>
      <c r="I41" s="3">
        <f t="shared" si="3"/>
        <v>102.35457528573083</v>
      </c>
      <c r="J41" s="6">
        <f t="shared" si="4"/>
        <v>0.19359256128486899</v>
      </c>
      <c r="K41" s="35">
        <f t="shared" si="5"/>
        <v>48822.108865540751</v>
      </c>
      <c r="L41" s="39">
        <f t="shared" si="6"/>
        <v>528.7113027815019</v>
      </c>
      <c r="M41" s="3">
        <f t="shared" si="7"/>
        <v>97644.217731081502</v>
      </c>
      <c r="N41" s="41">
        <f>(M41-M40)/M40</f>
        <v>-3.140722957232174E-3</v>
      </c>
      <c r="P41"/>
    </row>
    <row r="42" spans="1:16" x14ac:dyDescent="0.2">
      <c r="A42" s="14">
        <v>45987</v>
      </c>
      <c r="B42" s="21">
        <v>114.77</v>
      </c>
      <c r="C42" s="11">
        <v>2.2705440572874901E-3</v>
      </c>
      <c r="D42" s="2">
        <f t="shared" si="0"/>
        <v>429.6685018555022</v>
      </c>
      <c r="E42" s="12">
        <f t="shared" si="1"/>
        <v>0.80880270544921451</v>
      </c>
      <c r="F42" s="23">
        <f t="shared" si="2"/>
        <v>49313.053957955985</v>
      </c>
      <c r="G42" s="21">
        <v>485.5</v>
      </c>
      <c r="H42" s="11">
        <v>1.7841044885637002E-2</v>
      </c>
      <c r="I42" s="3">
        <f t="shared" si="3"/>
        <v>101.5716868341009</v>
      </c>
      <c r="J42" s="6">
        <f t="shared" si="4"/>
        <v>0.19119729455078549</v>
      </c>
      <c r="K42" s="35">
        <f t="shared" si="5"/>
        <v>49313.053957955985</v>
      </c>
      <c r="L42" s="39">
        <f t="shared" si="6"/>
        <v>531.24018868960309</v>
      </c>
      <c r="M42" s="3">
        <f t="shared" si="7"/>
        <v>98626.107915911969</v>
      </c>
      <c r="N42" s="41">
        <f t="shared" si="8"/>
        <v>1.0055794471462261E-2</v>
      </c>
      <c r="P42"/>
    </row>
    <row r="43" spans="1:16" x14ac:dyDescent="0.2">
      <c r="A43" s="14">
        <v>45989</v>
      </c>
      <c r="B43" s="21">
        <v>115.92</v>
      </c>
      <c r="C43" s="11">
        <v>1.00200400801604E-2</v>
      </c>
      <c r="D43" s="2">
        <f t="shared" si="0"/>
        <v>430.38931320883285</v>
      </c>
      <c r="E43" s="12">
        <f t="shared" si="1"/>
        <v>0.80932015199118323</v>
      </c>
      <c r="F43" s="23">
        <f t="shared" si="2"/>
        <v>49890.729187167904</v>
      </c>
      <c r="G43" s="21">
        <v>492.01</v>
      </c>
      <c r="H43" s="11">
        <v>1.34088568486097E-2</v>
      </c>
      <c r="I43" s="3">
        <f t="shared" si="3"/>
        <v>101.40186009871324</v>
      </c>
      <c r="J43" s="6">
        <f t="shared" si="4"/>
        <v>0.19067984800881682</v>
      </c>
      <c r="K43" s="35">
        <f t="shared" si="5"/>
        <v>49890.729187167904</v>
      </c>
      <c r="L43" s="39">
        <f t="shared" si="6"/>
        <v>531.79117330754605</v>
      </c>
      <c r="M43" s="3">
        <f t="shared" si="7"/>
        <v>99781.458374335809</v>
      </c>
      <c r="N43" s="41">
        <f t="shared" si="8"/>
        <v>1.1714448464385158E-2</v>
      </c>
      <c r="P43"/>
    </row>
    <row r="44" spans="1:16" x14ac:dyDescent="0.2">
      <c r="A44" s="14">
        <v>45992</v>
      </c>
      <c r="B44" s="21">
        <v>116.63</v>
      </c>
      <c r="C44" s="11">
        <v>6.1249137336093296E-3</v>
      </c>
      <c r="D44" s="2">
        <f t="shared" si="0"/>
        <v>426.78833483663658</v>
      </c>
      <c r="E44" s="12">
        <f t="shared" si="1"/>
        <v>0.80670235510549082</v>
      </c>
      <c r="F44" s="23">
        <f t="shared" si="2"/>
        <v>49776.323491996925</v>
      </c>
      <c r="G44" s="21">
        <v>486.74</v>
      </c>
      <c r="H44" s="11">
        <v>-1.07111644072275E-2</v>
      </c>
      <c r="I44" s="3">
        <f t="shared" si="3"/>
        <v>102.26470701400527</v>
      </c>
      <c r="J44" s="6">
        <f t="shared" si="4"/>
        <v>0.19329764489450915</v>
      </c>
      <c r="K44" s="35">
        <f t="shared" si="5"/>
        <v>49776.323491996925</v>
      </c>
      <c r="L44" s="39">
        <f t="shared" si="6"/>
        <v>529.05304185064188</v>
      </c>
      <c r="M44" s="3">
        <f t="shared" si="7"/>
        <v>99552.646983993851</v>
      </c>
      <c r="N44" s="41">
        <f t="shared" si="8"/>
        <v>-2.2931253368091604E-3</v>
      </c>
      <c r="P44"/>
    </row>
    <row r="45" spans="1:16" x14ac:dyDescent="0.2">
      <c r="A45" s="14">
        <v>45993</v>
      </c>
      <c r="B45" s="21">
        <v>115.38</v>
      </c>
      <c r="C45" s="11">
        <v>-1.07176541198662E-2</v>
      </c>
      <c r="D45" s="2">
        <f t="shared" si="0"/>
        <v>430.5449146746131</v>
      </c>
      <c r="E45" s="12">
        <f t="shared" si="1"/>
        <v>0.80940896626912029</v>
      </c>
      <c r="F45" s="23">
        <f t="shared" si="2"/>
        <v>49676.272255156859</v>
      </c>
      <c r="G45" s="21">
        <v>490</v>
      </c>
      <c r="H45" s="11">
        <v>6.6976209064387397E-3</v>
      </c>
      <c r="I45" s="3">
        <f t="shared" si="3"/>
        <v>101.38014745950379</v>
      </c>
      <c r="J45" s="6">
        <f t="shared" si="4"/>
        <v>0.19059103373087979</v>
      </c>
      <c r="K45" s="35">
        <f t="shared" si="5"/>
        <v>49676.272255156859</v>
      </c>
      <c r="L45" s="39">
        <f t="shared" si="6"/>
        <v>531.92506213411684</v>
      </c>
      <c r="M45" s="3">
        <f t="shared" si="7"/>
        <v>99352.544510313717</v>
      </c>
      <c r="N45" s="41">
        <f t="shared" si="8"/>
        <v>-2.0100166067136952E-3</v>
      </c>
      <c r="P45"/>
    </row>
    <row r="46" spans="1:16" x14ac:dyDescent="0.2">
      <c r="A46" s="14">
        <v>45994</v>
      </c>
      <c r="B46" s="21">
        <v>117.8</v>
      </c>
      <c r="C46" s="11">
        <v>2.0974172300225399E-2</v>
      </c>
      <c r="D46" s="2">
        <f t="shared" si="0"/>
        <v>420.84265192910937</v>
      </c>
      <c r="E46" s="12">
        <f t="shared" si="1"/>
        <v>0.80219300455056841</v>
      </c>
      <c r="F46" s="23">
        <f t="shared" si="2"/>
        <v>49575.264397249084</v>
      </c>
      <c r="G46" s="21">
        <v>477.73</v>
      </c>
      <c r="H46" s="11">
        <v>-2.5040816326530602E-2</v>
      </c>
      <c r="I46" s="3">
        <f t="shared" si="3"/>
        <v>103.77255855242309</v>
      </c>
      <c r="J46" s="6">
        <f t="shared" si="4"/>
        <v>0.19780699544943159</v>
      </c>
      <c r="K46" s="35">
        <f t="shared" si="5"/>
        <v>49575.264397249084</v>
      </c>
      <c r="L46" s="39">
        <f t="shared" si="6"/>
        <v>524.61521048153247</v>
      </c>
      <c r="M46" s="3">
        <f t="shared" si="7"/>
        <v>99150.528794498168</v>
      </c>
      <c r="N46" s="41">
        <f t="shared" si="8"/>
        <v>-2.0333220131526454E-3</v>
      </c>
      <c r="P46"/>
    </row>
    <row r="47" spans="1:16" x14ac:dyDescent="0.2">
      <c r="A47" s="14">
        <v>45995</v>
      </c>
      <c r="B47" s="21">
        <v>117.14</v>
      </c>
      <c r="C47" s="11">
        <v>-5.6027164685907996E-3</v>
      </c>
      <c r="D47" s="2">
        <f t="shared" si="0"/>
        <v>423.40577642702317</v>
      </c>
      <c r="E47" s="12">
        <f t="shared" si="1"/>
        <v>0.80410716077460787</v>
      </c>
      <c r="F47" s="23">
        <f t="shared" si="2"/>
        <v>49597.752650661496</v>
      </c>
      <c r="G47" s="21">
        <v>480.84</v>
      </c>
      <c r="H47" s="11">
        <v>6.5099533209133998E-3</v>
      </c>
      <c r="I47" s="3">
        <f t="shared" si="3"/>
        <v>103.14814210685779</v>
      </c>
      <c r="J47" s="6">
        <f t="shared" si="4"/>
        <v>0.19589283922539216</v>
      </c>
      <c r="K47" s="35">
        <f t="shared" si="5"/>
        <v>49597.752650661496</v>
      </c>
      <c r="L47" s="39">
        <f t="shared" si="6"/>
        <v>526.55391853388096</v>
      </c>
      <c r="M47" s="3">
        <f t="shared" si="7"/>
        <v>99195.505301322992</v>
      </c>
      <c r="N47" s="41">
        <f t="shared" si="8"/>
        <v>4.536184261613255E-4</v>
      </c>
      <c r="P47"/>
    </row>
    <row r="48" spans="1:16" x14ac:dyDescent="0.2">
      <c r="A48" s="14">
        <v>45996</v>
      </c>
      <c r="B48" s="21">
        <v>116.54</v>
      </c>
      <c r="C48" s="11">
        <v>-5.12207614819869E-3</v>
      </c>
      <c r="D48" s="2">
        <f t="shared" si="0"/>
        <v>425.52241944892171</v>
      </c>
      <c r="E48" s="12">
        <f t="shared" si="1"/>
        <v>0.80566950141737537</v>
      </c>
      <c r="F48" s="23">
        <f t="shared" si="2"/>
        <v>49590.382762577341</v>
      </c>
      <c r="G48" s="21">
        <v>483.16</v>
      </c>
      <c r="H48" s="11">
        <v>4.8248897762250397E-3</v>
      </c>
      <c r="I48" s="3">
        <f t="shared" si="3"/>
        <v>102.6375998894307</v>
      </c>
      <c r="J48" s="6">
        <f t="shared" si="4"/>
        <v>0.19433049858262466</v>
      </c>
      <c r="K48" s="35">
        <f t="shared" si="5"/>
        <v>49590.382762577341</v>
      </c>
      <c r="L48" s="39">
        <f t="shared" si="6"/>
        <v>528.16001933835241</v>
      </c>
      <c r="M48" s="3">
        <f t="shared" si="7"/>
        <v>99180.765525154682</v>
      </c>
      <c r="N48" s="41">
        <f t="shared" si="8"/>
        <v>-1.485931859869565E-4</v>
      </c>
      <c r="P48"/>
    </row>
    <row r="49" spans="1:16" x14ac:dyDescent="0.2">
      <c r="A49" s="14">
        <v>45999</v>
      </c>
      <c r="B49" s="21">
        <v>115.98</v>
      </c>
      <c r="C49" s="11">
        <v>-4.8052170928436803E-3</v>
      </c>
      <c r="D49" s="2">
        <f t="shared" si="0"/>
        <v>430.02761038711077</v>
      </c>
      <c r="E49" s="12">
        <f t="shared" si="1"/>
        <v>0.80892915980230651</v>
      </c>
      <c r="F49" s="23">
        <f t="shared" si="2"/>
        <v>49874.602252697106</v>
      </c>
      <c r="G49" s="21">
        <v>491.02</v>
      </c>
      <c r="H49" s="11">
        <v>1.62679029721002E-2</v>
      </c>
      <c r="I49" s="3">
        <f t="shared" si="3"/>
        <v>101.57346391734981</v>
      </c>
      <c r="J49" s="6">
        <f t="shared" si="4"/>
        <v>0.19107084019769358</v>
      </c>
      <c r="K49" s="35">
        <f t="shared" si="5"/>
        <v>49874.602252697106</v>
      </c>
      <c r="L49" s="39">
        <f t="shared" si="6"/>
        <v>531.60107430446055</v>
      </c>
      <c r="M49" s="3">
        <f t="shared" si="7"/>
        <v>99749.204505394213</v>
      </c>
      <c r="N49" s="41">
        <f t="shared" si="8"/>
        <v>5.7313429396283564E-3</v>
      </c>
      <c r="P49"/>
    </row>
    <row r="50" spans="1:16" x14ac:dyDescent="0.2">
      <c r="A50" s="14">
        <v>46000</v>
      </c>
      <c r="B50" s="21">
        <v>118.25</v>
      </c>
      <c r="C50" s="11">
        <v>1.9572340058630799E-2</v>
      </c>
      <c r="D50" s="2">
        <f t="shared" si="0"/>
        <v>426.32955875217885</v>
      </c>
      <c r="E50" s="12">
        <f t="shared" si="1"/>
        <v>0.80623330656922332</v>
      </c>
      <c r="F50" s="23">
        <f t="shared" si="2"/>
        <v>50413.470322445151</v>
      </c>
      <c r="G50" s="21">
        <v>492.02</v>
      </c>
      <c r="H50" s="11">
        <v>2.0365769215103299E-3</v>
      </c>
      <c r="I50" s="3">
        <f t="shared" si="3"/>
        <v>102.46223796277621</v>
      </c>
      <c r="J50" s="6">
        <f t="shared" si="4"/>
        <v>0.19376669343077654</v>
      </c>
      <c r="K50" s="35">
        <f t="shared" si="5"/>
        <v>50413.470322445151</v>
      </c>
      <c r="L50" s="39">
        <f t="shared" si="6"/>
        <v>528.79179671495513</v>
      </c>
      <c r="M50" s="3">
        <f t="shared" si="7"/>
        <v>100826.9406448903</v>
      </c>
      <c r="N50" s="41">
        <f t="shared" si="8"/>
        <v>1.0804458490070548E-2</v>
      </c>
      <c r="P50"/>
    </row>
    <row r="51" spans="1:16" x14ac:dyDescent="0.2">
      <c r="A51" s="14">
        <v>46001</v>
      </c>
      <c r="B51" s="21">
        <v>119.54</v>
      </c>
      <c r="C51" s="11">
        <v>1.0909090909091E-2</v>
      </c>
      <c r="D51" s="2">
        <f t="shared" si="0"/>
        <v>418.26068283713255</v>
      </c>
      <c r="E51" s="12">
        <f t="shared" si="1"/>
        <v>0.80013375689684008</v>
      </c>
      <c r="F51" s="23">
        <f t="shared" si="2"/>
        <v>49998.882026350824</v>
      </c>
      <c r="G51" s="21">
        <v>478.56</v>
      </c>
      <c r="H51" s="11">
        <v>-2.73566115198569E-2</v>
      </c>
      <c r="I51" s="3">
        <f t="shared" si="3"/>
        <v>104.47777086750006</v>
      </c>
      <c r="J51" s="6">
        <f t="shared" si="4"/>
        <v>0.19986624310316004</v>
      </c>
      <c r="K51" s="35">
        <f t="shared" si="5"/>
        <v>49998.882026350824</v>
      </c>
      <c r="L51" s="39">
        <f t="shared" si="6"/>
        <v>522.73845370463255</v>
      </c>
      <c r="M51" s="3">
        <f t="shared" si="7"/>
        <v>99997.764052701648</v>
      </c>
      <c r="N51" s="41">
        <f t="shared" si="8"/>
        <v>-8.2237603053829777E-3</v>
      </c>
      <c r="P51"/>
    </row>
    <row r="52" spans="1:16" x14ac:dyDescent="0.2">
      <c r="A52" s="14">
        <v>46002</v>
      </c>
      <c r="B52" s="21">
        <v>119.54</v>
      </c>
      <c r="C52" s="11">
        <v>0</v>
      </c>
      <c r="D52" s="2">
        <f t="shared" si="0"/>
        <v>420.40634895290731</v>
      </c>
      <c r="E52" s="12">
        <f t="shared" si="1"/>
        <v>0.8017611648231372</v>
      </c>
      <c r="F52" s="23">
        <f t="shared" si="2"/>
        <v>50255.374953830542</v>
      </c>
      <c r="G52" s="21">
        <v>483.47</v>
      </c>
      <c r="H52" s="11">
        <v>1.0259946506185299E-2</v>
      </c>
      <c r="I52" s="3">
        <f t="shared" si="3"/>
        <v>103.94724585564883</v>
      </c>
      <c r="J52" s="6">
        <f t="shared" si="4"/>
        <v>0.19823883517686272</v>
      </c>
      <c r="K52" s="35">
        <f t="shared" si="5"/>
        <v>50255.374953830542</v>
      </c>
      <c r="L52" s="39">
        <f t="shared" si="6"/>
        <v>524.35359480855618</v>
      </c>
      <c r="M52" s="3">
        <f t="shared" si="7"/>
        <v>100510.74990766108</v>
      </c>
      <c r="N52" s="41">
        <f t="shared" si="8"/>
        <v>5.1299732530927138E-3</v>
      </c>
      <c r="P52"/>
    </row>
    <row r="53" spans="1:16" x14ac:dyDescent="0.2">
      <c r="A53" s="14">
        <v>46003</v>
      </c>
      <c r="B53" s="21">
        <v>118.82</v>
      </c>
      <c r="C53" s="11">
        <v>-6.0230885059395396E-3</v>
      </c>
      <c r="D53" s="2">
        <f t="shared" si="0"/>
        <v>419.51926418905947</v>
      </c>
      <c r="E53" s="12">
        <f t="shared" si="1"/>
        <v>0.80108813928182809</v>
      </c>
      <c r="F53" s="23">
        <f t="shared" si="2"/>
        <v>49847.27897094404</v>
      </c>
      <c r="G53" s="21">
        <v>478.53</v>
      </c>
      <c r="H53" s="11">
        <v>-1.0217800484001199E-2</v>
      </c>
      <c r="I53" s="3">
        <f t="shared" si="3"/>
        <v>104.16751085813647</v>
      </c>
      <c r="J53" s="6">
        <f t="shared" si="4"/>
        <v>0.19891186071817191</v>
      </c>
      <c r="K53" s="35">
        <f t="shared" si="5"/>
        <v>49847.27897094404</v>
      </c>
      <c r="L53" s="39">
        <f t="shared" si="6"/>
        <v>523.68677504719597</v>
      </c>
      <c r="M53" s="3">
        <f t="shared" si="7"/>
        <v>99694.557941888081</v>
      </c>
      <c r="N53" s="41">
        <f t="shared" si="8"/>
        <v>-8.1204444949703018E-3</v>
      </c>
      <c r="P53"/>
    </row>
    <row r="54" spans="1:16" x14ac:dyDescent="0.2">
      <c r="A54" s="14">
        <v>46006</v>
      </c>
      <c r="B54" s="21">
        <v>117.76</v>
      </c>
      <c r="C54" s="11">
        <v>-8.9210570611007196E-3</v>
      </c>
      <c r="D54" s="2">
        <f t="shared" si="0"/>
        <v>419.76649990049253</v>
      </c>
      <c r="E54" s="12">
        <f t="shared" si="1"/>
        <v>0.80127577711026365</v>
      </c>
      <c r="F54" s="23">
        <f t="shared" si="2"/>
        <v>49431.703028282005</v>
      </c>
      <c r="G54" s="21">
        <v>474.82</v>
      </c>
      <c r="H54" s="11">
        <v>-7.7529099533989098E-3</v>
      </c>
      <c r="I54" s="3">
        <f t="shared" si="3"/>
        <v>104.10619398568301</v>
      </c>
      <c r="J54" s="6">
        <f t="shared" si="4"/>
        <v>0.19872422288973643</v>
      </c>
      <c r="K54" s="35">
        <f t="shared" si="5"/>
        <v>49431.703028282005</v>
      </c>
      <c r="L54" s="39">
        <f t="shared" si="6"/>
        <v>523.87269388617551</v>
      </c>
      <c r="M54" s="3">
        <f t="shared" si="7"/>
        <v>98863.40605656401</v>
      </c>
      <c r="N54" s="41">
        <f t="shared" si="8"/>
        <v>-8.3369835072496998E-3</v>
      </c>
      <c r="P54"/>
    </row>
    <row r="55" spans="1:16" x14ac:dyDescent="0.2">
      <c r="A55" s="14">
        <v>46007</v>
      </c>
      <c r="B55" s="21">
        <v>114.68</v>
      </c>
      <c r="C55" s="11">
        <v>-2.61548913043478E-2</v>
      </c>
      <c r="D55" s="2">
        <f t="shared" si="0"/>
        <v>426.11602703796649</v>
      </c>
      <c r="E55" s="12">
        <f t="shared" si="1"/>
        <v>0.80597898726039219</v>
      </c>
      <c r="F55" s="23">
        <f t="shared" si="2"/>
        <v>48866.985980714002</v>
      </c>
      <c r="G55" s="21">
        <v>476.39</v>
      </c>
      <c r="H55" s="11">
        <v>3.3065161534897298E-3</v>
      </c>
      <c r="I55" s="3">
        <f t="shared" si="3"/>
        <v>102.5776905071769</v>
      </c>
      <c r="J55" s="6">
        <f t="shared" si="4"/>
        <v>0.19402101273960784</v>
      </c>
      <c r="K55" s="35">
        <f t="shared" si="5"/>
        <v>48866.985980714002</v>
      </c>
      <c r="L55" s="39">
        <f t="shared" si="6"/>
        <v>528.69371754514339</v>
      </c>
      <c r="M55" s="3">
        <f t="shared" si="7"/>
        <v>97733.971961428004</v>
      </c>
      <c r="N55" s="41">
        <f t="shared" si="8"/>
        <v>-1.1424187575429158E-2</v>
      </c>
      <c r="P55"/>
    </row>
    <row r="56" spans="1:16" x14ac:dyDescent="0.2">
      <c r="A56" s="14">
        <v>46008</v>
      </c>
      <c r="B56" s="21">
        <v>117.41</v>
      </c>
      <c r="C56" s="11">
        <v>2.3805371468433801E-2</v>
      </c>
      <c r="D56" s="2">
        <f t="shared" si="0"/>
        <v>421.04408797719407</v>
      </c>
      <c r="E56" s="12">
        <f t="shared" si="1"/>
        <v>0.80218354590332419</v>
      </c>
      <c r="F56" s="23">
        <f t="shared" si="2"/>
        <v>49434.786369402354</v>
      </c>
      <c r="G56" s="21">
        <v>476.12</v>
      </c>
      <c r="H56" s="11">
        <v>-5.6676252650135798E-4</v>
      </c>
      <c r="I56" s="3">
        <f t="shared" si="3"/>
        <v>103.82841798160622</v>
      </c>
      <c r="J56" s="6">
        <f t="shared" si="4"/>
        <v>0.19781645409667584</v>
      </c>
      <c r="K56" s="35">
        <f t="shared" si="5"/>
        <v>49434.786369402354</v>
      </c>
      <c r="L56" s="39">
        <f t="shared" si="6"/>
        <v>524.87250595880028</v>
      </c>
      <c r="M56" s="3">
        <f t="shared" si="7"/>
        <v>98869.572738804709</v>
      </c>
      <c r="N56" s="41">
        <f t="shared" si="8"/>
        <v>1.1619304470966194E-2</v>
      </c>
      <c r="P56"/>
    </row>
    <row r="57" spans="1:16" x14ac:dyDescent="0.2">
      <c r="A57" s="14">
        <v>46009</v>
      </c>
      <c r="B57" s="21">
        <v>116.54</v>
      </c>
      <c r="C57" s="11">
        <v>-7.40993101098706E-3</v>
      </c>
      <c r="D57" s="2">
        <f t="shared" si="0"/>
        <v>426.11702311481025</v>
      </c>
      <c r="E57" s="12">
        <f t="shared" si="1"/>
        <v>0.80593485645773666</v>
      </c>
      <c r="F57" s="23">
        <f t="shared" si="2"/>
        <v>49659.677873799992</v>
      </c>
      <c r="G57" s="21">
        <v>483.98</v>
      </c>
      <c r="H57" s="11">
        <v>1.6508443249601001E-2</v>
      </c>
      <c r="I57" s="3">
        <f t="shared" si="3"/>
        <v>102.60688018885075</v>
      </c>
      <c r="J57" s="6">
        <f t="shared" si="4"/>
        <v>0.19406514354226337</v>
      </c>
      <c r="K57" s="35">
        <f t="shared" si="5"/>
        <v>49659.677873799992</v>
      </c>
      <c r="L57" s="39">
        <f t="shared" si="6"/>
        <v>528.72390330366102</v>
      </c>
      <c r="M57" s="3">
        <f t="shared" si="7"/>
        <v>99319.355747599984</v>
      </c>
      <c r="N57" s="41">
        <f t="shared" si="8"/>
        <v>4.5492561193069938E-3</v>
      </c>
      <c r="P57"/>
    </row>
    <row r="58" spans="1:16" x14ac:dyDescent="0.2">
      <c r="A58" s="14">
        <v>46010</v>
      </c>
      <c r="B58" s="21">
        <v>116.69</v>
      </c>
      <c r="C58" s="11">
        <v>1.2871117212973401E-3</v>
      </c>
      <c r="D58" s="2">
        <f t="shared" si="0"/>
        <v>426.69607785000244</v>
      </c>
      <c r="E58" s="12">
        <f t="shared" si="1"/>
        <v>0.80635900499493862</v>
      </c>
      <c r="F58" s="23">
        <f t="shared" si="2"/>
        <v>49791.165324316782</v>
      </c>
      <c r="G58" s="21">
        <v>485.92</v>
      </c>
      <c r="H58" s="11">
        <v>4.0084301004173701E-3</v>
      </c>
      <c r="I58" s="3">
        <f t="shared" si="3"/>
        <v>102.46782458906154</v>
      </c>
      <c r="J58" s="6">
        <f t="shared" si="4"/>
        <v>0.19364099500506129</v>
      </c>
      <c r="K58" s="35">
        <f t="shared" si="5"/>
        <v>49791.165324316782</v>
      </c>
      <c r="L58" s="39">
        <f t="shared" si="6"/>
        <v>529.16390243906403</v>
      </c>
      <c r="M58" s="3">
        <f t="shared" si="7"/>
        <v>99582.330648633564</v>
      </c>
      <c r="N58" s="41">
        <f t="shared" si="8"/>
        <v>2.6477709108572692E-3</v>
      </c>
      <c r="P58"/>
    </row>
    <row r="59" spans="1:16" x14ac:dyDescent="0.2">
      <c r="A59" s="14">
        <v>46013</v>
      </c>
      <c r="B59" s="21">
        <v>118.15</v>
      </c>
      <c r="C59" s="11">
        <v>1.25117833576143E-2</v>
      </c>
      <c r="D59" s="2">
        <f t="shared" si="0"/>
        <v>423.62606473849132</v>
      </c>
      <c r="E59" s="12">
        <f t="shared" si="1"/>
        <v>0.8040857611885851</v>
      </c>
      <c r="F59" s="23">
        <f t="shared" si="2"/>
        <v>50051.419548852755</v>
      </c>
      <c r="G59" s="21">
        <v>484.92</v>
      </c>
      <c r="H59" s="11">
        <v>-2.057951926243E-3</v>
      </c>
      <c r="I59" s="3">
        <f t="shared" si="3"/>
        <v>103.21582848480729</v>
      </c>
      <c r="J59" s="6">
        <f t="shared" si="4"/>
        <v>0.19591423881141493</v>
      </c>
      <c r="K59" s="35">
        <f t="shared" si="5"/>
        <v>50051.419548852755</v>
      </c>
      <c r="L59" s="39">
        <f t="shared" si="6"/>
        <v>526.8418932232986</v>
      </c>
      <c r="M59" s="3">
        <f t="shared" si="7"/>
        <v>100102.83909770551</v>
      </c>
      <c r="N59" s="41">
        <f t="shared" si="8"/>
        <v>5.2269157156856292E-3</v>
      </c>
      <c r="P59"/>
    </row>
    <row r="60" spans="1:16" x14ac:dyDescent="0.2">
      <c r="A60" s="14">
        <v>46014</v>
      </c>
      <c r="B60" s="21">
        <v>119.42</v>
      </c>
      <c r="C60" s="11">
        <v>1.0749047820566999E-2</v>
      </c>
      <c r="D60" s="2">
        <f t="shared" si="0"/>
        <v>422.20754793543404</v>
      </c>
      <c r="E60" s="12">
        <f t="shared" si="1"/>
        <v>0.80302505484355147</v>
      </c>
      <c r="F60" s="23">
        <f t="shared" si="2"/>
        <v>50420.025374449535</v>
      </c>
      <c r="G60" s="21">
        <v>486.85</v>
      </c>
      <c r="H60" s="11">
        <v>3.9800379444032098E-3</v>
      </c>
      <c r="I60" s="3">
        <f t="shared" si="3"/>
        <v>103.56377811327829</v>
      </c>
      <c r="J60" s="6">
        <f t="shared" si="4"/>
        <v>0.19697494515644845</v>
      </c>
      <c r="K60" s="35">
        <f t="shared" si="5"/>
        <v>50420.025374449535</v>
      </c>
      <c r="L60" s="39">
        <f t="shared" si="6"/>
        <v>525.77132604871235</v>
      </c>
      <c r="M60" s="3">
        <f t="shared" si="7"/>
        <v>100840.05074889907</v>
      </c>
      <c r="N60" s="41">
        <f t="shared" si="8"/>
        <v>7.3645428824851179E-3</v>
      </c>
      <c r="P60"/>
    </row>
    <row r="61" spans="1:16" x14ac:dyDescent="0.2">
      <c r="A61" s="14">
        <v>46015</v>
      </c>
      <c r="B61" s="21">
        <v>119.22</v>
      </c>
      <c r="C61" s="11">
        <v>-1.67476134650815E-3</v>
      </c>
      <c r="D61" s="2">
        <f t="shared" si="0"/>
        <v>423.06986604472621</v>
      </c>
      <c r="E61" s="12">
        <f t="shared" si="1"/>
        <v>0.803669060009222</v>
      </c>
      <c r="F61" s="23">
        <f t="shared" si="2"/>
        <v>50438.389429852257</v>
      </c>
      <c r="G61" s="21">
        <v>488.02</v>
      </c>
      <c r="H61" s="11">
        <v>2.40320427236307E-3</v>
      </c>
      <c r="I61" s="3">
        <f t="shared" si="3"/>
        <v>103.35311960545113</v>
      </c>
      <c r="J61" s="6">
        <f t="shared" si="4"/>
        <v>0.19633093999077794</v>
      </c>
      <c r="K61" s="35">
        <f t="shared" si="5"/>
        <v>50438.389429852257</v>
      </c>
      <c r="L61" s="39">
        <f t="shared" si="6"/>
        <v>526.42298565017734</v>
      </c>
      <c r="M61" s="3">
        <f t="shared" si="7"/>
        <v>100876.77885970451</v>
      </c>
      <c r="N61" s="41">
        <f t="shared" si="8"/>
        <v>3.6422146292747545E-4</v>
      </c>
      <c r="P61"/>
    </row>
    <row r="62" spans="1:16" x14ac:dyDescent="0.2">
      <c r="A62" s="14">
        <v>46017</v>
      </c>
      <c r="B62" s="21">
        <v>119.11</v>
      </c>
      <c r="C62" s="11">
        <v>-9.2266398255325805E-4</v>
      </c>
      <c r="D62" s="2">
        <f t="shared" si="0"/>
        <v>423.13072667014484</v>
      </c>
      <c r="E62" s="12">
        <f t="shared" si="1"/>
        <v>0.80371444579941331</v>
      </c>
      <c r="F62" s="23">
        <f t="shared" si="2"/>
        <v>50399.100853680953</v>
      </c>
      <c r="G62" s="21">
        <v>487.71</v>
      </c>
      <c r="H62" s="11">
        <v>-6.3521986803820004E-4</v>
      </c>
      <c r="I62" s="3">
        <f t="shared" si="3"/>
        <v>103.33825604084591</v>
      </c>
      <c r="J62" s="6">
        <f t="shared" si="4"/>
        <v>0.19628555420058669</v>
      </c>
      <c r="K62" s="35">
        <f t="shared" si="5"/>
        <v>50399.100853680953</v>
      </c>
      <c r="L62" s="39">
        <f t="shared" si="6"/>
        <v>526.46898271099076</v>
      </c>
      <c r="M62" s="3">
        <f t="shared" si="7"/>
        <v>100798.20170736191</v>
      </c>
      <c r="N62" s="41">
        <f t="shared" si="8"/>
        <v>-7.7894192529571495E-4</v>
      </c>
      <c r="P62"/>
    </row>
    <row r="63" spans="1:16" x14ac:dyDescent="0.2">
      <c r="A63" s="14">
        <v>46020</v>
      </c>
      <c r="B63" s="21">
        <v>120.53</v>
      </c>
      <c r="C63" s="11">
        <v>1.1921753001427299E-2</v>
      </c>
      <c r="D63" s="2">
        <f t="shared" si="0"/>
        <v>420.37671535322573</v>
      </c>
      <c r="E63" s="12">
        <f t="shared" si="1"/>
        <v>0.80163915540707331</v>
      </c>
      <c r="F63" s="23">
        <f t="shared" si="2"/>
        <v>50668.005501524298</v>
      </c>
      <c r="G63" s="21">
        <v>487.1</v>
      </c>
      <c r="H63" s="11">
        <v>-1.25074326956584E-3</v>
      </c>
      <c r="I63" s="3">
        <f t="shared" si="3"/>
        <v>104.01971977319708</v>
      </c>
      <c r="J63" s="6">
        <f t="shared" si="4"/>
        <v>0.19836084459292661</v>
      </c>
      <c r="K63" s="35">
        <f t="shared" si="5"/>
        <v>50668.005501524298</v>
      </c>
      <c r="L63" s="39">
        <f t="shared" si="6"/>
        <v>524.39643512642283</v>
      </c>
      <c r="M63" s="3">
        <f t="shared" si="7"/>
        <v>101336.0110030486</v>
      </c>
      <c r="N63" s="41">
        <f t="shared" si="8"/>
        <v>5.3355048659306584E-3</v>
      </c>
      <c r="P63"/>
    </row>
    <row r="64" spans="1:16" x14ac:dyDescent="0.2">
      <c r="A64" s="14">
        <v>46021</v>
      </c>
      <c r="B64" s="21">
        <v>120.99</v>
      </c>
      <c r="C64" s="11">
        <v>3.8164772255869402E-3</v>
      </c>
      <c r="D64" s="2">
        <f t="shared" si="0"/>
        <v>419.74093638162202</v>
      </c>
      <c r="E64" s="12">
        <f t="shared" si="1"/>
        <v>0.80115700034512793</v>
      </c>
      <c r="F64" s="23">
        <f t="shared" si="2"/>
        <v>50784.455892812446</v>
      </c>
      <c r="G64" s="21">
        <v>487.48</v>
      </c>
      <c r="H64" s="11">
        <v>7.80127283925263E-4</v>
      </c>
      <c r="I64" s="3">
        <f t="shared" si="3"/>
        <v>104.17751680645861</v>
      </c>
      <c r="J64" s="6">
        <f t="shared" si="4"/>
        <v>0.19884299965487204</v>
      </c>
      <c r="K64" s="35">
        <f t="shared" si="5"/>
        <v>50784.455892812446</v>
      </c>
      <c r="L64" s="39">
        <f t="shared" si="6"/>
        <v>523.91845318808066</v>
      </c>
      <c r="M64" s="3">
        <f t="shared" si="7"/>
        <v>101568.91178562489</v>
      </c>
      <c r="N64" s="41">
        <f t="shared" si="8"/>
        <v>2.2983022547561093E-3</v>
      </c>
      <c r="P64"/>
    </row>
    <row r="65" spans="1:16" x14ac:dyDescent="0.2">
      <c r="A65" s="14">
        <v>46022</v>
      </c>
      <c r="B65" s="21">
        <v>120.34</v>
      </c>
      <c r="C65" s="11">
        <v>-5.3723448218860404E-3</v>
      </c>
      <c r="D65" s="2">
        <f t="shared" si="0"/>
        <v>419.2037350926704</v>
      </c>
      <c r="E65" s="12">
        <f t="shared" si="1"/>
        <v>0.80074839393337305</v>
      </c>
      <c r="F65" s="23">
        <f t="shared" si="2"/>
        <v>50446.977481051959</v>
      </c>
      <c r="G65" s="21">
        <v>483.62</v>
      </c>
      <c r="H65" s="11">
        <v>-7.9182735701977796E-3</v>
      </c>
      <c r="I65" s="3">
        <f t="shared" si="3"/>
        <v>104.31118953114421</v>
      </c>
      <c r="J65" s="6">
        <f t="shared" si="4"/>
        <v>0.19925160606662692</v>
      </c>
      <c r="K65" s="35">
        <f t="shared" si="5"/>
        <v>50446.977481051959</v>
      </c>
      <c r="L65" s="39">
        <f t="shared" si="6"/>
        <v>523.51492462381464</v>
      </c>
      <c r="M65" s="3">
        <f t="shared" si="7"/>
        <v>100893.95496210392</v>
      </c>
      <c r="N65" s="41">
        <f t="shared" si="8"/>
        <v>-6.6453091960418211E-3</v>
      </c>
      <c r="P65"/>
    </row>
    <row r="66" spans="1:16" x14ac:dyDescent="0.2">
      <c r="A66" s="14">
        <v>46024</v>
      </c>
      <c r="B66" s="21">
        <v>122.65</v>
      </c>
      <c r="C66" s="11">
        <v>1.9195612431444301E-2</v>
      </c>
      <c r="D66" s="2">
        <f t="shared" si="0"/>
        <v>410.71452134519103</v>
      </c>
      <c r="E66" s="12">
        <f t="shared" si="1"/>
        <v>0.79406974596618485</v>
      </c>
      <c r="F66" s="23">
        <f t="shared" si="2"/>
        <v>50374.13604298768</v>
      </c>
      <c r="G66" s="21">
        <v>472.94</v>
      </c>
      <c r="H66" s="11">
        <v>-2.2083453951449498E-2</v>
      </c>
      <c r="I66" s="3">
        <f t="shared" si="3"/>
        <v>106.51274166487859</v>
      </c>
      <c r="J66" s="6">
        <f t="shared" si="4"/>
        <v>0.20593025403381524</v>
      </c>
      <c r="K66" s="35">
        <f t="shared" si="5"/>
        <v>50374.13604298768</v>
      </c>
      <c r="L66" s="39">
        <f t="shared" si="6"/>
        <v>517.22726301006958</v>
      </c>
      <c r="M66" s="3">
        <f t="shared" si="7"/>
        <v>100748.27208597536</v>
      </c>
      <c r="N66" s="41">
        <f t="shared" si="8"/>
        <v>-1.4439207600026858E-3</v>
      </c>
      <c r="P66"/>
    </row>
    <row r="67" spans="1:16" x14ac:dyDescent="0.2">
      <c r="A67" s="14">
        <v>46027</v>
      </c>
      <c r="B67" s="21">
        <v>125.36</v>
      </c>
      <c r="C67" s="11">
        <v>2.2095393395841802E-2</v>
      </c>
      <c r="D67" s="2">
        <f t="shared" ref="D67:D127" si="9">F67/B67</f>
        <v>406.2369268190451</v>
      </c>
      <c r="E67" s="12">
        <f t="shared" ref="E67:E127" si="10">D67/L67</f>
        <v>0.79044148375988366</v>
      </c>
      <c r="F67" s="23">
        <f t="shared" ref="F67:F127" si="11">M67/2</f>
        <v>50925.861146035495</v>
      </c>
      <c r="G67" s="21">
        <v>472.85</v>
      </c>
      <c r="H67" s="11">
        <v>-1.90298980843183E-4</v>
      </c>
      <c r="I67" s="3">
        <f t="shared" ref="I67:I127" si="12">K67/G67</f>
        <v>107.69982266265305</v>
      </c>
      <c r="J67" s="6">
        <f t="shared" ref="J67:J127" si="13">I67/L67</f>
        <v>0.20955851624011634</v>
      </c>
      <c r="K67" s="35">
        <f t="shared" ref="K67:K127" si="14">M67/2</f>
        <v>50925.861146035495</v>
      </c>
      <c r="L67" s="39">
        <f t="shared" ref="L67:L127" si="15">I67+D67</f>
        <v>513.93674948169814</v>
      </c>
      <c r="M67" s="3">
        <f t="shared" si="7"/>
        <v>101851.72229207099</v>
      </c>
      <c r="N67" s="41">
        <f t="shared" si="8"/>
        <v>1.0952547207499301E-2</v>
      </c>
      <c r="P67"/>
    </row>
    <row r="68" spans="1:16" x14ac:dyDescent="0.2">
      <c r="A68" s="14">
        <v>46028</v>
      </c>
      <c r="B68" s="21">
        <v>121.05</v>
      </c>
      <c r="C68" s="11">
        <v>-3.4380982769623501E-2</v>
      </c>
      <c r="D68" s="2">
        <f t="shared" si="9"/>
        <v>415.98687374535939</v>
      </c>
      <c r="E68" s="12">
        <f t="shared" si="10"/>
        <v>0.79810194142371071</v>
      </c>
      <c r="F68" s="23">
        <f t="shared" si="11"/>
        <v>50355.211066875752</v>
      </c>
      <c r="G68" s="21">
        <v>478.51</v>
      </c>
      <c r="H68" s="11">
        <v>1.19699693348841E-2</v>
      </c>
      <c r="I68" s="3">
        <f t="shared" si="12"/>
        <v>105.23335158486918</v>
      </c>
      <c r="J68" s="6">
        <f t="shared" si="13"/>
        <v>0.20189805857628929</v>
      </c>
      <c r="K68" s="35">
        <f t="shared" si="14"/>
        <v>50355.211066875752</v>
      </c>
      <c r="L68" s="39">
        <f t="shared" si="15"/>
        <v>521.22022533022857</v>
      </c>
      <c r="M68" s="3">
        <f t="shared" ref="M68:M127" si="16">D67*B68+I67*G68</f>
        <v>100710.4221337515</v>
      </c>
      <c r="N68" s="41">
        <f t="shared" si="8"/>
        <v>-1.1205506717369806E-2</v>
      </c>
      <c r="P68"/>
    </row>
    <row r="69" spans="1:16" x14ac:dyDescent="0.2">
      <c r="A69" s="14">
        <v>46029</v>
      </c>
      <c r="B69" s="21">
        <v>118.49</v>
      </c>
      <c r="C69" s="11">
        <v>-2.11482858323007E-2</v>
      </c>
      <c r="D69" s="2">
        <f t="shared" si="9"/>
        <v>422.68315115547449</v>
      </c>
      <c r="E69" s="12">
        <f t="shared" si="10"/>
        <v>0.80315967838394575</v>
      </c>
      <c r="F69" s="23">
        <f t="shared" si="11"/>
        <v>50083.726580412171</v>
      </c>
      <c r="G69" s="21">
        <v>483.47</v>
      </c>
      <c r="H69" s="11">
        <v>1.03655096027252E-2</v>
      </c>
      <c r="I69" s="3">
        <f t="shared" si="12"/>
        <v>103.59221167892976</v>
      </c>
      <c r="J69" s="6">
        <f t="shared" si="13"/>
        <v>0.19684032161605419</v>
      </c>
      <c r="K69" s="35">
        <f t="shared" si="14"/>
        <v>50083.726580412171</v>
      </c>
      <c r="L69" s="39">
        <f t="shared" si="15"/>
        <v>526.27536283440429</v>
      </c>
      <c r="M69" s="3">
        <f t="shared" si="16"/>
        <v>100167.45316082434</v>
      </c>
      <c r="N69" s="41">
        <f t="shared" ref="N69:N127" si="17">(M69-M68)/M68</f>
        <v>-5.391388114787731E-3</v>
      </c>
      <c r="P69"/>
    </row>
    <row r="70" spans="1:16" x14ac:dyDescent="0.2">
      <c r="A70" s="14">
        <v>46030</v>
      </c>
      <c r="B70" s="21">
        <v>122.91</v>
      </c>
      <c r="C70" s="11">
        <v>3.7302725968436201E-2</v>
      </c>
      <c r="D70" s="2">
        <f t="shared" si="9"/>
        <v>412.82425528570695</v>
      </c>
      <c r="E70" s="12">
        <f t="shared" si="10"/>
        <v>0.79549765398822003</v>
      </c>
      <c r="F70" s="23">
        <f t="shared" si="11"/>
        <v>50740.229217166241</v>
      </c>
      <c r="G70" s="21">
        <v>478.11</v>
      </c>
      <c r="H70" s="11">
        <v>-1.1086520363207701E-2</v>
      </c>
      <c r="I70" s="3">
        <f t="shared" si="12"/>
        <v>106.12668469006346</v>
      </c>
      <c r="J70" s="6">
        <f t="shared" si="13"/>
        <v>0.20450234601177997</v>
      </c>
      <c r="K70" s="35">
        <f t="shared" si="14"/>
        <v>50740.229217166241</v>
      </c>
      <c r="L70" s="39">
        <f t="shared" si="15"/>
        <v>518.95093997577044</v>
      </c>
      <c r="M70" s="3">
        <f t="shared" si="16"/>
        <v>101480.45843433248</v>
      </c>
      <c r="N70" s="41">
        <f t="shared" si="17"/>
        <v>1.3108102802614326E-2</v>
      </c>
      <c r="P70"/>
    </row>
    <row r="71" spans="1:16" x14ac:dyDescent="0.2">
      <c r="A71" s="14">
        <v>46031</v>
      </c>
      <c r="B71" s="21">
        <v>124.61</v>
      </c>
      <c r="C71" s="11">
        <v>1.3831258644536701E-2</v>
      </c>
      <c r="D71" s="2">
        <f t="shared" si="9"/>
        <v>410.50649181207586</v>
      </c>
      <c r="E71" s="12">
        <f t="shared" si="10"/>
        <v>0.79365447349682883</v>
      </c>
      <c r="F71" s="23">
        <f t="shared" si="11"/>
        <v>51153.213944702773</v>
      </c>
      <c r="G71" s="21">
        <v>479.28</v>
      </c>
      <c r="H71" s="11">
        <v>2.4471355964107802E-3</v>
      </c>
      <c r="I71" s="3">
        <f t="shared" si="12"/>
        <v>106.72928965260969</v>
      </c>
      <c r="J71" s="6">
        <f t="shared" si="13"/>
        <v>0.20634552650317109</v>
      </c>
      <c r="K71" s="35">
        <f t="shared" si="14"/>
        <v>51153.213944702773</v>
      </c>
      <c r="L71" s="39">
        <f t="shared" si="15"/>
        <v>517.2357814646856</v>
      </c>
      <c r="M71" s="3">
        <f t="shared" si="16"/>
        <v>102306.42788940555</v>
      </c>
      <c r="N71" s="41">
        <f t="shared" si="17"/>
        <v>8.1391971204736388E-3</v>
      </c>
      <c r="P71"/>
    </row>
    <row r="72" spans="1:16" x14ac:dyDescent="0.2">
      <c r="A72" s="14">
        <v>46034</v>
      </c>
      <c r="B72" s="21">
        <v>124.03</v>
      </c>
      <c r="C72" s="11">
        <v>-4.6545221089799999E-3</v>
      </c>
      <c r="D72" s="2">
        <f t="shared" si="9"/>
        <v>410.56277761785083</v>
      </c>
      <c r="E72" s="12">
        <f t="shared" si="10"/>
        <v>0.79369937293125525</v>
      </c>
      <c r="F72" s="23">
        <f t="shared" si="11"/>
        <v>50922.101307942037</v>
      </c>
      <c r="G72" s="21">
        <v>477.18</v>
      </c>
      <c r="H72" s="11">
        <v>-4.3815723585377397E-3</v>
      </c>
      <c r="I72" s="3">
        <f t="shared" si="12"/>
        <v>106.71465968385523</v>
      </c>
      <c r="J72" s="6">
        <f t="shared" si="13"/>
        <v>0.20630062706874469</v>
      </c>
      <c r="K72" s="35">
        <f t="shared" si="14"/>
        <v>50922.101307942037</v>
      </c>
      <c r="L72" s="39">
        <f t="shared" si="15"/>
        <v>517.27743730170607</v>
      </c>
      <c r="M72" s="3">
        <f t="shared" si="16"/>
        <v>101844.20261588407</v>
      </c>
      <c r="N72" s="41">
        <f t="shared" si="17"/>
        <v>-4.5180472337587865E-3</v>
      </c>
      <c r="P72"/>
    </row>
    <row r="73" spans="1:16" x14ac:dyDescent="0.2">
      <c r="A73" s="14">
        <v>46035</v>
      </c>
      <c r="B73" s="21">
        <v>126.54</v>
      </c>
      <c r="C73" s="11">
        <v>2.0237039425945399E-2</v>
      </c>
      <c r="D73" s="2">
        <f t="shared" si="9"/>
        <v>403.74586199289939</v>
      </c>
      <c r="E73" s="12">
        <f t="shared" si="10"/>
        <v>0.78811473351082528</v>
      </c>
      <c r="F73" s="23">
        <f t="shared" si="11"/>
        <v>51090.001376581495</v>
      </c>
      <c r="G73" s="21">
        <v>470.67</v>
      </c>
      <c r="H73" s="11">
        <v>-1.3642650572111101E-2</v>
      </c>
      <c r="I73" s="3">
        <f t="shared" si="12"/>
        <v>108.54739281573394</v>
      </c>
      <c r="J73" s="6">
        <f t="shared" si="13"/>
        <v>0.21188526648917466</v>
      </c>
      <c r="K73" s="35">
        <f t="shared" si="14"/>
        <v>51090.001376581495</v>
      </c>
      <c r="L73" s="39">
        <f t="shared" si="15"/>
        <v>512.29325480863338</v>
      </c>
      <c r="M73" s="3">
        <f t="shared" si="16"/>
        <v>102180.00275316299</v>
      </c>
      <c r="N73" s="41">
        <f t="shared" si="17"/>
        <v>3.297194426917159E-3</v>
      </c>
      <c r="P73"/>
    </row>
    <row r="74" spans="1:16" x14ac:dyDescent="0.2">
      <c r="A74" s="14">
        <v>46036</v>
      </c>
      <c r="B74" s="21">
        <v>130.19999999999999</v>
      </c>
      <c r="C74" s="11">
        <v>2.8923660502607699E-2</v>
      </c>
      <c r="D74" s="2">
        <f t="shared" si="9"/>
        <v>393.36487151753977</v>
      </c>
      <c r="E74" s="12">
        <f t="shared" si="10"/>
        <v>0.77916482920044783</v>
      </c>
      <c r="F74" s="23">
        <f t="shared" si="11"/>
        <v>51216.106271583674</v>
      </c>
      <c r="G74" s="21">
        <v>459.38</v>
      </c>
      <c r="H74" s="11">
        <v>-2.3987082244460101E-2</v>
      </c>
      <c r="I74" s="3">
        <f t="shared" si="12"/>
        <v>111.48963009182741</v>
      </c>
      <c r="J74" s="6">
        <f t="shared" si="13"/>
        <v>0.22083517079955223</v>
      </c>
      <c r="K74" s="35">
        <f t="shared" si="14"/>
        <v>51216.106271583674</v>
      </c>
      <c r="L74" s="39">
        <f t="shared" si="15"/>
        <v>504.85450160936716</v>
      </c>
      <c r="M74" s="3">
        <f t="shared" si="16"/>
        <v>102432.21254316735</v>
      </c>
      <c r="N74" s="41">
        <f t="shared" si="17"/>
        <v>2.4682891290737602E-3</v>
      </c>
      <c r="P74"/>
    </row>
    <row r="75" spans="1:16" x14ac:dyDescent="0.2">
      <c r="A75" s="14">
        <v>46037</v>
      </c>
      <c r="B75" s="21">
        <v>129.13</v>
      </c>
      <c r="C75" s="11">
        <v>-8.2181259600613895E-3</v>
      </c>
      <c r="D75" s="2">
        <f t="shared" si="9"/>
        <v>393.82041484083413</v>
      </c>
      <c r="E75" s="12">
        <f t="shared" si="10"/>
        <v>0.77956264190238822</v>
      </c>
      <c r="F75" s="23">
        <f t="shared" si="11"/>
        <v>50854.030168396908</v>
      </c>
      <c r="G75" s="21">
        <v>456.66</v>
      </c>
      <c r="H75" s="11">
        <v>-5.9210239888544802E-3</v>
      </c>
      <c r="I75" s="3">
        <f t="shared" si="12"/>
        <v>111.36081585511519</v>
      </c>
      <c r="J75" s="6">
        <f t="shared" si="13"/>
        <v>0.22043735809761172</v>
      </c>
      <c r="K75" s="35">
        <f t="shared" si="14"/>
        <v>50854.030168396908</v>
      </c>
      <c r="L75" s="39">
        <f t="shared" si="15"/>
        <v>505.18123069594935</v>
      </c>
      <c r="M75" s="3">
        <f t="shared" si="16"/>
        <v>101708.06033679382</v>
      </c>
      <c r="N75" s="41">
        <f t="shared" si="17"/>
        <v>-7.069574974457934E-3</v>
      </c>
      <c r="P75"/>
    </row>
    <row r="76" spans="1:16" x14ac:dyDescent="0.2">
      <c r="A76" s="14">
        <v>46038</v>
      </c>
      <c r="B76" s="21">
        <v>129.88999999999999</v>
      </c>
      <c r="C76" s="11">
        <v>5.88554170216054E-3</v>
      </c>
      <c r="D76" s="2">
        <f t="shared" si="9"/>
        <v>394.04002795753803</v>
      </c>
      <c r="E76" s="12">
        <f t="shared" si="10"/>
        <v>0.77975413310724884</v>
      </c>
      <c r="F76" s="23">
        <f t="shared" si="11"/>
        <v>51181.859231404611</v>
      </c>
      <c r="G76" s="21">
        <v>459.86</v>
      </c>
      <c r="H76" s="11">
        <v>7.0074015679060797E-3</v>
      </c>
      <c r="I76" s="3">
        <f t="shared" si="12"/>
        <v>111.29878491585397</v>
      </c>
      <c r="J76" s="6">
        <f t="shared" si="13"/>
        <v>0.22024586689275114</v>
      </c>
      <c r="K76" s="35">
        <f t="shared" si="14"/>
        <v>51181.859231404611</v>
      </c>
      <c r="L76" s="39">
        <f t="shared" si="15"/>
        <v>505.33881287339199</v>
      </c>
      <c r="M76" s="3">
        <f t="shared" si="16"/>
        <v>102363.71846280922</v>
      </c>
      <c r="N76" s="41">
        <f t="shared" si="17"/>
        <v>6.446471635033384E-3</v>
      </c>
      <c r="P76"/>
    </row>
    <row r="77" spans="1:16" x14ac:dyDescent="0.2">
      <c r="A77" s="14">
        <v>46042</v>
      </c>
      <c r="B77" s="21">
        <v>130.46</v>
      </c>
      <c r="C77" s="11">
        <v>4.3883285857265501E-3</v>
      </c>
      <c r="D77" s="2">
        <f t="shared" si="9"/>
        <v>390.90137117620094</v>
      </c>
      <c r="E77" s="12">
        <f t="shared" si="10"/>
        <v>0.77698382850695746</v>
      </c>
      <c r="F77" s="23">
        <f t="shared" si="11"/>
        <v>50996.992883647181</v>
      </c>
      <c r="G77" s="21">
        <v>454.52</v>
      </c>
      <c r="H77" s="11">
        <v>-1.1612229809072399E-2</v>
      </c>
      <c r="I77" s="3">
        <f t="shared" si="12"/>
        <v>112.19966752540523</v>
      </c>
      <c r="J77" s="6">
        <f t="shared" si="13"/>
        <v>0.22301617149304254</v>
      </c>
      <c r="K77" s="35">
        <f t="shared" si="14"/>
        <v>50996.992883647181</v>
      </c>
      <c r="L77" s="39">
        <f t="shared" si="15"/>
        <v>503.10103870160617</v>
      </c>
      <c r="M77" s="3">
        <f t="shared" si="16"/>
        <v>101993.98576729436</v>
      </c>
      <c r="N77" s="41">
        <f t="shared" si="17"/>
        <v>-3.6119506116729372E-3</v>
      </c>
      <c r="P77"/>
    </row>
    <row r="78" spans="1:16" x14ac:dyDescent="0.2">
      <c r="A78" s="14">
        <v>46043</v>
      </c>
      <c r="B78" s="21">
        <v>133.61000000000001</v>
      </c>
      <c r="C78" s="11">
        <v>2.4145331902498901E-2</v>
      </c>
      <c r="D78" s="2">
        <f t="shared" si="9"/>
        <v>381.92248539615269</v>
      </c>
      <c r="E78" s="12">
        <f t="shared" si="10"/>
        <v>0.76872879595651866</v>
      </c>
      <c r="F78" s="23">
        <f t="shared" si="11"/>
        <v>51028.663273779966</v>
      </c>
      <c r="G78" s="21">
        <v>444.11</v>
      </c>
      <c r="H78" s="11">
        <v>-2.29032825838246E-2</v>
      </c>
      <c r="I78" s="3">
        <f t="shared" si="12"/>
        <v>114.90095533489443</v>
      </c>
      <c r="J78" s="6">
        <f t="shared" si="13"/>
        <v>0.23127120404348128</v>
      </c>
      <c r="K78" s="35">
        <f t="shared" si="14"/>
        <v>51028.663273779966</v>
      </c>
      <c r="L78" s="39">
        <f t="shared" si="15"/>
        <v>496.82344073104713</v>
      </c>
      <c r="M78" s="3">
        <f t="shared" si="16"/>
        <v>102057.32654755993</v>
      </c>
      <c r="N78" s="41">
        <f t="shared" si="17"/>
        <v>6.2102465933713998E-4</v>
      </c>
      <c r="P78"/>
    </row>
    <row r="79" spans="1:16" x14ac:dyDescent="0.2">
      <c r="A79" s="14">
        <v>46044</v>
      </c>
      <c r="B79" s="21">
        <v>133.63999999999999</v>
      </c>
      <c r="C79" s="11">
        <v>2.2453409175939501E-4</v>
      </c>
      <c r="D79" s="2">
        <f t="shared" si="9"/>
        <v>384.90174325847846</v>
      </c>
      <c r="E79" s="12">
        <f t="shared" si="10"/>
        <v>0.7714696125038476</v>
      </c>
      <c r="F79" s="23">
        <f t="shared" si="11"/>
        <v>51438.268969063058</v>
      </c>
      <c r="G79" s="21">
        <v>451.14</v>
      </c>
      <c r="H79" s="11">
        <v>1.5829411632253199E-2</v>
      </c>
      <c r="I79" s="3">
        <f t="shared" si="12"/>
        <v>114.01841771747807</v>
      </c>
      <c r="J79" s="6">
        <f t="shared" si="13"/>
        <v>0.22853038749615237</v>
      </c>
      <c r="K79" s="35">
        <f t="shared" si="14"/>
        <v>51438.268969063058</v>
      </c>
      <c r="L79" s="39">
        <f t="shared" si="15"/>
        <v>498.92016097595655</v>
      </c>
      <c r="M79" s="3">
        <f t="shared" si="16"/>
        <v>102876.53793812612</v>
      </c>
      <c r="N79" s="41">
        <f t="shared" si="17"/>
        <v>8.0269728620063381E-3</v>
      </c>
      <c r="P79"/>
    </row>
    <row r="80" spans="1:16" x14ac:dyDescent="0.2">
      <c r="A80" s="14">
        <v>46045</v>
      </c>
      <c r="B80" s="21">
        <v>134.97</v>
      </c>
      <c r="C80" s="11">
        <v>9.9521101466627706E-3</v>
      </c>
      <c r="D80" s="2">
        <f t="shared" si="9"/>
        <v>389.26083582668645</v>
      </c>
      <c r="E80" s="12">
        <f t="shared" si="10"/>
        <v>0.77539439526060039</v>
      </c>
      <c r="F80" s="23">
        <f t="shared" si="11"/>
        <v>52538.535011527871</v>
      </c>
      <c r="G80" s="21">
        <v>465.95</v>
      </c>
      <c r="H80" s="11">
        <v>3.2827946978764899E-2</v>
      </c>
      <c r="I80" s="3">
        <f t="shared" si="12"/>
        <v>112.75573561868842</v>
      </c>
      <c r="J80" s="6">
        <f t="shared" si="13"/>
        <v>0.22460560473939958</v>
      </c>
      <c r="K80" s="35">
        <f t="shared" si="14"/>
        <v>52538.535011527871</v>
      </c>
      <c r="L80" s="39">
        <f t="shared" si="15"/>
        <v>502.01657144537489</v>
      </c>
      <c r="M80" s="3">
        <f t="shared" si="16"/>
        <v>105077.07002305574</v>
      </c>
      <c r="N80" s="41">
        <f t="shared" si="17"/>
        <v>2.1390028562713784E-2</v>
      </c>
      <c r="P80"/>
    </row>
    <row r="81" spans="1:16" x14ac:dyDescent="0.2">
      <c r="A81" s="14">
        <v>46048</v>
      </c>
      <c r="B81" s="21">
        <v>134.84</v>
      </c>
      <c r="C81" s="11">
        <v>-9.6317700229677297E-4</v>
      </c>
      <c r="D81" s="2">
        <f t="shared" si="9"/>
        <v>391.25889368743395</v>
      </c>
      <c r="E81" s="12">
        <f t="shared" si="10"/>
        <v>0.77716816499206776</v>
      </c>
      <c r="F81" s="23">
        <f t="shared" si="11"/>
        <v>52757.349224813595</v>
      </c>
      <c r="G81" s="21">
        <v>470.28</v>
      </c>
      <c r="H81" s="11">
        <v>9.2928425796759001E-3</v>
      </c>
      <c r="I81" s="3">
        <f t="shared" si="12"/>
        <v>112.18284686742706</v>
      </c>
      <c r="J81" s="6">
        <f t="shared" si="13"/>
        <v>0.22283183500793233</v>
      </c>
      <c r="K81" s="35">
        <f t="shared" si="14"/>
        <v>52757.349224813595</v>
      </c>
      <c r="L81" s="39">
        <f t="shared" si="15"/>
        <v>503.44174055486098</v>
      </c>
      <c r="M81" s="3">
        <f t="shared" si="16"/>
        <v>105514.69844962719</v>
      </c>
      <c r="N81" s="41">
        <f t="shared" si="17"/>
        <v>4.164832788689541E-3</v>
      </c>
      <c r="P81"/>
    </row>
    <row r="82" spans="1:16" x14ac:dyDescent="0.2">
      <c r="A82" s="14">
        <v>46049</v>
      </c>
      <c r="B82" s="21">
        <v>136.83000000000001</v>
      </c>
      <c r="C82" s="11">
        <v>1.4758231978641401E-2</v>
      </c>
      <c r="D82" s="2">
        <f t="shared" si="9"/>
        <v>392.6360701995165</v>
      </c>
      <c r="E82" s="12">
        <f t="shared" si="10"/>
        <v>0.77838065467031625</v>
      </c>
      <c r="F82" s="23">
        <f t="shared" si="11"/>
        <v>53724.393485399843</v>
      </c>
      <c r="G82" s="21">
        <v>480.58</v>
      </c>
      <c r="H82" s="11">
        <v>2.19018457089394E-2</v>
      </c>
      <c r="I82" s="3">
        <f t="shared" si="12"/>
        <v>111.79073928461411</v>
      </c>
      <c r="J82" s="6">
        <f t="shared" si="13"/>
        <v>0.22161934532968369</v>
      </c>
      <c r="K82" s="35">
        <f t="shared" si="14"/>
        <v>53724.393485399843</v>
      </c>
      <c r="L82" s="39">
        <f t="shared" si="15"/>
        <v>504.42680948413062</v>
      </c>
      <c r="M82" s="3">
        <f t="shared" si="16"/>
        <v>107448.78697079969</v>
      </c>
      <c r="N82" s="41">
        <f t="shared" si="17"/>
        <v>1.8330038843790392E-2</v>
      </c>
      <c r="P82"/>
    </row>
    <row r="83" spans="1:16" x14ac:dyDescent="0.2">
      <c r="A83" s="14">
        <v>46050</v>
      </c>
      <c r="B83" s="21">
        <v>137.58000000000001</v>
      </c>
      <c r="C83" s="11">
        <v>5.4812541109405801E-3</v>
      </c>
      <c r="D83" s="2">
        <f t="shared" si="9"/>
        <v>391.99245638791308</v>
      </c>
      <c r="E83" s="12">
        <f t="shared" si="10"/>
        <v>0.77781366579997091</v>
      </c>
      <c r="F83" s="23">
        <f t="shared" si="11"/>
        <v>53930.322149849089</v>
      </c>
      <c r="G83" s="21">
        <v>481.63</v>
      </c>
      <c r="H83" s="11">
        <v>2.1848599608806302E-3</v>
      </c>
      <c r="I83" s="3">
        <f t="shared" si="12"/>
        <v>111.97459076438156</v>
      </c>
      <c r="J83" s="6">
        <f t="shared" si="13"/>
        <v>0.22218633420002909</v>
      </c>
      <c r="K83" s="35">
        <f t="shared" si="14"/>
        <v>53930.322149849089</v>
      </c>
      <c r="L83" s="39">
        <f t="shared" si="15"/>
        <v>503.96704715229464</v>
      </c>
      <c r="M83" s="3">
        <f t="shared" si="16"/>
        <v>107860.64429969818</v>
      </c>
      <c r="N83" s="41">
        <f t="shared" si="17"/>
        <v>3.8330570359106815E-3</v>
      </c>
      <c r="P83"/>
    </row>
    <row r="84" spans="1:16" x14ac:dyDescent="0.2">
      <c r="A84" s="14">
        <v>46051</v>
      </c>
      <c r="B84" s="21">
        <v>140.51</v>
      </c>
      <c r="C84" s="11">
        <v>2.1296700101758801E-2</v>
      </c>
      <c r="D84" s="2">
        <f t="shared" si="9"/>
        <v>368.72765334647028</v>
      </c>
      <c r="E84" s="12">
        <f t="shared" si="10"/>
        <v>0.75521332380968975</v>
      </c>
      <c r="F84" s="23">
        <f t="shared" si="11"/>
        <v>51809.922571712537</v>
      </c>
      <c r="G84" s="21">
        <v>433.5</v>
      </c>
      <c r="H84" s="11">
        <v>-9.9931482673421501E-2</v>
      </c>
      <c r="I84" s="3">
        <f t="shared" si="12"/>
        <v>119.51539232228959</v>
      </c>
      <c r="J84" s="6">
        <f t="shared" si="13"/>
        <v>0.24478667619031025</v>
      </c>
      <c r="K84" s="35">
        <f t="shared" si="14"/>
        <v>51809.922571712537</v>
      </c>
      <c r="L84" s="39">
        <f t="shared" si="15"/>
        <v>488.24304566875986</v>
      </c>
      <c r="M84" s="3">
        <f t="shared" si="16"/>
        <v>103619.84514342507</v>
      </c>
      <c r="N84" s="41">
        <f t="shared" si="17"/>
        <v>-3.931739128583131E-2</v>
      </c>
      <c r="P84"/>
    </row>
    <row r="85" spans="1:16" x14ac:dyDescent="0.2">
      <c r="A85" s="14">
        <v>46052</v>
      </c>
      <c r="B85" s="21">
        <v>141.4</v>
      </c>
      <c r="C85" s="11">
        <v>6.3340687495552998E-3</v>
      </c>
      <c r="D85" s="2">
        <f t="shared" si="9"/>
        <v>366.21063771410496</v>
      </c>
      <c r="E85" s="12">
        <f t="shared" si="10"/>
        <v>0.75266315660585281</v>
      </c>
      <c r="F85" s="23">
        <f t="shared" si="11"/>
        <v>51782.184172774447</v>
      </c>
      <c r="G85" s="21">
        <v>430.29</v>
      </c>
      <c r="H85" s="11">
        <v>-7.4048442906573904E-3</v>
      </c>
      <c r="I85" s="3">
        <f t="shared" si="12"/>
        <v>120.34252288636604</v>
      </c>
      <c r="J85" s="6">
        <f t="shared" si="13"/>
        <v>0.24733684339414719</v>
      </c>
      <c r="K85" s="35">
        <f t="shared" si="14"/>
        <v>51782.184172774447</v>
      </c>
      <c r="L85" s="39">
        <f t="shared" si="15"/>
        <v>486.55316060047102</v>
      </c>
      <c r="M85" s="3">
        <f t="shared" si="16"/>
        <v>103564.36834554889</v>
      </c>
      <c r="N85" s="41">
        <f t="shared" si="17"/>
        <v>-5.3538777055102762E-4</v>
      </c>
      <c r="P85"/>
    </row>
    <row r="86" spans="1:16" x14ac:dyDescent="0.2">
      <c r="A86" s="14">
        <v>46055</v>
      </c>
      <c r="B86" s="21">
        <v>138.4</v>
      </c>
      <c r="C86" s="11">
        <v>-2.12164073550212E-2</v>
      </c>
      <c r="D86" s="2">
        <f t="shared" si="9"/>
        <v>367.17112057092817</v>
      </c>
      <c r="E86" s="12">
        <f t="shared" si="10"/>
        <v>0.75363582960998277</v>
      </c>
      <c r="F86" s="23">
        <f t="shared" si="11"/>
        <v>50816.483087016459</v>
      </c>
      <c r="G86" s="21">
        <v>423.37</v>
      </c>
      <c r="H86" s="11">
        <v>-1.60821771363499E-2</v>
      </c>
      <c r="I86" s="3">
        <f t="shared" si="12"/>
        <v>120.0285402532453</v>
      </c>
      <c r="J86" s="6">
        <f t="shared" si="13"/>
        <v>0.24636417039001729</v>
      </c>
      <c r="K86" s="35">
        <f t="shared" si="14"/>
        <v>50816.483087016459</v>
      </c>
      <c r="L86" s="39">
        <f t="shared" si="15"/>
        <v>487.19966082417346</v>
      </c>
      <c r="M86" s="3">
        <f t="shared" si="16"/>
        <v>101632.96617403292</v>
      </c>
      <c r="N86" s="41">
        <f t="shared" si="17"/>
        <v>-1.8649292245685636E-2</v>
      </c>
      <c r="P86"/>
    </row>
    <row r="87" spans="1:16" x14ac:dyDescent="0.2">
      <c r="A87" s="14">
        <v>46056</v>
      </c>
      <c r="B87" s="21">
        <v>143.72999999999999</v>
      </c>
      <c r="C87" s="11">
        <v>3.8511560693641499E-2</v>
      </c>
      <c r="D87" s="2">
        <f t="shared" si="9"/>
        <v>355.28574826826861</v>
      </c>
      <c r="E87" s="12">
        <f t="shared" si="10"/>
        <v>0.7409990269218294</v>
      </c>
      <c r="F87" s="23">
        <f t="shared" si="11"/>
        <v>51065.220598598244</v>
      </c>
      <c r="G87" s="21">
        <v>411.21</v>
      </c>
      <c r="H87" s="11">
        <v>-2.8721921723315402E-2</v>
      </c>
      <c r="I87" s="3">
        <f t="shared" si="12"/>
        <v>124.18282774883453</v>
      </c>
      <c r="J87" s="6">
        <f t="shared" si="13"/>
        <v>0.2590009730781706</v>
      </c>
      <c r="K87" s="35">
        <f t="shared" si="14"/>
        <v>51065.220598598244</v>
      </c>
      <c r="L87" s="39">
        <f t="shared" si="15"/>
        <v>479.46857601710315</v>
      </c>
      <c r="M87" s="3">
        <f t="shared" si="16"/>
        <v>102130.44119719649</v>
      </c>
      <c r="N87" s="41">
        <f t="shared" si="17"/>
        <v>4.8948194851630147E-3</v>
      </c>
      <c r="P87"/>
    </row>
    <row r="88" spans="1:16" x14ac:dyDescent="0.2">
      <c r="A88" s="14">
        <v>46057</v>
      </c>
      <c r="B88" s="21">
        <v>147.59</v>
      </c>
      <c r="C88" s="11">
        <v>2.6855910387532302E-2</v>
      </c>
      <c r="D88" s="2">
        <f t="shared" si="9"/>
        <v>351.89345149469318</v>
      </c>
      <c r="E88" s="12">
        <f t="shared" si="10"/>
        <v>0.73728149809533983</v>
      </c>
      <c r="F88" s="23">
        <f t="shared" si="11"/>
        <v>51935.954506101771</v>
      </c>
      <c r="G88" s="21">
        <v>414.19</v>
      </c>
      <c r="H88" s="11">
        <v>7.2469054740887098E-3</v>
      </c>
      <c r="I88" s="3">
        <f t="shared" si="12"/>
        <v>125.39161859557636</v>
      </c>
      <c r="J88" s="6">
        <f t="shared" si="13"/>
        <v>0.26271850190466023</v>
      </c>
      <c r="K88" s="35">
        <f t="shared" si="14"/>
        <v>51935.954506101771</v>
      </c>
      <c r="L88" s="39">
        <f t="shared" si="15"/>
        <v>477.28507009026953</v>
      </c>
      <c r="M88" s="3">
        <f t="shared" si="16"/>
        <v>103871.90901220354</v>
      </c>
      <c r="N88" s="41">
        <f t="shared" si="17"/>
        <v>1.7051407930810523E-2</v>
      </c>
      <c r="P88"/>
    </row>
    <row r="89" spans="1:16" x14ac:dyDescent="0.2">
      <c r="A89" s="14">
        <v>46058</v>
      </c>
      <c r="B89" s="21">
        <v>146.08000000000001</v>
      </c>
      <c r="C89" s="11">
        <v>-1.0231045463784699E-2</v>
      </c>
      <c r="D89" s="2">
        <f t="shared" si="9"/>
        <v>344.90523646928165</v>
      </c>
      <c r="E89" s="12">
        <f t="shared" si="10"/>
        <v>0.72935618341824915</v>
      </c>
      <c r="F89" s="23">
        <f t="shared" si="11"/>
        <v>50383.756943432665</v>
      </c>
      <c r="G89" s="21">
        <v>393.67</v>
      </c>
      <c r="H89" s="11">
        <v>-4.9542480504116401E-2</v>
      </c>
      <c r="I89" s="3">
        <f t="shared" si="12"/>
        <v>127.98475104385059</v>
      </c>
      <c r="J89" s="6">
        <f t="shared" si="13"/>
        <v>0.2706438165817508</v>
      </c>
      <c r="K89" s="35">
        <f t="shared" si="14"/>
        <v>50383.756943432665</v>
      </c>
      <c r="L89" s="39">
        <f t="shared" si="15"/>
        <v>472.88998751313227</v>
      </c>
      <c r="M89" s="3">
        <f t="shared" si="16"/>
        <v>100767.51388686533</v>
      </c>
      <c r="N89" s="41">
        <f t="shared" si="17"/>
        <v>-2.9886762983950616E-2</v>
      </c>
      <c r="P89"/>
    </row>
    <row r="90" spans="1:16" x14ac:dyDescent="0.2">
      <c r="A90" s="14">
        <v>46059</v>
      </c>
      <c r="B90" s="21">
        <v>149.05000000000001</v>
      </c>
      <c r="C90" s="11">
        <v>2.0331325301204801E-2</v>
      </c>
      <c r="D90" s="2">
        <f t="shared" si="9"/>
        <v>344.67604337295086</v>
      </c>
      <c r="E90" s="12">
        <f t="shared" si="10"/>
        <v>0.72909358585216011</v>
      </c>
      <c r="F90" s="23">
        <f t="shared" si="11"/>
        <v>51373.96426473833</v>
      </c>
      <c r="G90" s="21">
        <v>401.14</v>
      </c>
      <c r="H90" s="11">
        <v>1.8975283867198298E-2</v>
      </c>
      <c r="I90" s="3">
        <f t="shared" si="12"/>
        <v>128.06991141431504</v>
      </c>
      <c r="J90" s="6">
        <f t="shared" si="13"/>
        <v>0.27090641414783989</v>
      </c>
      <c r="K90" s="35">
        <f t="shared" si="14"/>
        <v>51373.96426473833</v>
      </c>
      <c r="L90" s="39">
        <f t="shared" si="15"/>
        <v>472.74595478726587</v>
      </c>
      <c r="M90" s="3">
        <f t="shared" si="16"/>
        <v>102747.92852947666</v>
      </c>
      <c r="N90" s="41">
        <f t="shared" si="17"/>
        <v>1.9653304584201604E-2</v>
      </c>
      <c r="P90"/>
    </row>
    <row r="91" spans="1:16" x14ac:dyDescent="0.2">
      <c r="A91" s="14">
        <v>46062</v>
      </c>
      <c r="B91" s="21">
        <v>151.21</v>
      </c>
      <c r="C91" s="11">
        <v>1.4491781281449199E-2</v>
      </c>
      <c r="D91" s="2">
        <f t="shared" si="9"/>
        <v>347.4908401540394</v>
      </c>
      <c r="E91" s="12">
        <f t="shared" si="10"/>
        <v>0.73228165223703545</v>
      </c>
      <c r="F91" s="23">
        <f t="shared" si="11"/>
        <v>52544.089939692305</v>
      </c>
      <c r="G91" s="21">
        <v>413.6</v>
      </c>
      <c r="H91" s="11">
        <v>3.1061474796829101E-2</v>
      </c>
      <c r="I91" s="3">
        <f t="shared" si="12"/>
        <v>127.04083641124831</v>
      </c>
      <c r="J91" s="6">
        <f t="shared" si="13"/>
        <v>0.26771834776296455</v>
      </c>
      <c r="K91" s="35">
        <f t="shared" si="14"/>
        <v>52544.089939692305</v>
      </c>
      <c r="L91" s="39">
        <f t="shared" si="15"/>
        <v>474.53167656528774</v>
      </c>
      <c r="M91" s="3">
        <f t="shared" si="16"/>
        <v>105088.17987938461</v>
      </c>
      <c r="N91" s="41">
        <f t="shared" si="17"/>
        <v>2.277662803913922E-2</v>
      </c>
      <c r="P91"/>
    </row>
    <row r="92" spans="1:16" x14ac:dyDescent="0.2">
      <c r="A92" s="14">
        <v>46063</v>
      </c>
      <c r="B92" s="21">
        <v>151.59</v>
      </c>
      <c r="C92" s="11">
        <v>2.5130613054691799E-3</v>
      </c>
      <c r="D92" s="2">
        <f t="shared" si="9"/>
        <v>346.91702263548854</v>
      </c>
      <c r="E92" s="12">
        <f t="shared" si="10"/>
        <v>0.73163261693162907</v>
      </c>
      <c r="F92" s="23">
        <f t="shared" si="11"/>
        <v>52589.151461313711</v>
      </c>
      <c r="G92" s="21">
        <v>413.27</v>
      </c>
      <c r="H92" s="11">
        <v>-7.9787234042563097E-4</v>
      </c>
      <c r="I92" s="3">
        <f t="shared" si="12"/>
        <v>127.2513162371179</v>
      </c>
      <c r="J92" s="6">
        <f t="shared" si="13"/>
        <v>0.26836738306837093</v>
      </c>
      <c r="K92" s="35">
        <f t="shared" si="14"/>
        <v>52589.151461313711</v>
      </c>
      <c r="L92" s="39">
        <f t="shared" si="15"/>
        <v>474.16833887260645</v>
      </c>
      <c r="M92" s="3">
        <f t="shared" si="16"/>
        <v>105178.30292262742</v>
      </c>
      <c r="N92" s="41">
        <f t="shared" si="17"/>
        <v>8.5759448252174461E-4</v>
      </c>
      <c r="P92"/>
    </row>
    <row r="93" spans="1:16" x14ac:dyDescent="0.2">
      <c r="A93" s="14">
        <v>46064</v>
      </c>
      <c r="B93" s="21">
        <v>155.56</v>
      </c>
      <c r="C93" s="11">
        <v>2.61890626030741E-2</v>
      </c>
      <c r="D93" s="2">
        <f t="shared" si="9"/>
        <v>338.85004753143471</v>
      </c>
      <c r="E93" s="12">
        <f t="shared" si="10"/>
        <v>0.72217955815905555</v>
      </c>
      <c r="F93" s="23">
        <f t="shared" si="11"/>
        <v>52711.513393989982</v>
      </c>
      <c r="G93" s="21">
        <v>404.37</v>
      </c>
      <c r="H93" s="11">
        <v>-2.1535557867737701E-2</v>
      </c>
      <c r="I93" s="3">
        <f t="shared" si="12"/>
        <v>130.35465883717879</v>
      </c>
      <c r="J93" s="6">
        <f t="shared" si="13"/>
        <v>0.2778204418409444</v>
      </c>
      <c r="K93" s="35">
        <f t="shared" si="14"/>
        <v>52711.513393989982</v>
      </c>
      <c r="L93" s="39">
        <f t="shared" si="15"/>
        <v>469.20470636861353</v>
      </c>
      <c r="M93" s="3">
        <f t="shared" si="16"/>
        <v>105423.02678797996</v>
      </c>
      <c r="N93" s="41">
        <f t="shared" si="17"/>
        <v>2.326752367668156E-3</v>
      </c>
      <c r="P93"/>
    </row>
    <row r="94" spans="1:16" x14ac:dyDescent="0.2">
      <c r="A94" s="14">
        <v>46065</v>
      </c>
      <c r="B94" s="21">
        <v>149.93</v>
      </c>
      <c r="C94" s="11">
        <v>-3.61918230907688E-2</v>
      </c>
      <c r="D94" s="2">
        <f t="shared" si="9"/>
        <v>344.11226483532289</v>
      </c>
      <c r="E94" s="12">
        <f t="shared" si="10"/>
        <v>0.72827446218533076</v>
      </c>
      <c r="F94" s="23">
        <f t="shared" si="11"/>
        <v>51592.751866759965</v>
      </c>
      <c r="G94" s="21">
        <v>401.84</v>
      </c>
      <c r="H94" s="11">
        <v>-6.2566461409106298E-3</v>
      </c>
      <c r="I94" s="3">
        <f t="shared" si="12"/>
        <v>128.39127977991234</v>
      </c>
      <c r="J94" s="6">
        <f t="shared" si="13"/>
        <v>0.27172553781466918</v>
      </c>
      <c r="K94" s="35">
        <f t="shared" si="14"/>
        <v>51592.751866759965</v>
      </c>
      <c r="L94" s="39">
        <f t="shared" si="15"/>
        <v>472.50354461523523</v>
      </c>
      <c r="M94" s="3">
        <f t="shared" si="16"/>
        <v>103185.50373351993</v>
      </c>
      <c r="N94" s="41">
        <f t="shared" si="17"/>
        <v>-2.1224234615839645E-2</v>
      </c>
      <c r="P94"/>
    </row>
    <row r="95" spans="1:16" x14ac:dyDescent="0.2">
      <c r="A95" s="14">
        <v>46066</v>
      </c>
      <c r="B95" s="21">
        <v>148.44999999999999</v>
      </c>
      <c r="C95" s="11">
        <v>-9.8712732608551897E-3</v>
      </c>
      <c r="D95" s="2">
        <f t="shared" si="9"/>
        <v>345.60274205482688</v>
      </c>
      <c r="E95" s="12">
        <f t="shared" si="10"/>
        <v>0.72997799079615122</v>
      </c>
      <c r="F95" s="23">
        <f t="shared" si="11"/>
        <v>51304.727058039047</v>
      </c>
      <c r="G95" s="21">
        <v>401.32</v>
      </c>
      <c r="H95" s="11">
        <v>-1.2940473820425599E-3</v>
      </c>
      <c r="I95" s="3">
        <f t="shared" si="12"/>
        <v>127.83994582387882</v>
      </c>
      <c r="J95" s="6">
        <f t="shared" si="13"/>
        <v>0.27002200920384889</v>
      </c>
      <c r="K95" s="35">
        <f t="shared" si="14"/>
        <v>51304.727058039047</v>
      </c>
      <c r="L95" s="39">
        <f t="shared" si="15"/>
        <v>473.44268787870567</v>
      </c>
      <c r="M95" s="3">
        <f t="shared" si="16"/>
        <v>102609.45411607809</v>
      </c>
      <c r="N95" s="41">
        <f t="shared" si="17"/>
        <v>-5.5826603214488776E-3</v>
      </c>
      <c r="P95"/>
    </row>
    <row r="96" spans="1:16" x14ac:dyDescent="0.2">
      <c r="A96" s="14">
        <v>46070</v>
      </c>
      <c r="B96" s="21">
        <v>146.19</v>
      </c>
      <c r="C96" s="11">
        <v>-1.52239811384304E-2</v>
      </c>
      <c r="D96" s="2">
        <f t="shared" si="9"/>
        <v>346.32405007408067</v>
      </c>
      <c r="E96" s="12">
        <f t="shared" si="10"/>
        <v>0.73079826903600043</v>
      </c>
      <c r="F96" s="23">
        <f t="shared" si="11"/>
        <v>50629.112880329849</v>
      </c>
      <c r="G96" s="21">
        <v>396.86</v>
      </c>
      <c r="H96" s="11">
        <v>-1.11133260241204E-2</v>
      </c>
      <c r="I96" s="3">
        <f t="shared" si="12"/>
        <v>127.57423998470455</v>
      </c>
      <c r="J96" s="6">
        <f t="shared" si="13"/>
        <v>0.26920173096399963</v>
      </c>
      <c r="K96" s="35">
        <f t="shared" si="14"/>
        <v>50629.112880329849</v>
      </c>
      <c r="L96" s="39">
        <f t="shared" si="15"/>
        <v>473.89829005878522</v>
      </c>
      <c r="M96" s="3">
        <f t="shared" si="16"/>
        <v>101258.2257606597</v>
      </c>
      <c r="N96" s="41">
        <f t="shared" si="17"/>
        <v>-1.3168653581275306E-2</v>
      </c>
      <c r="P96"/>
    </row>
    <row r="97" spans="1:16" x14ac:dyDescent="0.2">
      <c r="A97" s="14">
        <v>46071</v>
      </c>
      <c r="B97" s="21">
        <v>150.68</v>
      </c>
      <c r="C97" s="11">
        <v>3.0713455092687698E-2</v>
      </c>
      <c r="D97" s="2">
        <f t="shared" si="9"/>
        <v>342.32404487340858</v>
      </c>
      <c r="E97" s="12">
        <f t="shared" si="10"/>
        <v>0.72617576506505777</v>
      </c>
      <c r="F97" s="23">
        <f t="shared" si="11"/>
        <v>51581.387081525208</v>
      </c>
      <c r="G97" s="21">
        <v>399.6</v>
      </c>
      <c r="H97" s="11">
        <v>6.9041979539384403E-3</v>
      </c>
      <c r="I97" s="3">
        <f t="shared" si="12"/>
        <v>129.08255025406709</v>
      </c>
      <c r="J97" s="6">
        <f t="shared" si="13"/>
        <v>0.27382423493494223</v>
      </c>
      <c r="K97" s="35">
        <f t="shared" si="14"/>
        <v>51581.387081525208</v>
      </c>
      <c r="L97" s="39">
        <f t="shared" si="15"/>
        <v>471.40659512747567</v>
      </c>
      <c r="M97" s="3">
        <f t="shared" si="16"/>
        <v>103162.77416305042</v>
      </c>
      <c r="N97" s="41">
        <f t="shared" si="17"/>
        <v>1.8808826523313074E-2</v>
      </c>
      <c r="P97"/>
    </row>
    <row r="98" spans="1:16" x14ac:dyDescent="0.2">
      <c r="A98" s="14">
        <v>46072</v>
      </c>
      <c r="B98" s="21">
        <v>150.97</v>
      </c>
      <c r="C98" s="11">
        <v>1.92460844173077E-3</v>
      </c>
      <c r="D98" s="2">
        <f t="shared" si="9"/>
        <v>341.50789570369631</v>
      </c>
      <c r="E98" s="12">
        <f t="shared" si="10"/>
        <v>0.72522432338969478</v>
      </c>
      <c r="F98" s="23">
        <f t="shared" si="11"/>
        <v>51557.447014387028</v>
      </c>
      <c r="G98" s="21">
        <v>398.46</v>
      </c>
      <c r="H98" s="11">
        <v>-2.85285285285296E-3</v>
      </c>
      <c r="I98" s="3">
        <f t="shared" si="12"/>
        <v>129.39177587307893</v>
      </c>
      <c r="J98" s="6">
        <f t="shared" si="13"/>
        <v>0.27477567661030522</v>
      </c>
      <c r="K98" s="35">
        <f t="shared" si="14"/>
        <v>51557.447014387028</v>
      </c>
      <c r="L98" s="39">
        <f t="shared" si="15"/>
        <v>470.89967157677523</v>
      </c>
      <c r="M98" s="3">
        <f t="shared" si="16"/>
        <v>103114.89402877406</v>
      </c>
      <c r="N98" s="41">
        <f t="shared" si="17"/>
        <v>-4.6412220556115005E-4</v>
      </c>
      <c r="P98"/>
    </row>
    <row r="99" spans="1:16" x14ac:dyDescent="0.2">
      <c r="A99" s="14">
        <v>46073</v>
      </c>
      <c r="B99" s="21">
        <v>147.28</v>
      </c>
      <c r="C99" s="11">
        <v>-2.44419421077035E-2</v>
      </c>
      <c r="D99" s="2">
        <f t="shared" si="9"/>
        <v>345.24571567525646</v>
      </c>
      <c r="E99" s="12">
        <f t="shared" si="10"/>
        <v>0.72951828249251627</v>
      </c>
      <c r="F99" s="23">
        <f t="shared" si="11"/>
        <v>50847.789004651771</v>
      </c>
      <c r="G99" s="21">
        <v>397.23</v>
      </c>
      <c r="H99" s="11">
        <v>-3.0868845053454801E-3</v>
      </c>
      <c r="I99" s="3">
        <f t="shared" si="12"/>
        <v>128.00591346235623</v>
      </c>
      <c r="J99" s="6">
        <f t="shared" si="13"/>
        <v>0.27048171750748379</v>
      </c>
      <c r="K99" s="35">
        <f t="shared" si="14"/>
        <v>50847.789004651771</v>
      </c>
      <c r="L99" s="39">
        <f t="shared" si="15"/>
        <v>473.25162913761267</v>
      </c>
      <c r="M99" s="3">
        <f t="shared" si="16"/>
        <v>101695.57800930354</v>
      </c>
      <c r="N99" s="41">
        <f t="shared" si="17"/>
        <v>-1.3764413306524413E-2</v>
      </c>
      <c r="P99"/>
    </row>
    <row r="100" spans="1:16" x14ac:dyDescent="0.2">
      <c r="A100" s="14">
        <v>46076</v>
      </c>
      <c r="B100" s="21">
        <v>150.76</v>
      </c>
      <c r="C100" s="11">
        <v>2.3628462791960798E-2</v>
      </c>
      <c r="D100" s="2">
        <f t="shared" si="9"/>
        <v>335.84398263489572</v>
      </c>
      <c r="E100" s="12">
        <f t="shared" si="10"/>
        <v>0.71832670067073967</v>
      </c>
      <c r="F100" s="23">
        <f t="shared" si="11"/>
        <v>50631.83882203688</v>
      </c>
      <c r="G100" s="21">
        <v>384.47</v>
      </c>
      <c r="H100" s="11">
        <v>-3.2122447952067999E-2</v>
      </c>
      <c r="I100" s="3">
        <f t="shared" si="12"/>
        <v>131.69256072525002</v>
      </c>
      <c r="J100" s="6">
        <f t="shared" si="13"/>
        <v>0.28167329932926027</v>
      </c>
      <c r="K100" s="35">
        <f t="shared" si="14"/>
        <v>50631.83882203688</v>
      </c>
      <c r="L100" s="39">
        <f t="shared" si="15"/>
        <v>467.53654336014574</v>
      </c>
      <c r="M100" s="3">
        <f t="shared" si="16"/>
        <v>101263.67764407376</v>
      </c>
      <c r="N100" s="41">
        <f t="shared" si="17"/>
        <v>-4.2469925800536898E-3</v>
      </c>
      <c r="P100"/>
    </row>
    <row r="101" spans="1:16" x14ac:dyDescent="0.2">
      <c r="A101" s="14">
        <v>46077</v>
      </c>
      <c r="B101" s="21">
        <v>149.26</v>
      </c>
      <c r="C101" s="11">
        <v>-9.9495887503316498E-3</v>
      </c>
      <c r="D101" s="2">
        <f t="shared" si="9"/>
        <v>339.52994429253249</v>
      </c>
      <c r="E101" s="12">
        <f t="shared" si="10"/>
        <v>0.72269906736521383</v>
      </c>
      <c r="F101" s="23">
        <f t="shared" si="11"/>
        <v>50678.239485103397</v>
      </c>
      <c r="G101" s="21">
        <v>389</v>
      </c>
      <c r="H101" s="11">
        <v>1.17824537675241E-2</v>
      </c>
      <c r="I101" s="3">
        <f t="shared" si="12"/>
        <v>130.27825060437891</v>
      </c>
      <c r="J101" s="6">
        <f t="shared" si="13"/>
        <v>0.27730093263478617</v>
      </c>
      <c r="K101" s="35">
        <f t="shared" si="14"/>
        <v>50678.239485103397</v>
      </c>
      <c r="L101" s="39">
        <f t="shared" si="15"/>
        <v>469.8081948969114</v>
      </c>
      <c r="M101" s="3">
        <f t="shared" si="16"/>
        <v>101356.47897020679</v>
      </c>
      <c r="N101" s="41">
        <f t="shared" si="17"/>
        <v>9.1643250859618872E-4</v>
      </c>
      <c r="P101"/>
    </row>
    <row r="102" spans="1:16" x14ac:dyDescent="0.2">
      <c r="A102" s="14">
        <v>46078</v>
      </c>
      <c r="B102" s="21">
        <v>149.06</v>
      </c>
      <c r="C102" s="11">
        <v>-1.3399437223635801E-3</v>
      </c>
      <c r="D102" s="2">
        <f t="shared" si="9"/>
        <v>344.82691764510628</v>
      </c>
      <c r="E102" s="12">
        <f t="shared" si="10"/>
        <v>0.72881417603609511</v>
      </c>
      <c r="F102" s="23">
        <f t="shared" si="11"/>
        <v>51399.900344179543</v>
      </c>
      <c r="G102" s="21">
        <v>400.6</v>
      </c>
      <c r="H102" s="11">
        <v>2.9820051413881801E-2</v>
      </c>
      <c r="I102" s="3">
        <f t="shared" si="12"/>
        <v>128.3072899255605</v>
      </c>
      <c r="J102" s="6">
        <f t="shared" si="13"/>
        <v>0.27118582396390495</v>
      </c>
      <c r="K102" s="35">
        <f t="shared" si="14"/>
        <v>51399.900344179543</v>
      </c>
      <c r="L102" s="39">
        <f t="shared" si="15"/>
        <v>473.13420757066677</v>
      </c>
      <c r="M102" s="3">
        <f t="shared" si="16"/>
        <v>102799.80068835909</v>
      </c>
      <c r="N102" s="41">
        <f t="shared" si="17"/>
        <v>1.4240053845759078E-2</v>
      </c>
      <c r="P102"/>
    </row>
    <row r="103" spans="1:16" x14ac:dyDescent="0.2">
      <c r="A103" s="14">
        <v>46079</v>
      </c>
      <c r="B103" s="21">
        <v>148.54</v>
      </c>
      <c r="C103" s="11">
        <v>-3.48852810948618E-3</v>
      </c>
      <c r="D103" s="2">
        <f t="shared" si="9"/>
        <v>345.91421454120189</v>
      </c>
      <c r="E103" s="12">
        <f t="shared" si="10"/>
        <v>0.73005488314614919</v>
      </c>
      <c r="F103" s="23">
        <f t="shared" si="11"/>
        <v>51382.097427950124</v>
      </c>
      <c r="G103" s="21">
        <v>401.72</v>
      </c>
      <c r="H103" s="11">
        <v>2.79580629056416E-3</v>
      </c>
      <c r="I103" s="3">
        <f t="shared" si="12"/>
        <v>127.90525099061566</v>
      </c>
      <c r="J103" s="6">
        <f t="shared" si="13"/>
        <v>0.26994511685385092</v>
      </c>
      <c r="K103" s="35">
        <f t="shared" si="14"/>
        <v>51382.097427950124</v>
      </c>
      <c r="L103" s="39">
        <f t="shared" si="15"/>
        <v>473.81946553181751</v>
      </c>
      <c r="M103" s="3">
        <f t="shared" si="16"/>
        <v>102764.19485590025</v>
      </c>
      <c r="N103" s="41">
        <f t="shared" si="17"/>
        <v>-3.4636090946107734E-4</v>
      </c>
      <c r="P103"/>
    </row>
    <row r="104" spans="1:16" x14ac:dyDescent="0.2">
      <c r="A104" s="14">
        <v>46080</v>
      </c>
      <c r="B104" s="21">
        <v>152.5</v>
      </c>
      <c r="C104" s="11">
        <v>2.6659485660428198E-2</v>
      </c>
      <c r="D104" s="2">
        <f t="shared" si="9"/>
        <v>337.65713439864817</v>
      </c>
      <c r="E104" s="12">
        <f t="shared" si="10"/>
        <v>0.72030665395055393</v>
      </c>
      <c r="F104" s="23">
        <f t="shared" si="11"/>
        <v>51492.712995793845</v>
      </c>
      <c r="G104" s="21">
        <v>392.74</v>
      </c>
      <c r="H104" s="11">
        <v>-2.2353878323210199E-2</v>
      </c>
      <c r="I104" s="3">
        <f t="shared" si="12"/>
        <v>131.11145540508693</v>
      </c>
      <c r="J104" s="6">
        <f t="shared" si="13"/>
        <v>0.27969334604944607</v>
      </c>
      <c r="K104" s="35">
        <f t="shared" si="14"/>
        <v>51492.712995793845</v>
      </c>
      <c r="L104" s="39">
        <f t="shared" si="15"/>
        <v>468.7685898037351</v>
      </c>
      <c r="M104" s="3">
        <f t="shared" si="16"/>
        <v>102985.42599158769</v>
      </c>
      <c r="N104" s="41">
        <f t="shared" si="17"/>
        <v>2.1528036686090913E-3</v>
      </c>
      <c r="P104"/>
    </row>
    <row r="105" spans="1:16" x14ac:dyDescent="0.2">
      <c r="A105" s="14">
        <v>46083</v>
      </c>
      <c r="B105" s="21">
        <v>154.22</v>
      </c>
      <c r="C105" s="11">
        <v>1.12786885245902E-2</v>
      </c>
      <c r="D105" s="2">
        <f t="shared" si="9"/>
        <v>338.24391719185877</v>
      </c>
      <c r="E105" s="12">
        <f t="shared" si="10"/>
        <v>0.72100511967002545</v>
      </c>
      <c r="F105" s="23">
        <f t="shared" si="11"/>
        <v>52163.976909328456</v>
      </c>
      <c r="G105" s="21">
        <v>398.55</v>
      </c>
      <c r="H105" s="11">
        <v>1.4793502062433199E-2</v>
      </c>
      <c r="I105" s="3">
        <f t="shared" si="12"/>
        <v>130.88439821685725</v>
      </c>
      <c r="J105" s="6">
        <f t="shared" si="13"/>
        <v>0.27899488032997444</v>
      </c>
      <c r="K105" s="35">
        <f t="shared" si="14"/>
        <v>52163.976909328456</v>
      </c>
      <c r="L105" s="39">
        <f t="shared" si="15"/>
        <v>469.12831540871605</v>
      </c>
      <c r="M105" s="3">
        <f t="shared" si="16"/>
        <v>104327.95381865691</v>
      </c>
      <c r="N105" s="41">
        <f t="shared" si="17"/>
        <v>1.3036095293511581E-2</v>
      </c>
      <c r="P105"/>
    </row>
    <row r="106" spans="1:16" x14ac:dyDescent="0.2">
      <c r="A106" s="14">
        <v>46084</v>
      </c>
      <c r="B106" s="21">
        <v>151.83000000000001</v>
      </c>
      <c r="C106" s="11">
        <v>-1.54973414602515E-2</v>
      </c>
      <c r="D106" s="2">
        <f t="shared" si="9"/>
        <v>343.22501784553469</v>
      </c>
      <c r="E106" s="12">
        <f t="shared" si="10"/>
        <v>0.72680653519504823</v>
      </c>
      <c r="F106" s="23">
        <f t="shared" si="11"/>
        <v>52111.854459487535</v>
      </c>
      <c r="G106" s="21">
        <v>403.93</v>
      </c>
      <c r="H106" s="11">
        <v>1.34989336344248E-2</v>
      </c>
      <c r="I106" s="3">
        <f t="shared" si="12"/>
        <v>129.01209234146395</v>
      </c>
      <c r="J106" s="6">
        <f t="shared" si="13"/>
        <v>0.27319346480495182</v>
      </c>
      <c r="K106" s="35">
        <f t="shared" si="14"/>
        <v>52111.854459487535</v>
      </c>
      <c r="L106" s="39">
        <f t="shared" si="15"/>
        <v>472.23711018699862</v>
      </c>
      <c r="M106" s="3">
        <f t="shared" si="16"/>
        <v>104223.70891897507</v>
      </c>
      <c r="N106" s="41">
        <f t="shared" si="17"/>
        <v>-9.9920391291331932E-4</v>
      </c>
      <c r="P106"/>
    </row>
    <row r="107" spans="1:16" x14ac:dyDescent="0.2">
      <c r="A107" s="14">
        <v>46085</v>
      </c>
      <c r="B107" s="21">
        <v>149.82</v>
      </c>
      <c r="C107" s="11">
        <v>-1.3238490416913801E-2</v>
      </c>
      <c r="D107" s="2">
        <f t="shared" si="9"/>
        <v>346.07419566940064</v>
      </c>
      <c r="E107" s="12">
        <f t="shared" si="10"/>
        <v>0.73006378148535189</v>
      </c>
      <c r="F107" s="23">
        <f t="shared" si="11"/>
        <v>51848.835995189598</v>
      </c>
      <c r="G107" s="21">
        <v>405.2</v>
      </c>
      <c r="H107" s="11">
        <v>3.1441091278191298E-3</v>
      </c>
      <c r="I107" s="3">
        <f t="shared" si="12"/>
        <v>127.95862782623297</v>
      </c>
      <c r="J107" s="6">
        <f t="shared" si="13"/>
        <v>0.26993621851464811</v>
      </c>
      <c r="K107" s="35">
        <f t="shared" si="14"/>
        <v>51848.835995189598</v>
      </c>
      <c r="L107" s="39">
        <f t="shared" si="15"/>
        <v>474.03282349563358</v>
      </c>
      <c r="M107" s="3">
        <f t="shared" si="16"/>
        <v>103697.6719903792</v>
      </c>
      <c r="N107" s="41">
        <f t="shared" si="17"/>
        <v>-5.0471906445473114E-3</v>
      </c>
      <c r="P107"/>
    </row>
    <row r="108" spans="1:16" x14ac:dyDescent="0.2">
      <c r="A108" s="14">
        <v>46086</v>
      </c>
      <c r="B108" s="21">
        <v>150.76</v>
      </c>
      <c r="C108" s="11">
        <v>6.2741957015084596E-3</v>
      </c>
      <c r="D108" s="2">
        <f t="shared" si="9"/>
        <v>347.32089086891813</v>
      </c>
      <c r="E108" s="12">
        <f t="shared" si="10"/>
        <v>0.73147620404673697</v>
      </c>
      <c r="F108" s="23">
        <f t="shared" si="11"/>
        <v>52362.097507398095</v>
      </c>
      <c r="G108" s="21">
        <v>410.68</v>
      </c>
      <c r="H108" s="11">
        <v>1.3524185587364301E-2</v>
      </c>
      <c r="I108" s="3">
        <f t="shared" si="12"/>
        <v>127.50096792490039</v>
      </c>
      <c r="J108" s="6">
        <f t="shared" si="13"/>
        <v>0.26852379595326303</v>
      </c>
      <c r="K108" s="35">
        <f t="shared" si="14"/>
        <v>52362.097507398095</v>
      </c>
      <c r="L108" s="39">
        <f t="shared" si="15"/>
        <v>474.82185879381854</v>
      </c>
      <c r="M108" s="3">
        <f t="shared" si="16"/>
        <v>104724.19501479619</v>
      </c>
      <c r="N108" s="41">
        <f t="shared" si="17"/>
        <v>9.8991906444363814E-3</v>
      </c>
      <c r="P108"/>
    </row>
    <row r="109" spans="1:16" x14ac:dyDescent="0.2">
      <c r="A109" s="14">
        <v>46087</v>
      </c>
      <c r="B109" s="21">
        <v>151.21</v>
      </c>
      <c r="C109" s="11">
        <v>2.9848766250996101E-3</v>
      </c>
      <c r="D109" s="2">
        <f t="shared" si="9"/>
        <v>346.07892252779703</v>
      </c>
      <c r="E109" s="12">
        <f t="shared" si="10"/>
        <v>0.73006408768766629</v>
      </c>
      <c r="F109" s="23">
        <f t="shared" si="11"/>
        <v>52330.593875428189</v>
      </c>
      <c r="G109" s="21">
        <v>408.96</v>
      </c>
      <c r="H109" s="11">
        <v>-4.1881757085809601E-3</v>
      </c>
      <c r="I109" s="3">
        <f t="shared" si="12"/>
        <v>127.96017672982245</v>
      </c>
      <c r="J109" s="6">
        <f t="shared" si="13"/>
        <v>0.26993591231233377</v>
      </c>
      <c r="K109" s="35">
        <f t="shared" si="14"/>
        <v>52330.593875428189</v>
      </c>
      <c r="L109" s="39">
        <f t="shared" si="15"/>
        <v>474.03909925761945</v>
      </c>
      <c r="M109" s="3">
        <f t="shared" si="16"/>
        <v>104661.18775085638</v>
      </c>
      <c r="N109" s="41">
        <f t="shared" si="17"/>
        <v>-6.0164954174067424E-4</v>
      </c>
      <c r="P109"/>
    </row>
    <row r="110" spans="1:16" x14ac:dyDescent="0.2">
      <c r="A110" s="14">
        <v>46090</v>
      </c>
      <c r="B110" s="21">
        <v>150.44</v>
      </c>
      <c r="C110" s="11">
        <v>-5.0922558031876904E-3</v>
      </c>
      <c r="D110" s="2">
        <f t="shared" si="9"/>
        <v>347.1559726802659</v>
      </c>
      <c r="E110" s="12">
        <f t="shared" si="10"/>
        <v>0.73128516566937574</v>
      </c>
      <c r="F110" s="23">
        <f t="shared" si="11"/>
        <v>52226.144530019199</v>
      </c>
      <c r="G110" s="21">
        <v>409.41</v>
      </c>
      <c r="H110" s="11">
        <v>1.10035211267617E-3</v>
      </c>
      <c r="I110" s="3">
        <f t="shared" si="12"/>
        <v>127.56440861244033</v>
      </c>
      <c r="J110" s="6">
        <f t="shared" si="13"/>
        <v>0.26871483433062426</v>
      </c>
      <c r="K110" s="35">
        <f t="shared" si="14"/>
        <v>52226.144530019199</v>
      </c>
      <c r="L110" s="39">
        <f t="shared" si="15"/>
        <v>474.72038129270624</v>
      </c>
      <c r="M110" s="3">
        <f t="shared" si="16"/>
        <v>104452.2890600384</v>
      </c>
      <c r="N110" s="41">
        <f t="shared" si="17"/>
        <v>-1.9959518452557427E-3</v>
      </c>
      <c r="P110"/>
    </row>
    <row r="111" spans="1:16" x14ac:dyDescent="0.2">
      <c r="A111" s="14">
        <v>46091</v>
      </c>
      <c r="B111" s="21">
        <v>148.13</v>
      </c>
      <c r="C111" s="11">
        <v>-1.5354958787556499E-2</v>
      </c>
      <c r="D111" s="2">
        <f t="shared" si="9"/>
        <v>348.29119243810021</v>
      </c>
      <c r="E111" s="12">
        <f t="shared" si="10"/>
        <v>0.73256422755420758</v>
      </c>
      <c r="F111" s="23">
        <f t="shared" si="11"/>
        <v>51592.374335855784</v>
      </c>
      <c r="G111" s="21">
        <v>405.76</v>
      </c>
      <c r="H111" s="11">
        <v>-8.9152683129382106E-3</v>
      </c>
      <c r="I111" s="3">
        <f t="shared" si="12"/>
        <v>127.14997618260988</v>
      </c>
      <c r="J111" s="6">
        <f t="shared" si="13"/>
        <v>0.26743577244579247</v>
      </c>
      <c r="K111" s="35">
        <f t="shared" si="14"/>
        <v>51592.374335855784</v>
      </c>
      <c r="L111" s="39">
        <f t="shared" si="15"/>
        <v>475.44116862071007</v>
      </c>
      <c r="M111" s="3">
        <f t="shared" si="16"/>
        <v>103184.74867171157</v>
      </c>
      <c r="N111" s="41">
        <f t="shared" si="17"/>
        <v>-1.2135113550247397E-2</v>
      </c>
      <c r="P111"/>
    </row>
    <row r="112" spans="1:16" x14ac:dyDescent="0.2">
      <c r="A112" s="14">
        <v>46092</v>
      </c>
      <c r="B112" s="21">
        <v>151.58000000000001</v>
      </c>
      <c r="C112" s="11">
        <v>2.3290353068250998E-2</v>
      </c>
      <c r="D112" s="2">
        <f t="shared" si="9"/>
        <v>343.95850807026756</v>
      </c>
      <c r="E112" s="12">
        <f t="shared" si="10"/>
        <v>0.72759946806598852</v>
      </c>
      <c r="F112" s="23">
        <f t="shared" si="11"/>
        <v>52137.230653291161</v>
      </c>
      <c r="G112" s="21">
        <v>404.88</v>
      </c>
      <c r="H112" s="11">
        <v>-2.1687697160883198E-3</v>
      </c>
      <c r="I112" s="3">
        <f t="shared" si="12"/>
        <v>128.7720575313455</v>
      </c>
      <c r="J112" s="6">
        <f t="shared" si="13"/>
        <v>0.27240053193401143</v>
      </c>
      <c r="K112" s="35">
        <f t="shared" si="14"/>
        <v>52137.230653291161</v>
      </c>
      <c r="L112" s="39">
        <f t="shared" si="15"/>
        <v>472.73056560161308</v>
      </c>
      <c r="M112" s="3">
        <f t="shared" si="16"/>
        <v>104274.46130658232</v>
      </c>
      <c r="N112" s="41">
        <f t="shared" si="17"/>
        <v>1.0560791676081309E-2</v>
      </c>
      <c r="P112"/>
    </row>
    <row r="113" spans="1:16" x14ac:dyDescent="0.2">
      <c r="A113" s="14">
        <v>46093</v>
      </c>
      <c r="B113" s="21">
        <v>153.53</v>
      </c>
      <c r="C113" s="11">
        <v>1.2864493996569399E-2</v>
      </c>
      <c r="D113" s="2">
        <f t="shared" si="9"/>
        <v>340.5076818327841</v>
      </c>
      <c r="E113" s="12">
        <f t="shared" si="10"/>
        <v>0.72356362195934387</v>
      </c>
      <c r="F113" s="23">
        <f t="shared" si="11"/>
        <v>52278.14439178734</v>
      </c>
      <c r="G113" s="21">
        <v>401.86</v>
      </c>
      <c r="H113" s="11">
        <v>-7.4590001975893602E-3</v>
      </c>
      <c r="I113" s="3">
        <f t="shared" si="12"/>
        <v>130.09044043146204</v>
      </c>
      <c r="J113" s="6">
        <f t="shared" si="13"/>
        <v>0.27643637804065607</v>
      </c>
      <c r="K113" s="35">
        <f t="shared" si="14"/>
        <v>52278.14439178734</v>
      </c>
      <c r="L113" s="39">
        <f t="shared" si="15"/>
        <v>470.59812226424617</v>
      </c>
      <c r="M113" s="3">
        <f t="shared" si="16"/>
        <v>104556.28878357468</v>
      </c>
      <c r="N113" s="41">
        <f t="shared" si="17"/>
        <v>2.7027468994900365E-3</v>
      </c>
      <c r="P113"/>
    </row>
    <row r="114" spans="1:16" x14ac:dyDescent="0.2">
      <c r="A114" s="14">
        <v>46094</v>
      </c>
      <c r="B114" s="21">
        <v>156.12</v>
      </c>
      <c r="C114" s="11">
        <v>1.6869667166026201E-2</v>
      </c>
      <c r="D114" s="2">
        <f t="shared" si="9"/>
        <v>335.0542307212371</v>
      </c>
      <c r="E114" s="12">
        <f t="shared" si="10"/>
        <v>0.71700473108923812</v>
      </c>
      <c r="F114" s="23">
        <f t="shared" si="11"/>
        <v>52308.666500199535</v>
      </c>
      <c r="G114" s="21">
        <v>395.55</v>
      </c>
      <c r="H114" s="11">
        <v>-1.5701985766187199E-2</v>
      </c>
      <c r="I114" s="3">
        <f t="shared" si="12"/>
        <v>132.24286815876511</v>
      </c>
      <c r="J114" s="6">
        <f t="shared" si="13"/>
        <v>0.28299526891076188</v>
      </c>
      <c r="K114" s="35">
        <f t="shared" si="14"/>
        <v>52308.666500199535</v>
      </c>
      <c r="L114" s="39">
        <f t="shared" si="15"/>
        <v>467.29709888000218</v>
      </c>
      <c r="M114" s="3">
        <f t="shared" si="16"/>
        <v>104617.33300039907</v>
      </c>
      <c r="N114" s="41">
        <f t="shared" si="17"/>
        <v>5.8384069991952172E-4</v>
      </c>
      <c r="P114"/>
    </row>
    <row r="115" spans="1:16" x14ac:dyDescent="0.2">
      <c r="A115" s="14">
        <v>46097</v>
      </c>
      <c r="B115" s="21">
        <v>157.22999999999999</v>
      </c>
      <c r="C115" s="11">
        <v>7.1099154496540203E-3</v>
      </c>
      <c r="D115" s="2">
        <f t="shared" si="9"/>
        <v>335.72190999299823</v>
      </c>
      <c r="E115" s="12">
        <f t="shared" si="10"/>
        <v>0.71781112028428873</v>
      </c>
      <c r="F115" s="23">
        <f t="shared" si="11"/>
        <v>52785.555908199109</v>
      </c>
      <c r="G115" s="21">
        <v>399.95</v>
      </c>
      <c r="H115" s="11">
        <v>1.1123751738086199E-2</v>
      </c>
      <c r="I115" s="3">
        <f t="shared" si="12"/>
        <v>131.98038731891265</v>
      </c>
      <c r="J115" s="6">
        <f t="shared" si="13"/>
        <v>0.28218887971571127</v>
      </c>
      <c r="K115" s="35">
        <f t="shared" si="14"/>
        <v>52785.555908199109</v>
      </c>
      <c r="L115" s="39">
        <f t="shared" si="15"/>
        <v>467.70229731191091</v>
      </c>
      <c r="M115" s="3">
        <f t="shared" si="16"/>
        <v>105571.11181639822</v>
      </c>
      <c r="N115" s="41">
        <f t="shared" si="17"/>
        <v>9.1168335938702303E-3</v>
      </c>
      <c r="P115"/>
    </row>
    <row r="116" spans="1:16" x14ac:dyDescent="0.2">
      <c r="A116" s="14">
        <v>46098</v>
      </c>
      <c r="B116" s="21">
        <v>158.81</v>
      </c>
      <c r="C116" s="11">
        <v>1.0048972842333E-2</v>
      </c>
      <c r="D116" s="2">
        <f t="shared" si="9"/>
        <v>333.82747630827703</v>
      </c>
      <c r="E116" s="12">
        <f t="shared" si="10"/>
        <v>0.71550643115617496</v>
      </c>
      <c r="F116" s="23">
        <f t="shared" si="11"/>
        <v>53015.141512517475</v>
      </c>
      <c r="G116" s="21">
        <v>399.41</v>
      </c>
      <c r="H116" s="11">
        <v>-1.3501687710963E-3</v>
      </c>
      <c r="I116" s="3">
        <f t="shared" si="12"/>
        <v>132.73363589423769</v>
      </c>
      <c r="J116" s="6">
        <f t="shared" si="13"/>
        <v>0.28449356884382504</v>
      </c>
      <c r="K116" s="35">
        <f t="shared" si="14"/>
        <v>53015.141512517475</v>
      </c>
      <c r="L116" s="39">
        <f t="shared" si="15"/>
        <v>466.56111220251472</v>
      </c>
      <c r="M116" s="3">
        <f t="shared" si="16"/>
        <v>106030.28302503495</v>
      </c>
      <c r="N116" s="41">
        <f t="shared" si="17"/>
        <v>4.349402035618336E-3</v>
      </c>
      <c r="P116"/>
    </row>
    <row r="117" spans="1:16" x14ac:dyDescent="0.2">
      <c r="A117" s="14">
        <v>46099</v>
      </c>
      <c r="B117" s="21">
        <v>157.59</v>
      </c>
      <c r="C117" s="11">
        <v>-7.68213588564951E-3</v>
      </c>
      <c r="D117" s="2">
        <f t="shared" si="9"/>
        <v>331.91060092145688</v>
      </c>
      <c r="E117" s="12">
        <f t="shared" si="10"/>
        <v>0.71314936837889986</v>
      </c>
      <c r="F117" s="23">
        <f t="shared" si="11"/>
        <v>52305.791599212389</v>
      </c>
      <c r="G117" s="21">
        <v>391.79</v>
      </c>
      <c r="H117" s="11">
        <v>-1.90781402568789E-2</v>
      </c>
      <c r="I117" s="3">
        <f t="shared" si="12"/>
        <v>133.50466218946983</v>
      </c>
      <c r="J117" s="6">
        <f t="shared" si="13"/>
        <v>0.28685063162110008</v>
      </c>
      <c r="K117" s="35">
        <f t="shared" si="14"/>
        <v>52305.791599212389</v>
      </c>
      <c r="L117" s="39">
        <f t="shared" si="15"/>
        <v>465.41526311092673</v>
      </c>
      <c r="M117" s="3">
        <f t="shared" si="16"/>
        <v>104611.58319842478</v>
      </c>
      <c r="N117" s="41">
        <f t="shared" si="17"/>
        <v>-1.3380138071264052E-2</v>
      </c>
      <c r="P117"/>
    </row>
    <row r="118" spans="1:16" x14ac:dyDescent="0.2">
      <c r="A118" s="14">
        <v>46100</v>
      </c>
      <c r="B118" s="21">
        <v>158.16</v>
      </c>
      <c r="C118" s="11">
        <v>3.6169807728916401E-3</v>
      </c>
      <c r="D118" s="2">
        <f t="shared" si="9"/>
        <v>330.14341276771989</v>
      </c>
      <c r="E118" s="12">
        <f t="shared" si="10"/>
        <v>0.71095434774662813</v>
      </c>
      <c r="F118" s="23">
        <f t="shared" si="11"/>
        <v>52215.482163342582</v>
      </c>
      <c r="G118" s="21">
        <v>389.02</v>
      </c>
      <c r="H118" s="11">
        <v>-7.0701140917329101E-3</v>
      </c>
      <c r="I118" s="3">
        <f t="shared" si="12"/>
        <v>134.22313033608191</v>
      </c>
      <c r="J118" s="6">
        <f t="shared" si="13"/>
        <v>0.28904565225337187</v>
      </c>
      <c r="K118" s="35">
        <f t="shared" si="14"/>
        <v>52215.482163342582</v>
      </c>
      <c r="L118" s="39">
        <f t="shared" si="15"/>
        <v>464.3665431038018</v>
      </c>
      <c r="M118" s="3">
        <f t="shared" si="16"/>
        <v>104430.96432668516</v>
      </c>
      <c r="N118" s="41">
        <f t="shared" si="17"/>
        <v>-1.7265666594206953E-3</v>
      </c>
      <c r="P118"/>
    </row>
    <row r="119" spans="1:16" x14ac:dyDescent="0.2">
      <c r="A119" s="14">
        <v>46101</v>
      </c>
      <c r="B119" s="21">
        <v>159.66999999999999</v>
      </c>
      <c r="C119" s="11">
        <v>9.5472938796155194E-3</v>
      </c>
      <c r="D119" s="2">
        <f t="shared" si="9"/>
        <v>325.57708241392072</v>
      </c>
      <c r="E119" s="12">
        <f t="shared" si="10"/>
        <v>0.7051556671714001</v>
      </c>
      <c r="F119" s="23">
        <f t="shared" si="11"/>
        <v>51984.892749030718</v>
      </c>
      <c r="G119" s="21">
        <v>381.87</v>
      </c>
      <c r="H119" s="11">
        <v>-1.83795177625828E-2</v>
      </c>
      <c r="I119" s="3">
        <f t="shared" si="12"/>
        <v>136.1324344646888</v>
      </c>
      <c r="J119" s="6">
        <f t="shared" si="13"/>
        <v>0.2948443328285999</v>
      </c>
      <c r="K119" s="35">
        <f t="shared" si="14"/>
        <v>51984.892749030718</v>
      </c>
      <c r="L119" s="39">
        <f t="shared" si="15"/>
        <v>461.70951687860952</v>
      </c>
      <c r="M119" s="3">
        <f t="shared" si="16"/>
        <v>103969.78549806144</v>
      </c>
      <c r="N119" s="41">
        <f t="shared" si="17"/>
        <v>-4.4161119414836544E-3</v>
      </c>
      <c r="P119"/>
    </row>
    <row r="120" spans="1:16" x14ac:dyDescent="0.2">
      <c r="A120" s="14">
        <v>46104</v>
      </c>
      <c r="B120" s="21">
        <v>161.13</v>
      </c>
      <c r="C120" s="11">
        <v>9.1438592096198899E-3</v>
      </c>
      <c r="D120" s="2">
        <f t="shared" si="9"/>
        <v>324.57940076128239</v>
      </c>
      <c r="E120" s="12">
        <f t="shared" si="10"/>
        <v>0.70387591200632205</v>
      </c>
      <c r="F120" s="23">
        <f t="shared" si="11"/>
        <v>52299.478844665427</v>
      </c>
      <c r="G120" s="21">
        <v>383</v>
      </c>
      <c r="H120" s="11">
        <v>2.9591222143661301E-3</v>
      </c>
      <c r="I120" s="3">
        <f t="shared" si="12"/>
        <v>136.55216408528833</v>
      </c>
      <c r="J120" s="6">
        <f t="shared" si="13"/>
        <v>0.29612408799367795</v>
      </c>
      <c r="K120" s="35">
        <f t="shared" si="14"/>
        <v>52299.478844665427</v>
      </c>
      <c r="L120" s="39">
        <f t="shared" si="15"/>
        <v>461.13156484657071</v>
      </c>
      <c r="M120" s="3">
        <f t="shared" si="16"/>
        <v>104598.95768933085</v>
      </c>
      <c r="N120" s="41">
        <f t="shared" si="17"/>
        <v>6.0514907119929616E-3</v>
      </c>
      <c r="P120"/>
    </row>
    <row r="121" spans="1:16" x14ac:dyDescent="0.2">
      <c r="A121" s="14">
        <v>46105</v>
      </c>
      <c r="B121" s="21">
        <v>165.38</v>
      </c>
      <c r="C121" s="11">
        <v>2.6376217960652901E-2</v>
      </c>
      <c r="D121" s="2">
        <f t="shared" si="9"/>
        <v>316.17304069129051</v>
      </c>
      <c r="E121" s="12">
        <f t="shared" si="10"/>
        <v>0.69267077975172819</v>
      </c>
      <c r="F121" s="23">
        <f t="shared" si="11"/>
        <v>52288.697469525621</v>
      </c>
      <c r="G121" s="21">
        <v>372.74</v>
      </c>
      <c r="H121" s="11">
        <v>-2.67885117493472E-2</v>
      </c>
      <c r="I121" s="3">
        <f t="shared" si="12"/>
        <v>140.28195919280361</v>
      </c>
      <c r="J121" s="6">
        <f t="shared" si="13"/>
        <v>0.3073292202482717</v>
      </c>
      <c r="K121" s="35">
        <f t="shared" si="14"/>
        <v>52288.697469525621</v>
      </c>
      <c r="L121" s="39">
        <f t="shared" si="15"/>
        <v>456.45499988409415</v>
      </c>
      <c r="M121" s="3">
        <f t="shared" si="16"/>
        <v>104577.39493905124</v>
      </c>
      <c r="N121" s="41">
        <f t="shared" si="17"/>
        <v>-2.0614689434722525E-4</v>
      </c>
      <c r="P121"/>
    </row>
    <row r="122" spans="1:16" x14ac:dyDescent="0.2">
      <c r="A122" s="14">
        <v>46106</v>
      </c>
      <c r="B122" s="21">
        <v>163.26</v>
      </c>
      <c r="C122" s="11">
        <v>-1.28189623896481E-2</v>
      </c>
      <c r="D122" s="2">
        <f t="shared" si="9"/>
        <v>317.49549418766981</v>
      </c>
      <c r="E122" s="12">
        <f t="shared" si="10"/>
        <v>0.6944413250982594</v>
      </c>
      <c r="F122" s="23">
        <f t="shared" si="11"/>
        <v>51834.31438107897</v>
      </c>
      <c r="G122" s="21">
        <v>371.04</v>
      </c>
      <c r="H122" s="11">
        <v>-4.5608198744432797E-3</v>
      </c>
      <c r="I122" s="3">
        <f t="shared" si="12"/>
        <v>139.70007110036374</v>
      </c>
      <c r="J122" s="6">
        <f t="shared" si="13"/>
        <v>0.30555867490174055</v>
      </c>
      <c r="K122" s="35">
        <f t="shared" si="14"/>
        <v>51834.31438107897</v>
      </c>
      <c r="L122" s="39">
        <f t="shared" si="15"/>
        <v>457.19556528803355</v>
      </c>
      <c r="M122" s="3">
        <f t="shared" si="16"/>
        <v>103668.62876215794</v>
      </c>
      <c r="N122" s="41">
        <f t="shared" si="17"/>
        <v>-8.6898911320457076E-3</v>
      </c>
      <c r="P122"/>
    </row>
    <row r="123" spans="1:16" x14ac:dyDescent="0.2">
      <c r="A123" s="14">
        <v>46107</v>
      </c>
      <c r="B123" s="21">
        <v>165.43</v>
      </c>
      <c r="C123" s="11">
        <v>1.32916819796644E-2</v>
      </c>
      <c r="D123" s="2">
        <f t="shared" si="9"/>
        <v>313.27242526768526</v>
      </c>
      <c r="E123" s="12">
        <f t="shared" si="10"/>
        <v>0.68869025216409485</v>
      </c>
      <c r="F123" s="23">
        <f t="shared" si="11"/>
        <v>51824.657312033174</v>
      </c>
      <c r="G123" s="21">
        <v>365.97</v>
      </c>
      <c r="H123" s="11">
        <v>-1.36642949547218E-2</v>
      </c>
      <c r="I123" s="3">
        <f t="shared" si="12"/>
        <v>141.60903164749342</v>
      </c>
      <c r="J123" s="6">
        <f t="shared" si="13"/>
        <v>0.31130974783590515</v>
      </c>
      <c r="K123" s="35">
        <f t="shared" si="14"/>
        <v>51824.657312033174</v>
      </c>
      <c r="L123" s="39">
        <f t="shared" si="15"/>
        <v>454.88145691517866</v>
      </c>
      <c r="M123" s="3">
        <f t="shared" si="16"/>
        <v>103649.31462406635</v>
      </c>
      <c r="N123" s="41">
        <f t="shared" si="17"/>
        <v>-1.8630648752867004E-4</v>
      </c>
      <c r="P123"/>
    </row>
    <row r="124" spans="1:16" x14ac:dyDescent="0.2">
      <c r="A124" s="14">
        <v>46108</v>
      </c>
      <c r="B124" s="21">
        <v>170.99</v>
      </c>
      <c r="C124" s="11">
        <v>3.3609381611557798E-2</v>
      </c>
      <c r="D124" s="2">
        <f t="shared" si="9"/>
        <v>304.36957195566328</v>
      </c>
      <c r="E124" s="12">
        <f t="shared" si="10"/>
        <v>0.67600803395482789</v>
      </c>
      <c r="F124" s="23">
        <f t="shared" si="11"/>
        <v>52044.153108698869</v>
      </c>
      <c r="G124" s="21">
        <v>356.77</v>
      </c>
      <c r="H124" s="11">
        <v>-2.5138672568789901E-2</v>
      </c>
      <c r="I124" s="3">
        <f t="shared" si="12"/>
        <v>145.8759231681444</v>
      </c>
      <c r="J124" s="6">
        <f t="shared" si="13"/>
        <v>0.32399196604517211</v>
      </c>
      <c r="K124" s="35">
        <f t="shared" si="14"/>
        <v>52044.153108698869</v>
      </c>
      <c r="L124" s="39">
        <f t="shared" si="15"/>
        <v>450.2454951238077</v>
      </c>
      <c r="M124" s="3">
        <f t="shared" si="16"/>
        <v>104088.30621739774</v>
      </c>
      <c r="N124" s="41">
        <f t="shared" si="17"/>
        <v>4.2353545213839753E-3</v>
      </c>
      <c r="P124"/>
    </row>
    <row r="125" spans="1:16" x14ac:dyDescent="0.2">
      <c r="A125" s="14">
        <v>46111</v>
      </c>
      <c r="B125" s="21">
        <v>171.47</v>
      </c>
      <c r="C125" s="11">
        <v>2.8071817065324898E-3</v>
      </c>
      <c r="D125" s="2">
        <f t="shared" si="9"/>
        <v>304.87511484129789</v>
      </c>
      <c r="E125" s="12">
        <f t="shared" si="10"/>
        <v>0.67673397055219342</v>
      </c>
      <c r="F125" s="23">
        <f t="shared" si="11"/>
        <v>52276.93594183735</v>
      </c>
      <c r="G125" s="21">
        <v>358.96</v>
      </c>
      <c r="H125" s="11">
        <v>6.1384084984724002E-3</v>
      </c>
      <c r="I125" s="3">
        <f t="shared" si="12"/>
        <v>145.63443264385268</v>
      </c>
      <c r="J125" s="6">
        <f t="shared" si="13"/>
        <v>0.32326602944780652</v>
      </c>
      <c r="K125" s="35">
        <f t="shared" si="14"/>
        <v>52276.93594183735</v>
      </c>
      <c r="L125" s="39">
        <f t="shared" si="15"/>
        <v>450.50954748515056</v>
      </c>
      <c r="M125" s="3">
        <f t="shared" si="16"/>
        <v>104553.8718836747</v>
      </c>
      <c r="N125" s="41">
        <f t="shared" si="17"/>
        <v>4.4727951025025428E-3</v>
      </c>
      <c r="P125"/>
    </row>
    <row r="126" spans="1:16" x14ac:dyDescent="0.2">
      <c r="A126" s="14">
        <v>46112</v>
      </c>
      <c r="B126" s="21">
        <v>169.66</v>
      </c>
      <c r="C126" s="11">
        <v>-1.05557823525981E-2</v>
      </c>
      <c r="D126" s="2">
        <f t="shared" si="9"/>
        <v>311.31265447291509</v>
      </c>
      <c r="E126" s="12">
        <f t="shared" si="10"/>
        <v>0.68571587351573637</v>
      </c>
      <c r="F126" s="23">
        <f t="shared" si="11"/>
        <v>52817.304957874774</v>
      </c>
      <c r="G126" s="21">
        <v>370.17</v>
      </c>
      <c r="H126" s="11">
        <v>3.1229106307109501E-2</v>
      </c>
      <c r="I126" s="3">
        <f t="shared" si="12"/>
        <v>142.68391538448489</v>
      </c>
      <c r="J126" s="6">
        <f t="shared" si="13"/>
        <v>0.31428412648426352</v>
      </c>
      <c r="K126" s="35">
        <f t="shared" si="14"/>
        <v>52817.304957874774</v>
      </c>
      <c r="L126" s="39">
        <f t="shared" si="15"/>
        <v>453.9965698574</v>
      </c>
      <c r="M126" s="3">
        <f t="shared" si="16"/>
        <v>105634.60991574955</v>
      </c>
      <c r="N126" s="41">
        <f t="shared" si="17"/>
        <v>1.0336661977255746E-2</v>
      </c>
      <c r="P126"/>
    </row>
    <row r="127" spans="1:16" x14ac:dyDescent="0.2">
      <c r="A127" s="15">
        <v>46113</v>
      </c>
      <c r="B127" s="24">
        <v>160.78</v>
      </c>
      <c r="C127" s="26">
        <v>-5.2339974065778602E-2</v>
      </c>
      <c r="D127" s="27">
        <f t="shared" si="9"/>
        <v>319.55469091840553</v>
      </c>
      <c r="E127" s="28">
        <f t="shared" si="10"/>
        <v>0.69672734131849479</v>
      </c>
      <c r="F127" s="29">
        <f t="shared" si="11"/>
        <v>51378.003205861241</v>
      </c>
      <c r="G127" s="24">
        <v>369.37</v>
      </c>
      <c r="H127" s="26">
        <v>-2.16116919253319E-3</v>
      </c>
      <c r="I127" s="36">
        <f t="shared" si="12"/>
        <v>139.09630778314764</v>
      </c>
      <c r="J127" s="37">
        <f t="shared" si="13"/>
        <v>0.30327265868150527</v>
      </c>
      <c r="K127" s="38">
        <f t="shared" si="14"/>
        <v>51378.003205861241</v>
      </c>
      <c r="L127" s="42">
        <f t="shared" si="15"/>
        <v>458.65099870155314</v>
      </c>
      <c r="M127" s="36">
        <f t="shared" si="16"/>
        <v>102756.00641172248</v>
      </c>
      <c r="N127" s="43">
        <f t="shared" si="17"/>
        <v>-2.7250571629155809E-2</v>
      </c>
      <c r="P127"/>
    </row>
    <row r="129" spans="1:16" x14ac:dyDescent="0.2">
      <c r="A129" t="s">
        <v>37</v>
      </c>
      <c r="B129" s="112">
        <v>10000</v>
      </c>
      <c r="C129" s="4"/>
      <c r="D129"/>
      <c r="E129"/>
      <c r="F129"/>
      <c r="G129"/>
      <c r="I129" s="10"/>
      <c r="J129"/>
      <c r="P129"/>
    </row>
    <row r="130" spans="1:16" x14ac:dyDescent="0.2">
      <c r="A130" s="4"/>
      <c r="B130" s="5"/>
      <c r="D130"/>
      <c r="E130" s="4"/>
      <c r="F130"/>
      <c r="G130"/>
      <c r="J130"/>
      <c r="K130" s="10"/>
      <c r="P130"/>
    </row>
    <row r="131" spans="1:16" x14ac:dyDescent="0.2">
      <c r="A131" s="4"/>
      <c r="B131" s="5"/>
      <c r="D131"/>
      <c r="E131" s="4"/>
      <c r="F131"/>
      <c r="G131"/>
      <c r="J131"/>
      <c r="K131" s="10"/>
      <c r="P131"/>
    </row>
    <row r="132" spans="1:16" x14ac:dyDescent="0.2">
      <c r="A132" s="4"/>
      <c r="B132" s="5"/>
      <c r="D132"/>
      <c r="E132" s="4"/>
      <c r="F132"/>
      <c r="G132"/>
      <c r="J132"/>
      <c r="K132" s="10"/>
      <c r="P132"/>
    </row>
    <row r="133" spans="1:16" x14ac:dyDescent="0.2">
      <c r="A133" s="57"/>
      <c r="B133" s="134" t="s">
        <v>28</v>
      </c>
      <c r="C133" s="135"/>
      <c r="D133" s="136"/>
      <c r="E133" s="134" t="s">
        <v>15</v>
      </c>
      <c r="F133" s="135"/>
      <c r="G133" s="136"/>
      <c r="H133" s="134" t="s">
        <v>19</v>
      </c>
      <c r="I133" s="135"/>
      <c r="J133" s="136"/>
      <c r="K133" s="132" t="s">
        <v>49</v>
      </c>
      <c r="L133" s="132"/>
      <c r="M133" s="133"/>
      <c r="N133" s="98"/>
      <c r="P133"/>
    </row>
    <row r="134" spans="1:16" x14ac:dyDescent="0.2">
      <c r="A134" s="59" t="s">
        <v>23</v>
      </c>
      <c r="B134" s="59" t="s">
        <v>46</v>
      </c>
      <c r="C134" t="s">
        <v>47</v>
      </c>
      <c r="D134" s="40" t="s">
        <v>48</v>
      </c>
      <c r="E134" s="59" t="s">
        <v>46</v>
      </c>
      <c r="F134" t="s">
        <v>47</v>
      </c>
      <c r="G134" s="99" t="s">
        <v>48</v>
      </c>
      <c r="H134" s="59" t="s">
        <v>46</v>
      </c>
      <c r="I134" t="s">
        <v>47</v>
      </c>
      <c r="J134" s="99" t="s">
        <v>48</v>
      </c>
      <c r="K134" s="5" t="s">
        <v>46</v>
      </c>
      <c r="L134" s="5" t="s">
        <v>47</v>
      </c>
      <c r="M134" s="105" t="s">
        <v>48</v>
      </c>
      <c r="P134"/>
    </row>
    <row r="135" spans="1:16" x14ac:dyDescent="0.2">
      <c r="A135" s="92">
        <v>1</v>
      </c>
      <c r="B135" s="92" cm="1">
        <f t="array" ref="B135">HistBootstrapVaR_Single($B$129,$A135,0.95,$C$4:$C$127,$F$127)</f>
        <v>1090.0566451031357</v>
      </c>
      <c r="C135" s="69" cm="1">
        <f t="array" ref="C135">HistBootstrapVaR_Single($B$129,$A135,0.99,$C$4:$C$127,$F$127)</f>
        <v>1859.4636027834847</v>
      </c>
      <c r="D135" s="70" cm="1">
        <f t="array" ref="D135">HistBootstrapVaR_Single($B$129,$A135,0.995,$C$4:$C$127,$F$127)</f>
        <v>2689.123355346268</v>
      </c>
      <c r="E135" s="92" cm="1">
        <f t="array" ref="E135">HistBootstrapVaR_Single($B$129,$A135,0.95,$H$4:$H$127,$K$127)</f>
        <v>1405.528074368709</v>
      </c>
      <c r="F135" s="69" cm="1">
        <f t="array" ref="F135">HistBootstrapVaR_Single($B$129,$A135,0.99,$H$4:$H$127,$K$127)</f>
        <v>2545.3937221668084</v>
      </c>
      <c r="G135" s="70" cm="1">
        <f t="array" ref="G135">HistBootstrapVaR_Single($B$129,$A135,0.995,$H$4:$H$127,$K$127)</f>
        <v>5134.280037161514</v>
      </c>
      <c r="H135" s="92" cm="1">
        <f t="array" ref="H135">HistBootstrapVaR_2Assets($B$129,$A135,0.95,$C$4:$C$127,$H$4:$H$127,$M$127)</f>
        <v>2117.0995204259698</v>
      </c>
      <c r="I135" s="69" cm="1">
        <f t="array" ref="I135">HistBootstrapVaR_2Assets($B$129,$A135,0.99,$C$4:$C$127,$H$4:$H$127,$M$127)</f>
        <v>3071.0444088044524</v>
      </c>
      <c r="J135" s="70" cm="1">
        <f t="array" ref="J135">HistBootstrapVaR_2Assets($B$129,$A135,0.995,$C$4:$C$127,$H$4:$H$127,$M$127)</f>
        <v>4040.0981110590865</v>
      </c>
      <c r="K135" s="69">
        <f>B135+E135-H135</f>
        <v>378.48519904587465</v>
      </c>
      <c r="L135" s="69">
        <f t="shared" ref="L135:M150" si="18">C135+F135-I135</f>
        <v>1333.812916145841</v>
      </c>
      <c r="M135" s="70">
        <f t="shared" si="18"/>
        <v>3783.3052814486955</v>
      </c>
      <c r="P135"/>
    </row>
    <row r="136" spans="1:16" x14ac:dyDescent="0.2">
      <c r="A136" s="92">
        <v>2</v>
      </c>
      <c r="B136" s="92" cm="1">
        <f t="array" ref="B136">HistBootstrapVaR_Single($B$129,$A136,0.95,$C$4:$C$127,$F$127)</f>
        <v>1548.7745944608812</v>
      </c>
      <c r="C136" s="69" cm="1">
        <f t="array" ref="C136">HistBootstrapVaR_Single($B$129,$A136,0.99,$C$4:$C$127,$F$127)</f>
        <v>2595.4163261675521</v>
      </c>
      <c r="D136" s="70" cm="1">
        <f t="array" ref="D136">HistBootstrapVaR_Single($B$129,$A136,0.995,$C$4:$C$127,$F$127)</f>
        <v>3063.1579464779852</v>
      </c>
      <c r="E136" s="92" cm="1">
        <f t="array" ref="E136">HistBootstrapVaR_Single($B$129,$A136,0.95,$H$4:$H$127,$K$127)</f>
        <v>2131.2292871698123</v>
      </c>
      <c r="F136" s="69" cm="1">
        <f t="array" ref="F136">HistBootstrapVaR_Single($B$129,$A136,0.99,$H$4:$H$127,$K$127)</f>
        <v>5098.204047007328</v>
      </c>
      <c r="G136" s="70" cm="1">
        <f t="array" ref="G136">HistBootstrapVaR_Single($B$129,$A136,0.995,$H$4:$H$127,$K$127)</f>
        <v>5461.2284359907326</v>
      </c>
      <c r="H136" s="92" cm="1">
        <f t="array" ref="H136">HistBootstrapVaR_2Assets($B$129,$A136,0.95,$C$4:$C$127,$H$4:$H$127,$M$127)</f>
        <v>2667.9841288057351</v>
      </c>
      <c r="I136" s="69" cm="1">
        <f t="array" ref="I136">HistBootstrapVaR_2Assets($B$129,$A136,0.99,$C$4:$C$127,$H$4:$H$127,$M$127)</f>
        <v>4085.9143561435644</v>
      </c>
      <c r="J136" s="70" cm="1">
        <f t="array" ref="J136">HistBootstrapVaR_2Assets($B$129,$A136,0.995,$C$4:$C$127,$H$4:$H$127,$M$127)</f>
        <v>4538.3361199021811</v>
      </c>
      <c r="K136" s="69">
        <f t="shared" ref="K136:M199" si="19">B136+E136-H136</f>
        <v>1012.0197528249582</v>
      </c>
      <c r="L136" s="69">
        <f t="shared" si="18"/>
        <v>3607.7060170313157</v>
      </c>
      <c r="M136" s="70">
        <f t="shared" si="18"/>
        <v>3986.0502625665367</v>
      </c>
      <c r="P136"/>
    </row>
    <row r="137" spans="1:16" x14ac:dyDescent="0.2">
      <c r="A137" s="92">
        <v>3</v>
      </c>
      <c r="B137" s="92" cm="1">
        <f t="array" ref="B137">HistBootstrapVaR_Single($B$129,$A137,0.95,$C$4:$C$127,$F$127)</f>
        <v>1805.5332684751938</v>
      </c>
      <c r="C137" s="69" cm="1">
        <f t="array" ref="C137">HistBootstrapVaR_Single($B$129,$A137,0.99,$C$4:$C$127,$F$127)</f>
        <v>2955.3556238331989</v>
      </c>
      <c r="D137" s="70" cm="1">
        <f t="array" ref="D137">HistBootstrapVaR_Single($B$129,$A137,0.995,$C$4:$C$127,$F$127)</f>
        <v>3455.9837538074917</v>
      </c>
      <c r="E137" s="92" cm="1">
        <f t="array" ref="E137">HistBootstrapVaR_Single($B$129,$A137,0.95,$H$4:$H$127,$K$127)</f>
        <v>2715.9707355163869</v>
      </c>
      <c r="F137" s="69" cm="1">
        <f t="array" ref="F137">HistBootstrapVaR_Single($B$129,$A137,0.99,$H$4:$H$127,$K$127)</f>
        <v>5483.0508334015585</v>
      </c>
      <c r="G137" s="70" cm="1">
        <f t="array" ref="G137">HistBootstrapVaR_Single($B$129,$A137,0.995,$H$4:$H$127,$K$127)</f>
        <v>6203.5404152740839</v>
      </c>
      <c r="H137" s="92" cm="1">
        <f t="array" ref="H137">HistBootstrapVaR_2Assets($B$129,$A137,0.95,$C$4:$C$127,$H$4:$H$127,$M$127)</f>
        <v>3054.5108058281235</v>
      </c>
      <c r="I137" s="69" cm="1">
        <f t="array" ref="I137">HistBootstrapVaR_2Assets($B$129,$A137,0.99,$C$4:$C$127,$H$4:$H$127,$M$127)</f>
        <v>4802.3020578032692</v>
      </c>
      <c r="J137" s="70" cm="1">
        <f t="array" ref="J137">HistBootstrapVaR_2Assets($B$129,$A137,0.995,$C$4:$C$127,$H$4:$H$127,$M$127)</f>
        <v>5476.6331828849034</v>
      </c>
      <c r="K137" s="69">
        <f t="shared" si="19"/>
        <v>1466.9931981634568</v>
      </c>
      <c r="L137" s="69">
        <f t="shared" si="18"/>
        <v>3636.1043994314887</v>
      </c>
      <c r="M137" s="70">
        <f t="shared" si="18"/>
        <v>4182.8909861966713</v>
      </c>
      <c r="P137"/>
    </row>
    <row r="138" spans="1:16" x14ac:dyDescent="0.2">
      <c r="A138" s="92">
        <v>4</v>
      </c>
      <c r="B138" s="92" cm="1">
        <f t="array" ref="B138">HistBootstrapVaR_Single($B$129,$A138,0.95,$C$4:$C$127,$F$127)</f>
        <v>1976.4219466993195</v>
      </c>
      <c r="C138" s="69" cm="1">
        <f t="array" ref="C138">HistBootstrapVaR_Single($B$129,$A138,0.99,$C$4:$C$127,$F$127)</f>
        <v>3364.6000223871042</v>
      </c>
      <c r="D138" s="70" cm="1">
        <f t="array" ref="D138">HistBootstrapVaR_Single($B$129,$A138,0.995,$C$4:$C$127,$F$127)</f>
        <v>3695.0959108565798</v>
      </c>
      <c r="E138" s="92" cm="1">
        <f t="array" ref="E138">HistBootstrapVaR_Single($B$129,$A138,0.95,$H$4:$H$127,$K$127)</f>
        <v>3358.6296056019905</v>
      </c>
      <c r="F138" s="69" cm="1">
        <f t="array" ref="F138">HistBootstrapVaR_Single($B$129,$A138,0.99,$H$4:$H$127,$K$127)</f>
        <v>6135.2312562271145</v>
      </c>
      <c r="G138" s="70" cm="1">
        <f t="array" ref="G138">HistBootstrapVaR_Single($B$129,$A138,0.995,$H$4:$H$127,$K$127)</f>
        <v>6531.2870737518433</v>
      </c>
      <c r="H138" s="92" cm="1">
        <f t="array" ref="H138">HistBootstrapVaR_2Assets($B$129,$A138,0.95,$C$4:$C$127,$H$4:$H$127,$M$127)</f>
        <v>3551.4771944965696</v>
      </c>
      <c r="I138" s="69" cm="1">
        <f t="array" ref="I138">HistBootstrapVaR_2Assets($B$129,$A138,0.99,$C$4:$C$127,$H$4:$H$127,$M$127)</f>
        <v>5498.1658218550574</v>
      </c>
      <c r="J138" s="70" cm="1">
        <f t="array" ref="J138">HistBootstrapVaR_2Assets($B$129,$A138,0.995,$C$4:$C$127,$H$4:$H$127,$M$127)</f>
        <v>6213.2387992408867</v>
      </c>
      <c r="K138" s="69">
        <f t="shared" si="19"/>
        <v>1783.5743578047404</v>
      </c>
      <c r="L138" s="69">
        <f t="shared" si="18"/>
        <v>4001.6654567591622</v>
      </c>
      <c r="M138" s="70">
        <f t="shared" si="18"/>
        <v>4013.144185367536</v>
      </c>
      <c r="P138"/>
    </row>
    <row r="139" spans="1:16" x14ac:dyDescent="0.2">
      <c r="A139" s="92">
        <v>5</v>
      </c>
      <c r="B139" s="92" cm="1">
        <f t="array" ref="B139">HistBootstrapVaR_Single($B$129,$A139,0.95,$C$4:$C$127,$F$127)</f>
        <v>2166.3625699924178</v>
      </c>
      <c r="C139" s="69" cm="1">
        <f t="array" ref="C139">HistBootstrapVaR_Single($B$129,$A139,0.99,$C$4:$C$127,$F$127)</f>
        <v>3470.8373226573021</v>
      </c>
      <c r="D139" s="70" cm="1">
        <f t="array" ref="D139">HistBootstrapVaR_Single($B$129,$A139,0.995,$C$4:$C$127,$F$127)</f>
        <v>3835.0789582001403</v>
      </c>
      <c r="E139" s="92" cm="1">
        <f t="array" ref="E139">HistBootstrapVaR_Single($B$129,$A139,0.95,$H$4:$H$127,$K$127)</f>
        <v>4001.7073961799538</v>
      </c>
      <c r="F139" s="69" cm="1">
        <f t="array" ref="F139">HistBootstrapVaR_Single($B$129,$A139,0.99,$H$4:$H$127,$K$127)</f>
        <v>6405.1799235400904</v>
      </c>
      <c r="G139" s="70" cm="1">
        <f t="array" ref="G139">HistBootstrapVaR_Single($B$129,$A139,0.995,$H$4:$H$127,$K$127)</f>
        <v>7377.1305172733373</v>
      </c>
      <c r="H139" s="92" cm="1">
        <f t="array" ref="H139">HistBootstrapVaR_2Assets($B$129,$A139,0.95,$C$4:$C$127,$H$4:$H$127,$M$127)</f>
        <v>4002.6011463977998</v>
      </c>
      <c r="I139" s="69" cm="1">
        <f t="array" ref="I139">HistBootstrapVaR_2Assets($B$129,$A139,0.99,$C$4:$C$127,$H$4:$H$127,$M$127)</f>
        <v>5986.7892710767737</v>
      </c>
      <c r="J139" s="70" cm="1">
        <f t="array" ref="J139">HistBootstrapVaR_2Assets($B$129,$A139,0.995,$C$4:$C$127,$H$4:$H$127,$M$127)</f>
        <v>6478.2920041724938</v>
      </c>
      <c r="K139" s="69">
        <f t="shared" si="19"/>
        <v>2165.4688197745722</v>
      </c>
      <c r="L139" s="69">
        <f t="shared" si="18"/>
        <v>3889.2279751206188</v>
      </c>
      <c r="M139" s="70">
        <f t="shared" si="18"/>
        <v>4733.9174713009834</v>
      </c>
      <c r="P139"/>
    </row>
    <row r="140" spans="1:16" x14ac:dyDescent="0.2">
      <c r="A140" s="92">
        <v>6</v>
      </c>
      <c r="B140" s="92" cm="1">
        <f t="array" ref="B140">HistBootstrapVaR_Single($B$129,$A140,0.95,$C$4:$C$127,$F$127)</f>
        <v>2232.2706887353561</v>
      </c>
      <c r="C140" s="69" cm="1">
        <f t="array" ref="C140">HistBootstrapVaR_Single($B$129,$A140,0.99,$C$4:$C$127,$F$127)</f>
        <v>3671.4807949374649</v>
      </c>
      <c r="D140" s="70" cm="1">
        <f t="array" ref="D140">HistBootstrapVaR_Single($B$129,$A140,0.995,$C$4:$C$127,$F$127)</f>
        <v>4185.9152804907208</v>
      </c>
      <c r="E140" s="92" cm="1">
        <f t="array" ref="E140">HistBootstrapVaR_Single($B$129,$A140,0.95,$H$4:$H$127,$K$127)</f>
        <v>4477.3448521141927</v>
      </c>
      <c r="F140" s="69" cm="1">
        <f t="array" ref="F140">HistBootstrapVaR_Single($B$129,$A140,0.99,$H$4:$H$127,$K$127)</f>
        <v>6758.7586583907614</v>
      </c>
      <c r="G140" s="70" cm="1">
        <f t="array" ref="G140">HistBootstrapVaR_Single($B$129,$A140,0.995,$H$4:$H$127,$K$127)</f>
        <v>7843.2896109064441</v>
      </c>
      <c r="H140" s="92" cm="1">
        <f t="array" ref="H140">HistBootstrapVaR_2Assets($B$129,$A140,0.95,$C$4:$C$127,$H$4:$H$127,$M$127)</f>
        <v>4228.487708953041</v>
      </c>
      <c r="I140" s="69" cm="1">
        <f t="array" ref="I140">HistBootstrapVaR_2Assets($B$129,$A140,0.99,$C$4:$C$127,$H$4:$H$127,$M$127)</f>
        <v>6339.7821497702625</v>
      </c>
      <c r="J140" s="70" cm="1">
        <f t="array" ref="J140">HistBootstrapVaR_2Assets($B$129,$A140,0.995,$C$4:$C$127,$H$4:$H$127,$M$127)</f>
        <v>6961.1742592396413</v>
      </c>
      <c r="K140" s="69">
        <f t="shared" si="19"/>
        <v>2481.1278318965078</v>
      </c>
      <c r="L140" s="69">
        <f t="shared" si="18"/>
        <v>4090.4573035579633</v>
      </c>
      <c r="M140" s="70">
        <f t="shared" si="18"/>
        <v>5068.0306321575235</v>
      </c>
      <c r="P140"/>
    </row>
    <row r="141" spans="1:16" x14ac:dyDescent="0.2">
      <c r="A141" s="92">
        <v>7</v>
      </c>
      <c r="B141" s="92" cm="1">
        <f t="array" ref="B141">HistBootstrapVaR_Single($B$129,$A141,0.95,$C$4:$C$127,$F$127)</f>
        <v>2388.0223070913262</v>
      </c>
      <c r="C141" s="69" cm="1">
        <f t="array" ref="C141">HistBootstrapVaR_Single($B$129,$A141,0.99,$C$4:$C$127,$F$127)</f>
        <v>3932.2986615476689</v>
      </c>
      <c r="D141" s="70" cm="1">
        <f t="array" ref="D141">HistBootstrapVaR_Single($B$129,$A141,0.995,$C$4:$C$127,$F$127)</f>
        <v>4386.9314892963921</v>
      </c>
      <c r="E141" s="92" cm="1">
        <f t="array" ref="E141">HistBootstrapVaR_Single($B$129,$A141,0.95,$H$4:$H$127,$K$127)</f>
        <v>4837.5791511916186</v>
      </c>
      <c r="F141" s="69" cm="1">
        <f t="array" ref="F141">HistBootstrapVaR_Single($B$129,$A141,0.99,$H$4:$H$127,$K$127)</f>
        <v>7244.6052983586133</v>
      </c>
      <c r="G141" s="70" cm="1">
        <f t="array" ref="G141">HistBootstrapVaR_Single($B$129,$A141,0.995,$H$4:$H$127,$K$127)</f>
        <v>7920.5806066813848</v>
      </c>
      <c r="H141" s="92" cm="1">
        <f t="array" ref="H141">HistBootstrapVaR_2Assets($B$129,$A141,0.95,$C$4:$C$127,$H$4:$H$127,$M$127)</f>
        <v>4639.7245375271323</v>
      </c>
      <c r="I141" s="69" cm="1">
        <f t="array" ref="I141">HistBootstrapVaR_2Assets($B$129,$A141,0.99,$C$4:$C$127,$H$4:$H$127,$M$127)</f>
        <v>6696.3089877801203</v>
      </c>
      <c r="J141" s="70" cm="1">
        <f t="array" ref="J141">HistBootstrapVaR_2Assets($B$129,$A141,0.995,$C$4:$C$127,$H$4:$H$127,$M$127)</f>
        <v>7687.8535920246923</v>
      </c>
      <c r="K141" s="69">
        <f t="shared" si="19"/>
        <v>2585.8769207558125</v>
      </c>
      <c r="L141" s="69">
        <f t="shared" si="18"/>
        <v>4480.5949721261613</v>
      </c>
      <c r="M141" s="70">
        <f t="shared" si="18"/>
        <v>4619.6585039530855</v>
      </c>
      <c r="P141"/>
    </row>
    <row r="142" spans="1:16" x14ac:dyDescent="0.2">
      <c r="A142" s="92">
        <v>8</v>
      </c>
      <c r="B142" s="92" cm="1">
        <f t="array" ref="B142">HistBootstrapVaR_Single($B$129,$A142,0.95,$C$4:$C$127,$F$127)</f>
        <v>2517.1849291530784</v>
      </c>
      <c r="C142" s="69" cm="1">
        <f t="array" ref="C142">HistBootstrapVaR_Single($B$129,$A142,0.99,$C$4:$C$127,$F$127)</f>
        <v>3921.5632654812093</v>
      </c>
      <c r="D142" s="70" cm="1">
        <f t="array" ref="D142">HistBootstrapVaR_Single($B$129,$A142,0.995,$C$4:$C$127,$F$127)</f>
        <v>4497.0956506371476</v>
      </c>
      <c r="E142" s="92" cm="1">
        <f t="array" ref="E142">HistBootstrapVaR_Single($B$129,$A142,0.95,$H$4:$H$127,$K$127)</f>
        <v>5310.25031136287</v>
      </c>
      <c r="F142" s="69" cm="1">
        <f t="array" ref="F142">HistBootstrapVaR_Single($B$129,$A142,0.99,$H$4:$H$127,$K$127)</f>
        <v>7837.448661017881</v>
      </c>
      <c r="G142" s="70" cm="1">
        <f t="array" ref="G142">HistBootstrapVaR_Single($B$129,$A142,0.995,$H$4:$H$127,$K$127)</f>
        <v>8448.2406432159605</v>
      </c>
      <c r="H142" s="92" cm="1">
        <f t="array" ref="H142">HistBootstrapVaR_2Assets($B$129,$A142,0.95,$C$4:$C$127,$H$4:$H$127,$M$127)</f>
        <v>5031.7784335275619</v>
      </c>
      <c r="I142" s="69" cm="1">
        <f t="array" ref="I142">HistBootstrapVaR_2Assets($B$129,$A142,0.99,$C$4:$C$127,$H$4:$H$127,$M$127)</f>
        <v>7217.8636775232017</v>
      </c>
      <c r="J142" s="70" cm="1">
        <f t="array" ref="J142">HistBootstrapVaR_2Assets($B$129,$A142,0.995,$C$4:$C$127,$H$4:$H$127,$M$127)</f>
        <v>7869.7302306014572</v>
      </c>
      <c r="K142" s="69">
        <f t="shared" si="19"/>
        <v>2795.6568069883861</v>
      </c>
      <c r="L142" s="69">
        <f t="shared" si="18"/>
        <v>4541.1482489758882</v>
      </c>
      <c r="M142" s="70">
        <f t="shared" si="18"/>
        <v>5075.606063251651</v>
      </c>
      <c r="P142"/>
    </row>
    <row r="143" spans="1:16" x14ac:dyDescent="0.2">
      <c r="A143" s="92">
        <v>9</v>
      </c>
      <c r="B143" s="92" cm="1">
        <f t="array" ref="B143">HistBootstrapVaR_Single($B$129,$A143,0.95,$C$4:$C$127,$F$127)</f>
        <v>2556.1295620592864</v>
      </c>
      <c r="C143" s="69" cm="1">
        <f t="array" ref="C143">HistBootstrapVaR_Single($B$129,$A143,0.99,$C$4:$C$127,$F$127)</f>
        <v>4221.4534033599566</v>
      </c>
      <c r="D143" s="70" cm="1">
        <f t="array" ref="D143">HistBootstrapVaR_Single($B$129,$A143,0.995,$C$4:$C$127,$F$127)</f>
        <v>4835.1673918755814</v>
      </c>
      <c r="E143" s="92" cm="1">
        <f t="array" ref="E143">HistBootstrapVaR_Single($B$129,$A143,0.95,$H$4:$H$127,$K$127)</f>
        <v>5562.1205604295428</v>
      </c>
      <c r="F143" s="69" cm="1">
        <f t="array" ref="F143">HistBootstrapVaR_Single($B$129,$A143,0.99,$H$4:$H$127,$K$127)</f>
        <v>7906.6485160707034</v>
      </c>
      <c r="G143" s="70" cm="1">
        <f t="array" ref="G143">HistBootstrapVaR_Single($B$129,$A143,0.995,$H$4:$H$127,$K$127)</f>
        <v>9134.7593767207582</v>
      </c>
      <c r="H143" s="92" cm="1">
        <f t="array" ref="H143">HistBootstrapVaR_2Assets($B$129,$A143,0.95,$C$4:$C$127,$H$4:$H$127,$M$127)</f>
        <v>5031.1521231558527</v>
      </c>
      <c r="I143" s="69" cm="1">
        <f t="array" ref="I143">HistBootstrapVaR_2Assets($B$129,$A143,0.99,$C$4:$C$127,$H$4:$H$127,$M$127)</f>
        <v>7793.8774943084709</v>
      </c>
      <c r="J143" s="70" cm="1">
        <f t="array" ref="J143">HistBootstrapVaR_2Assets($B$129,$A143,0.995,$C$4:$C$127,$H$4:$H$127,$M$127)</f>
        <v>8535.8387450470927</v>
      </c>
      <c r="K143" s="69">
        <f t="shared" si="19"/>
        <v>3087.0979993329765</v>
      </c>
      <c r="L143" s="69">
        <f t="shared" si="18"/>
        <v>4334.22442512219</v>
      </c>
      <c r="M143" s="70">
        <f t="shared" si="18"/>
        <v>5434.0880235492459</v>
      </c>
      <c r="P143"/>
    </row>
    <row r="144" spans="1:16" x14ac:dyDescent="0.2">
      <c r="A144" s="92">
        <v>10</v>
      </c>
      <c r="B144" s="92" cm="1">
        <f t="array" ref="B144">HistBootstrapVaR_Single($B$129,$A144,0.95,$C$4:$C$127,$F$127)</f>
        <v>2581.6398888081217</v>
      </c>
      <c r="C144" s="69" cm="1">
        <f t="array" ref="C144">HistBootstrapVaR_Single($B$129,$A144,0.99,$C$4:$C$127,$F$127)</f>
        <v>4324.0587092139804</v>
      </c>
      <c r="D144" s="70" cm="1">
        <f t="array" ref="D144">HistBootstrapVaR_Single($B$129,$A144,0.995,$C$4:$C$127,$F$127)</f>
        <v>5097.6720046654527</v>
      </c>
      <c r="E144" s="92" cm="1">
        <f t="array" ref="E144">HistBootstrapVaR_Single($B$129,$A144,0.95,$H$4:$H$127,$K$127)</f>
        <v>5852.902464298576</v>
      </c>
      <c r="F144" s="69" cm="1">
        <f t="array" ref="F144">HistBootstrapVaR_Single($B$129,$A144,0.99,$H$4:$H$127,$K$127)</f>
        <v>8458.6162763300072</v>
      </c>
      <c r="G144" s="70" cm="1">
        <f t="array" ref="G144">HistBootstrapVaR_Single($B$129,$A144,0.995,$H$4:$H$127,$K$127)</f>
        <v>9138.6171271373241</v>
      </c>
      <c r="H144" s="92" cm="1">
        <f t="array" ref="H144">HistBootstrapVaR_2Assets($B$129,$A144,0.95,$C$4:$C$127,$H$4:$H$127,$M$127)</f>
        <v>5378.9917499085877</v>
      </c>
      <c r="I144" s="69" cm="1">
        <f t="array" ref="I144">HistBootstrapVaR_2Assets($B$129,$A144,0.99,$C$4:$C$127,$H$4:$H$127,$M$127)</f>
        <v>7746.28274914125</v>
      </c>
      <c r="J144" s="70" cm="1">
        <f t="array" ref="J144">HistBootstrapVaR_2Assets($B$129,$A144,0.995,$C$4:$C$127,$H$4:$H$127,$M$127)</f>
        <v>9010.7678115789622</v>
      </c>
      <c r="K144" s="69">
        <f t="shared" si="19"/>
        <v>3055.5506031981095</v>
      </c>
      <c r="L144" s="69">
        <f t="shared" si="18"/>
        <v>5036.3922364027385</v>
      </c>
      <c r="M144" s="70">
        <f t="shared" si="18"/>
        <v>5225.5213202238137</v>
      </c>
      <c r="P144"/>
    </row>
    <row r="145" spans="1:16" x14ac:dyDescent="0.2">
      <c r="A145" s="92">
        <v>11</v>
      </c>
      <c r="B145" s="92" cm="1">
        <f t="array" ref="B145">HistBootstrapVaR_Single($B$129,$A145,0.95,$C$4:$C$127,$F$127)</f>
        <v>2603.3241018250583</v>
      </c>
      <c r="C145" s="69" cm="1">
        <f t="array" ref="C145">HistBootstrapVaR_Single($B$129,$A145,0.99,$C$4:$C$127,$F$127)</f>
        <v>4317.5813336768351</v>
      </c>
      <c r="D145" s="70" cm="1">
        <f t="array" ref="D145">HistBootstrapVaR_Single($B$129,$A145,0.995,$C$4:$C$127,$F$127)</f>
        <v>5304.629340454575</v>
      </c>
      <c r="E145" s="92" cm="1">
        <f t="array" ref="E145">HistBootstrapVaR_Single($B$129,$A145,0.95,$H$4:$H$127,$K$127)</f>
        <v>6309.5734177952145</v>
      </c>
      <c r="F145" s="69" cm="1">
        <f t="array" ref="F145">HistBootstrapVaR_Single($B$129,$A145,0.99,$H$4:$H$127,$K$127)</f>
        <v>8793.5140952346355</v>
      </c>
      <c r="G145" s="70" cm="1">
        <f t="array" ref="G145">HistBootstrapVaR_Single($B$129,$A145,0.995,$H$4:$H$127,$K$127)</f>
        <v>9530.4158491455746</v>
      </c>
      <c r="H145" s="92" cm="1">
        <f t="array" ref="H145">HistBootstrapVaR_2Assets($B$129,$A145,0.95,$C$4:$C$127,$H$4:$H$127,$M$127)</f>
        <v>5480.7054510294993</v>
      </c>
      <c r="I145" s="69" cm="1">
        <f t="array" ref="I145">HistBootstrapVaR_2Assets($B$129,$A145,0.99,$C$4:$C$127,$H$4:$H$127,$M$127)</f>
        <v>8207.4806940635663</v>
      </c>
      <c r="J145" s="70" cm="1">
        <f t="array" ref="J145">HistBootstrapVaR_2Assets($B$129,$A145,0.995,$C$4:$C$127,$H$4:$H$127,$M$127)</f>
        <v>8922.8787128935874</v>
      </c>
      <c r="K145" s="69">
        <f t="shared" si="19"/>
        <v>3432.1920685907744</v>
      </c>
      <c r="L145" s="69">
        <f t="shared" si="18"/>
        <v>4903.6147348479044</v>
      </c>
      <c r="M145" s="70">
        <f t="shared" si="18"/>
        <v>5912.1664767065631</v>
      </c>
      <c r="P145"/>
    </row>
    <row r="146" spans="1:16" x14ac:dyDescent="0.2">
      <c r="A146" s="92">
        <v>12</v>
      </c>
      <c r="B146" s="92" cm="1">
        <f t="array" ref="B146">HistBootstrapVaR_Single($B$129,$A146,0.95,$C$4:$C$127,$F$127)</f>
        <v>2675.8263905648728</v>
      </c>
      <c r="C146" s="69" cm="1">
        <f t="array" ref="C146">HistBootstrapVaR_Single($B$129,$A146,0.99,$C$4:$C$127,$F$127)</f>
        <v>4597.1955149775367</v>
      </c>
      <c r="D146" s="70" cm="1">
        <f t="array" ref="D146">HistBootstrapVaR_Single($B$129,$A146,0.995,$C$4:$C$127,$F$127)</f>
        <v>5077.5143892091601</v>
      </c>
      <c r="E146" s="92" cm="1">
        <f t="array" ref="E146">HistBootstrapVaR_Single($B$129,$A146,0.95,$H$4:$H$127,$K$127)</f>
        <v>6606.5788391869373</v>
      </c>
      <c r="F146" s="69" cm="1">
        <f t="array" ref="F146">HistBootstrapVaR_Single($B$129,$A146,0.99,$H$4:$H$127,$K$127)</f>
        <v>9197.0736968440142</v>
      </c>
      <c r="G146" s="70" cm="1">
        <f t="array" ref="G146">HistBootstrapVaR_Single($B$129,$A146,0.995,$H$4:$H$127,$K$127)</f>
        <v>10348.022816913008</v>
      </c>
      <c r="H146" s="92" cm="1">
        <f t="array" ref="H146">HistBootstrapVaR_2Assets($B$129,$A146,0.95,$C$4:$C$127,$H$4:$H$127,$M$127)</f>
        <v>5630.16721284497</v>
      </c>
      <c r="I146" s="69" cm="1">
        <f t="array" ref="I146">HistBootstrapVaR_2Assets($B$129,$A146,0.99,$C$4:$C$127,$H$4:$H$127,$M$127)</f>
        <v>8332.306990359768</v>
      </c>
      <c r="J146" s="70" cm="1">
        <f t="array" ref="J146">HistBootstrapVaR_2Assets($B$129,$A146,0.995,$C$4:$C$127,$H$4:$H$127,$M$127)</f>
        <v>9933.9043149184599</v>
      </c>
      <c r="K146" s="69">
        <f t="shared" si="19"/>
        <v>3652.2380169068401</v>
      </c>
      <c r="L146" s="69">
        <f t="shared" si="18"/>
        <v>5461.962221461783</v>
      </c>
      <c r="M146" s="70">
        <f t="shared" si="18"/>
        <v>5491.6328912037079</v>
      </c>
      <c r="P146"/>
    </row>
    <row r="147" spans="1:16" x14ac:dyDescent="0.2">
      <c r="A147" s="92">
        <v>13</v>
      </c>
      <c r="B147" s="92" cm="1">
        <f t="array" ref="B147">HistBootstrapVaR_Single($B$129,$A147,0.95,$C$4:$C$127,$F$127)</f>
        <v>2690.3621111610487</v>
      </c>
      <c r="C147" s="69" cm="1">
        <f t="array" ref="C147">HistBootstrapVaR_Single($B$129,$A147,0.99,$C$4:$C$127,$F$127)</f>
        <v>4630.3516642327186</v>
      </c>
      <c r="D147" s="70" cm="1">
        <f t="array" ref="D147">HistBootstrapVaR_Single($B$129,$A147,0.995,$C$4:$C$127,$F$127)</f>
        <v>5231.0760593805089</v>
      </c>
      <c r="E147" s="92" cm="1">
        <f t="array" ref="E147">HistBootstrapVaR_Single($B$129,$A147,0.95,$H$4:$H$127,$K$127)</f>
        <v>6948.3123942424245</v>
      </c>
      <c r="F147" s="69" cm="1">
        <f t="array" ref="F147">HistBootstrapVaR_Single($B$129,$A147,0.99,$H$4:$H$127,$K$127)</f>
        <v>9394.4754858453125</v>
      </c>
      <c r="G147" s="70" cm="1">
        <f t="array" ref="G147">HistBootstrapVaR_Single($B$129,$A147,0.995,$H$4:$H$127,$K$127)</f>
        <v>10628.188513228659</v>
      </c>
      <c r="H147" s="92" cm="1">
        <f t="array" ref="H147">HistBootstrapVaR_2Assets($B$129,$A147,0.95,$C$4:$C$127,$H$4:$H$127,$M$127)</f>
        <v>6079.5684160581968</v>
      </c>
      <c r="I147" s="69" cm="1">
        <f t="array" ref="I147">HistBootstrapVaR_2Assets($B$129,$A147,0.99,$C$4:$C$127,$H$4:$H$127,$M$127)</f>
        <v>8579.2614747919215</v>
      </c>
      <c r="J147" s="70" cm="1">
        <f t="array" ref="J147">HistBootstrapVaR_2Assets($B$129,$A147,0.995,$C$4:$C$127,$H$4:$H$127,$M$127)</f>
        <v>10023.159639035364</v>
      </c>
      <c r="K147" s="69">
        <f t="shared" si="19"/>
        <v>3559.1060893452759</v>
      </c>
      <c r="L147" s="69">
        <f t="shared" si="18"/>
        <v>5445.5656752861105</v>
      </c>
      <c r="M147" s="70">
        <f t="shared" si="18"/>
        <v>5836.1049335738044</v>
      </c>
      <c r="P147"/>
    </row>
    <row r="148" spans="1:16" x14ac:dyDescent="0.2">
      <c r="A148" s="92">
        <v>14</v>
      </c>
      <c r="B148" s="92" cm="1">
        <f t="array" ref="B148">HistBootstrapVaR_Single($B$129,$A148,0.95,$C$4:$C$127,$F$127)</f>
        <v>2686.4212281019454</v>
      </c>
      <c r="C148" s="69" cm="1">
        <f t="array" ref="C148">HistBootstrapVaR_Single($B$129,$A148,0.99,$C$4:$C$127,$F$127)</f>
        <v>4876.760692227489</v>
      </c>
      <c r="D148" s="70" cm="1">
        <f t="array" ref="D148">HistBootstrapVaR_Single($B$129,$A148,0.995,$C$4:$C$127,$F$127)</f>
        <v>5437.4234782441054</v>
      </c>
      <c r="E148" s="92" cm="1">
        <f t="array" ref="E148">HistBootstrapVaR_Single($B$129,$A148,0.95,$H$4:$H$127,$K$127)</f>
        <v>7222.8437570630676</v>
      </c>
      <c r="F148" s="69" cm="1">
        <f t="array" ref="F148">HistBootstrapVaR_Single($B$129,$A148,0.99,$H$4:$H$127,$K$127)</f>
        <v>9638.4505116494911</v>
      </c>
      <c r="G148" s="70" cm="1">
        <f t="array" ref="G148">HistBootstrapVaR_Single($B$129,$A148,0.995,$H$4:$H$127,$K$127)</f>
        <v>10566.46291778585</v>
      </c>
      <c r="H148" s="92" cm="1">
        <f t="array" ref="H148">HistBootstrapVaR_2Assets($B$129,$A148,0.95,$C$4:$C$127,$H$4:$H$127,$M$127)</f>
        <v>6112.1036437628663</v>
      </c>
      <c r="I148" s="69" cm="1">
        <f t="array" ref="I148">HistBootstrapVaR_2Assets($B$129,$A148,0.99,$C$4:$C$127,$H$4:$H$127,$M$127)</f>
        <v>8973.0979710961128</v>
      </c>
      <c r="J148" s="70" cm="1">
        <f t="array" ref="J148">HistBootstrapVaR_2Assets($B$129,$A148,0.995,$C$4:$C$127,$H$4:$H$127,$M$127)</f>
        <v>10133.310881123345</v>
      </c>
      <c r="K148" s="69">
        <f t="shared" si="19"/>
        <v>3797.1613414021467</v>
      </c>
      <c r="L148" s="69">
        <f t="shared" si="18"/>
        <v>5542.1132327808682</v>
      </c>
      <c r="M148" s="70">
        <f t="shared" si="18"/>
        <v>5870.5755149066099</v>
      </c>
      <c r="P148"/>
    </row>
    <row r="149" spans="1:16" x14ac:dyDescent="0.2">
      <c r="A149" s="92">
        <v>15</v>
      </c>
      <c r="B149" s="92" cm="1">
        <f t="array" ref="B149">HistBootstrapVaR_Single($B$129,$A149,0.95,$C$4:$C$127,$F$127)</f>
        <v>2756.0334726757806</v>
      </c>
      <c r="C149" s="69" cm="1">
        <f t="array" ref="C149">HistBootstrapVaR_Single($B$129,$A149,0.99,$C$4:$C$127,$F$127)</f>
        <v>4599.6633433880606</v>
      </c>
      <c r="D149" s="70" cm="1">
        <f t="array" ref="D149">HistBootstrapVaR_Single($B$129,$A149,0.995,$C$4:$C$127,$F$127)</f>
        <v>5771.8873402510253</v>
      </c>
      <c r="E149" s="92" cm="1">
        <f t="array" ref="E149">HistBootstrapVaR_Single($B$129,$A149,0.95,$H$4:$H$127,$K$127)</f>
        <v>7402.3061180835057</v>
      </c>
      <c r="F149" s="69" cm="1">
        <f t="array" ref="F149">HistBootstrapVaR_Single($B$129,$A149,0.99,$H$4:$H$127,$K$127)</f>
        <v>9994.0002017210809</v>
      </c>
      <c r="G149" s="70" cm="1">
        <f t="array" ref="G149">HistBootstrapVaR_Single($B$129,$A149,0.995,$H$4:$H$127,$K$127)</f>
        <v>11138.628995811896</v>
      </c>
      <c r="H149" s="92" cm="1">
        <f t="array" ref="H149">HistBootstrapVaR_2Assets($B$129,$A149,0.95,$C$4:$C$127,$H$4:$H$127,$M$127)</f>
        <v>6337.7058373694072</v>
      </c>
      <c r="I149" s="69" cm="1">
        <f t="array" ref="I149">HistBootstrapVaR_2Assets($B$129,$A149,0.99,$C$4:$C$127,$H$4:$H$127,$M$127)</f>
        <v>9333.6165588167532</v>
      </c>
      <c r="J149" s="70" cm="1">
        <f t="array" ref="J149">HistBootstrapVaR_2Assets($B$129,$A149,0.995,$C$4:$C$127,$H$4:$H$127,$M$127)</f>
        <v>10708.333037711447</v>
      </c>
      <c r="K149" s="69">
        <f t="shared" si="19"/>
        <v>3820.6337533898786</v>
      </c>
      <c r="L149" s="69">
        <f t="shared" si="18"/>
        <v>5260.0469862923892</v>
      </c>
      <c r="M149" s="70">
        <f t="shared" si="18"/>
        <v>6202.183298351476</v>
      </c>
      <c r="P149"/>
    </row>
    <row r="150" spans="1:16" x14ac:dyDescent="0.2">
      <c r="A150" s="92">
        <v>16</v>
      </c>
      <c r="B150" s="92" cm="1">
        <f t="array" ref="B150">HistBootstrapVaR_Single($B$129,$A150,0.95,$C$4:$C$127,$F$127)</f>
        <v>2705.4125018323189</v>
      </c>
      <c r="C150" s="69" cm="1">
        <f t="array" ref="C150">HistBootstrapVaR_Single($B$129,$A150,0.99,$C$4:$C$127,$F$127)</f>
        <v>4997.9112678889023</v>
      </c>
      <c r="D150" s="70" cm="1">
        <f t="array" ref="D150">HistBootstrapVaR_Single($B$129,$A150,0.995,$C$4:$C$127,$F$127)</f>
        <v>5712.2826018722371</v>
      </c>
      <c r="E150" s="92" cm="1">
        <f t="array" ref="E150">HistBootstrapVaR_Single($B$129,$A150,0.95,$H$4:$H$127,$K$127)</f>
        <v>7885.2612957529327</v>
      </c>
      <c r="F150" s="69" cm="1">
        <f t="array" ref="F150">HistBootstrapVaR_Single($B$129,$A150,0.99,$H$4:$H$127,$K$127)</f>
        <v>10501.806941564078</v>
      </c>
      <c r="G150" s="70" cm="1">
        <f t="array" ref="G150">HistBootstrapVaR_Single($B$129,$A150,0.995,$H$4:$H$127,$K$127)</f>
        <v>11756.346432305674</v>
      </c>
      <c r="H150" s="92" cm="1">
        <f t="array" ref="H150">HistBootstrapVaR_2Assets($B$129,$A150,0.95,$C$4:$C$127,$H$4:$H$127,$M$127)</f>
        <v>6538.1693947812901</v>
      </c>
      <c r="I150" s="69" cm="1">
        <f t="array" ref="I150">HistBootstrapVaR_2Assets($B$129,$A150,0.99,$C$4:$C$127,$H$4:$H$127,$M$127)</f>
        <v>9518.5730575297803</v>
      </c>
      <c r="J150" s="70" cm="1">
        <f t="array" ref="J150">HistBootstrapVaR_2Assets($B$129,$A150,0.995,$C$4:$C$127,$H$4:$H$127,$M$127)</f>
        <v>11032.498123327561</v>
      </c>
      <c r="K150" s="69">
        <f t="shared" si="19"/>
        <v>4052.504402803962</v>
      </c>
      <c r="L150" s="69">
        <f t="shared" si="18"/>
        <v>5981.1451519232014</v>
      </c>
      <c r="M150" s="70">
        <f t="shared" si="18"/>
        <v>6436.1309108503483</v>
      </c>
      <c r="P150"/>
    </row>
    <row r="151" spans="1:16" x14ac:dyDescent="0.2">
      <c r="A151" s="92">
        <v>17</v>
      </c>
      <c r="B151" s="92" cm="1">
        <f t="array" ref="B151">HistBootstrapVaR_Single($B$129,$A151,0.95,$C$4:$C$127,$F$127)</f>
        <v>2769.6819893755091</v>
      </c>
      <c r="C151" s="69" cm="1">
        <f t="array" ref="C151">HistBootstrapVaR_Single($B$129,$A151,0.99,$C$4:$C$127,$F$127)</f>
        <v>5161.0942215128925</v>
      </c>
      <c r="D151" s="70" cm="1">
        <f t="array" ref="D151">HistBootstrapVaR_Single($B$129,$A151,0.995,$C$4:$C$127,$F$127)</f>
        <v>5946.5320865258918</v>
      </c>
      <c r="E151" s="92" cm="1">
        <f t="array" ref="E151">HistBootstrapVaR_Single($B$129,$A151,0.95,$H$4:$H$127,$K$127)</f>
        <v>7891.3580569243404</v>
      </c>
      <c r="F151" s="69" cm="1">
        <f t="array" ref="F151">HistBootstrapVaR_Single($B$129,$A151,0.99,$H$4:$H$127,$K$127)</f>
        <v>10760.25872744829</v>
      </c>
      <c r="G151" s="70" cm="1">
        <f t="array" ref="G151">HistBootstrapVaR_Single($B$129,$A151,0.995,$H$4:$H$127,$K$127)</f>
        <v>11961.985890690798</v>
      </c>
      <c r="H151" s="92" cm="1">
        <f t="array" ref="H151">HistBootstrapVaR_2Assets($B$129,$A151,0.95,$C$4:$C$127,$H$4:$H$127,$M$127)</f>
        <v>6859.2967279918466</v>
      </c>
      <c r="I151" s="69" cm="1">
        <f t="array" ref="I151">HistBootstrapVaR_2Assets($B$129,$A151,0.99,$C$4:$C$127,$H$4:$H$127,$M$127)</f>
        <v>9668.5893973981201</v>
      </c>
      <c r="J151" s="70" cm="1">
        <f t="array" ref="J151">HistBootstrapVaR_2Assets($B$129,$A151,0.995,$C$4:$C$127,$H$4:$H$127,$M$127)</f>
        <v>11145.862489119907</v>
      </c>
      <c r="K151" s="69">
        <f t="shared" si="19"/>
        <v>3801.7433183080029</v>
      </c>
      <c r="L151" s="69">
        <f t="shared" si="19"/>
        <v>6252.7635515630627</v>
      </c>
      <c r="M151" s="70">
        <f t="shared" si="19"/>
        <v>6762.6554880967815</v>
      </c>
      <c r="P151"/>
    </row>
    <row r="152" spans="1:16" x14ac:dyDescent="0.2">
      <c r="A152" s="92">
        <v>18</v>
      </c>
      <c r="B152" s="92" cm="1">
        <f t="array" ref="B152">HistBootstrapVaR_Single($B$129,$A152,0.95,$C$4:$C$127,$F$127)</f>
        <v>2724.302770697504</v>
      </c>
      <c r="C152" s="69" cm="1">
        <f t="array" ref="C152">HistBootstrapVaR_Single($B$129,$A152,0.99,$C$4:$C$127,$F$127)</f>
        <v>4967.3498097585698</v>
      </c>
      <c r="D152" s="70" cm="1">
        <f t="array" ref="D152">HistBootstrapVaR_Single($B$129,$A152,0.995,$C$4:$C$127,$F$127)</f>
        <v>5728.26073368571</v>
      </c>
      <c r="E152" s="92" cm="1">
        <f t="array" ref="E152">HistBootstrapVaR_Single($B$129,$A152,0.95,$H$4:$H$127,$K$127)</f>
        <v>8272.5915660367918</v>
      </c>
      <c r="F152" s="69" cm="1">
        <f t="array" ref="F152">HistBootstrapVaR_Single($B$129,$A152,0.99,$H$4:$H$127,$K$127)</f>
        <v>11194.349687836087</v>
      </c>
      <c r="G152" s="70" cm="1">
        <f t="array" ref="G152">HistBootstrapVaR_Single($B$129,$A152,0.995,$H$4:$H$127,$K$127)</f>
        <v>12361.019790921575</v>
      </c>
      <c r="H152" s="92" cm="1">
        <f t="array" ref="H152">HistBootstrapVaR_2Assets($B$129,$A152,0.95,$C$4:$C$127,$H$4:$H$127,$M$127)</f>
        <v>6923.790476910186</v>
      </c>
      <c r="I152" s="69" cm="1">
        <f t="array" ref="I152">HistBootstrapVaR_2Assets($B$129,$A152,0.99,$C$4:$C$127,$H$4:$H$127,$M$127)</f>
        <v>10296.631202465054</v>
      </c>
      <c r="J152" s="70" cm="1">
        <f t="array" ref="J152">HistBootstrapVaR_2Assets($B$129,$A152,0.995,$C$4:$C$127,$H$4:$H$127,$M$127)</f>
        <v>11601.397936364734</v>
      </c>
      <c r="K152" s="69">
        <f t="shared" si="19"/>
        <v>4073.1038598241103</v>
      </c>
      <c r="L152" s="69">
        <f t="shared" si="19"/>
        <v>5865.0682951296039</v>
      </c>
      <c r="M152" s="70">
        <f t="shared" si="19"/>
        <v>6487.8825882425517</v>
      </c>
      <c r="P152"/>
    </row>
    <row r="153" spans="1:16" x14ac:dyDescent="0.2">
      <c r="A153" s="92">
        <v>19</v>
      </c>
      <c r="B153" s="92" cm="1">
        <f t="array" ref="B153">HistBootstrapVaR_Single($B$129,$A153,0.95,$C$4:$C$127,$F$127)</f>
        <v>2782.0660969429737</v>
      </c>
      <c r="C153" s="69" cm="1">
        <f t="array" ref="C153">HistBootstrapVaR_Single($B$129,$A153,0.99,$C$4:$C$127,$F$127)</f>
        <v>5179.5260286489938</v>
      </c>
      <c r="D153" s="70" cm="1">
        <f t="array" ref="D153">HistBootstrapVaR_Single($B$129,$A153,0.995,$C$4:$C$127,$F$127)</f>
        <v>6052.6704793524377</v>
      </c>
      <c r="E153" s="92" cm="1">
        <f t="array" ref="E153">HistBootstrapVaR_Single($B$129,$A153,0.95,$H$4:$H$127,$K$127)</f>
        <v>8617.0382034738559</v>
      </c>
      <c r="F153" s="69" cm="1">
        <f t="array" ref="F153">HistBootstrapVaR_Single($B$129,$A153,0.99,$H$4:$H$127,$K$127)</f>
        <v>11275.397620432394</v>
      </c>
      <c r="G153" s="70" cm="1">
        <f t="array" ref="G153">HistBootstrapVaR_Single($B$129,$A153,0.995,$H$4:$H$127,$K$127)</f>
        <v>12446.458049449644</v>
      </c>
      <c r="H153" s="92" cm="1">
        <f t="array" ref="H153">HistBootstrapVaR_2Assets($B$129,$A153,0.95,$C$4:$C$127,$H$4:$H$127,$M$127)</f>
        <v>7064.1907018130396</v>
      </c>
      <c r="I153" s="69" cm="1">
        <f t="array" ref="I153">HistBootstrapVaR_2Assets($B$129,$A153,0.99,$C$4:$C$127,$H$4:$H$127,$M$127)</f>
        <v>10413.420840902008</v>
      </c>
      <c r="J153" s="70" cm="1">
        <f t="array" ref="J153">HistBootstrapVaR_2Assets($B$129,$A153,0.995,$C$4:$C$127,$H$4:$H$127,$M$127)</f>
        <v>11514.390635482119</v>
      </c>
      <c r="K153" s="69">
        <f t="shared" si="19"/>
        <v>4334.91359860379</v>
      </c>
      <c r="L153" s="69">
        <f t="shared" si="19"/>
        <v>6041.5028081793771</v>
      </c>
      <c r="M153" s="70">
        <f t="shared" si="19"/>
        <v>6984.7378933199616</v>
      </c>
      <c r="P153"/>
    </row>
    <row r="154" spans="1:16" x14ac:dyDescent="0.2">
      <c r="A154" s="92">
        <v>20</v>
      </c>
      <c r="B154" s="92" cm="1">
        <f t="array" ref="B154">HistBootstrapVaR_Single($B$129,$A154,0.95,$C$4:$C$127,$F$127)</f>
        <v>2703.7036581565321</v>
      </c>
      <c r="C154" s="69" cm="1">
        <f t="array" ref="C154">HistBootstrapVaR_Single($B$129,$A154,0.99,$C$4:$C$127,$F$127)</f>
        <v>5083.3085548489071</v>
      </c>
      <c r="D154" s="70" cm="1">
        <f t="array" ref="D154">HistBootstrapVaR_Single($B$129,$A154,0.995,$C$4:$C$127,$F$127)</f>
        <v>5862.4559640642992</v>
      </c>
      <c r="E154" s="92" cm="1">
        <f t="array" ref="E154">HistBootstrapVaR_Single($B$129,$A154,0.95,$H$4:$H$127,$K$127)</f>
        <v>8836.3091679792688</v>
      </c>
      <c r="F154" s="69" cm="1">
        <f t="array" ref="F154">HistBootstrapVaR_Single($B$129,$A154,0.99,$H$4:$H$127,$K$127)</f>
        <v>11664.458514308935</v>
      </c>
      <c r="G154" s="70" cm="1">
        <f t="array" ref="G154">HistBootstrapVaR_Single($B$129,$A154,0.995,$H$4:$H$127,$K$127)</f>
        <v>12619.852860200916</v>
      </c>
      <c r="H154" s="92" cm="1">
        <f t="array" ref="H154">HistBootstrapVaR_2Assets($B$129,$A154,0.95,$C$4:$C$127,$H$4:$H$127,$M$127)</f>
        <v>7138.613407460145</v>
      </c>
      <c r="I154" s="69" cm="1">
        <f t="array" ref="I154">HistBootstrapVaR_2Assets($B$129,$A154,0.99,$C$4:$C$127,$H$4:$H$127,$M$127)</f>
        <v>10365.399739699189</v>
      </c>
      <c r="J154" s="70" cm="1">
        <f t="array" ref="J154">HistBootstrapVaR_2Assets($B$129,$A154,0.995,$C$4:$C$127,$H$4:$H$127,$M$127)</f>
        <v>11888.28787502466</v>
      </c>
      <c r="K154" s="69">
        <f t="shared" si="19"/>
        <v>4401.3994186756554</v>
      </c>
      <c r="L154" s="69">
        <f t="shared" si="19"/>
        <v>6382.3673294586533</v>
      </c>
      <c r="M154" s="70">
        <f t="shared" si="19"/>
        <v>6594.0209492405556</v>
      </c>
      <c r="P154"/>
    </row>
    <row r="155" spans="1:16" x14ac:dyDescent="0.2">
      <c r="A155" s="92">
        <v>21</v>
      </c>
      <c r="B155" s="92" cm="1">
        <f t="array" ref="B155">HistBootstrapVaR_Single($B$129,$A155,0.95,$C$4:$C$127,$F$127)</f>
        <v>2770.0920771602878</v>
      </c>
      <c r="C155" s="69" cm="1">
        <f t="array" ref="C155">HistBootstrapVaR_Single($B$129,$A155,0.99,$C$4:$C$127,$F$127)</f>
        <v>5246.6208321820923</v>
      </c>
      <c r="D155" s="70" cm="1">
        <f t="array" ref="D155">HistBootstrapVaR_Single($B$129,$A155,0.995,$C$4:$C$127,$F$127)</f>
        <v>5821.5405987326321</v>
      </c>
      <c r="E155" s="92" cm="1">
        <f t="array" ref="E155">HistBootstrapVaR_Single($B$129,$A155,0.95,$H$4:$H$127,$K$127)</f>
        <v>9074.1266049448841</v>
      </c>
      <c r="F155" s="69" cm="1">
        <f t="array" ref="F155">HistBootstrapVaR_Single($B$129,$A155,0.99,$H$4:$H$127,$K$127)</f>
        <v>11853.664954071652</v>
      </c>
      <c r="G155" s="70" cm="1">
        <f t="array" ref="G155">HistBootstrapVaR_Single($B$129,$A155,0.995,$H$4:$H$127,$K$127)</f>
        <v>13009.497529206094</v>
      </c>
      <c r="H155" s="92" cm="1">
        <f t="array" ref="H155">HistBootstrapVaR_2Assets($B$129,$A155,0.95,$C$4:$C$127,$H$4:$H$127,$M$127)</f>
        <v>7379.9242191903495</v>
      </c>
      <c r="I155" s="69" cm="1">
        <f t="array" ref="I155">HistBootstrapVaR_2Assets($B$129,$A155,0.99,$C$4:$C$127,$H$4:$H$127,$M$127)</f>
        <v>10695.338243173863</v>
      </c>
      <c r="J155" s="70" cm="1">
        <f t="array" ref="J155">HistBootstrapVaR_2Assets($B$129,$A155,0.995,$C$4:$C$127,$H$4:$H$127,$M$127)</f>
        <v>11973.265305515428</v>
      </c>
      <c r="K155" s="69">
        <f t="shared" si="19"/>
        <v>4464.2944629148233</v>
      </c>
      <c r="L155" s="69">
        <f t="shared" si="19"/>
        <v>6404.9475430798793</v>
      </c>
      <c r="M155" s="70">
        <f t="shared" si="19"/>
        <v>6857.7728224232978</v>
      </c>
      <c r="P155"/>
    </row>
    <row r="156" spans="1:16" x14ac:dyDescent="0.2">
      <c r="A156" s="92">
        <v>22</v>
      </c>
      <c r="B156" s="92" cm="1">
        <f t="array" ref="B156">HistBootstrapVaR_Single($B$129,$A156,0.95,$C$4:$C$127,$F$127)</f>
        <v>2594.1420984054766</v>
      </c>
      <c r="C156" s="69" cm="1">
        <f t="array" ref="C156">HistBootstrapVaR_Single($B$129,$A156,0.99,$C$4:$C$127,$F$127)</f>
        <v>5249.4050209704765</v>
      </c>
      <c r="D156" s="70" cm="1">
        <f t="array" ref="D156">HistBootstrapVaR_Single($B$129,$A156,0.995,$C$4:$C$127,$F$127)</f>
        <v>5806.2884445295986</v>
      </c>
      <c r="E156" s="92" cm="1">
        <f t="array" ref="E156">HistBootstrapVaR_Single($B$129,$A156,0.95,$H$4:$H$127,$K$127)</f>
        <v>9275.1304123422342</v>
      </c>
      <c r="F156" s="69" cm="1">
        <f t="array" ref="F156">HistBootstrapVaR_Single($B$129,$A156,0.99,$H$4:$H$127,$K$127)</f>
        <v>12171.869994986995</v>
      </c>
      <c r="G156" s="70" cm="1">
        <f t="array" ref="G156">HistBootstrapVaR_Single($B$129,$A156,0.995,$H$4:$H$127,$K$127)</f>
        <v>12981.387127263095</v>
      </c>
      <c r="H156" s="92" cm="1">
        <f t="array" ref="H156">HistBootstrapVaR_2Assets($B$129,$A156,0.95,$C$4:$C$127,$H$4:$H$127,$M$127)</f>
        <v>7560.3950955239798</v>
      </c>
      <c r="I156" s="69" cm="1">
        <f t="array" ref="I156">HistBootstrapVaR_2Assets($B$129,$A156,0.99,$C$4:$C$127,$H$4:$H$127,$M$127)</f>
        <v>11083.378975182364</v>
      </c>
      <c r="J156" s="70" cm="1">
        <f t="array" ref="J156">HistBootstrapVaR_2Assets($B$129,$A156,0.995,$C$4:$C$127,$H$4:$H$127,$M$127)</f>
        <v>12264.030003396072</v>
      </c>
      <c r="K156" s="69">
        <f t="shared" si="19"/>
        <v>4308.8774152237311</v>
      </c>
      <c r="L156" s="69">
        <f t="shared" si="19"/>
        <v>6337.8960407751074</v>
      </c>
      <c r="M156" s="70">
        <f t="shared" si="19"/>
        <v>6523.6455683966215</v>
      </c>
      <c r="P156"/>
    </row>
    <row r="157" spans="1:16" x14ac:dyDescent="0.2">
      <c r="A157" s="92">
        <v>23</v>
      </c>
      <c r="B157" s="92" cm="1">
        <f t="array" ref="B157">HistBootstrapVaR_Single($B$129,$A157,0.95,$C$4:$C$127,$F$127)</f>
        <v>2778.6136084882637</v>
      </c>
      <c r="C157" s="69" cm="1">
        <f t="array" ref="C157">HistBootstrapVaR_Single($B$129,$A157,0.99,$C$4:$C$127,$F$127)</f>
        <v>4980.6989362001377</v>
      </c>
      <c r="D157" s="70" cm="1">
        <f t="array" ref="D157">HistBootstrapVaR_Single($B$129,$A157,0.995,$C$4:$C$127,$F$127)</f>
        <v>6161.6799734182587</v>
      </c>
      <c r="E157" s="92" cm="1">
        <f t="array" ref="E157">HistBootstrapVaR_Single($B$129,$A157,0.95,$H$4:$H$127,$K$127)</f>
        <v>9458.630839789188</v>
      </c>
      <c r="F157" s="69" cm="1">
        <f t="array" ref="F157">HistBootstrapVaR_Single($B$129,$A157,0.99,$H$4:$H$127,$K$127)</f>
        <v>12423.797847436832</v>
      </c>
      <c r="G157" s="70" cm="1">
        <f t="array" ref="G157">HistBootstrapVaR_Single($B$129,$A157,0.995,$H$4:$H$127,$K$127)</f>
        <v>14054.411389503392</v>
      </c>
      <c r="H157" s="92" cm="1">
        <f t="array" ref="H157">HistBootstrapVaR_2Assets($B$129,$A157,0.95,$C$4:$C$127,$H$4:$H$127,$M$127)</f>
        <v>7755.9977147817744</v>
      </c>
      <c r="I157" s="69" cm="1">
        <f t="array" ref="I157">HistBootstrapVaR_2Assets($B$129,$A157,0.99,$C$4:$C$127,$H$4:$H$127,$M$127)</f>
        <v>11388.57224697208</v>
      </c>
      <c r="J157" s="70" cm="1">
        <f t="array" ref="J157">HistBootstrapVaR_2Assets($B$129,$A157,0.995,$C$4:$C$127,$H$4:$H$127,$M$127)</f>
        <v>12517.43651019517</v>
      </c>
      <c r="K157" s="69">
        <f t="shared" si="19"/>
        <v>4481.2467334956773</v>
      </c>
      <c r="L157" s="69">
        <f t="shared" si="19"/>
        <v>6015.9245366648884</v>
      </c>
      <c r="M157" s="70">
        <f t="shared" si="19"/>
        <v>7698.6548527264822</v>
      </c>
      <c r="P157"/>
    </row>
    <row r="158" spans="1:16" x14ac:dyDescent="0.2">
      <c r="A158" s="92">
        <v>24</v>
      </c>
      <c r="B158" s="92" cm="1">
        <f t="array" ref="B158">HistBootstrapVaR_Single($B$129,$A158,0.95,$C$4:$C$127,$F$127)</f>
        <v>2756.4208109716947</v>
      </c>
      <c r="C158" s="69" cm="1">
        <f t="array" ref="C158">HistBootstrapVaR_Single($B$129,$A158,0.99,$C$4:$C$127,$F$127)</f>
        <v>5225.5369094805728</v>
      </c>
      <c r="D158" s="70" cm="1">
        <f t="array" ref="D158">HistBootstrapVaR_Single($B$129,$A158,0.995,$C$4:$C$127,$F$127)</f>
        <v>6248.2599958381661</v>
      </c>
      <c r="E158" s="92" cm="1">
        <f t="array" ref="E158">HistBootstrapVaR_Single($B$129,$A158,0.95,$H$4:$H$127,$K$127)</f>
        <v>9776.977518059728</v>
      </c>
      <c r="F158" s="69" cm="1">
        <f t="array" ref="F158">HistBootstrapVaR_Single($B$129,$A158,0.99,$H$4:$H$127,$K$127)</f>
        <v>12570.862139289895</v>
      </c>
      <c r="G158" s="70" cm="1">
        <f t="array" ref="G158">HistBootstrapVaR_Single($B$129,$A158,0.995,$H$4:$H$127,$K$127)</f>
        <v>14199.071497566185</v>
      </c>
      <c r="H158" s="92" cm="1">
        <f t="array" ref="H158">HistBootstrapVaR_2Assets($B$129,$A158,0.95,$C$4:$C$127,$H$4:$H$127,$M$127)</f>
        <v>7935.9467984448993</v>
      </c>
      <c r="I158" s="69" cm="1">
        <f t="array" ref="I158">HistBootstrapVaR_2Assets($B$129,$A158,0.99,$C$4:$C$127,$H$4:$H$127,$M$127)</f>
        <v>11435.095086979776</v>
      </c>
      <c r="J158" s="70" cm="1">
        <f t="array" ref="J158">HistBootstrapVaR_2Assets($B$129,$A158,0.995,$C$4:$C$127,$H$4:$H$127,$M$127)</f>
        <v>12509.666586906407</v>
      </c>
      <c r="K158" s="69">
        <f t="shared" si="19"/>
        <v>4597.4515305865234</v>
      </c>
      <c r="L158" s="69">
        <f t="shared" si="19"/>
        <v>6361.3039617906925</v>
      </c>
      <c r="M158" s="70">
        <f t="shared" si="19"/>
        <v>7937.6649064979447</v>
      </c>
      <c r="P158"/>
    </row>
    <row r="159" spans="1:16" x14ac:dyDescent="0.2">
      <c r="A159" s="92">
        <v>25</v>
      </c>
      <c r="B159" s="92" cm="1">
        <f t="array" ref="B159">HistBootstrapVaR_Single($B$129,$A159,0.95,$C$4:$C$127,$F$127)</f>
        <v>2662.9310519387509</v>
      </c>
      <c r="C159" s="69" cm="1">
        <f t="array" ref="C159">HistBootstrapVaR_Single($B$129,$A159,0.99,$C$4:$C$127,$F$127)</f>
        <v>5337.371341688111</v>
      </c>
      <c r="D159" s="70" cm="1">
        <f t="array" ref="D159">HistBootstrapVaR_Single($B$129,$A159,0.995,$C$4:$C$127,$F$127)</f>
        <v>6389.6441612597237</v>
      </c>
      <c r="E159" s="92" cm="1">
        <f t="array" ref="E159">HistBootstrapVaR_Single($B$129,$A159,0.95,$H$4:$H$127,$K$127)</f>
        <v>10158.347023303171</v>
      </c>
      <c r="F159" s="69" cm="1">
        <f t="array" ref="F159">HistBootstrapVaR_Single($B$129,$A159,0.99,$H$4:$H$127,$K$127)</f>
        <v>13022.79197710972</v>
      </c>
      <c r="G159" s="70" cm="1">
        <f t="array" ref="G159">HistBootstrapVaR_Single($B$129,$A159,0.995,$H$4:$H$127,$K$127)</f>
        <v>14243.865119827899</v>
      </c>
      <c r="H159" s="92" cm="1">
        <f t="array" ref="H159">HistBootstrapVaR_2Assets($B$129,$A159,0.95,$C$4:$C$127,$H$4:$H$127,$M$127)</f>
        <v>8128.6619212844262</v>
      </c>
      <c r="I159" s="69" cm="1">
        <f t="array" ref="I159">HistBootstrapVaR_2Assets($B$129,$A159,0.99,$C$4:$C$127,$H$4:$H$127,$M$127)</f>
        <v>11319.271032406466</v>
      </c>
      <c r="J159" s="70" cm="1">
        <f t="array" ref="J159">HistBootstrapVaR_2Assets($B$129,$A159,0.995,$C$4:$C$127,$H$4:$H$127,$M$127)</f>
        <v>12831.337368616436</v>
      </c>
      <c r="K159" s="69">
        <f t="shared" si="19"/>
        <v>4692.616153957496</v>
      </c>
      <c r="L159" s="69">
        <f t="shared" si="19"/>
        <v>7040.8922863913631</v>
      </c>
      <c r="M159" s="70">
        <f t="shared" si="19"/>
        <v>7802.1719124711872</v>
      </c>
      <c r="P159"/>
    </row>
    <row r="160" spans="1:16" x14ac:dyDescent="0.2">
      <c r="A160" s="92">
        <v>26</v>
      </c>
      <c r="B160" s="92" cm="1">
        <f t="array" ref="B160">HistBootstrapVaR_Single($B$129,$A160,0.95,$C$4:$C$127,$F$127)</f>
        <v>2640.4130314755957</v>
      </c>
      <c r="C160" s="69" cm="1">
        <f t="array" ref="C160">HistBootstrapVaR_Single($B$129,$A160,0.99,$C$4:$C$127,$F$127)</f>
        <v>5595.4480202913464</v>
      </c>
      <c r="D160" s="70" cm="1">
        <f t="array" ref="D160">HistBootstrapVaR_Single($B$129,$A160,0.995,$C$4:$C$127,$F$127)</f>
        <v>6164.2090052855192</v>
      </c>
      <c r="E160" s="92" cm="1">
        <f t="array" ref="E160">HistBootstrapVaR_Single($B$129,$A160,0.95,$H$4:$H$127,$K$127)</f>
        <v>10114.637895108084</v>
      </c>
      <c r="F160" s="69" cm="1">
        <f t="array" ref="F160">HistBootstrapVaR_Single($B$129,$A160,0.99,$H$4:$H$127,$K$127)</f>
        <v>12747.745326289583</v>
      </c>
      <c r="G160" s="70" cm="1">
        <f t="array" ref="G160">HistBootstrapVaR_Single($B$129,$A160,0.995,$H$4:$H$127,$K$127)</f>
        <v>14182.597390033874</v>
      </c>
      <c r="H160" s="92" cm="1">
        <f t="array" ref="H160">HistBootstrapVaR_2Assets($B$129,$A160,0.95,$C$4:$C$127,$H$4:$H$127,$M$127)</f>
        <v>8217.8284910325237</v>
      </c>
      <c r="I160" s="69" cm="1">
        <f t="array" ref="I160">HistBootstrapVaR_2Assets($B$129,$A160,0.99,$C$4:$C$127,$H$4:$H$127,$M$127)</f>
        <v>12053.191943908503</v>
      </c>
      <c r="J160" s="70" cm="1">
        <f t="array" ref="J160">HistBootstrapVaR_2Assets($B$129,$A160,0.995,$C$4:$C$127,$H$4:$H$127,$M$127)</f>
        <v>13386.127060193519</v>
      </c>
      <c r="K160" s="69">
        <f t="shared" si="19"/>
        <v>4537.2224355511571</v>
      </c>
      <c r="L160" s="69">
        <f t="shared" si="19"/>
        <v>6290.0014026724275</v>
      </c>
      <c r="M160" s="70">
        <f t="shared" si="19"/>
        <v>6960.679335125873</v>
      </c>
      <c r="P160"/>
    </row>
    <row r="161" spans="1:16" x14ac:dyDescent="0.2">
      <c r="A161" s="92">
        <v>27</v>
      </c>
      <c r="B161" s="92" cm="1">
        <f t="array" ref="B161">HistBootstrapVaR_Single($B$129,$A161,0.95,$C$4:$C$127,$F$127)</f>
        <v>2712.4936772587698</v>
      </c>
      <c r="C161" s="69" cm="1">
        <f t="array" ref="C161">HistBootstrapVaR_Single($B$129,$A161,0.99,$C$4:$C$127,$F$127)</f>
        <v>5596.7346982969866</v>
      </c>
      <c r="D161" s="70" cm="1">
        <f t="array" ref="D161">HistBootstrapVaR_Single($B$129,$A161,0.995,$C$4:$C$127,$F$127)</f>
        <v>6351.309740313679</v>
      </c>
      <c r="E161" s="92" cm="1">
        <f t="array" ref="E161">HistBootstrapVaR_Single($B$129,$A161,0.95,$H$4:$H$127,$K$127)</f>
        <v>10417.40326715736</v>
      </c>
      <c r="F161" s="69" cm="1">
        <f t="array" ref="F161">HistBootstrapVaR_Single($B$129,$A161,0.99,$H$4:$H$127,$K$127)</f>
        <v>13500.993375953669</v>
      </c>
      <c r="G161" s="70" cm="1">
        <f t="array" ref="G161">HistBootstrapVaR_Single($B$129,$A161,0.995,$H$4:$H$127,$K$127)</f>
        <v>14750.37657876336</v>
      </c>
      <c r="H161" s="92" cm="1">
        <f t="array" ref="H161">HistBootstrapVaR_2Assets($B$129,$A161,0.95,$C$4:$C$127,$H$4:$H$127,$M$127)</f>
        <v>8192.4646883930254</v>
      </c>
      <c r="I161" s="69" cm="1">
        <f t="array" ref="I161">HistBootstrapVaR_2Assets($B$129,$A161,0.99,$C$4:$C$127,$H$4:$H$127,$M$127)</f>
        <v>12161.537678944345</v>
      </c>
      <c r="J161" s="70" cm="1">
        <f t="array" ref="J161">HistBootstrapVaR_2Assets($B$129,$A161,0.995,$C$4:$C$127,$H$4:$H$127,$M$127)</f>
        <v>13366.989108226175</v>
      </c>
      <c r="K161" s="69">
        <f t="shared" si="19"/>
        <v>4937.4322560231049</v>
      </c>
      <c r="L161" s="69">
        <f t="shared" si="19"/>
        <v>6936.1903953063102</v>
      </c>
      <c r="M161" s="70">
        <f t="shared" si="19"/>
        <v>7734.6972108508635</v>
      </c>
      <c r="P161"/>
    </row>
    <row r="162" spans="1:16" x14ac:dyDescent="0.2">
      <c r="A162" s="92">
        <v>28</v>
      </c>
      <c r="B162" s="92" cm="1">
        <f t="array" ref="B162">HistBootstrapVaR_Single($B$129,$A162,0.95,$C$4:$C$127,$F$127)</f>
        <v>2558.2572314996023</v>
      </c>
      <c r="C162" s="69" cm="1">
        <f t="array" ref="C162">HistBootstrapVaR_Single($B$129,$A162,0.99,$C$4:$C$127,$F$127)</f>
        <v>5537.1771913631774</v>
      </c>
      <c r="D162" s="70" cm="1">
        <f t="array" ref="D162">HistBootstrapVaR_Single($B$129,$A162,0.995,$C$4:$C$127,$F$127)</f>
        <v>6233.6471262683663</v>
      </c>
      <c r="E162" s="92" cm="1">
        <f t="array" ref="E162">HistBootstrapVaR_Single($B$129,$A162,0.95,$H$4:$H$127,$K$127)</f>
        <v>10736.889631552162</v>
      </c>
      <c r="F162" s="69" cm="1">
        <f t="array" ref="F162">HistBootstrapVaR_Single($B$129,$A162,0.99,$H$4:$H$127,$K$127)</f>
        <v>13632.838886002402</v>
      </c>
      <c r="G162" s="70" cm="1">
        <f t="array" ref="G162">HistBootstrapVaR_Single($B$129,$A162,0.995,$H$4:$H$127,$K$127)</f>
        <v>14893.841647223659</v>
      </c>
      <c r="H162" s="92" cm="1">
        <f t="array" ref="H162">HistBootstrapVaR_2Assets($B$129,$A162,0.95,$C$4:$C$127,$H$4:$H$127,$M$127)</f>
        <v>8574.1398657260652</v>
      </c>
      <c r="I162" s="69" cm="1">
        <f t="array" ref="I162">HistBootstrapVaR_2Assets($B$129,$A162,0.99,$C$4:$C$127,$H$4:$H$127,$M$127)</f>
        <v>12671.971677175088</v>
      </c>
      <c r="J162" s="70" cm="1">
        <f t="array" ref="J162">HistBootstrapVaR_2Assets($B$129,$A162,0.995,$C$4:$C$127,$H$4:$H$127,$M$127)</f>
        <v>13634.654968687662</v>
      </c>
      <c r="K162" s="69">
        <f t="shared" si="19"/>
        <v>4721.0069973256977</v>
      </c>
      <c r="L162" s="69">
        <f t="shared" si="19"/>
        <v>6498.0444001904925</v>
      </c>
      <c r="M162" s="70">
        <f t="shared" si="19"/>
        <v>7492.8338048043643</v>
      </c>
      <c r="P162"/>
    </row>
    <row r="163" spans="1:16" x14ac:dyDescent="0.2">
      <c r="A163" s="92">
        <v>29</v>
      </c>
      <c r="B163" s="92" cm="1">
        <f t="array" ref="B163">HistBootstrapVaR_Single($B$129,$A163,0.95,$C$4:$C$127,$F$127)</f>
        <v>2661.9738194189895</v>
      </c>
      <c r="C163" s="69" cm="1">
        <f t="array" ref="C163">HistBootstrapVaR_Single($B$129,$A163,0.99,$C$4:$C$127,$F$127)</f>
        <v>5417.8821422979554</v>
      </c>
      <c r="D163" s="70" cm="1">
        <f t="array" ref="D163">HistBootstrapVaR_Single($B$129,$A163,0.995,$C$4:$C$127,$F$127)</f>
        <v>6119.5509900527777</v>
      </c>
      <c r="E163" s="92" cm="1">
        <f t="array" ref="E163">HistBootstrapVaR_Single($B$129,$A163,0.95,$H$4:$H$127,$K$127)</f>
        <v>10802.699990812756</v>
      </c>
      <c r="F163" s="69" cm="1">
        <f t="array" ref="F163">HistBootstrapVaR_Single($B$129,$A163,0.99,$H$4:$H$127,$K$127)</f>
        <v>13837.42930148618</v>
      </c>
      <c r="G163" s="70" cm="1">
        <f t="array" ref="G163">HistBootstrapVaR_Single($B$129,$A163,0.995,$H$4:$H$127,$K$127)</f>
        <v>14449.109028903726</v>
      </c>
      <c r="H163" s="92" cm="1">
        <f t="array" ref="H163">HistBootstrapVaR_2Assets($B$129,$A163,0.95,$C$4:$C$127,$H$4:$H$127,$M$127)</f>
        <v>8798.6499307507547</v>
      </c>
      <c r="I163" s="69" cm="1">
        <f t="array" ref="I163">HistBootstrapVaR_2Assets($B$129,$A163,0.99,$C$4:$C$127,$H$4:$H$127,$M$127)</f>
        <v>12254.422532108842</v>
      </c>
      <c r="J163" s="70" cm="1">
        <f t="array" ref="J163">HistBootstrapVaR_2Assets($B$129,$A163,0.995,$C$4:$C$127,$H$4:$H$127,$M$127)</f>
        <v>13608.306287259915</v>
      </c>
      <c r="K163" s="69">
        <f t="shared" si="19"/>
        <v>4666.023879480992</v>
      </c>
      <c r="L163" s="69">
        <f t="shared" si="19"/>
        <v>7000.8889116752944</v>
      </c>
      <c r="M163" s="70">
        <f t="shared" si="19"/>
        <v>6960.3537316965885</v>
      </c>
      <c r="P163"/>
    </row>
    <row r="164" spans="1:16" x14ac:dyDescent="0.2">
      <c r="A164" s="92">
        <v>30</v>
      </c>
      <c r="B164" s="92" cm="1">
        <f t="array" ref="B164">HistBootstrapVaR_Single($B$129,$A164,0.95,$C$4:$C$127,$F$127)</f>
        <v>2426.9017807643263</v>
      </c>
      <c r="C164" s="69" cm="1">
        <f t="array" ref="C164">HistBootstrapVaR_Single($B$129,$A164,0.99,$C$4:$C$127,$F$127)</f>
        <v>5507.7061089436538</v>
      </c>
      <c r="D164" s="70" cm="1">
        <f t="array" ref="D164">HistBootstrapVaR_Single($B$129,$A164,0.995,$C$4:$C$127,$F$127)</f>
        <v>6327.8904885922648</v>
      </c>
      <c r="E164" s="92" cm="1">
        <f t="array" ref="E164">HistBootstrapVaR_Single($B$129,$A164,0.95,$H$4:$H$127,$K$127)</f>
        <v>10990.752199094213</v>
      </c>
      <c r="F164" s="69" cm="1">
        <f t="array" ref="F164">HistBootstrapVaR_Single($B$129,$A164,0.99,$H$4:$H$127,$K$127)</f>
        <v>14112.363512949847</v>
      </c>
      <c r="G164" s="70" cm="1">
        <f t="array" ref="G164">HistBootstrapVaR_Single($B$129,$A164,0.995,$H$4:$H$127,$K$127)</f>
        <v>15047.247259048354</v>
      </c>
      <c r="H164" s="92" cm="1">
        <f t="array" ref="H164">HistBootstrapVaR_2Assets($B$129,$A164,0.95,$C$4:$C$127,$H$4:$H$127,$M$127)</f>
        <v>8853.1368112927848</v>
      </c>
      <c r="I164" s="69" cm="1">
        <f t="array" ref="I164">HistBootstrapVaR_2Assets($B$129,$A164,0.99,$C$4:$C$127,$H$4:$H$127,$M$127)</f>
        <v>12506.194953714868</v>
      </c>
      <c r="J164" s="70" cm="1">
        <f t="array" ref="J164">HistBootstrapVaR_2Assets($B$129,$A164,0.995,$C$4:$C$127,$H$4:$H$127,$M$127)</f>
        <v>14319.673592806841</v>
      </c>
      <c r="K164" s="69">
        <f t="shared" si="19"/>
        <v>4564.5171685657551</v>
      </c>
      <c r="L164" s="69">
        <f t="shared" si="19"/>
        <v>7113.8746681786324</v>
      </c>
      <c r="M164" s="70">
        <f t="shared" si="19"/>
        <v>7055.4641548337786</v>
      </c>
      <c r="P164"/>
    </row>
    <row r="165" spans="1:16" x14ac:dyDescent="0.2">
      <c r="A165" s="92">
        <v>31</v>
      </c>
      <c r="B165" s="92" cm="1">
        <f t="array" ref="B165">HistBootstrapVaR_Single($B$129,$A165,0.95,$C$4:$C$127,$F$127)</f>
        <v>2499.111255906625</v>
      </c>
      <c r="C165" s="69" cm="1">
        <f t="array" ref="C165">HistBootstrapVaR_Single($B$129,$A165,0.99,$C$4:$C$127,$F$127)</f>
        <v>5299.2558963734891</v>
      </c>
      <c r="D165" s="70" cm="1">
        <f t="array" ref="D165">HistBootstrapVaR_Single($B$129,$A165,0.995,$C$4:$C$127,$F$127)</f>
        <v>6266.6726744979587</v>
      </c>
      <c r="E165" s="92" cm="1">
        <f t="array" ref="E165">HistBootstrapVaR_Single($B$129,$A165,0.95,$H$4:$H$127,$K$127)</f>
        <v>11224.776684712901</v>
      </c>
      <c r="F165" s="69" cm="1">
        <f t="array" ref="F165">HistBootstrapVaR_Single($B$129,$A165,0.99,$H$4:$H$127,$K$127)</f>
        <v>14452.15478852261</v>
      </c>
      <c r="G165" s="70" cm="1">
        <f t="array" ref="G165">HistBootstrapVaR_Single($B$129,$A165,0.995,$H$4:$H$127,$K$127)</f>
        <v>15496.664301040386</v>
      </c>
      <c r="H165" s="92" cm="1">
        <f t="array" ref="H165">HistBootstrapVaR_2Assets($B$129,$A165,0.95,$C$4:$C$127,$H$4:$H$127,$M$127)</f>
        <v>8817.227286716914</v>
      </c>
      <c r="I165" s="69" cm="1">
        <f t="array" ref="I165">HistBootstrapVaR_2Assets($B$129,$A165,0.99,$C$4:$C$127,$H$4:$H$127,$M$127)</f>
        <v>12747.868847507079</v>
      </c>
      <c r="J165" s="70" cm="1">
        <f t="array" ref="J165">HistBootstrapVaR_2Assets($B$129,$A165,0.995,$C$4:$C$127,$H$4:$H$127,$M$127)</f>
        <v>14069.759679975963</v>
      </c>
      <c r="K165" s="69">
        <f t="shared" si="19"/>
        <v>4906.6606539026125</v>
      </c>
      <c r="L165" s="69">
        <f t="shared" si="19"/>
        <v>7003.5418373890188</v>
      </c>
      <c r="M165" s="70">
        <f t="shared" si="19"/>
        <v>7693.5772955623834</v>
      </c>
      <c r="P165"/>
    </row>
    <row r="166" spans="1:16" x14ac:dyDescent="0.2">
      <c r="A166" s="92">
        <v>32</v>
      </c>
      <c r="B166" s="92" cm="1">
        <f t="array" ref="B166">HistBootstrapVaR_Single($B$129,$A166,0.95,$C$4:$C$127,$F$127)</f>
        <v>2379.2287812039522</v>
      </c>
      <c r="C166" s="69" cm="1">
        <f t="array" ref="C166">HistBootstrapVaR_Single($B$129,$A166,0.99,$C$4:$C$127,$F$127)</f>
        <v>5385.0917230955811</v>
      </c>
      <c r="D166" s="70" cm="1">
        <f t="array" ref="D166">HistBootstrapVaR_Single($B$129,$A166,0.995,$C$4:$C$127,$F$127)</f>
        <v>6483.7338441977281</v>
      </c>
      <c r="E166" s="92" cm="1">
        <f t="array" ref="E166">HistBootstrapVaR_Single($B$129,$A166,0.95,$H$4:$H$127,$K$127)</f>
        <v>11581.408016318579</v>
      </c>
      <c r="F166" s="69" cm="1">
        <f t="array" ref="F166">HistBootstrapVaR_Single($B$129,$A166,0.99,$H$4:$H$127,$K$127)</f>
        <v>14681.816456315704</v>
      </c>
      <c r="G166" s="70" cm="1">
        <f t="array" ref="G166">HistBootstrapVaR_Single($B$129,$A166,0.995,$H$4:$H$127,$K$127)</f>
        <v>16302.760739123245</v>
      </c>
      <c r="H166" s="92" cm="1">
        <f t="array" ref="H166">HistBootstrapVaR_2Assets($B$129,$A166,0.95,$C$4:$C$127,$H$4:$H$127,$M$127)</f>
        <v>8821.3064331714431</v>
      </c>
      <c r="I166" s="69" cm="1">
        <f t="array" ref="I166">HistBootstrapVaR_2Assets($B$129,$A166,0.99,$C$4:$C$127,$H$4:$H$127,$M$127)</f>
        <v>12937.95074826231</v>
      </c>
      <c r="J166" s="70" cm="1">
        <f t="array" ref="J166">HistBootstrapVaR_2Assets($B$129,$A166,0.995,$C$4:$C$127,$H$4:$H$127,$M$127)</f>
        <v>14427.357380096535</v>
      </c>
      <c r="K166" s="69">
        <f t="shared" si="19"/>
        <v>5139.3303643510881</v>
      </c>
      <c r="L166" s="69">
        <f t="shared" si="19"/>
        <v>7128.957431148976</v>
      </c>
      <c r="M166" s="70">
        <f t="shared" si="19"/>
        <v>8359.1372032244362</v>
      </c>
      <c r="P166"/>
    </row>
    <row r="167" spans="1:16" x14ac:dyDescent="0.2">
      <c r="A167" s="92">
        <v>33</v>
      </c>
      <c r="B167" s="92" cm="1">
        <f t="array" ref="B167">HistBootstrapVaR_Single($B$129,$A167,0.95,$C$4:$C$127,$F$127)</f>
        <v>2455.4255609778411</v>
      </c>
      <c r="C167" s="69" cm="1">
        <f t="array" ref="C167">HistBootstrapVaR_Single($B$129,$A167,0.99,$C$4:$C$127,$F$127)</f>
        <v>5379.5615939050649</v>
      </c>
      <c r="D167" s="70" cm="1">
        <f t="array" ref="D167">HistBootstrapVaR_Single($B$129,$A167,0.995,$C$4:$C$127,$F$127)</f>
        <v>6295.131621015018</v>
      </c>
      <c r="E167" s="92" cm="1">
        <f t="array" ref="E167">HistBootstrapVaR_Single($B$129,$A167,0.95,$H$4:$H$127,$K$127)</f>
        <v>11832.971675936169</v>
      </c>
      <c r="F167" s="69" cm="1">
        <f t="array" ref="F167">HistBootstrapVaR_Single($B$129,$A167,0.99,$H$4:$H$127,$K$127)</f>
        <v>14660.548206821606</v>
      </c>
      <c r="G167" s="70" cm="1">
        <f t="array" ref="G167">HistBootstrapVaR_Single($B$129,$A167,0.995,$H$4:$H$127,$K$127)</f>
        <v>16070.906977181874</v>
      </c>
      <c r="H167" s="92" cm="1">
        <f t="array" ref="H167">HistBootstrapVaR_2Assets($B$129,$A167,0.95,$C$4:$C$127,$H$4:$H$127,$M$127)</f>
        <v>9244.1155050540128</v>
      </c>
      <c r="I167" s="69" cm="1">
        <f t="array" ref="I167">HistBootstrapVaR_2Assets($B$129,$A167,0.99,$C$4:$C$127,$H$4:$H$127,$M$127)</f>
        <v>12877.839825644298</v>
      </c>
      <c r="J167" s="70" cm="1">
        <f t="array" ref="J167">HistBootstrapVaR_2Assets($B$129,$A167,0.995,$C$4:$C$127,$H$4:$H$127,$M$127)</f>
        <v>14139.789150154837</v>
      </c>
      <c r="K167" s="69">
        <f t="shared" si="19"/>
        <v>5044.2817318599973</v>
      </c>
      <c r="L167" s="69">
        <f t="shared" si="19"/>
        <v>7162.2699750823722</v>
      </c>
      <c r="M167" s="70">
        <f t="shared" si="19"/>
        <v>8226.2494480420573</v>
      </c>
      <c r="P167"/>
    </row>
    <row r="168" spans="1:16" x14ac:dyDescent="0.2">
      <c r="A168" s="92">
        <v>34</v>
      </c>
      <c r="B168" s="92" cm="1">
        <f t="array" ref="B168">HistBootstrapVaR_Single($B$129,$A168,0.95,$C$4:$C$127,$F$127)</f>
        <v>2421.3448484754081</v>
      </c>
      <c r="C168" s="69" cm="1">
        <f t="array" ref="C168">HistBootstrapVaR_Single($B$129,$A168,0.99,$C$4:$C$127,$F$127)</f>
        <v>5410.6495258398409</v>
      </c>
      <c r="D168" s="70" cm="1">
        <f t="array" ref="D168">HistBootstrapVaR_Single($B$129,$A168,0.995,$C$4:$C$127,$F$127)</f>
        <v>6459.3868090026135</v>
      </c>
      <c r="E168" s="92" cm="1">
        <f t="array" ref="E168">HistBootstrapVaR_Single($B$129,$A168,0.95,$H$4:$H$127,$K$127)</f>
        <v>11748.401392624866</v>
      </c>
      <c r="F168" s="69" cm="1">
        <f t="array" ref="F168">HistBootstrapVaR_Single($B$129,$A168,0.99,$H$4:$H$127,$K$127)</f>
        <v>15113.022361754864</v>
      </c>
      <c r="G168" s="70" cm="1">
        <f t="array" ref="G168">HistBootstrapVaR_Single($B$129,$A168,0.995,$H$4:$H$127,$K$127)</f>
        <v>16030.437852467412</v>
      </c>
      <c r="H168" s="92" cm="1">
        <f t="array" ref="H168">HistBootstrapVaR_2Assets($B$129,$A168,0.95,$C$4:$C$127,$H$4:$H$127,$M$127)</f>
        <v>9128.9206438053498</v>
      </c>
      <c r="I168" s="69" cm="1">
        <f t="array" ref="I168">HistBootstrapVaR_2Assets($B$129,$A168,0.99,$C$4:$C$127,$H$4:$H$127,$M$127)</f>
        <v>13437.384513651938</v>
      </c>
      <c r="J168" s="70" cm="1">
        <f t="array" ref="J168">HistBootstrapVaR_2Assets($B$129,$A168,0.995,$C$4:$C$127,$H$4:$H$127,$M$127)</f>
        <v>14966.618312292279</v>
      </c>
      <c r="K168" s="69">
        <f t="shared" si="19"/>
        <v>5040.8255972949246</v>
      </c>
      <c r="L168" s="69">
        <f t="shared" si="19"/>
        <v>7086.2873739427669</v>
      </c>
      <c r="M168" s="70">
        <f t="shared" si="19"/>
        <v>7523.2063491777462</v>
      </c>
      <c r="P168"/>
    </row>
    <row r="169" spans="1:16" x14ac:dyDescent="0.2">
      <c r="A169" s="92">
        <v>35</v>
      </c>
      <c r="B169" s="92" cm="1">
        <f t="array" ref="B169">HistBootstrapVaR_Single($B$129,$A169,0.95,$C$4:$C$127,$F$127)</f>
        <v>2286.9009332144669</v>
      </c>
      <c r="C169" s="69" cm="1">
        <f t="array" ref="C169">HistBootstrapVaR_Single($B$129,$A169,0.99,$C$4:$C$127,$F$127)</f>
        <v>5437.4203745948798</v>
      </c>
      <c r="D169" s="70" cm="1">
        <f t="array" ref="D169">HistBootstrapVaR_Single($B$129,$A169,0.995,$C$4:$C$127,$F$127)</f>
        <v>6318.1296841556823</v>
      </c>
      <c r="E169" s="92" cm="1">
        <f t="array" ref="E169">HistBootstrapVaR_Single($B$129,$A169,0.95,$H$4:$H$127,$K$127)</f>
        <v>12027.081473538701</v>
      </c>
      <c r="F169" s="69" cm="1">
        <f t="array" ref="F169">HistBootstrapVaR_Single($B$129,$A169,0.99,$H$4:$H$127,$K$127)</f>
        <v>15343.002769364752</v>
      </c>
      <c r="G169" s="70" cm="1">
        <f t="array" ref="G169">HistBootstrapVaR_Single($B$129,$A169,0.995,$H$4:$H$127,$K$127)</f>
        <v>16631.406816773597</v>
      </c>
      <c r="H169" s="92" cm="1">
        <f t="array" ref="H169">HistBootstrapVaR_2Assets($B$129,$A169,0.95,$C$4:$C$127,$H$4:$H$127,$M$127)</f>
        <v>9257.5165351593751</v>
      </c>
      <c r="I169" s="69" cm="1">
        <f t="array" ref="I169">HistBootstrapVaR_2Assets($B$129,$A169,0.99,$C$4:$C$127,$H$4:$H$127,$M$127)</f>
        <v>13299.880533659481</v>
      </c>
      <c r="J169" s="70" cm="1">
        <f t="array" ref="J169">HistBootstrapVaR_2Assets($B$129,$A169,0.995,$C$4:$C$127,$H$4:$H$127,$M$127)</f>
        <v>15108.466165892905</v>
      </c>
      <c r="K169" s="69">
        <f t="shared" si="19"/>
        <v>5056.4658715937931</v>
      </c>
      <c r="L169" s="69">
        <f t="shared" si="19"/>
        <v>7480.5426103001519</v>
      </c>
      <c r="M169" s="70">
        <f t="shared" si="19"/>
        <v>7841.0703350363747</v>
      </c>
      <c r="P169"/>
    </row>
    <row r="170" spans="1:16" x14ac:dyDescent="0.2">
      <c r="A170" s="92">
        <v>36</v>
      </c>
      <c r="B170" s="92" cm="1">
        <f t="array" ref="B170">HistBootstrapVaR_Single($B$129,$A170,0.95,$C$4:$C$127,$F$127)</f>
        <v>2331.5160477035161</v>
      </c>
      <c r="C170" s="69" cm="1">
        <f t="array" ref="C170">HistBootstrapVaR_Single($B$129,$A170,0.99,$C$4:$C$127,$F$127)</f>
        <v>5560.8156677046691</v>
      </c>
      <c r="D170" s="70" cm="1">
        <f t="array" ref="D170">HistBootstrapVaR_Single($B$129,$A170,0.995,$C$4:$C$127,$F$127)</f>
        <v>6338.1245760007323</v>
      </c>
      <c r="E170" s="92" cm="1">
        <f t="array" ref="E170">HistBootstrapVaR_Single($B$129,$A170,0.95,$H$4:$H$127,$K$127)</f>
        <v>12238.436479057946</v>
      </c>
      <c r="F170" s="69" cm="1">
        <f t="array" ref="F170">HistBootstrapVaR_Single($B$129,$A170,0.99,$H$4:$H$127,$K$127)</f>
        <v>15590.615405112045</v>
      </c>
      <c r="G170" s="70" cm="1">
        <f t="array" ref="G170">HistBootstrapVaR_Single($B$129,$A170,0.995,$H$4:$H$127,$K$127)</f>
        <v>17005.515932584349</v>
      </c>
      <c r="H170" s="92" cm="1">
        <f t="array" ref="H170">HistBootstrapVaR_2Assets($B$129,$A170,0.95,$C$4:$C$127,$H$4:$H$127,$M$127)</f>
        <v>9184.49119494568</v>
      </c>
      <c r="I170" s="69" cm="1">
        <f t="array" ref="I170">HistBootstrapVaR_2Assets($B$129,$A170,0.99,$C$4:$C$127,$H$4:$H$127,$M$127)</f>
        <v>13682.970566867662</v>
      </c>
      <c r="J170" s="70" cm="1">
        <f t="array" ref="J170">HistBootstrapVaR_2Assets($B$129,$A170,0.995,$C$4:$C$127,$H$4:$H$127,$M$127)</f>
        <v>15074.373338076444</v>
      </c>
      <c r="K170" s="69">
        <f t="shared" si="19"/>
        <v>5385.4613318157826</v>
      </c>
      <c r="L170" s="69">
        <f t="shared" si="19"/>
        <v>7468.4605059490532</v>
      </c>
      <c r="M170" s="70">
        <f t="shared" si="19"/>
        <v>8269.2671705086377</v>
      </c>
      <c r="P170"/>
    </row>
    <row r="171" spans="1:16" x14ac:dyDescent="0.2">
      <c r="A171" s="92">
        <v>37</v>
      </c>
      <c r="B171" s="92" cm="1">
        <f t="array" ref="B171">HistBootstrapVaR_Single($B$129,$A171,0.95,$C$4:$C$127,$F$127)</f>
        <v>2252.4350263532224</v>
      </c>
      <c r="C171" s="69" cm="1">
        <f t="array" ref="C171">HistBootstrapVaR_Single($B$129,$A171,0.99,$C$4:$C$127,$F$127)</f>
        <v>5372.3809159686007</v>
      </c>
      <c r="D171" s="70" cm="1">
        <f t="array" ref="D171">HistBootstrapVaR_Single($B$129,$A171,0.995,$C$4:$C$127,$F$127)</f>
        <v>6538.4871020533401</v>
      </c>
      <c r="E171" s="92" cm="1">
        <f t="array" ref="E171">HistBootstrapVaR_Single($B$129,$A171,0.95,$H$4:$H$127,$K$127)</f>
        <v>12561.068359812301</v>
      </c>
      <c r="F171" s="69" cm="1">
        <f t="array" ref="F171">HistBootstrapVaR_Single($B$129,$A171,0.99,$H$4:$H$127,$K$127)</f>
        <v>15798.338089102575</v>
      </c>
      <c r="G171" s="70" cm="1">
        <f t="array" ref="G171">HistBootstrapVaR_Single($B$129,$A171,0.995,$H$4:$H$127,$K$127)</f>
        <v>16666.087385029972</v>
      </c>
      <c r="H171" s="92" cm="1">
        <f t="array" ref="H171">HistBootstrapVaR_2Assets($B$129,$A171,0.95,$C$4:$C$127,$H$4:$H$127,$M$127)</f>
        <v>9725.0445723154626</v>
      </c>
      <c r="I171" s="69" cm="1">
        <f t="array" ref="I171">HistBootstrapVaR_2Assets($B$129,$A171,0.99,$C$4:$C$127,$H$4:$H$127,$M$127)</f>
        <v>13543.855528746712</v>
      </c>
      <c r="J171" s="70" cm="1">
        <f t="array" ref="J171">HistBootstrapVaR_2Assets($B$129,$A171,0.995,$C$4:$C$127,$H$4:$H$127,$M$127)</f>
        <v>15298.884350249567</v>
      </c>
      <c r="K171" s="69">
        <f t="shared" si="19"/>
        <v>5088.4588138500621</v>
      </c>
      <c r="L171" s="69">
        <f t="shared" si="19"/>
        <v>7626.8634763244645</v>
      </c>
      <c r="M171" s="70">
        <f t="shared" si="19"/>
        <v>7905.690136833744</v>
      </c>
      <c r="P171"/>
    </row>
    <row r="172" spans="1:16" x14ac:dyDescent="0.2">
      <c r="A172" s="92">
        <v>38</v>
      </c>
      <c r="B172" s="92" cm="1">
        <f t="array" ref="B172">HistBootstrapVaR_Single($B$129,$A172,0.95,$C$4:$C$127,$F$127)</f>
        <v>2168.4052844387043</v>
      </c>
      <c r="C172" s="69" cm="1">
        <f t="array" ref="C172">HistBootstrapVaR_Single($B$129,$A172,0.99,$C$4:$C$127,$F$127)</f>
        <v>5218.2253519014985</v>
      </c>
      <c r="D172" s="70" cm="1">
        <f t="array" ref="D172">HistBootstrapVaR_Single($B$129,$A172,0.995,$C$4:$C$127,$F$127)</f>
        <v>6536.7986178901438</v>
      </c>
      <c r="E172" s="92" cm="1">
        <f t="array" ref="E172">HistBootstrapVaR_Single($B$129,$A172,0.95,$H$4:$H$127,$K$127)</f>
        <v>12704.418042801892</v>
      </c>
      <c r="F172" s="69" cm="1">
        <f t="array" ref="F172">HistBootstrapVaR_Single($B$129,$A172,0.99,$H$4:$H$127,$K$127)</f>
        <v>15540.91361194483</v>
      </c>
      <c r="G172" s="70" cm="1">
        <f t="array" ref="G172">HistBootstrapVaR_Single($B$129,$A172,0.995,$H$4:$H$127,$K$127)</f>
        <v>16897.228181611623</v>
      </c>
      <c r="H172" s="92" cm="1">
        <f t="array" ref="H172">HistBootstrapVaR_2Assets($B$129,$A172,0.95,$C$4:$C$127,$H$4:$H$127,$M$127)</f>
        <v>9216.4503868911834</v>
      </c>
      <c r="I172" s="69" cm="1">
        <f t="array" ref="I172">HistBootstrapVaR_2Assets($B$129,$A172,0.99,$C$4:$C$127,$H$4:$H$127,$M$127)</f>
        <v>13776.305873823989</v>
      </c>
      <c r="J172" s="70" cm="1">
        <f t="array" ref="J172">HistBootstrapVaR_2Assets($B$129,$A172,0.995,$C$4:$C$127,$H$4:$H$127,$M$127)</f>
        <v>15479.390771908807</v>
      </c>
      <c r="K172" s="69">
        <f t="shared" si="19"/>
        <v>5656.3729403494126</v>
      </c>
      <c r="L172" s="69">
        <f t="shared" si="19"/>
        <v>6982.8330900223409</v>
      </c>
      <c r="M172" s="70">
        <f t="shared" si="19"/>
        <v>7954.6360275929601</v>
      </c>
      <c r="P172"/>
    </row>
    <row r="173" spans="1:16" x14ac:dyDescent="0.2">
      <c r="A173" s="92">
        <v>39</v>
      </c>
      <c r="B173" s="92" cm="1">
        <f t="array" ref="B173">HistBootstrapVaR_Single($B$129,$A173,0.95,$C$4:$C$127,$F$127)</f>
        <v>2137.3928819000635</v>
      </c>
      <c r="C173" s="69" cm="1">
        <f t="array" ref="C173">HistBootstrapVaR_Single($B$129,$A173,0.99,$C$4:$C$127,$F$127)</f>
        <v>5682.3395797118428</v>
      </c>
      <c r="D173" s="70" cm="1">
        <f t="array" ref="D173">HistBootstrapVaR_Single($B$129,$A173,0.995,$C$4:$C$127,$F$127)</f>
        <v>6273.7614621855037</v>
      </c>
      <c r="E173" s="92" cm="1">
        <f t="array" ref="E173">HistBootstrapVaR_Single($B$129,$A173,0.95,$H$4:$H$127,$K$127)</f>
        <v>12957.656730859391</v>
      </c>
      <c r="F173" s="69" cm="1">
        <f t="array" ref="F173">HistBootstrapVaR_Single($B$129,$A173,0.99,$H$4:$H$127,$K$127)</f>
        <v>16071.890109846141</v>
      </c>
      <c r="G173" s="70" cm="1">
        <f t="array" ref="G173">HistBootstrapVaR_Single($B$129,$A173,0.995,$H$4:$H$127,$K$127)</f>
        <v>17551.211582382577</v>
      </c>
      <c r="H173" s="92" cm="1">
        <f t="array" ref="H173">HistBootstrapVaR_2Assets($B$129,$A173,0.95,$C$4:$C$127,$H$4:$H$127,$M$127)</f>
        <v>9695.0789509635724</v>
      </c>
      <c r="I173" s="69" cm="1">
        <f t="array" ref="I173">HistBootstrapVaR_2Assets($B$129,$A173,0.99,$C$4:$C$127,$H$4:$H$127,$M$127)</f>
        <v>14222.186828630611</v>
      </c>
      <c r="J173" s="70" cm="1">
        <f t="array" ref="J173">HistBootstrapVaR_2Assets($B$129,$A173,0.995,$C$4:$C$127,$H$4:$H$127,$M$127)</f>
        <v>15271.781300476672</v>
      </c>
      <c r="K173" s="69">
        <f t="shared" si="19"/>
        <v>5399.9706617958818</v>
      </c>
      <c r="L173" s="69">
        <f t="shared" si="19"/>
        <v>7532.0428609273749</v>
      </c>
      <c r="M173" s="70">
        <f t="shared" si="19"/>
        <v>8553.1917440914076</v>
      </c>
      <c r="P173"/>
    </row>
    <row r="174" spans="1:16" x14ac:dyDescent="0.2">
      <c r="A174" s="92">
        <v>40</v>
      </c>
      <c r="B174" s="92" cm="1">
        <f t="array" ref="B174">HistBootstrapVaR_Single($B$129,$A174,0.95,$C$4:$C$127,$F$127)</f>
        <v>2097.676468673912</v>
      </c>
      <c r="C174" s="69" cm="1">
        <f t="array" ref="C174">HistBootstrapVaR_Single($B$129,$A174,0.99,$C$4:$C$127,$F$127)</f>
        <v>5523.3837972441943</v>
      </c>
      <c r="D174" s="70" cm="1">
        <f t="array" ref="D174">HistBootstrapVaR_Single($B$129,$A174,0.995,$C$4:$C$127,$F$127)</f>
        <v>6647.2165737344503</v>
      </c>
      <c r="E174" s="92" cm="1">
        <f t="array" ref="E174">HistBootstrapVaR_Single($B$129,$A174,0.95,$H$4:$H$127,$K$127)</f>
        <v>13237.889350712012</v>
      </c>
      <c r="F174" s="69" cm="1">
        <f t="array" ref="F174">HistBootstrapVaR_Single($B$129,$A174,0.99,$H$4:$H$127,$K$127)</f>
        <v>16435.849676543592</v>
      </c>
      <c r="G174" s="70" cm="1">
        <f t="array" ref="G174">HistBootstrapVaR_Single($B$129,$A174,0.995,$H$4:$H$127,$K$127)</f>
        <v>17863.231354378026</v>
      </c>
      <c r="H174" s="92" cm="1">
        <f t="array" ref="H174">HistBootstrapVaR_2Assets($B$129,$A174,0.95,$C$4:$C$127,$H$4:$H$127,$M$127)</f>
        <v>9891.8497443529468</v>
      </c>
      <c r="I174" s="69" cm="1">
        <f t="array" ref="I174">HistBootstrapVaR_2Assets($B$129,$A174,0.99,$C$4:$C$127,$H$4:$H$127,$M$127)</f>
        <v>14018.146891445806</v>
      </c>
      <c r="J174" s="70" cm="1">
        <f t="array" ref="J174">HistBootstrapVaR_2Assets($B$129,$A174,0.995,$C$4:$C$127,$H$4:$H$127,$M$127)</f>
        <v>15803.396249616977</v>
      </c>
      <c r="K174" s="69">
        <f t="shared" si="19"/>
        <v>5443.7160750329767</v>
      </c>
      <c r="L174" s="69">
        <f t="shared" si="19"/>
        <v>7941.0865823419808</v>
      </c>
      <c r="M174" s="70">
        <f t="shared" si="19"/>
        <v>8707.0516784954998</v>
      </c>
      <c r="P174"/>
    </row>
    <row r="175" spans="1:16" x14ac:dyDescent="0.2">
      <c r="A175" s="92">
        <v>41</v>
      </c>
      <c r="B175" s="92" cm="1">
        <f t="array" ref="B175">HistBootstrapVaR_Single($B$129,$A175,0.95,$C$4:$C$127,$F$127)</f>
        <v>1941.8812962702807</v>
      </c>
      <c r="C175" s="69" cm="1">
        <f t="array" ref="C175">HistBootstrapVaR_Single($B$129,$A175,0.99,$C$4:$C$127,$F$127)</f>
        <v>5461.6075435097855</v>
      </c>
      <c r="D175" s="70" cm="1">
        <f t="array" ref="D175">HistBootstrapVaR_Single($B$129,$A175,0.995,$C$4:$C$127,$F$127)</f>
        <v>6304.6446745185676</v>
      </c>
      <c r="E175" s="92" cm="1">
        <f t="array" ref="E175">HistBootstrapVaR_Single($B$129,$A175,0.95,$H$4:$H$127,$K$127)</f>
        <v>13386.851630004901</v>
      </c>
      <c r="F175" s="69" cm="1">
        <f t="array" ref="F175">HistBootstrapVaR_Single($B$129,$A175,0.99,$H$4:$H$127,$K$127)</f>
        <v>16490.243309173278</v>
      </c>
      <c r="G175" s="70" cm="1">
        <f t="array" ref="G175">HistBootstrapVaR_Single($B$129,$A175,0.995,$H$4:$H$127,$K$127)</f>
        <v>17569.104131839435</v>
      </c>
      <c r="H175" s="92" cm="1">
        <f t="array" ref="H175">HistBootstrapVaR_2Assets($B$129,$A175,0.95,$C$4:$C$127,$H$4:$H$127,$M$127)</f>
        <v>9875.2520510358518</v>
      </c>
      <c r="I175" s="69" cm="1">
        <f t="array" ref="I175">HistBootstrapVaR_2Assets($B$129,$A175,0.99,$C$4:$C$127,$H$4:$H$127,$M$127)</f>
        <v>14609.833434045264</v>
      </c>
      <c r="J175" s="70" cm="1">
        <f t="array" ref="J175">HistBootstrapVaR_2Assets($B$129,$A175,0.995,$C$4:$C$127,$H$4:$H$127,$M$127)</f>
        <v>16193.537583180281</v>
      </c>
      <c r="K175" s="69">
        <f t="shared" si="19"/>
        <v>5453.480875239331</v>
      </c>
      <c r="L175" s="69">
        <f t="shared" si="19"/>
        <v>7342.017418637799</v>
      </c>
      <c r="M175" s="70">
        <f t="shared" si="19"/>
        <v>7680.211223177721</v>
      </c>
      <c r="P175"/>
    </row>
    <row r="176" spans="1:16" x14ac:dyDescent="0.2">
      <c r="A176" s="92">
        <v>42</v>
      </c>
      <c r="B176" s="92" cm="1">
        <f t="array" ref="B176">HistBootstrapVaR_Single($B$129,$A176,0.95,$C$4:$C$127,$F$127)</f>
        <v>1908.0648109739423</v>
      </c>
      <c r="C176" s="69" cm="1">
        <f t="array" ref="C176">HistBootstrapVaR_Single($B$129,$A176,0.99,$C$4:$C$127,$F$127)</f>
        <v>5490.8335829294992</v>
      </c>
      <c r="D176" s="70" cm="1">
        <f t="array" ref="D176">HistBootstrapVaR_Single($B$129,$A176,0.995,$C$4:$C$127,$F$127)</f>
        <v>6508.7399241065177</v>
      </c>
      <c r="E176" s="92" cm="1">
        <f t="array" ref="E176">HistBootstrapVaR_Single($B$129,$A176,0.95,$H$4:$H$127,$K$127)</f>
        <v>13452.98635845004</v>
      </c>
      <c r="F176" s="69" cm="1">
        <f t="array" ref="F176">HistBootstrapVaR_Single($B$129,$A176,0.99,$H$4:$H$127,$K$127)</f>
        <v>16673.357945450422</v>
      </c>
      <c r="G176" s="70" cm="1">
        <f t="array" ref="G176">HistBootstrapVaR_Single($B$129,$A176,0.995,$H$4:$H$127,$K$127)</f>
        <v>17696.925367407202</v>
      </c>
      <c r="H176" s="92" cm="1">
        <f t="array" ref="H176">HistBootstrapVaR_2Assets($B$129,$A176,0.95,$C$4:$C$127,$H$4:$H$127,$M$127)</f>
        <v>9843.6131283298437</v>
      </c>
      <c r="I176" s="69" cm="1">
        <f t="array" ref="I176">HistBootstrapVaR_2Assets($B$129,$A176,0.99,$C$4:$C$127,$H$4:$H$127,$M$127)</f>
        <v>14653.885261678801</v>
      </c>
      <c r="J176" s="70" cm="1">
        <f t="array" ref="J176">HistBootstrapVaR_2Assets($B$129,$A176,0.995,$C$4:$C$127,$H$4:$H$127,$M$127)</f>
        <v>16546.257209200314</v>
      </c>
      <c r="K176" s="69">
        <f t="shared" si="19"/>
        <v>5517.4380410941394</v>
      </c>
      <c r="L176" s="69">
        <f t="shared" si="19"/>
        <v>7510.30626670112</v>
      </c>
      <c r="M176" s="70">
        <f t="shared" si="19"/>
        <v>7659.4080823134063</v>
      </c>
      <c r="P176"/>
    </row>
    <row r="177" spans="1:16" x14ac:dyDescent="0.2">
      <c r="A177" s="92">
        <v>43</v>
      </c>
      <c r="B177" s="92" cm="1">
        <f t="array" ref="B177">HistBootstrapVaR_Single($B$129,$A177,0.95,$C$4:$C$127,$F$127)</f>
        <v>1862.5600972016073</v>
      </c>
      <c r="C177" s="69" cm="1">
        <f t="array" ref="C177">HistBootstrapVaR_Single($B$129,$A177,0.99,$C$4:$C$127,$F$127)</f>
        <v>5425.1096546029621</v>
      </c>
      <c r="D177" s="70" cm="1">
        <f t="array" ref="D177">HistBootstrapVaR_Single($B$129,$A177,0.995,$C$4:$C$127,$F$127)</f>
        <v>6669.9164354056047</v>
      </c>
      <c r="E177" s="92" cm="1">
        <f t="array" ref="E177">HistBootstrapVaR_Single($B$129,$A177,0.95,$H$4:$H$127,$K$127)</f>
        <v>13418.406601711979</v>
      </c>
      <c r="F177" s="69" cm="1">
        <f t="array" ref="F177">HistBootstrapVaR_Single($B$129,$A177,0.99,$H$4:$H$127,$K$127)</f>
        <v>17071.652260413957</v>
      </c>
      <c r="G177" s="70" cm="1">
        <f t="array" ref="G177">HistBootstrapVaR_Single($B$129,$A177,0.995,$H$4:$H$127,$K$127)</f>
        <v>18076.656094428905</v>
      </c>
      <c r="H177" s="92" cm="1">
        <f t="array" ref="H177">HistBootstrapVaR_2Assets($B$129,$A177,0.95,$C$4:$C$127,$H$4:$H$127,$M$127)</f>
        <v>10366.141509508421</v>
      </c>
      <c r="I177" s="69" cm="1">
        <f t="array" ref="I177">HistBootstrapVaR_2Assets($B$129,$A177,0.99,$C$4:$C$127,$H$4:$H$127,$M$127)</f>
        <v>14924.869506914942</v>
      </c>
      <c r="J177" s="70" cm="1">
        <f t="array" ref="J177">HistBootstrapVaR_2Assets($B$129,$A177,0.995,$C$4:$C$127,$H$4:$H$127,$M$127)</f>
        <v>16410.23887830793</v>
      </c>
      <c r="K177" s="69">
        <f t="shared" si="19"/>
        <v>4914.8251894051646</v>
      </c>
      <c r="L177" s="69">
        <f t="shared" si="19"/>
        <v>7571.8924081019777</v>
      </c>
      <c r="M177" s="70">
        <f t="shared" si="19"/>
        <v>8336.3336515265801</v>
      </c>
      <c r="P177"/>
    </row>
    <row r="178" spans="1:16" x14ac:dyDescent="0.2">
      <c r="A178" s="92">
        <v>44</v>
      </c>
      <c r="B178" s="92" cm="1">
        <f t="array" ref="B178">HistBootstrapVaR_Single($B$129,$A178,0.95,$C$4:$C$127,$F$127)</f>
        <v>1891.2682187615387</v>
      </c>
      <c r="C178" s="69" cm="1">
        <f t="array" ref="C178">HistBootstrapVaR_Single($B$129,$A178,0.99,$C$4:$C$127,$F$127)</f>
        <v>5323.1927951274174</v>
      </c>
      <c r="D178" s="70" cm="1">
        <f t="array" ref="D178">HistBootstrapVaR_Single($B$129,$A178,0.995,$C$4:$C$127,$F$127)</f>
        <v>6672.2526167900542</v>
      </c>
      <c r="E178" s="92" cm="1">
        <f t="array" ref="E178">HistBootstrapVaR_Single($B$129,$A178,0.95,$H$4:$H$127,$K$127)</f>
        <v>13988.113852056989</v>
      </c>
      <c r="F178" s="69" cm="1">
        <f t="array" ref="F178">HistBootstrapVaR_Single($B$129,$A178,0.99,$H$4:$H$127,$K$127)</f>
        <v>16730.091929863589</v>
      </c>
      <c r="G178" s="70" cm="1">
        <f t="array" ref="G178">HistBootstrapVaR_Single($B$129,$A178,0.995,$H$4:$H$127,$K$127)</f>
        <v>18389.812379892788</v>
      </c>
      <c r="H178" s="92" cm="1">
        <f t="array" ref="H178">HistBootstrapVaR_2Assets($B$129,$A178,0.95,$C$4:$C$127,$H$4:$H$127,$M$127)</f>
        <v>10245.078647376966</v>
      </c>
      <c r="I178" s="69" cm="1">
        <f t="array" ref="I178">HistBootstrapVaR_2Assets($B$129,$A178,0.99,$C$4:$C$127,$H$4:$H$127,$M$127)</f>
        <v>14449.759785175764</v>
      </c>
      <c r="J178" s="70" cm="1">
        <f t="array" ref="J178">HistBootstrapVaR_2Assets($B$129,$A178,0.995,$C$4:$C$127,$H$4:$H$127,$M$127)</f>
        <v>15944.823422445912</v>
      </c>
      <c r="K178" s="69">
        <f t="shared" si="19"/>
        <v>5634.3034234415627</v>
      </c>
      <c r="L178" s="69">
        <f t="shared" si="19"/>
        <v>7603.5249398152409</v>
      </c>
      <c r="M178" s="70">
        <f t="shared" si="19"/>
        <v>9117.2415742369303</v>
      </c>
      <c r="P178"/>
    </row>
    <row r="179" spans="1:16" x14ac:dyDescent="0.2">
      <c r="A179" s="92">
        <v>45</v>
      </c>
      <c r="B179" s="92" cm="1">
        <f t="array" ref="B179">HistBootstrapVaR_Single($B$129,$A179,0.95,$C$4:$C$127,$F$127)</f>
        <v>1828.2362395902469</v>
      </c>
      <c r="C179" s="69" cm="1">
        <f t="array" ref="C179">HistBootstrapVaR_Single($B$129,$A179,0.99,$C$4:$C$127,$F$127)</f>
        <v>5374.8859576293444</v>
      </c>
      <c r="D179" s="70" cm="1">
        <f t="array" ref="D179">HistBootstrapVaR_Single($B$129,$A179,0.995,$C$4:$C$127,$F$127)</f>
        <v>6795.4483535338986</v>
      </c>
      <c r="E179" s="92" cm="1">
        <f t="array" ref="E179">HistBootstrapVaR_Single($B$129,$A179,0.95,$H$4:$H$127,$K$127)</f>
        <v>14095.653605128364</v>
      </c>
      <c r="F179" s="69" cm="1">
        <f t="array" ref="F179">HistBootstrapVaR_Single($B$129,$A179,0.99,$H$4:$H$127,$K$127)</f>
        <v>17292.404772564358</v>
      </c>
      <c r="G179" s="70" cm="1">
        <f t="array" ref="G179">HistBootstrapVaR_Single($B$129,$A179,0.995,$H$4:$H$127,$K$127)</f>
        <v>18380.341844195038</v>
      </c>
      <c r="H179" s="92" cm="1">
        <f t="array" ref="H179">HistBootstrapVaR_2Assets($B$129,$A179,0.95,$C$4:$C$127,$H$4:$H$127,$M$127)</f>
        <v>10434.613017587286</v>
      </c>
      <c r="I179" s="69" cm="1">
        <f t="array" ref="I179">HistBootstrapVaR_2Assets($B$129,$A179,0.99,$C$4:$C$127,$H$4:$H$127,$M$127)</f>
        <v>14994.747627467692</v>
      </c>
      <c r="J179" s="70" cm="1">
        <f t="array" ref="J179">HistBootstrapVaR_2Assets($B$129,$A179,0.995,$C$4:$C$127,$H$4:$H$127,$M$127)</f>
        <v>16803.953256229626</v>
      </c>
      <c r="K179" s="69">
        <f t="shared" si="19"/>
        <v>5489.2768271313253</v>
      </c>
      <c r="L179" s="69">
        <f t="shared" si="19"/>
        <v>7672.5431027260092</v>
      </c>
      <c r="M179" s="70">
        <f t="shared" si="19"/>
        <v>8371.8369414993103</v>
      </c>
      <c r="P179"/>
    </row>
    <row r="180" spans="1:16" x14ac:dyDescent="0.2">
      <c r="A180" s="92">
        <v>46</v>
      </c>
      <c r="B180" s="92" cm="1">
        <f t="array" ref="B180">HistBootstrapVaR_Single($B$129,$A180,0.95,$C$4:$C$127,$F$127)</f>
        <v>1766.020072108322</v>
      </c>
      <c r="C180" s="69" cm="1">
        <f t="array" ref="C180">HistBootstrapVaR_Single($B$129,$A180,0.99,$C$4:$C$127,$F$127)</f>
        <v>5344.9142674341892</v>
      </c>
      <c r="D180" s="70" cm="1">
        <f t="array" ref="D180">HistBootstrapVaR_Single($B$129,$A180,0.995,$C$4:$C$127,$F$127)</f>
        <v>6284.3611891576811</v>
      </c>
      <c r="E180" s="92" cm="1">
        <f t="array" ref="E180">HistBootstrapVaR_Single($B$129,$A180,0.95,$H$4:$H$127,$K$127)</f>
        <v>14001.534551441286</v>
      </c>
      <c r="F180" s="69" cm="1">
        <f t="array" ref="F180">HistBootstrapVaR_Single($B$129,$A180,0.99,$H$4:$H$127,$K$127)</f>
        <v>17573.220239777234</v>
      </c>
      <c r="G180" s="70" cm="1">
        <f t="array" ref="G180">HistBootstrapVaR_Single($B$129,$A180,0.995,$H$4:$H$127,$K$127)</f>
        <v>18455.746545669746</v>
      </c>
      <c r="H180" s="92" cm="1">
        <f t="array" ref="H180">HistBootstrapVaR_2Assets($B$129,$A180,0.95,$C$4:$C$127,$H$4:$H$127,$M$127)</f>
        <v>10391.012012896928</v>
      </c>
      <c r="I180" s="69" cm="1">
        <f t="array" ref="I180">HistBootstrapVaR_2Assets($B$129,$A180,0.99,$C$4:$C$127,$H$4:$H$127,$M$127)</f>
        <v>14625.273428819042</v>
      </c>
      <c r="J180" s="70" cm="1">
        <f t="array" ref="J180">HistBootstrapVaR_2Assets($B$129,$A180,0.995,$C$4:$C$127,$H$4:$H$127,$M$127)</f>
        <v>16860.434739503737</v>
      </c>
      <c r="K180" s="69">
        <f t="shared" si="19"/>
        <v>5376.5426106526793</v>
      </c>
      <c r="L180" s="69">
        <f t="shared" si="19"/>
        <v>8292.8610783923814</v>
      </c>
      <c r="M180" s="70">
        <f t="shared" si="19"/>
        <v>7879.67299532369</v>
      </c>
      <c r="P180"/>
    </row>
    <row r="181" spans="1:16" x14ac:dyDescent="0.2">
      <c r="A181" s="92">
        <v>47</v>
      </c>
      <c r="B181" s="92" cm="1">
        <f t="array" ref="B181">HistBootstrapVaR_Single($B$129,$A181,0.95,$C$4:$C$127,$F$127)</f>
        <v>1841.9102910668189</v>
      </c>
      <c r="C181" s="69" cm="1">
        <f t="array" ref="C181">HistBootstrapVaR_Single($B$129,$A181,0.99,$C$4:$C$127,$F$127)</f>
        <v>5346.484355048161</v>
      </c>
      <c r="D181" s="70" cm="1">
        <f t="array" ref="D181">HistBootstrapVaR_Single($B$129,$A181,0.995,$C$4:$C$127,$F$127)</f>
        <v>6572.8357786700017</v>
      </c>
      <c r="E181" s="92" cm="1">
        <f t="array" ref="E181">HistBootstrapVaR_Single($B$129,$A181,0.95,$H$4:$H$127,$K$127)</f>
        <v>14541.814193339489</v>
      </c>
      <c r="F181" s="69" cm="1">
        <f t="array" ref="F181">HistBootstrapVaR_Single($B$129,$A181,0.99,$H$4:$H$127,$K$127)</f>
        <v>17731.143254104871</v>
      </c>
      <c r="G181" s="70" cm="1">
        <f t="array" ref="G181">HistBootstrapVaR_Single($B$129,$A181,0.995,$H$4:$H$127,$K$127)</f>
        <v>18853.791524672226</v>
      </c>
      <c r="H181" s="92" cm="1">
        <f t="array" ref="H181">HistBootstrapVaR_2Assets($B$129,$A181,0.95,$C$4:$C$127,$H$4:$H$127,$M$127)</f>
        <v>10576.873382660529</v>
      </c>
      <c r="I181" s="69" cm="1">
        <f t="array" ref="I181">HistBootstrapVaR_2Assets($B$129,$A181,0.99,$C$4:$C$127,$H$4:$H$127,$M$127)</f>
        <v>15430.872381244097</v>
      </c>
      <c r="J181" s="70" cm="1">
        <f t="array" ref="J181">HistBootstrapVaR_2Assets($B$129,$A181,0.995,$C$4:$C$127,$H$4:$H$127,$M$127)</f>
        <v>16930.655237218289</v>
      </c>
      <c r="K181" s="69">
        <f t="shared" si="19"/>
        <v>5806.8511017457786</v>
      </c>
      <c r="L181" s="69">
        <f t="shared" si="19"/>
        <v>7646.7552279089341</v>
      </c>
      <c r="M181" s="70">
        <f t="shared" si="19"/>
        <v>8495.9720661239371</v>
      </c>
      <c r="P181"/>
    </row>
    <row r="182" spans="1:16" x14ac:dyDescent="0.2">
      <c r="A182" s="92">
        <v>48</v>
      </c>
      <c r="B182" s="92" cm="1">
        <f t="array" ref="B182">HistBootstrapVaR_Single($B$129,$A182,0.95,$C$4:$C$127,$F$127)</f>
        <v>1637.4739790288411</v>
      </c>
      <c r="C182" s="69" cm="1">
        <f t="array" ref="C182">HistBootstrapVaR_Single($B$129,$A182,0.99,$C$4:$C$127,$F$127)</f>
        <v>5161.1124024694363</v>
      </c>
      <c r="D182" s="70" cm="1">
        <f t="array" ref="D182">HistBootstrapVaR_Single($B$129,$A182,0.995,$C$4:$C$127,$F$127)</f>
        <v>6350.1912105484425</v>
      </c>
      <c r="E182" s="92" cm="1">
        <f t="array" ref="E182">HistBootstrapVaR_Single($B$129,$A182,0.95,$H$4:$H$127,$K$127)</f>
        <v>14488.444832809797</v>
      </c>
      <c r="F182" s="69" cm="1">
        <f t="array" ref="F182">HistBootstrapVaR_Single($B$129,$A182,0.99,$H$4:$H$127,$K$127)</f>
        <v>17902.671215942297</v>
      </c>
      <c r="G182" s="70" cm="1">
        <f t="array" ref="G182">HistBootstrapVaR_Single($B$129,$A182,0.995,$H$4:$H$127,$K$127)</f>
        <v>19451.154691272655</v>
      </c>
      <c r="H182" s="92" cm="1">
        <f t="array" ref="H182">HistBootstrapVaR_2Assets($B$129,$A182,0.95,$C$4:$C$127,$H$4:$H$127,$M$127)</f>
        <v>10766.033872692959</v>
      </c>
      <c r="I182" s="69" cm="1">
        <f t="array" ref="I182">HistBootstrapVaR_2Assets($B$129,$A182,0.99,$C$4:$C$127,$H$4:$H$127,$M$127)</f>
        <v>15178.312397773128</v>
      </c>
      <c r="J182" s="70" cm="1">
        <f t="array" ref="J182">HistBootstrapVaR_2Assets($B$129,$A182,0.995,$C$4:$C$127,$H$4:$H$127,$M$127)</f>
        <v>16503.776159087298</v>
      </c>
      <c r="K182" s="69">
        <f t="shared" si="19"/>
        <v>5359.8849391456788</v>
      </c>
      <c r="L182" s="69">
        <f t="shared" si="19"/>
        <v>7885.4712206386048</v>
      </c>
      <c r="M182" s="70">
        <f t="shared" si="19"/>
        <v>9297.5697427338018</v>
      </c>
      <c r="P182"/>
    </row>
    <row r="183" spans="1:16" x14ac:dyDescent="0.2">
      <c r="A183" s="92">
        <v>49</v>
      </c>
      <c r="B183" s="92" cm="1">
        <f t="array" ref="B183">HistBootstrapVaR_Single($B$129,$A183,0.95,$C$4:$C$127,$F$127)</f>
        <v>1657.6540800841631</v>
      </c>
      <c r="C183" s="69" cm="1">
        <f t="array" ref="C183">HistBootstrapVaR_Single($B$129,$A183,0.99,$C$4:$C$127,$F$127)</f>
        <v>5435.1119478187948</v>
      </c>
      <c r="D183" s="70" cm="1">
        <f t="array" ref="D183">HistBootstrapVaR_Single($B$129,$A183,0.995,$C$4:$C$127,$F$127)</f>
        <v>6716.51861184259</v>
      </c>
      <c r="E183" s="92" cm="1">
        <f t="array" ref="E183">HistBootstrapVaR_Single($B$129,$A183,0.95,$H$4:$H$127,$K$127)</f>
        <v>14646.081293114865</v>
      </c>
      <c r="F183" s="69" cm="1">
        <f t="array" ref="F183">HistBootstrapVaR_Single($B$129,$A183,0.99,$H$4:$H$127,$K$127)</f>
        <v>18243.257784354977</v>
      </c>
      <c r="G183" s="70" cm="1">
        <f t="array" ref="G183">HistBootstrapVaR_Single($B$129,$A183,0.995,$H$4:$H$127,$K$127)</f>
        <v>19333.098783627447</v>
      </c>
      <c r="H183" s="92" cm="1">
        <f t="array" ref="H183">HistBootstrapVaR_2Assets($B$129,$A183,0.95,$C$4:$C$127,$H$4:$H$127,$M$127)</f>
        <v>10488.870862012796</v>
      </c>
      <c r="I183" s="69" cm="1">
        <f t="array" ref="I183">HistBootstrapVaR_2Assets($B$129,$A183,0.99,$C$4:$C$127,$H$4:$H$127,$M$127)</f>
        <v>15213.657791633696</v>
      </c>
      <c r="J183" s="70" cm="1">
        <f t="array" ref="J183">HistBootstrapVaR_2Assets($B$129,$A183,0.995,$C$4:$C$127,$H$4:$H$127,$M$127)</f>
        <v>17000.83277086831</v>
      </c>
      <c r="K183" s="69">
        <f t="shared" si="19"/>
        <v>5814.8645111862315</v>
      </c>
      <c r="L183" s="69">
        <f t="shared" si="19"/>
        <v>8464.7119405400754</v>
      </c>
      <c r="M183" s="70">
        <f t="shared" si="19"/>
        <v>9048.7846246017252</v>
      </c>
      <c r="P183"/>
    </row>
    <row r="184" spans="1:16" x14ac:dyDescent="0.2">
      <c r="A184" s="92">
        <v>50</v>
      </c>
      <c r="B184" s="92" cm="1">
        <f t="array" ref="B184">HistBootstrapVaR_Single($B$129,$A184,0.95,$C$4:$C$127,$F$127)</f>
        <v>1639.8220700684199</v>
      </c>
      <c r="C184" s="69" cm="1">
        <f t="array" ref="C184">HistBootstrapVaR_Single($B$129,$A184,0.99,$C$4:$C$127,$F$127)</f>
        <v>4948.6154474857212</v>
      </c>
      <c r="D184" s="70" cm="1">
        <f t="array" ref="D184">HistBootstrapVaR_Single($B$129,$A184,0.995,$C$4:$C$127,$F$127)</f>
        <v>6792.0789283792074</v>
      </c>
      <c r="E184" s="92" cm="1">
        <f t="array" ref="E184">HistBootstrapVaR_Single($B$129,$A184,0.95,$H$4:$H$127,$K$127)</f>
        <v>14741.834900736794</v>
      </c>
      <c r="F184" s="69" cm="1">
        <f t="array" ref="F184">HistBootstrapVaR_Single($B$129,$A184,0.99,$H$4:$H$127,$K$127)</f>
        <v>17967.377702094429</v>
      </c>
      <c r="G184" s="70" cm="1">
        <f t="array" ref="G184">HistBootstrapVaR_Single($B$129,$A184,0.995,$H$4:$H$127,$K$127)</f>
        <v>19490.567512576465</v>
      </c>
      <c r="H184" s="92" cm="1">
        <f t="array" ref="H184">HistBootstrapVaR_2Assets($B$129,$A184,0.95,$C$4:$C$127,$H$4:$H$127,$M$127)</f>
        <v>10841.016859850128</v>
      </c>
      <c r="I184" s="69" cm="1">
        <f t="array" ref="I184">HistBootstrapVaR_2Assets($B$129,$A184,0.99,$C$4:$C$127,$H$4:$H$127,$M$127)</f>
        <v>15780.104428938985</v>
      </c>
      <c r="J184" s="70" cm="1">
        <f t="array" ref="J184">HistBootstrapVaR_2Assets($B$129,$A184,0.995,$C$4:$C$127,$H$4:$H$127,$M$127)</f>
        <v>17882.881775260121</v>
      </c>
      <c r="K184" s="69">
        <f t="shared" si="19"/>
        <v>5540.6401109550861</v>
      </c>
      <c r="L184" s="69">
        <f t="shared" si="19"/>
        <v>7135.8887206411655</v>
      </c>
      <c r="M184" s="70">
        <f t="shared" si="19"/>
        <v>8399.7646656955512</v>
      </c>
      <c r="P184"/>
    </row>
    <row r="185" spans="1:16" x14ac:dyDescent="0.2">
      <c r="A185" s="92">
        <v>51</v>
      </c>
      <c r="B185" s="92" cm="1">
        <f t="array" ref="B185">HistBootstrapVaR_Single($B$129,$A185,0.95,$C$4:$C$127,$F$127)</f>
        <v>1540.4636371824463</v>
      </c>
      <c r="C185" s="69" cm="1">
        <f t="array" ref="C185">HistBootstrapVaR_Single($B$129,$A185,0.99,$C$4:$C$127,$F$127)</f>
        <v>5154.0938680516638</v>
      </c>
      <c r="D185" s="70" cm="1">
        <f t="array" ref="D185">HistBootstrapVaR_Single($B$129,$A185,0.995,$C$4:$C$127,$F$127)</f>
        <v>6549.6096111903516</v>
      </c>
      <c r="E185" s="92" cm="1">
        <f t="array" ref="E185">HistBootstrapVaR_Single($B$129,$A185,0.95,$H$4:$H$127,$K$127)</f>
        <v>15014.685964759596</v>
      </c>
      <c r="F185" s="69" cm="1">
        <f t="array" ref="F185">HistBootstrapVaR_Single($B$129,$A185,0.99,$H$4:$H$127,$K$127)</f>
        <v>18526.465241147911</v>
      </c>
      <c r="G185" s="70" cm="1">
        <f t="array" ref="G185">HistBootstrapVaR_Single($B$129,$A185,0.995,$H$4:$H$127,$K$127)</f>
        <v>19688.470352342403</v>
      </c>
      <c r="H185" s="92" cm="1">
        <f t="array" ref="H185">HistBootstrapVaR_2Assets($B$129,$A185,0.95,$C$4:$C$127,$H$4:$H$127,$M$127)</f>
        <v>10834.65854497142</v>
      </c>
      <c r="I185" s="69" cm="1">
        <f t="array" ref="I185">HistBootstrapVaR_2Assets($B$129,$A185,0.99,$C$4:$C$127,$H$4:$H$127,$M$127)</f>
        <v>15594.023121547994</v>
      </c>
      <c r="J185" s="70" cm="1">
        <f t="array" ref="J185">HistBootstrapVaR_2Assets($B$129,$A185,0.995,$C$4:$C$127,$H$4:$H$127,$M$127)</f>
        <v>17429.016714489309</v>
      </c>
      <c r="K185" s="69">
        <f t="shared" si="19"/>
        <v>5720.4910569706208</v>
      </c>
      <c r="L185" s="69">
        <f t="shared" si="19"/>
        <v>8086.5359876515795</v>
      </c>
      <c r="M185" s="70">
        <f t="shared" si="19"/>
        <v>8809.0632490434473</v>
      </c>
      <c r="P185"/>
    </row>
    <row r="186" spans="1:16" x14ac:dyDescent="0.2">
      <c r="A186" s="92">
        <v>52</v>
      </c>
      <c r="B186" s="92" cm="1">
        <f t="array" ref="B186">HistBootstrapVaR_Single($B$129,$A186,0.95,$C$4:$C$127,$F$127)</f>
        <v>1425.3636965568107</v>
      </c>
      <c r="C186" s="69" cm="1">
        <f t="array" ref="C186">HistBootstrapVaR_Single($B$129,$A186,0.99,$C$4:$C$127,$F$127)</f>
        <v>5253.9265276037795</v>
      </c>
      <c r="D186" s="70" cm="1">
        <f t="array" ref="D186">HistBootstrapVaR_Single($B$129,$A186,0.995,$C$4:$C$127,$F$127)</f>
        <v>6564.2853927897931</v>
      </c>
      <c r="E186" s="92" cm="1">
        <f t="array" ref="E186">HistBootstrapVaR_Single($B$129,$A186,0.95,$H$4:$H$127,$K$127)</f>
        <v>15096.233847053645</v>
      </c>
      <c r="F186" s="69" cm="1">
        <f t="array" ref="F186">HistBootstrapVaR_Single($B$129,$A186,0.99,$H$4:$H$127,$K$127)</f>
        <v>18736.471517694805</v>
      </c>
      <c r="G186" s="70" cm="1">
        <f t="array" ref="G186">HistBootstrapVaR_Single($B$129,$A186,0.995,$H$4:$H$127,$K$127)</f>
        <v>20087.483068457022</v>
      </c>
      <c r="H186" s="92" cm="1">
        <f t="array" ref="H186">HistBootstrapVaR_2Assets($B$129,$A186,0.95,$C$4:$C$127,$H$4:$H$127,$M$127)</f>
        <v>10769.393155986005</v>
      </c>
      <c r="I186" s="69" cm="1">
        <f t="array" ref="I186">HistBootstrapVaR_2Assets($B$129,$A186,0.99,$C$4:$C$127,$H$4:$H$127,$M$127)</f>
        <v>15763.282859569155</v>
      </c>
      <c r="J186" s="70" cm="1">
        <f t="array" ref="J186">HistBootstrapVaR_2Assets($B$129,$A186,0.995,$C$4:$C$127,$H$4:$H$127,$M$127)</f>
        <v>17615.483564885588</v>
      </c>
      <c r="K186" s="69">
        <f t="shared" si="19"/>
        <v>5752.2043876244516</v>
      </c>
      <c r="L186" s="69">
        <f t="shared" si="19"/>
        <v>8227.1151857294299</v>
      </c>
      <c r="M186" s="70">
        <f t="shared" si="19"/>
        <v>9036.2848963612269</v>
      </c>
      <c r="P186"/>
    </row>
    <row r="187" spans="1:16" x14ac:dyDescent="0.2">
      <c r="A187" s="92">
        <v>53</v>
      </c>
      <c r="B187" s="92" cm="1">
        <f t="array" ref="B187">HistBootstrapVaR_Single($B$129,$A187,0.95,$C$4:$C$127,$F$127)</f>
        <v>1228.3868906843245</v>
      </c>
      <c r="C187" s="69" cm="1">
        <f t="array" ref="C187">HistBootstrapVaR_Single($B$129,$A187,0.99,$C$4:$C$127,$F$127)</f>
        <v>5537.6782026003848</v>
      </c>
      <c r="D187" s="70" cm="1">
        <f t="array" ref="D187">HistBootstrapVaR_Single($B$129,$A187,0.995,$C$4:$C$127,$F$127)</f>
        <v>6845.5767367736216</v>
      </c>
      <c r="E187" s="92" cm="1">
        <f t="array" ref="E187">HistBootstrapVaR_Single($B$129,$A187,0.95,$H$4:$H$127,$K$127)</f>
        <v>15300.057754782005</v>
      </c>
      <c r="F187" s="69" cm="1">
        <f t="array" ref="F187">HistBootstrapVaR_Single($B$129,$A187,0.99,$H$4:$H$127,$K$127)</f>
        <v>19082.041132312061</v>
      </c>
      <c r="G187" s="70" cm="1">
        <f t="array" ref="G187">HistBootstrapVaR_Single($B$129,$A187,0.995,$H$4:$H$127,$K$127)</f>
        <v>20204.485752519053</v>
      </c>
      <c r="H187" s="92" cm="1">
        <f t="array" ref="H187">HistBootstrapVaR_2Assets($B$129,$A187,0.95,$C$4:$C$127,$H$4:$H$127,$M$127)</f>
        <v>11285.841786726893</v>
      </c>
      <c r="I187" s="69" cm="1">
        <f t="array" ref="I187">HistBootstrapVaR_2Assets($B$129,$A187,0.99,$C$4:$C$127,$H$4:$H$127,$M$127)</f>
        <v>16004.492240240173</v>
      </c>
      <c r="J187" s="70" cm="1">
        <f t="array" ref="J187">HistBootstrapVaR_2Assets($B$129,$A187,0.995,$C$4:$C$127,$H$4:$H$127,$M$127)</f>
        <v>17514.125561148794</v>
      </c>
      <c r="K187" s="69">
        <f t="shared" si="19"/>
        <v>5242.6028587394376</v>
      </c>
      <c r="L187" s="69">
        <f t="shared" si="19"/>
        <v>8615.2270946722729</v>
      </c>
      <c r="M187" s="70">
        <f t="shared" si="19"/>
        <v>9535.9369281438812</v>
      </c>
      <c r="P187"/>
    </row>
    <row r="188" spans="1:16" x14ac:dyDescent="0.2">
      <c r="A188" s="92">
        <v>54</v>
      </c>
      <c r="B188" s="92" cm="1">
        <f t="array" ref="B188">HistBootstrapVaR_Single($B$129,$A188,0.95,$C$4:$C$127,$F$127)</f>
        <v>1269.6303053899765</v>
      </c>
      <c r="C188" s="69" cm="1">
        <f t="array" ref="C188">HistBootstrapVaR_Single($B$129,$A188,0.99,$C$4:$C$127,$F$127)</f>
        <v>5347.8772506913147</v>
      </c>
      <c r="D188" s="70" cm="1">
        <f t="array" ref="D188">HistBootstrapVaR_Single($B$129,$A188,0.995,$C$4:$C$127,$F$127)</f>
        <v>6674.0032878877564</v>
      </c>
      <c r="E188" s="92" cm="1">
        <f t="array" ref="E188">HistBootstrapVaR_Single($B$129,$A188,0.95,$H$4:$H$127,$K$127)</f>
        <v>15637.84472197076</v>
      </c>
      <c r="F188" s="69" cm="1">
        <f t="array" ref="F188">HistBootstrapVaR_Single($B$129,$A188,0.99,$H$4:$H$127,$K$127)</f>
        <v>18999.911496577894</v>
      </c>
      <c r="G188" s="70" cm="1">
        <f t="array" ref="G188">HistBootstrapVaR_Single($B$129,$A188,0.995,$H$4:$H$127,$K$127)</f>
        <v>19929.471061552737</v>
      </c>
      <c r="H188" s="92" cm="1">
        <f t="array" ref="H188">HistBootstrapVaR_2Assets($B$129,$A188,0.95,$C$4:$C$127,$H$4:$H$127,$M$127)</f>
        <v>11363.31225327699</v>
      </c>
      <c r="I188" s="69" cm="1">
        <f t="array" ref="I188">HistBootstrapVaR_2Assets($B$129,$A188,0.99,$C$4:$C$127,$H$4:$H$127,$M$127)</f>
        <v>16033.03663357778</v>
      </c>
      <c r="J188" s="70" cm="1">
        <f t="array" ref="J188">HistBootstrapVaR_2Assets($B$129,$A188,0.995,$C$4:$C$127,$H$4:$H$127,$M$127)</f>
        <v>17491.628534125874</v>
      </c>
      <c r="K188" s="69">
        <f t="shared" si="19"/>
        <v>5544.1627740837448</v>
      </c>
      <c r="L188" s="69">
        <f t="shared" si="19"/>
        <v>8314.7521136914293</v>
      </c>
      <c r="M188" s="70">
        <f t="shared" si="19"/>
        <v>9111.8458153146203</v>
      </c>
      <c r="P188"/>
    </row>
    <row r="189" spans="1:16" x14ac:dyDescent="0.2">
      <c r="A189" s="92">
        <v>55</v>
      </c>
      <c r="B189" s="92" cm="1">
        <f t="array" ref="B189">HistBootstrapVaR_Single($B$129,$A189,0.95,$C$4:$C$127,$F$127)</f>
        <v>1437.9255400385448</v>
      </c>
      <c r="C189" s="69" cm="1">
        <f t="array" ref="C189">HistBootstrapVaR_Single($B$129,$A189,0.99,$C$4:$C$127,$F$127)</f>
        <v>5156.225750755777</v>
      </c>
      <c r="D189" s="70" cm="1">
        <f t="array" ref="D189">HistBootstrapVaR_Single($B$129,$A189,0.995,$C$4:$C$127,$F$127)</f>
        <v>6682.5004286343192</v>
      </c>
      <c r="E189" s="92" cm="1">
        <f t="array" ref="E189">HistBootstrapVaR_Single($B$129,$A189,0.95,$H$4:$H$127,$K$127)</f>
        <v>15660.513636804126</v>
      </c>
      <c r="F189" s="69" cm="1">
        <f t="array" ref="F189">HistBootstrapVaR_Single($B$129,$A189,0.99,$H$4:$H$127,$K$127)</f>
        <v>19171.343950010876</v>
      </c>
      <c r="G189" s="70" cm="1">
        <f t="array" ref="G189">HistBootstrapVaR_Single($B$129,$A189,0.995,$H$4:$H$127,$K$127)</f>
        <v>20437.806290461478</v>
      </c>
      <c r="H189" s="92" cm="1">
        <f t="array" ref="H189">HistBootstrapVaR_2Assets($B$129,$A189,0.95,$C$4:$C$127,$H$4:$H$127,$M$127)</f>
        <v>11244.790688766914</v>
      </c>
      <c r="I189" s="69" cm="1">
        <f t="array" ref="I189">HistBootstrapVaR_2Assets($B$129,$A189,0.99,$C$4:$C$127,$H$4:$H$127,$M$127)</f>
        <v>16240.482983809992</v>
      </c>
      <c r="J189" s="70" cm="1">
        <f t="array" ref="J189">HistBootstrapVaR_2Assets($B$129,$A189,0.995,$C$4:$C$127,$H$4:$H$127,$M$127)</f>
        <v>17821.987564804749</v>
      </c>
      <c r="K189" s="69">
        <f t="shared" si="19"/>
        <v>5853.648488075758</v>
      </c>
      <c r="L189" s="69">
        <f t="shared" si="19"/>
        <v>8087.0867169566609</v>
      </c>
      <c r="M189" s="70">
        <f t="shared" si="19"/>
        <v>9298.3191542910463</v>
      </c>
      <c r="P189"/>
    </row>
    <row r="190" spans="1:16" x14ac:dyDescent="0.2">
      <c r="A190" s="92">
        <v>56</v>
      </c>
      <c r="B190" s="92" cm="1">
        <f t="array" ref="B190">HistBootstrapVaR_Single($B$129,$A190,0.95,$C$4:$C$127,$F$127)</f>
        <v>1362.577355537238</v>
      </c>
      <c r="C190" s="69" cm="1">
        <f t="array" ref="C190">HistBootstrapVaR_Single($B$129,$A190,0.99,$C$4:$C$127,$F$127)</f>
        <v>5299.6763418032642</v>
      </c>
      <c r="D190" s="70" cm="1">
        <f t="array" ref="D190">HistBootstrapVaR_Single($B$129,$A190,0.995,$C$4:$C$127,$F$127)</f>
        <v>6656.8953098824841</v>
      </c>
      <c r="E190" s="92" cm="1">
        <f t="array" ref="E190">HistBootstrapVaR_Single($B$129,$A190,0.95,$H$4:$H$127,$K$127)</f>
        <v>15982.282238806334</v>
      </c>
      <c r="F190" s="69" cm="1">
        <f t="array" ref="F190">HistBootstrapVaR_Single($B$129,$A190,0.99,$H$4:$H$127,$K$127)</f>
        <v>19351.209297649399</v>
      </c>
      <c r="G190" s="70" cm="1">
        <f t="array" ref="G190">HistBootstrapVaR_Single($B$129,$A190,0.995,$H$4:$H$127,$K$127)</f>
        <v>20608.429862086632</v>
      </c>
      <c r="H190" s="92" cm="1">
        <f t="array" ref="H190">HistBootstrapVaR_2Assets($B$129,$A190,0.95,$C$4:$C$127,$H$4:$H$127,$M$127)</f>
        <v>11044.853014127521</v>
      </c>
      <c r="I190" s="69" cm="1">
        <f t="array" ref="I190">HistBootstrapVaR_2Assets($B$129,$A190,0.99,$C$4:$C$127,$H$4:$H$127,$M$127)</f>
        <v>16272.248955388888</v>
      </c>
      <c r="J190" s="70" cm="1">
        <f t="array" ref="J190">HistBootstrapVaR_2Assets($B$129,$A190,0.995,$C$4:$C$127,$H$4:$H$127,$M$127)</f>
        <v>17969.204262602139</v>
      </c>
      <c r="K190" s="69">
        <f t="shared" si="19"/>
        <v>6300.0065802160516</v>
      </c>
      <c r="L190" s="69">
        <f t="shared" si="19"/>
        <v>8378.6366840637747</v>
      </c>
      <c r="M190" s="70">
        <f t="shared" si="19"/>
        <v>9296.1209093669786</v>
      </c>
      <c r="P190"/>
    </row>
    <row r="191" spans="1:16" x14ac:dyDescent="0.2">
      <c r="A191" s="92">
        <v>57</v>
      </c>
      <c r="B191" s="92" cm="1">
        <f t="array" ref="B191">HistBootstrapVaR_Single($B$129,$A191,0.95,$C$4:$C$127,$F$127)</f>
        <v>1133.5252143644282</v>
      </c>
      <c r="C191" s="69" cm="1">
        <f t="array" ref="C191">HistBootstrapVaR_Single($B$129,$A191,0.99,$C$4:$C$127,$F$127)</f>
        <v>5203.3024377817865</v>
      </c>
      <c r="D191" s="70" cm="1">
        <f t="array" ref="D191">HistBootstrapVaR_Single($B$129,$A191,0.995,$C$4:$C$127,$F$127)</f>
        <v>6691.6576491495107</v>
      </c>
      <c r="E191" s="92" cm="1">
        <f t="array" ref="E191">HistBootstrapVaR_Single($B$129,$A191,0.95,$H$4:$H$127,$K$127)</f>
        <v>16027.219221061621</v>
      </c>
      <c r="F191" s="69" cm="1">
        <f t="array" ref="F191">HistBootstrapVaR_Single($B$129,$A191,0.99,$H$4:$H$127,$K$127)</f>
        <v>19587.129641353284</v>
      </c>
      <c r="G191" s="70" cm="1">
        <f t="array" ref="G191">HistBootstrapVaR_Single($B$129,$A191,0.995,$H$4:$H$127,$K$127)</f>
        <v>20797.873946044438</v>
      </c>
      <c r="H191" s="92" cm="1">
        <f t="array" ref="H191">HistBootstrapVaR_2Assets($B$129,$A191,0.95,$C$4:$C$127,$H$4:$H$127,$M$127)</f>
        <v>11457.971599851227</v>
      </c>
      <c r="I191" s="69" cm="1">
        <f t="array" ref="I191">HistBootstrapVaR_2Assets($B$129,$A191,0.99,$C$4:$C$127,$H$4:$H$127,$M$127)</f>
        <v>16495.508490649445</v>
      </c>
      <c r="J191" s="70" cm="1">
        <f t="array" ref="J191">HistBootstrapVaR_2Assets($B$129,$A191,0.995,$C$4:$C$127,$H$4:$H$127,$M$127)</f>
        <v>18931.02146362538</v>
      </c>
      <c r="K191" s="69">
        <f t="shared" si="19"/>
        <v>5702.7728355748204</v>
      </c>
      <c r="L191" s="69">
        <f t="shared" si="19"/>
        <v>8294.9235884856244</v>
      </c>
      <c r="M191" s="70">
        <f t="shared" si="19"/>
        <v>8558.5101315685679</v>
      </c>
      <c r="P191"/>
    </row>
    <row r="192" spans="1:16" x14ac:dyDescent="0.2">
      <c r="A192" s="92">
        <v>58</v>
      </c>
      <c r="B192" s="92" cm="1">
        <f t="array" ref="B192">HistBootstrapVaR_Single($B$129,$A192,0.95,$C$4:$C$127,$F$127)</f>
        <v>1166.4148150476394</v>
      </c>
      <c r="C192" s="69" cm="1">
        <f t="array" ref="C192">HistBootstrapVaR_Single($B$129,$A192,0.99,$C$4:$C$127,$F$127)</f>
        <v>5127.7936114748645</v>
      </c>
      <c r="D192" s="70" cm="1">
        <f t="array" ref="D192">HistBootstrapVaR_Single($B$129,$A192,0.995,$C$4:$C$127,$F$127)</f>
        <v>6486.7617546173515</v>
      </c>
      <c r="E192" s="92" cm="1">
        <f t="array" ref="E192">HistBootstrapVaR_Single($B$129,$A192,0.95,$H$4:$H$127,$K$127)</f>
        <v>16145.975967398586</v>
      </c>
      <c r="F192" s="69" cm="1">
        <f t="array" ref="F192">HistBootstrapVaR_Single($B$129,$A192,0.99,$H$4:$H$127,$K$127)</f>
        <v>19654.665193509576</v>
      </c>
      <c r="G192" s="70" cm="1">
        <f t="array" ref="G192">HistBootstrapVaR_Single($B$129,$A192,0.995,$H$4:$H$127,$K$127)</f>
        <v>20869.330383243036</v>
      </c>
      <c r="H192" s="92" cm="1">
        <f t="array" ref="H192">HistBootstrapVaR_2Assets($B$129,$A192,0.95,$C$4:$C$127,$H$4:$H$127,$M$127)</f>
        <v>11440.527854682146</v>
      </c>
      <c r="I192" s="69" cm="1">
        <f t="array" ref="I192">HistBootstrapVaR_2Assets($B$129,$A192,0.99,$C$4:$C$127,$H$4:$H$127,$M$127)</f>
        <v>16122.707037914768</v>
      </c>
      <c r="J192" s="70" cm="1">
        <f t="array" ref="J192">HistBootstrapVaR_2Assets($B$129,$A192,0.995,$C$4:$C$127,$H$4:$H$127,$M$127)</f>
        <v>18328.006077736205</v>
      </c>
      <c r="K192" s="69">
        <f t="shared" si="19"/>
        <v>5871.8629277640794</v>
      </c>
      <c r="L192" s="69">
        <f t="shared" si="19"/>
        <v>8659.7517670696707</v>
      </c>
      <c r="M192" s="70">
        <f t="shared" si="19"/>
        <v>9028.0860601241839</v>
      </c>
      <c r="P192"/>
    </row>
    <row r="193" spans="1:16" x14ac:dyDescent="0.2">
      <c r="A193" s="92">
        <v>59</v>
      </c>
      <c r="B193" s="92" cm="1">
        <f t="array" ref="B193">HistBootstrapVaR_Single($B$129,$A193,0.95,$C$4:$C$127,$F$127)</f>
        <v>1006.997821779484</v>
      </c>
      <c r="C193" s="69" cm="1">
        <f t="array" ref="C193">HistBootstrapVaR_Single($B$129,$A193,0.99,$C$4:$C$127,$F$127)</f>
        <v>5442.5826560271389</v>
      </c>
      <c r="D193" s="70" cm="1">
        <f t="array" ref="D193">HistBootstrapVaR_Single($B$129,$A193,0.995,$C$4:$C$127,$F$127)</f>
        <v>6237.7359108534811</v>
      </c>
      <c r="E193" s="92" cm="1">
        <f t="array" ref="E193">HistBootstrapVaR_Single($B$129,$A193,0.95,$H$4:$H$127,$K$127)</f>
        <v>16435.034161908519</v>
      </c>
      <c r="F193" s="69" cm="1">
        <f t="array" ref="F193">HistBootstrapVaR_Single($B$129,$A193,0.99,$H$4:$H$127,$K$127)</f>
        <v>19591.157141535012</v>
      </c>
      <c r="G193" s="70" cm="1">
        <f t="array" ref="G193">HistBootstrapVaR_Single($B$129,$A193,0.995,$H$4:$H$127,$K$127)</f>
        <v>21193.842385881569</v>
      </c>
      <c r="H193" s="92" cm="1">
        <f t="array" ref="H193">HistBootstrapVaR_2Assets($B$129,$A193,0.95,$C$4:$C$127,$H$4:$H$127,$M$127)</f>
        <v>11433.215294241363</v>
      </c>
      <c r="I193" s="69" cm="1">
        <f t="array" ref="I193">HistBootstrapVaR_2Assets($B$129,$A193,0.99,$C$4:$C$127,$H$4:$H$127,$M$127)</f>
        <v>16350.958222893725</v>
      </c>
      <c r="J193" s="70" cm="1">
        <f t="array" ref="J193">HistBootstrapVaR_2Assets($B$129,$A193,0.995,$C$4:$C$127,$H$4:$H$127,$M$127)</f>
        <v>18446.402809695534</v>
      </c>
      <c r="K193" s="69">
        <f t="shared" si="19"/>
        <v>6008.8166894466412</v>
      </c>
      <c r="L193" s="69">
        <f t="shared" si="19"/>
        <v>8682.7815746684246</v>
      </c>
      <c r="M193" s="70">
        <f t="shared" si="19"/>
        <v>8985.1754870395162</v>
      </c>
      <c r="P193"/>
    </row>
    <row r="194" spans="1:16" x14ac:dyDescent="0.2">
      <c r="A194" s="92">
        <v>60</v>
      </c>
      <c r="B194" s="92" cm="1">
        <f t="array" ref="B194">HistBootstrapVaR_Single($B$129,$A194,0.95,$C$4:$C$127,$F$127)</f>
        <v>836.92593390390834</v>
      </c>
      <c r="C194" s="69" cm="1">
        <f t="array" ref="C194">HistBootstrapVaR_Single($B$129,$A194,0.99,$C$4:$C$127,$F$127)</f>
        <v>4868.8281960625209</v>
      </c>
      <c r="D194" s="70" cm="1">
        <f t="array" ref="D194">HistBootstrapVaR_Single($B$129,$A194,0.995,$C$4:$C$127,$F$127)</f>
        <v>6434.0823727150528</v>
      </c>
      <c r="E194" s="92" cm="1">
        <f t="array" ref="E194">HistBootstrapVaR_Single($B$129,$A194,0.95,$H$4:$H$127,$K$127)</f>
        <v>16496.062409790236</v>
      </c>
      <c r="F194" s="69" cm="1">
        <f t="array" ref="F194">HistBootstrapVaR_Single($B$129,$A194,0.99,$H$4:$H$127,$K$127)</f>
        <v>19947.148703317507</v>
      </c>
      <c r="G194" s="70" cm="1">
        <f t="array" ref="G194">HistBootstrapVaR_Single($B$129,$A194,0.995,$H$4:$H$127,$K$127)</f>
        <v>21341.588721662461</v>
      </c>
      <c r="H194" s="92" cm="1">
        <f t="array" ref="H194">HistBootstrapVaR_2Assets($B$129,$A194,0.95,$C$4:$C$127,$H$4:$H$127,$M$127)</f>
        <v>11665.312262371121</v>
      </c>
      <c r="I194" s="69" cm="1">
        <f t="array" ref="I194">HistBootstrapVaR_2Assets($B$129,$A194,0.99,$C$4:$C$127,$H$4:$H$127,$M$127)</f>
        <v>16050.582006175071</v>
      </c>
      <c r="J194" s="70" cm="1">
        <f t="array" ref="J194">HistBootstrapVaR_2Assets($B$129,$A194,0.995,$C$4:$C$127,$H$4:$H$127,$M$127)</f>
        <v>18084.703835986704</v>
      </c>
      <c r="K194" s="69">
        <f t="shared" si="19"/>
        <v>5667.6760813230248</v>
      </c>
      <c r="L194" s="69">
        <f t="shared" si="19"/>
        <v>8765.394893204957</v>
      </c>
      <c r="M194" s="70">
        <f t="shared" si="19"/>
        <v>9690.9672583908105</v>
      </c>
      <c r="P194"/>
    </row>
    <row r="195" spans="1:16" x14ac:dyDescent="0.2">
      <c r="A195" s="92">
        <v>61</v>
      </c>
      <c r="B195" s="92" cm="1">
        <f t="array" ref="B195">HistBootstrapVaR_Single($B$129,$A195,0.95,$C$4:$C$127,$F$127)</f>
        <v>853.44435283454857</v>
      </c>
      <c r="C195" s="69" cm="1">
        <f t="array" ref="C195">HistBootstrapVaR_Single($B$129,$A195,0.99,$C$4:$C$127,$F$127)</f>
        <v>5081.5524862858656</v>
      </c>
      <c r="D195" s="70" cm="1">
        <f t="array" ref="D195">HistBootstrapVaR_Single($B$129,$A195,0.995,$C$4:$C$127,$F$127)</f>
        <v>6435.4396407512349</v>
      </c>
      <c r="E195" s="92" cm="1">
        <f t="array" ref="E195">HistBootstrapVaR_Single($B$129,$A195,0.95,$H$4:$H$127,$K$127)</f>
        <v>16684.777611850477</v>
      </c>
      <c r="F195" s="69" cm="1">
        <f t="array" ref="F195">HistBootstrapVaR_Single($B$129,$A195,0.99,$H$4:$H$127,$K$127)</f>
        <v>20130.489880690799</v>
      </c>
      <c r="G195" s="70" cm="1">
        <f t="array" ref="G195">HistBootstrapVaR_Single($B$129,$A195,0.995,$H$4:$H$127,$K$127)</f>
        <v>21702.085964972033</v>
      </c>
      <c r="H195" s="92" cm="1">
        <f t="array" ref="H195">HistBootstrapVaR_2Assets($B$129,$A195,0.95,$C$4:$C$127,$H$4:$H$127,$M$127)</f>
        <v>11814.795268111859</v>
      </c>
      <c r="I195" s="69" cm="1">
        <f t="array" ref="I195">HistBootstrapVaR_2Assets($B$129,$A195,0.99,$C$4:$C$127,$H$4:$H$127,$M$127)</f>
        <v>16755.338244703329</v>
      </c>
      <c r="J195" s="70" cm="1">
        <f t="array" ref="J195">HistBootstrapVaR_2Assets($B$129,$A195,0.995,$C$4:$C$127,$H$4:$H$127,$M$127)</f>
        <v>19094.529049348323</v>
      </c>
      <c r="K195" s="69">
        <f t="shared" si="19"/>
        <v>5723.4266965731658</v>
      </c>
      <c r="L195" s="69">
        <f t="shared" si="19"/>
        <v>8456.7041222733351</v>
      </c>
      <c r="M195" s="70">
        <f t="shared" si="19"/>
        <v>9042.9965563749465</v>
      </c>
      <c r="P195"/>
    </row>
    <row r="196" spans="1:16" x14ac:dyDescent="0.2">
      <c r="A196" s="92">
        <v>62</v>
      </c>
      <c r="B196" s="92" cm="1">
        <f t="array" ref="B196">HistBootstrapVaR_Single($B$129,$A196,0.95,$C$4:$C$127,$F$127)</f>
        <v>898.35885015716531</v>
      </c>
      <c r="C196" s="69" cm="1">
        <f t="array" ref="C196">HistBootstrapVaR_Single($B$129,$A196,0.99,$C$4:$C$127,$F$127)</f>
        <v>5235.3202967196994</v>
      </c>
      <c r="D196" s="70" cm="1">
        <f t="array" ref="D196">HistBootstrapVaR_Single($B$129,$A196,0.995,$C$4:$C$127,$F$127)</f>
        <v>6427.9596669045704</v>
      </c>
      <c r="E196" s="92" cm="1">
        <f t="array" ref="E196">HistBootstrapVaR_Single($B$129,$A196,0.95,$H$4:$H$127,$K$127)</f>
        <v>16737.853495112256</v>
      </c>
      <c r="F196" s="69" cm="1">
        <f t="array" ref="F196">HistBootstrapVaR_Single($B$129,$A196,0.99,$H$4:$H$127,$K$127)</f>
        <v>20021.525829864488</v>
      </c>
      <c r="G196" s="70" cm="1">
        <f t="array" ref="G196">HistBootstrapVaR_Single($B$129,$A196,0.995,$H$4:$H$127,$K$127)</f>
        <v>21564.717738398227</v>
      </c>
      <c r="H196" s="92" cm="1">
        <f t="array" ref="H196">HistBootstrapVaR_2Assets($B$129,$A196,0.95,$C$4:$C$127,$H$4:$H$127,$M$127)</f>
        <v>11777.779869912976</v>
      </c>
      <c r="I196" s="69" cm="1">
        <f t="array" ref="I196">HistBootstrapVaR_2Assets($B$129,$A196,0.99,$C$4:$C$127,$H$4:$H$127,$M$127)</f>
        <v>17224.626660667036</v>
      </c>
      <c r="J196" s="70" cm="1">
        <f t="array" ref="J196">HistBootstrapVaR_2Assets($B$129,$A196,0.995,$C$4:$C$127,$H$4:$H$127,$M$127)</f>
        <v>19026.140635529682</v>
      </c>
      <c r="K196" s="69">
        <f t="shared" si="19"/>
        <v>5858.4324753564451</v>
      </c>
      <c r="L196" s="69">
        <f t="shared" si="19"/>
        <v>8032.219465917151</v>
      </c>
      <c r="M196" s="70">
        <f t="shared" si="19"/>
        <v>8966.5367697731162</v>
      </c>
      <c r="P196"/>
    </row>
    <row r="197" spans="1:16" x14ac:dyDescent="0.2">
      <c r="A197" s="92">
        <v>63</v>
      </c>
      <c r="B197" s="92" cm="1">
        <f t="array" ref="B197">HistBootstrapVaR_Single($B$129,$A197,0.95,$C$4:$C$127,$F$127)</f>
        <v>841.92628361887921</v>
      </c>
      <c r="C197" s="69" cm="1">
        <f t="array" ref="C197">HistBootstrapVaR_Single($B$129,$A197,0.99,$C$4:$C$127,$F$127)</f>
        <v>5224.4715116353645</v>
      </c>
      <c r="D197" s="70" cm="1">
        <f t="array" ref="D197">HistBootstrapVaR_Single($B$129,$A197,0.995,$C$4:$C$127,$F$127)</f>
        <v>6672.9394550709076</v>
      </c>
      <c r="E197" s="92" cm="1">
        <f t="array" ref="E197">HistBootstrapVaR_Single($B$129,$A197,0.95,$H$4:$H$127,$K$127)</f>
        <v>17082.004022342448</v>
      </c>
      <c r="F197" s="69" cm="1">
        <f t="array" ref="F197">HistBootstrapVaR_Single($B$129,$A197,0.99,$H$4:$H$127,$K$127)</f>
        <v>20368.028753534083</v>
      </c>
      <c r="G197" s="70" cm="1">
        <f t="array" ref="G197">HistBootstrapVaR_Single($B$129,$A197,0.995,$H$4:$H$127,$K$127)</f>
        <v>21972.351749891212</v>
      </c>
      <c r="H197" s="92" cm="1">
        <f t="array" ref="H197">HistBootstrapVaR_2Assets($B$129,$A197,0.95,$C$4:$C$127,$H$4:$H$127,$M$127)</f>
        <v>11962.345985079974</v>
      </c>
      <c r="I197" s="69" cm="1">
        <f t="array" ref="I197">HistBootstrapVaR_2Assets($B$129,$A197,0.99,$C$4:$C$127,$H$4:$H$127,$M$127)</f>
        <v>16912.82712566726</v>
      </c>
      <c r="J197" s="70" cm="1">
        <f t="array" ref="J197">HistBootstrapVaR_2Assets($B$129,$A197,0.995,$C$4:$C$127,$H$4:$H$127,$M$127)</f>
        <v>18717.032069334175</v>
      </c>
      <c r="K197" s="69">
        <f t="shared" si="19"/>
        <v>5961.5843208813531</v>
      </c>
      <c r="L197" s="69">
        <f t="shared" si="19"/>
        <v>8679.6731395021889</v>
      </c>
      <c r="M197" s="70">
        <f t="shared" si="19"/>
        <v>9928.2591356279445</v>
      </c>
      <c r="P197"/>
    </row>
    <row r="198" spans="1:16" x14ac:dyDescent="0.2">
      <c r="A198" s="92">
        <v>64</v>
      </c>
      <c r="B198" s="92" cm="1">
        <f t="array" ref="B198">HistBootstrapVaR_Single($B$129,$A198,0.95,$C$4:$C$127,$F$127)</f>
        <v>720.20216273150743</v>
      </c>
      <c r="C198" s="69" cm="1">
        <f t="array" ref="C198">HistBootstrapVaR_Single($B$129,$A198,0.99,$C$4:$C$127,$F$127)</f>
        <v>5093.9156957809637</v>
      </c>
      <c r="D198" s="70" cm="1">
        <f t="array" ref="D198">HistBootstrapVaR_Single($B$129,$A198,0.995,$C$4:$C$127,$F$127)</f>
        <v>6242.1492475055848</v>
      </c>
      <c r="E198" s="92" cm="1">
        <f t="array" ref="E198">HistBootstrapVaR_Single($B$129,$A198,0.95,$H$4:$H$127,$K$127)</f>
        <v>17195.875232050876</v>
      </c>
      <c r="F198" s="69" cm="1">
        <f t="array" ref="F198">HistBootstrapVaR_Single($B$129,$A198,0.99,$H$4:$H$127,$K$127)</f>
        <v>20495.526831367439</v>
      </c>
      <c r="G198" s="70" cm="1">
        <f t="array" ref="G198">HistBootstrapVaR_Single($B$129,$A198,0.995,$H$4:$H$127,$K$127)</f>
        <v>21978.885636017319</v>
      </c>
      <c r="H198" s="92" cm="1">
        <f t="array" ref="H198">HistBootstrapVaR_2Assets($B$129,$A198,0.95,$C$4:$C$127,$H$4:$H$127,$M$127)</f>
        <v>11882.446904884326</v>
      </c>
      <c r="I198" s="69" cm="1">
        <f t="array" ref="I198">HistBootstrapVaR_2Assets($B$129,$A198,0.99,$C$4:$C$127,$H$4:$H$127,$M$127)</f>
        <v>17662.146567364915</v>
      </c>
      <c r="J198" s="70" cm="1">
        <f t="array" ref="J198">HistBootstrapVaR_2Assets($B$129,$A198,0.995,$C$4:$C$127,$H$4:$H$127,$M$127)</f>
        <v>18757.077978480993</v>
      </c>
      <c r="K198" s="69">
        <f t="shared" si="19"/>
        <v>6033.6304898980579</v>
      </c>
      <c r="L198" s="69">
        <f t="shared" si="19"/>
        <v>7927.2959597834888</v>
      </c>
      <c r="M198" s="70">
        <f t="shared" si="19"/>
        <v>9463.9569050419123</v>
      </c>
      <c r="P198"/>
    </row>
    <row r="199" spans="1:16" x14ac:dyDescent="0.2">
      <c r="A199" s="92">
        <v>65</v>
      </c>
      <c r="B199" s="92" cm="1">
        <f t="array" ref="B199">HistBootstrapVaR_Single($B$129,$A199,0.95,$C$4:$C$127,$F$127)</f>
        <v>501.86579632966806</v>
      </c>
      <c r="C199" s="69" cm="1">
        <f t="array" ref="C199">HistBootstrapVaR_Single($B$129,$A199,0.99,$C$4:$C$127,$F$127)</f>
        <v>5396.5902430982069</v>
      </c>
      <c r="D199" s="70" cm="1">
        <f t="array" ref="D199">HistBootstrapVaR_Single($B$129,$A199,0.995,$C$4:$C$127,$F$127)</f>
        <v>6445.4159640340113</v>
      </c>
      <c r="E199" s="92" cm="1">
        <f t="array" ref="E199">HistBootstrapVaR_Single($B$129,$A199,0.95,$H$4:$H$127,$K$127)</f>
        <v>17347.611641320342</v>
      </c>
      <c r="F199" s="69" cm="1">
        <f t="array" ref="F199">HistBootstrapVaR_Single($B$129,$A199,0.99,$H$4:$H$127,$K$127)</f>
        <v>20961.209607298832</v>
      </c>
      <c r="G199" s="70" cm="1">
        <f t="array" ref="G199">HistBootstrapVaR_Single($B$129,$A199,0.995,$H$4:$H$127,$K$127)</f>
        <v>22378.306511805171</v>
      </c>
      <c r="H199" s="92" cm="1">
        <f t="array" ref="H199">HistBootstrapVaR_2Assets($B$129,$A199,0.95,$C$4:$C$127,$H$4:$H$127,$M$127)</f>
        <v>11874.371619352472</v>
      </c>
      <c r="I199" s="69" cm="1">
        <f t="array" ref="I199">HistBootstrapVaR_2Assets($B$129,$A199,0.99,$C$4:$C$127,$H$4:$H$127,$M$127)</f>
        <v>17499.247414079626</v>
      </c>
      <c r="J199" s="70" cm="1">
        <f t="array" ref="J199">HistBootstrapVaR_2Assets($B$129,$A199,0.995,$C$4:$C$127,$H$4:$H$127,$M$127)</f>
        <v>19268.702857473996</v>
      </c>
      <c r="K199" s="69">
        <f t="shared" si="19"/>
        <v>5975.1058182975376</v>
      </c>
      <c r="L199" s="69">
        <f t="shared" si="19"/>
        <v>8858.5524363174118</v>
      </c>
      <c r="M199" s="70">
        <f t="shared" si="19"/>
        <v>9555.019618365186</v>
      </c>
      <c r="P199"/>
    </row>
    <row r="200" spans="1:16" x14ac:dyDescent="0.2">
      <c r="A200" s="92">
        <v>66</v>
      </c>
      <c r="B200" s="92" cm="1">
        <f t="array" ref="B200">HistBootstrapVaR_Single($B$129,$A200,0.95,$C$4:$C$127,$F$127)</f>
        <v>593.87737873411049</v>
      </c>
      <c r="C200" s="69" cm="1">
        <f t="array" ref="C200">HistBootstrapVaR_Single($B$129,$A200,0.99,$C$4:$C$127,$F$127)</f>
        <v>4560.207538239024</v>
      </c>
      <c r="D200" s="70" cm="1">
        <f t="array" ref="D200">HistBootstrapVaR_Single($B$129,$A200,0.995,$C$4:$C$127,$F$127)</f>
        <v>6610.7782831434433</v>
      </c>
      <c r="E200" s="92" cm="1">
        <f t="array" ref="E200">HistBootstrapVaR_Single($B$129,$A200,0.95,$H$4:$H$127,$K$127)</f>
        <v>17519.362377023888</v>
      </c>
      <c r="F200" s="69" cm="1">
        <f t="array" ref="F200">HistBootstrapVaR_Single($B$129,$A200,0.99,$H$4:$H$127,$K$127)</f>
        <v>21196.597715121967</v>
      </c>
      <c r="G200" s="70" cm="1">
        <f t="array" ref="G200">HistBootstrapVaR_Single($B$129,$A200,0.995,$H$4:$H$127,$K$127)</f>
        <v>21817.952527070138</v>
      </c>
      <c r="H200" s="92" cm="1">
        <f t="array" ref="H200">HistBootstrapVaR_2Assets($B$129,$A200,0.95,$C$4:$C$127,$H$4:$H$127,$M$127)</f>
        <v>12133.606038936703</v>
      </c>
      <c r="I200" s="69" cm="1">
        <f t="array" ref="I200">HistBootstrapVaR_2Assets($B$129,$A200,0.99,$C$4:$C$127,$H$4:$H$127,$M$127)</f>
        <v>17193.815889877544</v>
      </c>
      <c r="J200" s="70" cm="1">
        <f t="array" ref="J200">HistBootstrapVaR_2Assets($B$129,$A200,0.995,$C$4:$C$127,$H$4:$H$127,$M$127)</f>
        <v>19463.550638822995</v>
      </c>
      <c r="K200" s="69">
        <f t="shared" ref="K200:M234" si="20">B200+E200-H200</f>
        <v>5979.633716821294</v>
      </c>
      <c r="L200" s="69">
        <f t="shared" si="20"/>
        <v>8562.989363483448</v>
      </c>
      <c r="M200" s="70">
        <f t="shared" si="20"/>
        <v>8965.1801713905843</v>
      </c>
      <c r="P200"/>
    </row>
    <row r="201" spans="1:16" x14ac:dyDescent="0.2">
      <c r="A201" s="92">
        <v>67</v>
      </c>
      <c r="B201" s="92" cm="1">
        <f t="array" ref="B201">HistBootstrapVaR_Single($B$129,$A201,0.95,$C$4:$C$127,$F$127)</f>
        <v>514.42177950649102</v>
      </c>
      <c r="C201" s="69" cm="1">
        <f t="array" ref="C201">HistBootstrapVaR_Single($B$129,$A201,0.99,$C$4:$C$127,$F$127)</f>
        <v>5220.1005867838312</v>
      </c>
      <c r="D201" s="70" cm="1">
        <f t="array" ref="D201">HistBootstrapVaR_Single($B$129,$A201,0.995,$C$4:$C$127,$F$127)</f>
        <v>6597.3897852423434</v>
      </c>
      <c r="E201" s="92" cm="1">
        <f t="array" ref="E201">HistBootstrapVaR_Single($B$129,$A201,0.95,$H$4:$H$127,$K$127)</f>
        <v>17591.437817061407</v>
      </c>
      <c r="F201" s="69" cm="1">
        <f t="array" ref="F201">HistBootstrapVaR_Single($B$129,$A201,0.99,$H$4:$H$127,$K$127)</f>
        <v>21016.653535938847</v>
      </c>
      <c r="G201" s="70" cm="1">
        <f t="array" ref="G201">HistBootstrapVaR_Single($B$129,$A201,0.995,$H$4:$H$127,$K$127)</f>
        <v>22459.092075782472</v>
      </c>
      <c r="H201" s="92" cm="1">
        <f t="array" ref="H201">HistBootstrapVaR_2Assets($B$129,$A201,0.95,$C$4:$C$127,$H$4:$H$127,$M$127)</f>
        <v>12175.668741007472</v>
      </c>
      <c r="I201" s="69" cm="1">
        <f t="array" ref="I201">HistBootstrapVaR_2Assets($B$129,$A201,0.99,$C$4:$C$127,$H$4:$H$127,$M$127)</f>
        <v>17641.812804441674</v>
      </c>
      <c r="J201" s="70" cm="1">
        <f t="array" ref="J201">HistBootstrapVaR_2Assets($B$129,$A201,0.995,$C$4:$C$127,$H$4:$H$127,$M$127)</f>
        <v>19393.17765739328</v>
      </c>
      <c r="K201" s="69">
        <f t="shared" si="20"/>
        <v>5930.1908555604259</v>
      </c>
      <c r="L201" s="69">
        <f t="shared" si="20"/>
        <v>8594.9413182810058</v>
      </c>
      <c r="M201" s="70">
        <f t="shared" si="20"/>
        <v>9663.3042036315346</v>
      </c>
      <c r="P201"/>
    </row>
    <row r="202" spans="1:16" x14ac:dyDescent="0.2">
      <c r="A202" s="92">
        <v>68</v>
      </c>
      <c r="B202" s="92" cm="1">
        <f t="array" ref="B202">HistBootstrapVaR_Single($B$129,$A202,0.95,$C$4:$C$127,$F$127)</f>
        <v>308.64792577442591</v>
      </c>
      <c r="C202" s="69" cm="1">
        <f t="array" ref="C202">HistBootstrapVaR_Single($B$129,$A202,0.99,$C$4:$C$127,$F$127)</f>
        <v>4753.7327237579402</v>
      </c>
      <c r="D202" s="70" cm="1">
        <f t="array" ref="D202">HistBootstrapVaR_Single($B$129,$A202,0.995,$C$4:$C$127,$F$127)</f>
        <v>6276.5563748477589</v>
      </c>
      <c r="E202" s="92" cm="1">
        <f t="array" ref="E202">HistBootstrapVaR_Single($B$129,$A202,0.95,$H$4:$H$127,$K$127)</f>
        <v>17807.901473515423</v>
      </c>
      <c r="F202" s="69" cm="1">
        <f t="array" ref="F202">HistBootstrapVaR_Single($B$129,$A202,0.99,$H$4:$H$127,$K$127)</f>
        <v>21158.144541072325</v>
      </c>
      <c r="G202" s="70" cm="1">
        <f t="array" ref="G202">HistBootstrapVaR_Single($B$129,$A202,0.995,$H$4:$H$127,$K$127)</f>
        <v>22766.494106140886</v>
      </c>
      <c r="H202" s="92" cm="1">
        <f t="array" ref="H202">HistBootstrapVaR_2Assets($B$129,$A202,0.95,$C$4:$C$127,$H$4:$H$127,$M$127)</f>
        <v>12241.83135853324</v>
      </c>
      <c r="I202" s="69" cm="1">
        <f t="array" ref="I202">HistBootstrapVaR_2Assets($B$129,$A202,0.99,$C$4:$C$127,$H$4:$H$127,$M$127)</f>
        <v>17610.448302566052</v>
      </c>
      <c r="J202" s="70" cm="1">
        <f t="array" ref="J202">HistBootstrapVaR_2Assets($B$129,$A202,0.995,$C$4:$C$127,$H$4:$H$127,$M$127)</f>
        <v>19854.008802709322</v>
      </c>
      <c r="K202" s="69">
        <f t="shared" si="20"/>
        <v>5874.7180407566084</v>
      </c>
      <c r="L202" s="69">
        <f t="shared" si="20"/>
        <v>8301.4289622642136</v>
      </c>
      <c r="M202" s="70">
        <f t="shared" si="20"/>
        <v>9189.0416782793218</v>
      </c>
      <c r="P202"/>
    </row>
    <row r="203" spans="1:16" x14ac:dyDescent="0.2">
      <c r="A203" s="92">
        <v>69</v>
      </c>
      <c r="B203" s="92" cm="1">
        <f t="array" ref="B203">HistBootstrapVaR_Single($B$129,$A203,0.95,$C$4:$C$127,$F$127)</f>
        <v>217.52989960972099</v>
      </c>
      <c r="C203" s="69" cm="1">
        <f t="array" ref="C203">HistBootstrapVaR_Single($B$129,$A203,0.99,$C$4:$C$127,$F$127)</f>
        <v>5019.8640493071516</v>
      </c>
      <c r="D203" s="70" cm="1">
        <f t="array" ref="D203">HistBootstrapVaR_Single($B$129,$A203,0.995,$C$4:$C$127,$F$127)</f>
        <v>6089.0299035177759</v>
      </c>
      <c r="E203" s="92" cm="1">
        <f t="array" ref="E203">HistBootstrapVaR_Single($B$129,$A203,0.95,$H$4:$H$127,$K$127)</f>
        <v>17854.914671717535</v>
      </c>
      <c r="F203" s="69" cm="1">
        <f t="array" ref="F203">HistBootstrapVaR_Single($B$129,$A203,0.99,$H$4:$H$127,$K$127)</f>
        <v>21583.673119282244</v>
      </c>
      <c r="G203" s="70" cm="1">
        <f t="array" ref="G203">HistBootstrapVaR_Single($B$129,$A203,0.995,$H$4:$H$127,$K$127)</f>
        <v>23011.570731729775</v>
      </c>
      <c r="H203" s="92" cm="1">
        <f t="array" ref="H203">HistBootstrapVaR_2Assets($B$129,$A203,0.95,$C$4:$C$127,$H$4:$H$127,$M$127)</f>
        <v>12320.708233001074</v>
      </c>
      <c r="I203" s="69" cm="1">
        <f t="array" ref="I203">HistBootstrapVaR_2Assets($B$129,$A203,0.99,$C$4:$C$127,$H$4:$H$127,$M$127)</f>
        <v>17573.183669873986</v>
      </c>
      <c r="J203" s="70" cm="1">
        <f t="array" ref="J203">HistBootstrapVaR_2Assets($B$129,$A203,0.995,$C$4:$C$127,$H$4:$H$127,$M$127)</f>
        <v>19960.779557167294</v>
      </c>
      <c r="K203" s="69">
        <f t="shared" si="20"/>
        <v>5751.7363383261836</v>
      </c>
      <c r="L203" s="69">
        <f t="shared" si="20"/>
        <v>9030.3534987154089</v>
      </c>
      <c r="M203" s="70">
        <f t="shared" si="20"/>
        <v>9139.8210780802583</v>
      </c>
      <c r="P203"/>
    </row>
    <row r="204" spans="1:16" x14ac:dyDescent="0.2">
      <c r="A204" s="92">
        <v>70</v>
      </c>
      <c r="B204" s="92" cm="1">
        <f t="array" ref="B204">HistBootstrapVaR_Single($B$129,$A204,0.95,$C$4:$C$127,$F$127)</f>
        <v>106.00638024925621</v>
      </c>
      <c r="C204" s="69" cm="1">
        <f t="array" ref="C204">HistBootstrapVaR_Single($B$129,$A204,0.99,$C$4:$C$127,$F$127)</f>
        <v>4487.3636426616304</v>
      </c>
      <c r="D204" s="70" cm="1">
        <f t="array" ref="D204">HistBootstrapVaR_Single($B$129,$A204,0.995,$C$4:$C$127,$F$127)</f>
        <v>5944.2114472262001</v>
      </c>
      <c r="E204" s="92" cm="1">
        <f t="array" ref="E204">HistBootstrapVaR_Single($B$129,$A204,0.95,$H$4:$H$127,$K$127)</f>
        <v>18264.293480861535</v>
      </c>
      <c r="F204" s="69" cm="1">
        <f t="array" ref="F204">HistBootstrapVaR_Single($B$129,$A204,0.99,$H$4:$H$127,$K$127)</f>
        <v>21361.843744701662</v>
      </c>
      <c r="G204" s="70" cm="1">
        <f t="array" ref="G204">HistBootstrapVaR_Single($B$129,$A204,0.995,$H$4:$H$127,$K$127)</f>
        <v>22768.448270931949</v>
      </c>
      <c r="H204" s="92" cm="1">
        <f t="array" ref="H204">HistBootstrapVaR_2Assets($B$129,$A204,0.95,$C$4:$C$127,$H$4:$H$127,$M$127)</f>
        <v>12468.230902588963</v>
      </c>
      <c r="I204" s="69" cm="1">
        <f t="array" ref="I204">HistBootstrapVaR_2Assets($B$129,$A204,0.99,$C$4:$C$127,$H$4:$H$127,$M$127)</f>
        <v>18394.693884366974</v>
      </c>
      <c r="J204" s="70" cm="1">
        <f t="array" ref="J204">HistBootstrapVaR_2Assets($B$129,$A204,0.995,$C$4:$C$127,$H$4:$H$127,$M$127)</f>
        <v>20356.133724844818</v>
      </c>
      <c r="K204" s="69">
        <f t="shared" si="20"/>
        <v>5902.0689585218279</v>
      </c>
      <c r="L204" s="69">
        <f t="shared" si="20"/>
        <v>7454.5135029963167</v>
      </c>
      <c r="M204" s="70">
        <f t="shared" si="20"/>
        <v>8356.5259933133311</v>
      </c>
      <c r="P204"/>
    </row>
    <row r="205" spans="1:16" x14ac:dyDescent="0.2">
      <c r="A205" s="92">
        <v>71</v>
      </c>
      <c r="B205" s="92" cm="1">
        <f t="array" ref="B205">HistBootstrapVaR_Single($B$129,$A205,0.95,$C$4:$C$127,$F$127)</f>
        <v>282.88200087419733</v>
      </c>
      <c r="C205" s="69" cm="1">
        <f t="array" ref="C205">HistBootstrapVaR_Single($B$129,$A205,0.99,$C$4:$C$127,$F$127)</f>
        <v>4815.0725738750225</v>
      </c>
      <c r="D205" s="70" cm="1">
        <f t="array" ref="D205">HistBootstrapVaR_Single($B$129,$A205,0.995,$C$4:$C$127,$F$127)</f>
        <v>6610.3346493895906</v>
      </c>
      <c r="E205" s="92" cm="1">
        <f t="array" ref="E205">HistBootstrapVaR_Single($B$129,$A205,0.95,$H$4:$H$127,$K$127)</f>
        <v>18236.244668275907</v>
      </c>
      <c r="F205" s="69" cm="1">
        <f t="array" ref="F205">HistBootstrapVaR_Single($B$129,$A205,0.99,$H$4:$H$127,$K$127)</f>
        <v>21816.001065768771</v>
      </c>
      <c r="G205" s="70" cm="1">
        <f t="array" ref="G205">HistBootstrapVaR_Single($B$129,$A205,0.995,$H$4:$H$127,$K$127)</f>
        <v>22974.465687295567</v>
      </c>
      <c r="H205" s="92" cm="1">
        <f t="array" ref="H205">HistBootstrapVaR_2Assets($B$129,$A205,0.95,$C$4:$C$127,$H$4:$H$127,$M$127)</f>
        <v>12712.411509825346</v>
      </c>
      <c r="I205" s="69" cm="1">
        <f t="array" ref="I205">HistBootstrapVaR_2Assets($B$129,$A205,0.99,$C$4:$C$127,$H$4:$H$127,$M$127)</f>
        <v>18215.627889121439</v>
      </c>
      <c r="J205" s="70" cm="1">
        <f t="array" ref="J205">HistBootstrapVaR_2Assets($B$129,$A205,0.995,$C$4:$C$127,$H$4:$H$127,$M$127)</f>
        <v>20034.756274805866</v>
      </c>
      <c r="K205" s="69">
        <f t="shared" si="20"/>
        <v>5806.7151593247581</v>
      </c>
      <c r="L205" s="69">
        <f t="shared" si="20"/>
        <v>8415.4457505223545</v>
      </c>
      <c r="M205" s="70">
        <f t="shared" si="20"/>
        <v>9550.0440618792927</v>
      </c>
      <c r="P205"/>
    </row>
    <row r="206" spans="1:16" x14ac:dyDescent="0.2">
      <c r="A206" s="92">
        <v>72</v>
      </c>
      <c r="B206" s="92" cm="1">
        <f t="array" ref="B206">HistBootstrapVaR_Single($B$129,$A206,0.95,$C$4:$C$127,$F$127)</f>
        <v>-59.960857947268572</v>
      </c>
      <c r="C206" s="69" cm="1">
        <f t="array" ref="C206">HistBootstrapVaR_Single($B$129,$A206,0.99,$C$4:$C$127,$F$127)</f>
        <v>4544.1949061536934</v>
      </c>
      <c r="D206" s="70" cm="1">
        <f t="array" ref="D206">HistBootstrapVaR_Single($B$129,$A206,0.995,$C$4:$C$127,$F$127)</f>
        <v>6016.6475978410963</v>
      </c>
      <c r="E206" s="92" cm="1">
        <f t="array" ref="E206">HistBootstrapVaR_Single($B$129,$A206,0.95,$H$4:$H$127,$K$127)</f>
        <v>18436.398219091654</v>
      </c>
      <c r="F206" s="69" cm="1">
        <f t="array" ref="F206">HistBootstrapVaR_Single($B$129,$A206,0.99,$H$4:$H$127,$K$127)</f>
        <v>21770.04737299879</v>
      </c>
      <c r="G206" s="70" cm="1">
        <f t="array" ref="G206">HistBootstrapVaR_Single($B$129,$A206,0.995,$H$4:$H$127,$K$127)</f>
        <v>23225.679560786652</v>
      </c>
      <c r="H206" s="92" cm="1">
        <f t="array" ref="H206">HistBootstrapVaR_2Assets($B$129,$A206,0.95,$C$4:$C$127,$H$4:$H$127,$M$127)</f>
        <v>12439.995610438242</v>
      </c>
      <c r="I206" s="69" cm="1">
        <f t="array" ref="I206">HistBootstrapVaR_2Assets($B$129,$A206,0.99,$C$4:$C$127,$H$4:$H$127,$M$127)</f>
        <v>17995.934916539994</v>
      </c>
      <c r="J206" s="70" cm="1">
        <f t="array" ref="J206">HistBootstrapVaR_2Assets($B$129,$A206,0.995,$C$4:$C$127,$H$4:$H$127,$M$127)</f>
        <v>20064.170891596172</v>
      </c>
      <c r="K206" s="69">
        <f t="shared" si="20"/>
        <v>5936.4417507061426</v>
      </c>
      <c r="L206" s="69">
        <f t="shared" si="20"/>
        <v>8318.3073626124897</v>
      </c>
      <c r="M206" s="70">
        <f t="shared" si="20"/>
        <v>9178.1562670315761</v>
      </c>
      <c r="P206"/>
    </row>
    <row r="207" spans="1:16" x14ac:dyDescent="0.2">
      <c r="A207" s="92">
        <v>73</v>
      </c>
      <c r="B207" s="92" cm="1">
        <f t="array" ref="B207">HistBootstrapVaR_Single($B$129,$A207,0.95,$C$4:$C$127,$F$127)</f>
        <v>-103.23532800628935</v>
      </c>
      <c r="C207" s="69" cm="1">
        <f t="array" ref="C207">HistBootstrapVaR_Single($B$129,$A207,0.99,$C$4:$C$127,$F$127)</f>
        <v>4441.865806267394</v>
      </c>
      <c r="D207" s="70" cm="1">
        <f t="array" ref="D207">HistBootstrapVaR_Single($B$129,$A207,0.995,$C$4:$C$127,$F$127)</f>
        <v>6524.1340163093482</v>
      </c>
      <c r="E207" s="92" cm="1">
        <f t="array" ref="E207">HistBootstrapVaR_Single($B$129,$A207,0.95,$H$4:$H$127,$K$127)</f>
        <v>18506.088910626528</v>
      </c>
      <c r="F207" s="69" cm="1">
        <f t="array" ref="F207">HistBootstrapVaR_Single($B$129,$A207,0.99,$H$4:$H$127,$K$127)</f>
        <v>22234.865455913947</v>
      </c>
      <c r="G207" s="70" cm="1">
        <f t="array" ref="G207">HistBootstrapVaR_Single($B$129,$A207,0.995,$H$4:$H$127,$K$127)</f>
        <v>23413.786475934401</v>
      </c>
      <c r="H207" s="92" cm="1">
        <f t="array" ref="H207">HistBootstrapVaR_2Assets($B$129,$A207,0.95,$C$4:$C$127,$H$4:$H$127,$M$127)</f>
        <v>12577.061189514699</v>
      </c>
      <c r="I207" s="69" cm="1">
        <f t="array" ref="I207">HistBootstrapVaR_2Assets($B$129,$A207,0.99,$C$4:$C$127,$H$4:$H$127,$M$127)</f>
        <v>17956.052847251009</v>
      </c>
      <c r="J207" s="70" cm="1">
        <f t="array" ref="J207">HistBootstrapVaR_2Assets($B$129,$A207,0.995,$C$4:$C$127,$H$4:$H$127,$M$127)</f>
        <v>20284.049383853435</v>
      </c>
      <c r="K207" s="69">
        <f t="shared" si="20"/>
        <v>5825.7923931055393</v>
      </c>
      <c r="L207" s="69">
        <f t="shared" si="20"/>
        <v>8720.6784149303312</v>
      </c>
      <c r="M207" s="70">
        <f t="shared" si="20"/>
        <v>9653.8711083903145</v>
      </c>
      <c r="P207"/>
    </row>
    <row r="208" spans="1:16" x14ac:dyDescent="0.2">
      <c r="A208" s="92">
        <v>74</v>
      </c>
      <c r="B208" s="92" cm="1">
        <f t="array" ref="B208">HistBootstrapVaR_Single($B$129,$A208,0.95,$C$4:$C$127,$F$127)</f>
        <v>34.513685221746989</v>
      </c>
      <c r="C208" s="69" cm="1">
        <f t="array" ref="C208">HistBootstrapVaR_Single($B$129,$A208,0.99,$C$4:$C$127,$F$127)</f>
        <v>4515.1591181936355</v>
      </c>
      <c r="D208" s="70" cm="1">
        <f t="array" ref="D208">HistBootstrapVaR_Single($B$129,$A208,0.995,$C$4:$C$127,$F$127)</f>
        <v>6023.7264647305374</v>
      </c>
      <c r="E208" s="92" cm="1">
        <f t="array" ref="E208">HistBootstrapVaR_Single($B$129,$A208,0.95,$H$4:$H$127,$K$127)</f>
        <v>18843.629810085553</v>
      </c>
      <c r="F208" s="69" cm="1">
        <f t="array" ref="F208">HistBootstrapVaR_Single($B$129,$A208,0.99,$H$4:$H$127,$K$127)</f>
        <v>22429.174901474627</v>
      </c>
      <c r="G208" s="70" cm="1">
        <f t="array" ref="G208">HistBootstrapVaR_Single($B$129,$A208,0.995,$H$4:$H$127,$K$127)</f>
        <v>23199.170003496827</v>
      </c>
      <c r="H208" s="92" cm="1">
        <f t="array" ref="H208">HistBootstrapVaR_2Assets($B$129,$A208,0.95,$C$4:$C$127,$H$4:$H$127,$M$127)</f>
        <v>12331.947729185551</v>
      </c>
      <c r="I208" s="69" cm="1">
        <f t="array" ref="I208">HistBootstrapVaR_2Assets($B$129,$A208,0.99,$C$4:$C$127,$H$4:$H$127,$M$127)</f>
        <v>18207.264323291107</v>
      </c>
      <c r="J208" s="70" cm="1">
        <f t="array" ref="J208">HistBootstrapVaR_2Assets($B$129,$A208,0.995,$C$4:$C$127,$H$4:$H$127,$M$127)</f>
        <v>20386.334627835917</v>
      </c>
      <c r="K208" s="69">
        <f t="shared" si="20"/>
        <v>6546.1957661217493</v>
      </c>
      <c r="L208" s="69">
        <f t="shared" si="20"/>
        <v>8737.0696963771552</v>
      </c>
      <c r="M208" s="70">
        <f t="shared" si="20"/>
        <v>8836.5618403914486</v>
      </c>
      <c r="P208"/>
    </row>
    <row r="209" spans="1:16" x14ac:dyDescent="0.2">
      <c r="A209" s="92">
        <v>75</v>
      </c>
      <c r="B209" s="92" cm="1">
        <f t="array" ref="B209">HistBootstrapVaR_Single($B$129,$A209,0.95,$C$4:$C$127,$F$127)</f>
        <v>-284.80017351112014</v>
      </c>
      <c r="C209" s="69" cm="1">
        <f t="array" ref="C209">HistBootstrapVaR_Single($B$129,$A209,0.99,$C$4:$C$127,$F$127)</f>
        <v>4773.1062855707714</v>
      </c>
      <c r="D209" s="70" cm="1">
        <f t="array" ref="D209">HistBootstrapVaR_Single($B$129,$A209,0.995,$C$4:$C$127,$F$127)</f>
        <v>6026.1122719831419</v>
      </c>
      <c r="E209" s="92" cm="1">
        <f t="array" ref="E209">HistBootstrapVaR_Single($B$129,$A209,0.95,$H$4:$H$127,$K$127)</f>
        <v>18809.008319248216</v>
      </c>
      <c r="F209" s="69" cm="1">
        <f t="array" ref="F209">HistBootstrapVaR_Single($B$129,$A209,0.99,$H$4:$H$127,$K$127)</f>
        <v>22193.486193948822</v>
      </c>
      <c r="G209" s="70" cm="1">
        <f t="array" ref="G209">HistBootstrapVaR_Single($B$129,$A209,0.995,$H$4:$H$127,$K$127)</f>
        <v>23411.9524867361</v>
      </c>
      <c r="H209" s="92" cm="1">
        <f t="array" ref="H209">HistBootstrapVaR_2Assets($B$129,$A209,0.95,$C$4:$C$127,$H$4:$H$127,$M$127)</f>
        <v>13055.232560118513</v>
      </c>
      <c r="I209" s="69" cm="1">
        <f t="array" ref="I209">HistBootstrapVaR_2Assets($B$129,$A209,0.99,$C$4:$C$127,$H$4:$H$127,$M$127)</f>
        <v>18235.518245554988</v>
      </c>
      <c r="J209" s="70" cm="1">
        <f t="array" ref="J209">HistBootstrapVaR_2Assets($B$129,$A209,0.995,$C$4:$C$127,$H$4:$H$127,$M$127)</f>
        <v>20304.902278224308</v>
      </c>
      <c r="K209" s="69">
        <f t="shared" si="20"/>
        <v>5468.975585618582</v>
      </c>
      <c r="L209" s="69">
        <f t="shared" si="20"/>
        <v>8731.0742339646058</v>
      </c>
      <c r="M209" s="70">
        <f t="shared" si="20"/>
        <v>9133.1624804949352</v>
      </c>
      <c r="P209"/>
    </row>
    <row r="210" spans="1:16" x14ac:dyDescent="0.2">
      <c r="A210" s="92">
        <v>76</v>
      </c>
      <c r="B210" s="92" cm="1">
        <f t="array" ref="B210">HistBootstrapVaR_Single($B$129,$A210,0.95,$C$4:$C$127,$F$127)</f>
        <v>-456.1514066444235</v>
      </c>
      <c r="C210" s="69" cm="1">
        <f t="array" ref="C210">HistBootstrapVaR_Single($B$129,$A210,0.99,$C$4:$C$127,$F$127)</f>
        <v>4415.7824188883842</v>
      </c>
      <c r="D210" s="70" cm="1">
        <f t="array" ref="D210">HistBootstrapVaR_Single($B$129,$A210,0.995,$C$4:$C$127,$F$127)</f>
        <v>5905.8750301728878</v>
      </c>
      <c r="E210" s="92" cm="1">
        <f t="array" ref="E210">HistBootstrapVaR_Single($B$129,$A210,0.95,$H$4:$H$127,$K$127)</f>
        <v>19015.654801635672</v>
      </c>
      <c r="F210" s="69" cm="1">
        <f t="array" ref="F210">HistBootstrapVaR_Single($B$129,$A210,0.99,$H$4:$H$127,$K$127)</f>
        <v>22421.824681612226</v>
      </c>
      <c r="G210" s="70" cm="1">
        <f t="array" ref="G210">HistBootstrapVaR_Single($B$129,$A210,0.995,$H$4:$H$127,$K$127)</f>
        <v>23823.38271250809</v>
      </c>
      <c r="H210" s="92" cm="1">
        <f t="array" ref="H210">HistBootstrapVaR_2Assets($B$129,$A210,0.95,$C$4:$C$127,$H$4:$H$127,$M$127)</f>
        <v>12694.526393348146</v>
      </c>
      <c r="I210" s="69" cm="1">
        <f t="array" ref="I210">HistBootstrapVaR_2Assets($B$129,$A210,0.99,$C$4:$C$127,$H$4:$H$127,$M$127)</f>
        <v>18275.569292729848</v>
      </c>
      <c r="J210" s="70" cm="1">
        <f t="array" ref="J210">HistBootstrapVaR_2Assets($B$129,$A210,0.995,$C$4:$C$127,$H$4:$H$127,$M$127)</f>
        <v>20299.8706299283</v>
      </c>
      <c r="K210" s="69">
        <f t="shared" si="20"/>
        <v>5864.9770016431012</v>
      </c>
      <c r="L210" s="69">
        <f t="shared" si="20"/>
        <v>8562.037807770761</v>
      </c>
      <c r="M210" s="70">
        <f t="shared" si="20"/>
        <v>9429.3871127526763</v>
      </c>
      <c r="P210"/>
    </row>
    <row r="211" spans="1:16" x14ac:dyDescent="0.2">
      <c r="A211" s="92">
        <v>77</v>
      </c>
      <c r="B211" s="92" cm="1">
        <f t="array" ref="B211">HistBootstrapVaR_Single($B$129,$A211,0.95,$C$4:$C$127,$F$127)</f>
        <v>-353.43085054511567</v>
      </c>
      <c r="C211" s="69" cm="1">
        <f t="array" ref="C211">HistBootstrapVaR_Single($B$129,$A211,0.99,$C$4:$C$127,$F$127)</f>
        <v>4128.6686510310956</v>
      </c>
      <c r="D211" s="70" cm="1">
        <f t="array" ref="D211">HistBootstrapVaR_Single($B$129,$A211,0.995,$C$4:$C$127,$F$127)</f>
        <v>6512.6712934070256</v>
      </c>
      <c r="E211" s="92" cm="1">
        <f t="array" ref="E211">HistBootstrapVaR_Single($B$129,$A211,0.95,$H$4:$H$127,$K$127)</f>
        <v>18880.9950262251</v>
      </c>
      <c r="F211" s="69" cm="1">
        <f t="array" ref="F211">HistBootstrapVaR_Single($B$129,$A211,0.99,$H$4:$H$127,$K$127)</f>
        <v>22635.35227237489</v>
      </c>
      <c r="G211" s="70" cm="1">
        <f t="array" ref="G211">HistBootstrapVaR_Single($B$129,$A211,0.995,$H$4:$H$127,$K$127)</f>
        <v>23686.27377239176</v>
      </c>
      <c r="H211" s="92" cm="1">
        <f t="array" ref="H211">HistBootstrapVaR_2Assets($B$129,$A211,0.95,$C$4:$C$127,$H$4:$H$127,$M$127)</f>
        <v>13068.718469235837</v>
      </c>
      <c r="I211" s="69" cm="1">
        <f t="array" ref="I211">HistBootstrapVaR_2Assets($B$129,$A211,0.99,$C$4:$C$127,$H$4:$H$127,$M$127)</f>
        <v>18837.413055506109</v>
      </c>
      <c r="J211" s="70" cm="1">
        <f t="array" ref="J211">HistBootstrapVaR_2Assets($B$129,$A211,0.995,$C$4:$C$127,$H$4:$H$127,$M$127)</f>
        <v>20167.214501567829</v>
      </c>
      <c r="K211" s="69">
        <f t="shared" si="20"/>
        <v>5458.8457064441482</v>
      </c>
      <c r="L211" s="69">
        <f t="shared" si="20"/>
        <v>7926.6078678998783</v>
      </c>
      <c r="M211" s="70">
        <f t="shared" si="20"/>
        <v>10031.730564230955</v>
      </c>
      <c r="P211"/>
    </row>
    <row r="212" spans="1:16" x14ac:dyDescent="0.2">
      <c r="A212" s="92">
        <v>78</v>
      </c>
      <c r="B212" s="92" cm="1">
        <f t="array" ref="B212">HistBootstrapVaR_Single($B$129,$A212,0.95,$C$4:$C$127,$F$127)</f>
        <v>-543.56443344629383</v>
      </c>
      <c r="C212" s="69" cm="1">
        <f t="array" ref="C212">HistBootstrapVaR_Single($B$129,$A212,0.99,$C$4:$C$127,$F$127)</f>
        <v>4578.2326890417835</v>
      </c>
      <c r="D212" s="70" cm="1">
        <f t="array" ref="D212">HistBootstrapVaR_Single($B$129,$A212,0.995,$C$4:$C$127,$F$127)</f>
        <v>5906.1741707256278</v>
      </c>
      <c r="E212" s="92" cm="1">
        <f t="array" ref="E212">HistBootstrapVaR_Single($B$129,$A212,0.95,$H$4:$H$127,$K$127)</f>
        <v>19319.664362167681</v>
      </c>
      <c r="F212" s="69" cm="1">
        <f t="array" ref="F212">HistBootstrapVaR_Single($B$129,$A212,0.99,$H$4:$H$127,$K$127)</f>
        <v>23197.295804703848</v>
      </c>
      <c r="G212" s="70" cm="1">
        <f t="array" ref="G212">HistBootstrapVaR_Single($B$129,$A212,0.995,$H$4:$H$127,$K$127)</f>
        <v>24324.847999432459</v>
      </c>
      <c r="H212" s="92" cm="1">
        <f t="array" ref="H212">HistBootstrapVaR_2Assets($B$129,$A212,0.95,$C$4:$C$127,$H$4:$H$127,$M$127)</f>
        <v>13092.640064506957</v>
      </c>
      <c r="I212" s="69" cm="1">
        <f t="array" ref="I212">HistBootstrapVaR_2Assets($B$129,$A212,0.99,$C$4:$C$127,$H$4:$H$127,$M$127)</f>
        <v>18162.38520456777</v>
      </c>
      <c r="J212" s="70" cm="1">
        <f t="array" ref="J212">HistBootstrapVaR_2Assets($B$129,$A212,0.995,$C$4:$C$127,$H$4:$H$127,$M$127)</f>
        <v>20044.668565480937</v>
      </c>
      <c r="K212" s="69">
        <f t="shared" si="20"/>
        <v>5683.4598642144319</v>
      </c>
      <c r="L212" s="69">
        <f t="shared" si="20"/>
        <v>9613.1432891778604</v>
      </c>
      <c r="M212" s="70">
        <f t="shared" si="20"/>
        <v>10186.353604677151</v>
      </c>
      <c r="P212"/>
    </row>
    <row r="213" spans="1:16" x14ac:dyDescent="0.2">
      <c r="A213" s="92">
        <v>79</v>
      </c>
      <c r="B213" s="92" cm="1">
        <f t="array" ref="B213">HistBootstrapVaR_Single($B$129,$A213,0.95,$C$4:$C$127,$F$127)</f>
        <v>-387.91515126151495</v>
      </c>
      <c r="C213" s="69" cm="1">
        <f t="array" ref="C213">HistBootstrapVaR_Single($B$129,$A213,0.99,$C$4:$C$127,$F$127)</f>
        <v>4097.4059254369886</v>
      </c>
      <c r="D213" s="70" cm="1">
        <f t="array" ref="D213">HistBootstrapVaR_Single($B$129,$A213,0.995,$C$4:$C$127,$F$127)</f>
        <v>6077.1842402019684</v>
      </c>
      <c r="E213" s="92" cm="1">
        <f t="array" ref="E213">HistBootstrapVaR_Single($B$129,$A213,0.95,$H$4:$H$127,$K$127)</f>
        <v>19260.008332765221</v>
      </c>
      <c r="F213" s="69" cm="1">
        <f t="array" ref="F213">HistBootstrapVaR_Single($B$129,$A213,0.99,$H$4:$H$127,$K$127)</f>
        <v>23111.017489449183</v>
      </c>
      <c r="G213" s="70" cm="1">
        <f t="array" ref="G213">HistBootstrapVaR_Single($B$129,$A213,0.995,$H$4:$H$127,$K$127)</f>
        <v>23882.712639172096</v>
      </c>
      <c r="H213" s="92" cm="1">
        <f t="array" ref="H213">HistBootstrapVaR_2Assets($B$129,$A213,0.95,$C$4:$C$127,$H$4:$H$127,$M$127)</f>
        <v>12963.826797166281</v>
      </c>
      <c r="I213" s="69" cm="1">
        <f t="array" ref="I213">HistBootstrapVaR_2Assets($B$129,$A213,0.99,$C$4:$C$127,$H$4:$H$127,$M$127)</f>
        <v>19169.687041866746</v>
      </c>
      <c r="J213" s="70" cm="1">
        <f t="array" ref="J213">HistBootstrapVaR_2Assets($B$129,$A213,0.995,$C$4:$C$127,$H$4:$H$127,$M$127)</f>
        <v>21226.551283900786</v>
      </c>
      <c r="K213" s="69">
        <f t="shared" si="20"/>
        <v>5908.2663843374266</v>
      </c>
      <c r="L213" s="69">
        <f t="shared" si="20"/>
        <v>8038.7363730194265</v>
      </c>
      <c r="M213" s="70">
        <f t="shared" si="20"/>
        <v>8733.3455954732781</v>
      </c>
      <c r="P213"/>
    </row>
    <row r="214" spans="1:16" x14ac:dyDescent="0.2">
      <c r="A214" s="92">
        <v>80</v>
      </c>
      <c r="B214" s="92" cm="1">
        <f t="array" ref="B214">HistBootstrapVaR_Single($B$129,$A214,0.95,$C$4:$C$127,$F$127)</f>
        <v>-585.96063251149167</v>
      </c>
      <c r="C214" s="69" cm="1">
        <f t="array" ref="C214">HistBootstrapVaR_Single($B$129,$A214,0.99,$C$4:$C$127,$F$127)</f>
        <v>4227.3571946625025</v>
      </c>
      <c r="D214" s="70" cm="1">
        <f t="array" ref="D214">HistBootstrapVaR_Single($B$129,$A214,0.995,$C$4:$C$127,$F$127)</f>
        <v>6240.5581852449959</v>
      </c>
      <c r="E214" s="92" cm="1">
        <f t="array" ref="E214">HistBootstrapVaR_Single($B$129,$A214,0.95,$H$4:$H$127,$K$127)</f>
        <v>19602.979573569006</v>
      </c>
      <c r="F214" s="69" cm="1">
        <f t="array" ref="F214">HistBootstrapVaR_Single($B$129,$A214,0.99,$H$4:$H$127,$K$127)</f>
        <v>22997.398389307276</v>
      </c>
      <c r="G214" s="70" cm="1">
        <f t="array" ref="G214">HistBootstrapVaR_Single($B$129,$A214,0.995,$H$4:$H$127,$K$127)</f>
        <v>24196.197818254932</v>
      </c>
      <c r="H214" s="92" cm="1">
        <f t="array" ref="H214">HistBootstrapVaR_2Assets($B$129,$A214,0.95,$C$4:$C$127,$H$4:$H$127,$M$127)</f>
        <v>13322.339475954313</v>
      </c>
      <c r="I214" s="69" cm="1">
        <f t="array" ref="I214">HistBootstrapVaR_2Assets($B$129,$A214,0.99,$C$4:$C$127,$H$4:$H$127,$M$127)</f>
        <v>19094.414510602346</v>
      </c>
      <c r="J214" s="70" cm="1">
        <f t="array" ref="J214">HistBootstrapVaR_2Assets($B$129,$A214,0.995,$C$4:$C$127,$H$4:$H$127,$M$127)</f>
        <v>20228.624821968409</v>
      </c>
      <c r="K214" s="69">
        <f t="shared" si="20"/>
        <v>5694.6794651032014</v>
      </c>
      <c r="L214" s="69">
        <f t="shared" si="20"/>
        <v>8130.3410733674318</v>
      </c>
      <c r="M214" s="70">
        <f t="shared" si="20"/>
        <v>10208.131181531517</v>
      </c>
      <c r="P214"/>
    </row>
    <row r="215" spans="1:16" x14ac:dyDescent="0.2">
      <c r="A215" s="92">
        <v>81</v>
      </c>
      <c r="B215" s="92" cm="1">
        <f t="array" ref="B215">HistBootstrapVaR_Single($B$129,$A215,0.95,$C$4:$C$127,$F$127)</f>
        <v>-852.3982348143121</v>
      </c>
      <c r="C215" s="69" cm="1">
        <f t="array" ref="C215">HistBootstrapVaR_Single($B$129,$A215,0.99,$C$4:$C$127,$F$127)</f>
        <v>3690.1889678472862</v>
      </c>
      <c r="D215" s="70" cm="1">
        <f t="array" ref="D215">HistBootstrapVaR_Single($B$129,$A215,0.995,$C$4:$C$127,$F$127)</f>
        <v>5785.0478849069832</v>
      </c>
      <c r="E215" s="92" cm="1">
        <f t="array" ref="E215">HistBootstrapVaR_Single($B$129,$A215,0.95,$H$4:$H$127,$K$127)</f>
        <v>19606.924400063399</v>
      </c>
      <c r="F215" s="69" cm="1">
        <f t="array" ref="F215">HistBootstrapVaR_Single($B$129,$A215,0.99,$H$4:$H$127,$K$127)</f>
        <v>23168.1335595649</v>
      </c>
      <c r="G215" s="70" cm="1">
        <f t="array" ref="G215">HistBootstrapVaR_Single($B$129,$A215,0.995,$H$4:$H$127,$K$127)</f>
        <v>24133.255428119741</v>
      </c>
      <c r="H215" s="92" cm="1">
        <f t="array" ref="H215">HistBootstrapVaR_2Assets($B$129,$A215,0.95,$C$4:$C$127,$H$4:$H$127,$M$127)</f>
        <v>13377.080068904943</v>
      </c>
      <c r="I215" s="69" cm="1">
        <f t="array" ref="I215">HistBootstrapVaR_2Assets($B$129,$A215,0.99,$C$4:$C$127,$H$4:$H$127,$M$127)</f>
        <v>19153.661984200517</v>
      </c>
      <c r="J215" s="70" cm="1">
        <f t="array" ref="J215">HistBootstrapVaR_2Assets($B$129,$A215,0.995,$C$4:$C$127,$H$4:$H$127,$M$127)</f>
        <v>20992.495746071778</v>
      </c>
      <c r="K215" s="69">
        <f t="shared" si="20"/>
        <v>5377.4460963441452</v>
      </c>
      <c r="L215" s="69">
        <f t="shared" si="20"/>
        <v>7704.6605432116703</v>
      </c>
      <c r="M215" s="70">
        <f t="shared" si="20"/>
        <v>8925.8075669549471</v>
      </c>
      <c r="P215"/>
    </row>
    <row r="216" spans="1:16" x14ac:dyDescent="0.2">
      <c r="A216" s="92">
        <v>82</v>
      </c>
      <c r="B216" s="92" cm="1">
        <f t="array" ref="B216">HistBootstrapVaR_Single($B$129,$A216,0.95,$C$4:$C$127,$F$127)</f>
        <v>-798.23857586329962</v>
      </c>
      <c r="C216" s="69" cm="1">
        <f t="array" ref="C216">HistBootstrapVaR_Single($B$129,$A216,0.99,$C$4:$C$127,$F$127)</f>
        <v>4479.7738229779989</v>
      </c>
      <c r="D216" s="70" cm="1">
        <f t="array" ref="D216">HistBootstrapVaR_Single($B$129,$A216,0.995,$C$4:$C$127,$F$127)</f>
        <v>5412.6371892324723</v>
      </c>
      <c r="E216" s="92" cm="1">
        <f t="array" ref="E216">HistBootstrapVaR_Single($B$129,$A216,0.95,$H$4:$H$127,$K$127)</f>
        <v>19691.918778425759</v>
      </c>
      <c r="F216" s="69" cm="1">
        <f t="array" ref="F216">HistBootstrapVaR_Single($B$129,$A216,0.99,$H$4:$H$127,$K$127)</f>
        <v>23365.436340070391</v>
      </c>
      <c r="G216" s="70" cm="1">
        <f t="array" ref="G216">HistBootstrapVaR_Single($B$129,$A216,0.995,$H$4:$H$127,$K$127)</f>
        <v>24791.647675469711</v>
      </c>
      <c r="H216" s="92" cm="1">
        <f t="array" ref="H216">HistBootstrapVaR_2Assets($B$129,$A216,0.95,$C$4:$C$127,$H$4:$H$127,$M$127)</f>
        <v>13475.096429547819</v>
      </c>
      <c r="I216" s="69" cm="1">
        <f t="array" ref="I216">HistBootstrapVaR_2Assets($B$129,$A216,0.99,$C$4:$C$127,$H$4:$H$127,$M$127)</f>
        <v>19506.675173543026</v>
      </c>
      <c r="J216" s="70" cm="1">
        <f t="array" ref="J216">HistBootstrapVaR_2Assets($B$129,$A216,0.995,$C$4:$C$127,$H$4:$H$127,$M$127)</f>
        <v>20846.10847341911</v>
      </c>
      <c r="K216" s="69">
        <f t="shared" si="20"/>
        <v>5418.5837730146413</v>
      </c>
      <c r="L216" s="69">
        <f t="shared" si="20"/>
        <v>8338.5349895053623</v>
      </c>
      <c r="M216" s="70">
        <f t="shared" si="20"/>
        <v>9358.176391283072</v>
      </c>
      <c r="P216"/>
    </row>
    <row r="217" spans="1:16" x14ac:dyDescent="0.2">
      <c r="A217" s="92">
        <v>83</v>
      </c>
      <c r="B217" s="92" cm="1">
        <f t="array" ref="B217">HistBootstrapVaR_Single($B$129,$A217,0.95,$C$4:$C$127,$F$127)</f>
        <v>-859.60472452533088</v>
      </c>
      <c r="C217" s="69" cm="1">
        <f t="array" ref="C217">HistBootstrapVaR_Single($B$129,$A217,0.99,$C$4:$C$127,$F$127)</f>
        <v>3702.6985304996779</v>
      </c>
      <c r="D217" s="70" cm="1">
        <f t="array" ref="D217">HistBootstrapVaR_Single($B$129,$A217,0.995,$C$4:$C$127,$F$127)</f>
        <v>5954.437163126353</v>
      </c>
      <c r="E217" s="92" cm="1">
        <f t="array" ref="E217">HistBootstrapVaR_Single($B$129,$A217,0.95,$H$4:$H$127,$K$127)</f>
        <v>19988.063447177596</v>
      </c>
      <c r="F217" s="69" cm="1">
        <f t="array" ref="F217">HistBootstrapVaR_Single($B$129,$A217,0.99,$H$4:$H$127,$K$127)</f>
        <v>23650.356207313271</v>
      </c>
      <c r="G217" s="70" cm="1">
        <f t="array" ref="G217">HistBootstrapVaR_Single($B$129,$A217,0.995,$H$4:$H$127,$K$127)</f>
        <v>25075.685574837149</v>
      </c>
      <c r="H217" s="92" cm="1">
        <f t="array" ref="H217">HistBootstrapVaR_2Assets($B$129,$A217,0.95,$C$4:$C$127,$H$4:$H$127,$M$127)</f>
        <v>13323.620704669998</v>
      </c>
      <c r="I217" s="69" cm="1">
        <f t="array" ref="I217">HistBootstrapVaR_2Assets($B$129,$A217,0.99,$C$4:$C$127,$H$4:$H$127,$M$127)</f>
        <v>18930.469363402935</v>
      </c>
      <c r="J217" s="70" cm="1">
        <f t="array" ref="J217">HistBootstrapVaR_2Assets($B$129,$A217,0.995,$C$4:$C$127,$H$4:$H$127,$M$127)</f>
        <v>21458.953803535525</v>
      </c>
      <c r="K217" s="69">
        <f t="shared" si="20"/>
        <v>5804.8380179822652</v>
      </c>
      <c r="L217" s="69">
        <f t="shared" si="20"/>
        <v>8422.5853744100132</v>
      </c>
      <c r="M217" s="70">
        <f t="shared" si="20"/>
        <v>9571.1689344279766</v>
      </c>
      <c r="P217"/>
    </row>
    <row r="218" spans="1:16" x14ac:dyDescent="0.2">
      <c r="A218" s="92">
        <v>84</v>
      </c>
      <c r="B218" s="92" cm="1">
        <f t="array" ref="B218">HistBootstrapVaR_Single($B$129,$A218,0.95,$C$4:$C$127,$F$127)</f>
        <v>-801.18685284549167</v>
      </c>
      <c r="C218" s="69" cm="1">
        <f t="array" ref="C218">HistBootstrapVaR_Single($B$129,$A218,0.99,$C$4:$C$127,$F$127)</f>
        <v>3705.9259211879207</v>
      </c>
      <c r="D218" s="70" cm="1">
        <f t="array" ref="D218">HistBootstrapVaR_Single($B$129,$A218,0.995,$C$4:$C$127,$F$127)</f>
        <v>5902.9544444975982</v>
      </c>
      <c r="E218" s="92" cm="1">
        <f t="array" ref="E218">HistBootstrapVaR_Single($B$129,$A218,0.95,$H$4:$H$127,$K$127)</f>
        <v>19998.471497385068</v>
      </c>
      <c r="F218" s="69" cm="1">
        <f t="array" ref="F218">HistBootstrapVaR_Single($B$129,$A218,0.99,$H$4:$H$127,$K$127)</f>
        <v>23405.919824546596</v>
      </c>
      <c r="G218" s="70" cm="1">
        <f t="array" ref="G218">HistBootstrapVaR_Single($B$129,$A218,0.995,$H$4:$H$127,$K$127)</f>
        <v>25114.732962950893</v>
      </c>
      <c r="H218" s="92" cm="1">
        <f t="array" ref="H218">HistBootstrapVaR_2Assets($B$129,$A218,0.95,$C$4:$C$127,$H$4:$H$127,$M$127)</f>
        <v>13334.788833060316</v>
      </c>
      <c r="I218" s="69" cm="1">
        <f t="array" ref="I218">HistBootstrapVaR_2Assets($B$129,$A218,0.99,$C$4:$C$127,$H$4:$H$127,$M$127)</f>
        <v>18719.439134180484</v>
      </c>
      <c r="J218" s="70" cm="1">
        <f t="array" ref="J218">HistBootstrapVaR_2Assets($B$129,$A218,0.995,$C$4:$C$127,$H$4:$H$127,$M$127)</f>
        <v>21585.800774588599</v>
      </c>
      <c r="K218" s="69">
        <f t="shared" si="20"/>
        <v>5862.4958114792607</v>
      </c>
      <c r="L218" s="69">
        <f t="shared" si="20"/>
        <v>8392.4066115540336</v>
      </c>
      <c r="M218" s="70">
        <f t="shared" si="20"/>
        <v>9431.8866328598924</v>
      </c>
      <c r="P218"/>
    </row>
    <row r="219" spans="1:16" x14ac:dyDescent="0.2">
      <c r="A219" s="92">
        <v>85</v>
      </c>
      <c r="B219" s="92" cm="1">
        <f t="array" ref="B219">HistBootstrapVaR_Single($B$129,$A219,0.95,$C$4:$C$127,$F$127)</f>
        <v>-883.80591553420516</v>
      </c>
      <c r="C219" s="69" cm="1">
        <f t="array" ref="C219">HistBootstrapVaR_Single($B$129,$A219,0.99,$C$4:$C$127,$F$127)</f>
        <v>4161.5817562629918</v>
      </c>
      <c r="D219" s="70" cm="1">
        <f t="array" ref="D219">HistBootstrapVaR_Single($B$129,$A219,0.995,$C$4:$C$127,$F$127)</f>
        <v>6038.8546365197244</v>
      </c>
      <c r="E219" s="92" cm="1">
        <f t="array" ref="E219">HistBootstrapVaR_Single($B$129,$A219,0.95,$H$4:$H$127,$K$127)</f>
        <v>20200.650145622203</v>
      </c>
      <c r="F219" s="69" cm="1">
        <f t="array" ref="F219">HistBootstrapVaR_Single($B$129,$A219,0.99,$H$4:$H$127,$K$127)</f>
        <v>23989.80253412835</v>
      </c>
      <c r="G219" s="70" cm="1">
        <f t="array" ref="G219">HistBootstrapVaR_Single($B$129,$A219,0.995,$H$4:$H$127,$K$127)</f>
        <v>24696.65596978243</v>
      </c>
      <c r="H219" s="92" cm="1">
        <f t="array" ref="H219">HistBootstrapVaR_2Assets($B$129,$A219,0.95,$C$4:$C$127,$H$4:$H$127,$M$127)</f>
        <v>13569.416078080238</v>
      </c>
      <c r="I219" s="69" cm="1">
        <f t="array" ref="I219">HistBootstrapVaR_2Assets($B$129,$A219,0.99,$C$4:$C$127,$H$4:$H$127,$M$127)</f>
        <v>19677.236963367239</v>
      </c>
      <c r="J219" s="70" cm="1">
        <f t="array" ref="J219">HistBootstrapVaR_2Assets($B$129,$A219,0.995,$C$4:$C$127,$H$4:$H$127,$M$127)</f>
        <v>21172.299753297804</v>
      </c>
      <c r="K219" s="69">
        <f t="shared" si="20"/>
        <v>5747.4281520077602</v>
      </c>
      <c r="L219" s="69">
        <f t="shared" si="20"/>
        <v>8474.147327024104</v>
      </c>
      <c r="M219" s="70">
        <f t="shared" si="20"/>
        <v>9563.2108530043515</v>
      </c>
      <c r="P219"/>
    </row>
    <row r="220" spans="1:16" x14ac:dyDescent="0.2">
      <c r="A220" s="92">
        <v>86</v>
      </c>
      <c r="B220" s="92" cm="1">
        <f t="array" ref="B220">HistBootstrapVaR_Single($B$129,$A220,0.95,$C$4:$C$127,$F$127)</f>
        <v>-1316.4207897592473</v>
      </c>
      <c r="C220" s="69" cm="1">
        <f t="array" ref="C220">HistBootstrapVaR_Single($B$129,$A220,0.99,$C$4:$C$127,$F$127)</f>
        <v>4281.4013152266043</v>
      </c>
      <c r="D220" s="70" cm="1">
        <f t="array" ref="D220">HistBootstrapVaR_Single($B$129,$A220,0.995,$C$4:$C$127,$F$127)</f>
        <v>5546.2301909544794</v>
      </c>
      <c r="E220" s="92" cm="1">
        <f t="array" ref="E220">HistBootstrapVaR_Single($B$129,$A220,0.95,$H$4:$H$127,$K$127)</f>
        <v>20156.110091505227</v>
      </c>
      <c r="F220" s="69" cm="1">
        <f t="array" ref="F220">HistBootstrapVaR_Single($B$129,$A220,0.99,$H$4:$H$127,$K$127)</f>
        <v>23749.216696655913</v>
      </c>
      <c r="G220" s="70" cm="1">
        <f t="array" ref="G220">HistBootstrapVaR_Single($B$129,$A220,0.995,$H$4:$H$127,$K$127)</f>
        <v>25060.252152117129</v>
      </c>
      <c r="H220" s="92" cm="1">
        <f t="array" ref="H220">HistBootstrapVaR_2Assets($B$129,$A220,0.95,$C$4:$C$127,$H$4:$H$127,$M$127)</f>
        <v>13776.443029336551</v>
      </c>
      <c r="I220" s="69" cm="1">
        <f t="array" ref="I220">HistBootstrapVaR_2Assets($B$129,$A220,0.99,$C$4:$C$127,$H$4:$H$127,$M$127)</f>
        <v>19090.177680490302</v>
      </c>
      <c r="J220" s="70" cm="1">
        <f t="array" ref="J220">HistBootstrapVaR_2Assets($B$129,$A220,0.995,$C$4:$C$127,$H$4:$H$127,$M$127)</f>
        <v>21457.454486962171</v>
      </c>
      <c r="K220" s="69">
        <f t="shared" si="20"/>
        <v>5063.2462724094294</v>
      </c>
      <c r="L220" s="69">
        <f t="shared" si="20"/>
        <v>8940.4403313922157</v>
      </c>
      <c r="M220" s="70">
        <f t="shared" si="20"/>
        <v>9149.0278561094383</v>
      </c>
      <c r="P220"/>
    </row>
    <row r="221" spans="1:16" x14ac:dyDescent="0.2">
      <c r="A221" s="92">
        <v>87</v>
      </c>
      <c r="B221" s="92" cm="1">
        <f t="array" ref="B221">HistBootstrapVaR_Single($B$129,$A221,0.95,$C$4:$C$127,$F$127)</f>
        <v>-1171.3265127288901</v>
      </c>
      <c r="C221" s="69" cm="1">
        <f t="array" ref="C221">HistBootstrapVaR_Single($B$129,$A221,0.99,$C$4:$C$127,$F$127)</f>
        <v>3728.2742522887734</v>
      </c>
      <c r="D221" s="70" cm="1">
        <f t="array" ref="D221">HistBootstrapVaR_Single($B$129,$A221,0.995,$C$4:$C$127,$F$127)</f>
        <v>5485.0901762303911</v>
      </c>
      <c r="E221" s="92" cm="1">
        <f t="array" ref="E221">HistBootstrapVaR_Single($B$129,$A221,0.95,$H$4:$H$127,$K$127)</f>
        <v>20274.910682165191</v>
      </c>
      <c r="F221" s="69" cm="1">
        <f t="array" ref="F221">HistBootstrapVaR_Single($B$129,$A221,0.99,$H$4:$H$127,$K$127)</f>
        <v>24090.962040260783</v>
      </c>
      <c r="G221" s="70" cm="1">
        <f t="array" ref="G221">HistBootstrapVaR_Single($B$129,$A221,0.995,$H$4:$H$127,$K$127)</f>
        <v>25591.301915176275</v>
      </c>
      <c r="H221" s="92" cm="1">
        <f t="array" ref="H221">HistBootstrapVaR_2Assets($B$129,$A221,0.95,$C$4:$C$127,$H$4:$H$127,$M$127)</f>
        <v>13586.991325030167</v>
      </c>
      <c r="I221" s="69" cm="1">
        <f t="array" ref="I221">HistBootstrapVaR_2Assets($B$129,$A221,0.99,$C$4:$C$127,$H$4:$H$127,$M$127)</f>
        <v>19397.203505506259</v>
      </c>
      <c r="J221" s="70" cm="1">
        <f t="array" ref="J221">HistBootstrapVaR_2Assets($B$129,$A221,0.995,$C$4:$C$127,$H$4:$H$127,$M$127)</f>
        <v>21999.330618159442</v>
      </c>
      <c r="K221" s="69">
        <f t="shared" si="20"/>
        <v>5516.5928444061337</v>
      </c>
      <c r="L221" s="69">
        <f t="shared" si="20"/>
        <v>8422.0327870432993</v>
      </c>
      <c r="M221" s="70">
        <f t="shared" si="20"/>
        <v>9077.0614732472241</v>
      </c>
      <c r="P221"/>
    </row>
    <row r="222" spans="1:16" x14ac:dyDescent="0.2">
      <c r="A222" s="92">
        <v>88</v>
      </c>
      <c r="B222" s="92" cm="1">
        <f t="array" ref="B222">HistBootstrapVaR_Single($B$129,$A222,0.95,$C$4:$C$127,$F$127)</f>
        <v>-1231.1283162355639</v>
      </c>
      <c r="C222" s="69" cm="1">
        <f t="array" ref="C222">HistBootstrapVaR_Single($B$129,$A222,0.99,$C$4:$C$127,$F$127)</f>
        <v>3879.6570443219412</v>
      </c>
      <c r="D222" s="70" cm="1">
        <f t="array" ref="D222">HistBootstrapVaR_Single($B$129,$A222,0.995,$C$4:$C$127,$F$127)</f>
        <v>5368.3516151350723</v>
      </c>
      <c r="E222" s="92" cm="1">
        <f t="array" ref="E222">HistBootstrapVaR_Single($B$129,$A222,0.95,$H$4:$H$127,$K$127)</f>
        <v>20515.593049689531</v>
      </c>
      <c r="F222" s="69" cm="1">
        <f t="array" ref="F222">HistBootstrapVaR_Single($B$129,$A222,0.99,$H$4:$H$127,$K$127)</f>
        <v>23932.768851841447</v>
      </c>
      <c r="G222" s="70" cm="1">
        <f t="array" ref="G222">HistBootstrapVaR_Single($B$129,$A222,0.995,$H$4:$H$127,$K$127)</f>
        <v>25547.172007358513</v>
      </c>
      <c r="H222" s="92" cm="1">
        <f t="array" ref="H222">HistBootstrapVaR_2Assets($B$129,$A222,0.95,$C$4:$C$127,$H$4:$H$127,$M$127)</f>
        <v>13614.999249226496</v>
      </c>
      <c r="I222" s="69" cm="1">
        <f t="array" ref="I222">HistBootstrapVaR_2Assets($B$129,$A222,0.99,$C$4:$C$127,$H$4:$H$127,$M$127)</f>
        <v>19565.358985703988</v>
      </c>
      <c r="J222" s="70" cm="1">
        <f t="array" ref="J222">HistBootstrapVaR_2Assets($B$129,$A222,0.995,$C$4:$C$127,$H$4:$H$127,$M$127)</f>
        <v>21563.70458557544</v>
      </c>
      <c r="K222" s="69">
        <f t="shared" si="20"/>
        <v>5669.4654842274704</v>
      </c>
      <c r="L222" s="69">
        <f t="shared" si="20"/>
        <v>8247.0669104594017</v>
      </c>
      <c r="M222" s="70">
        <f t="shared" si="20"/>
        <v>9351.8190369181466</v>
      </c>
      <c r="P222"/>
    </row>
    <row r="223" spans="1:16" x14ac:dyDescent="0.2">
      <c r="A223" s="92">
        <v>89</v>
      </c>
      <c r="B223" s="92" cm="1">
        <f t="array" ref="B223">HistBootstrapVaR_Single($B$129,$A223,0.95,$C$4:$C$127,$F$127)</f>
        <v>-1502.2759837403955</v>
      </c>
      <c r="C223" s="69" cm="1">
        <f t="array" ref="C223">HistBootstrapVaR_Single($B$129,$A223,0.99,$C$4:$C$127,$F$127)</f>
        <v>3981.940153276485</v>
      </c>
      <c r="D223" s="70" cm="1">
        <f t="array" ref="D223">HistBootstrapVaR_Single($B$129,$A223,0.995,$C$4:$C$127,$F$127)</f>
        <v>5938.8667378679729</v>
      </c>
      <c r="E223" s="92" cm="1">
        <f t="array" ref="E223">HistBootstrapVaR_Single($B$129,$A223,0.95,$H$4:$H$127,$K$127)</f>
        <v>20399.038241402588</v>
      </c>
      <c r="F223" s="69" cm="1">
        <f t="array" ref="F223">HistBootstrapVaR_Single($B$129,$A223,0.99,$H$4:$H$127,$K$127)</f>
        <v>24300.800630818128</v>
      </c>
      <c r="G223" s="70" cm="1">
        <f t="array" ref="G223">HistBootstrapVaR_Single($B$129,$A223,0.995,$H$4:$H$127,$K$127)</f>
        <v>25388.17056113833</v>
      </c>
      <c r="H223" s="92" cm="1">
        <f t="array" ref="H223">HistBootstrapVaR_2Assets($B$129,$A223,0.95,$C$4:$C$127,$H$4:$H$127,$M$127)</f>
        <v>13748.377365954286</v>
      </c>
      <c r="I223" s="69" cm="1">
        <f t="array" ref="I223">HistBootstrapVaR_2Assets($B$129,$A223,0.99,$C$4:$C$127,$H$4:$H$127,$M$127)</f>
        <v>19810.500385040894</v>
      </c>
      <c r="J223" s="70" cm="1">
        <f t="array" ref="J223">HistBootstrapVaR_2Assets($B$129,$A223,0.995,$C$4:$C$127,$H$4:$H$127,$M$127)</f>
        <v>22889.619555497324</v>
      </c>
      <c r="K223" s="69">
        <f t="shared" si="20"/>
        <v>5148.3848917079085</v>
      </c>
      <c r="L223" s="69">
        <f t="shared" si="20"/>
        <v>8472.2403990537205</v>
      </c>
      <c r="M223" s="70">
        <f t="shared" si="20"/>
        <v>8437.4177435089805</v>
      </c>
      <c r="P223"/>
    </row>
    <row r="224" spans="1:16" x14ac:dyDescent="0.2">
      <c r="A224" s="92">
        <v>90</v>
      </c>
      <c r="B224" s="92" cm="1">
        <f t="array" ref="B224">HistBootstrapVaR_Single($B$129,$A224,0.95,$C$4:$C$127,$F$127)</f>
        <v>-1172.079758640718</v>
      </c>
      <c r="C224" s="69" cm="1">
        <f t="array" ref="C224">HistBootstrapVaR_Single($B$129,$A224,0.99,$C$4:$C$127,$F$127)</f>
        <v>3674.9515348057971</v>
      </c>
      <c r="D224" s="70" cm="1">
        <f t="array" ref="D224">HistBootstrapVaR_Single($B$129,$A224,0.995,$C$4:$C$127,$F$127)</f>
        <v>5683.5147219703795</v>
      </c>
      <c r="E224" s="92" cm="1">
        <f t="array" ref="E224">HistBootstrapVaR_Single($B$129,$A224,0.95,$H$4:$H$127,$K$127)</f>
        <v>20809.316549355539</v>
      </c>
      <c r="F224" s="69" cm="1">
        <f t="array" ref="F224">HistBootstrapVaR_Single($B$129,$A224,0.99,$H$4:$H$127,$K$127)</f>
        <v>24328.063081339307</v>
      </c>
      <c r="G224" s="70" cm="1">
        <f t="array" ref="G224">HistBootstrapVaR_Single($B$129,$A224,0.995,$H$4:$H$127,$K$127)</f>
        <v>25694.890511409456</v>
      </c>
      <c r="H224" s="92" cm="1">
        <f t="array" ref="H224">HistBootstrapVaR_2Assets($B$129,$A224,0.95,$C$4:$C$127,$H$4:$H$127,$M$127)</f>
        <v>13646.583372826793</v>
      </c>
      <c r="I224" s="69" cm="1">
        <f t="array" ref="I224">HistBootstrapVaR_2Assets($B$129,$A224,0.99,$C$4:$C$127,$H$4:$H$127,$M$127)</f>
        <v>19755.301416510571</v>
      </c>
      <c r="J224" s="70" cm="1">
        <f t="array" ref="J224">HistBootstrapVaR_2Assets($B$129,$A224,0.995,$C$4:$C$127,$H$4:$H$127,$M$127)</f>
        <v>21371.889666446703</v>
      </c>
      <c r="K224" s="69">
        <f t="shared" si="20"/>
        <v>5990.6534178880283</v>
      </c>
      <c r="L224" s="69">
        <f t="shared" si="20"/>
        <v>8247.7131996345342</v>
      </c>
      <c r="M224" s="70">
        <f t="shared" si="20"/>
        <v>10006.515566933133</v>
      </c>
      <c r="P224"/>
    </row>
    <row r="225" spans="1:16" x14ac:dyDescent="0.2">
      <c r="A225" s="92">
        <v>91</v>
      </c>
      <c r="B225" s="92" cm="1">
        <f t="array" ref="B225">HistBootstrapVaR_Single($B$129,$A225,0.95,$C$4:$C$127,$F$127)</f>
        <v>-1337.0709796396316</v>
      </c>
      <c r="C225" s="69" cm="1">
        <f t="array" ref="C225">HistBootstrapVaR_Single($B$129,$A225,0.99,$C$4:$C$127,$F$127)</f>
        <v>3781.8197232888547</v>
      </c>
      <c r="D225" s="70" cm="1">
        <f t="array" ref="D225">HistBootstrapVaR_Single($B$129,$A225,0.995,$C$4:$C$127,$F$127)</f>
        <v>5302.7187804361602</v>
      </c>
      <c r="E225" s="92" cm="1">
        <f t="array" ref="E225">HistBootstrapVaR_Single($B$129,$A225,0.95,$H$4:$H$127,$K$127)</f>
        <v>20944.916791952524</v>
      </c>
      <c r="F225" s="69" cm="1">
        <f t="array" ref="F225">HistBootstrapVaR_Single($B$129,$A225,0.99,$H$4:$H$127,$K$127)</f>
        <v>24227.714623734086</v>
      </c>
      <c r="G225" s="70" cm="1">
        <f t="array" ref="G225">HistBootstrapVaR_Single($B$129,$A225,0.995,$H$4:$H$127,$K$127)</f>
        <v>25866.028708136884</v>
      </c>
      <c r="H225" s="92" cm="1">
        <f t="array" ref="H225">HistBootstrapVaR_2Assets($B$129,$A225,0.95,$C$4:$C$127,$H$4:$H$127,$M$127)</f>
        <v>13991.428413890037</v>
      </c>
      <c r="I225" s="69" cm="1">
        <f t="array" ref="I225">HistBootstrapVaR_2Assets($B$129,$A225,0.99,$C$4:$C$127,$H$4:$H$127,$M$127)</f>
        <v>19451.27193071687</v>
      </c>
      <c r="J225" s="70" cm="1">
        <f t="array" ref="J225">HistBootstrapVaR_2Assets($B$129,$A225,0.995,$C$4:$C$127,$H$4:$H$127,$M$127)</f>
        <v>21977.391077137567</v>
      </c>
      <c r="K225" s="69">
        <f t="shared" si="20"/>
        <v>5616.4173984228546</v>
      </c>
      <c r="L225" s="69">
        <f t="shared" si="20"/>
        <v>8558.2624163060718</v>
      </c>
      <c r="M225" s="70">
        <f t="shared" si="20"/>
        <v>9191.3564114354776</v>
      </c>
      <c r="P225"/>
    </row>
    <row r="226" spans="1:16" x14ac:dyDescent="0.2">
      <c r="A226" s="92">
        <v>92</v>
      </c>
      <c r="B226" s="92" cm="1">
        <f t="array" ref="B226">HistBootstrapVaR_Single($B$129,$A226,0.95,$C$4:$C$127,$F$127)</f>
        <v>-1492.2742152073251</v>
      </c>
      <c r="C226" s="69" cm="1">
        <f t="array" ref="C226">HistBootstrapVaR_Single($B$129,$A226,0.99,$C$4:$C$127,$F$127)</f>
        <v>4275.6233101203707</v>
      </c>
      <c r="D226" s="70" cm="1">
        <f t="array" ref="D226">HistBootstrapVaR_Single($B$129,$A226,0.995,$C$4:$C$127,$F$127)</f>
        <v>5076.0840274584089</v>
      </c>
      <c r="E226" s="92" cm="1">
        <f t="array" ref="E226">HistBootstrapVaR_Single($B$129,$A226,0.95,$H$4:$H$127,$K$127)</f>
        <v>20925.836314095472</v>
      </c>
      <c r="F226" s="69" cm="1">
        <f t="array" ref="F226">HistBootstrapVaR_Single($B$129,$A226,0.99,$H$4:$H$127,$K$127)</f>
        <v>24829.807328829989</v>
      </c>
      <c r="G226" s="70" cm="1">
        <f t="array" ref="G226">HistBootstrapVaR_Single($B$129,$A226,0.995,$H$4:$H$127,$K$127)</f>
        <v>25970.192884939883</v>
      </c>
      <c r="H226" s="92" cm="1">
        <f t="array" ref="H226">HistBootstrapVaR_2Assets($B$129,$A226,0.95,$C$4:$C$127,$H$4:$H$127,$M$127)</f>
        <v>13980.193464055248</v>
      </c>
      <c r="I226" s="69" cm="1">
        <f t="array" ref="I226">HistBootstrapVaR_2Assets($B$129,$A226,0.99,$C$4:$C$127,$H$4:$H$127,$M$127)</f>
        <v>19548.956211670069</v>
      </c>
      <c r="J226" s="70" cm="1">
        <f t="array" ref="J226">HistBootstrapVaR_2Assets($B$129,$A226,0.995,$C$4:$C$127,$H$4:$H$127,$M$127)</f>
        <v>22614.312253940425</v>
      </c>
      <c r="K226" s="69">
        <f t="shared" si="20"/>
        <v>5453.3686348328974</v>
      </c>
      <c r="L226" s="69">
        <f t="shared" si="20"/>
        <v>9556.4744272802927</v>
      </c>
      <c r="M226" s="70">
        <f t="shared" si="20"/>
        <v>8431.9646584578659</v>
      </c>
      <c r="P226"/>
    </row>
    <row r="227" spans="1:16" x14ac:dyDescent="0.2">
      <c r="A227" s="92">
        <v>93</v>
      </c>
      <c r="B227" s="92" cm="1">
        <f t="array" ref="B227">HistBootstrapVaR_Single($B$129,$A227,0.95,$C$4:$C$127,$F$127)</f>
        <v>-2050.5526146684506</v>
      </c>
      <c r="C227" s="69" cm="1">
        <f t="array" ref="C227">HistBootstrapVaR_Single($B$129,$A227,0.99,$C$4:$C$127,$F$127)</f>
        <v>3501.134845459771</v>
      </c>
      <c r="D227" s="70" cm="1">
        <f t="array" ref="D227">HistBootstrapVaR_Single($B$129,$A227,0.995,$C$4:$C$127,$F$127)</f>
        <v>4631.4642879697203</v>
      </c>
      <c r="E227" s="92" cm="1">
        <f t="array" ref="E227">HistBootstrapVaR_Single($B$129,$A227,0.95,$H$4:$H$127,$K$127)</f>
        <v>21211.875439028398</v>
      </c>
      <c r="F227" s="69" cm="1">
        <f t="array" ref="F227">HistBootstrapVaR_Single($B$129,$A227,0.99,$H$4:$H$127,$K$127)</f>
        <v>24892.68350968264</v>
      </c>
      <c r="G227" s="70" cm="1">
        <f t="array" ref="G227">HistBootstrapVaR_Single($B$129,$A227,0.995,$H$4:$H$127,$K$127)</f>
        <v>26459.346864072642</v>
      </c>
      <c r="H227" s="92" cm="1">
        <f t="array" ref="H227">HistBootstrapVaR_2Assets($B$129,$A227,0.95,$C$4:$C$127,$H$4:$H$127,$M$127)</f>
        <v>13707.243685283702</v>
      </c>
      <c r="I227" s="69" cm="1">
        <f t="array" ref="I227">HistBootstrapVaR_2Assets($B$129,$A227,0.99,$C$4:$C$127,$H$4:$H$127,$M$127)</f>
        <v>20000.779533640918</v>
      </c>
      <c r="J227" s="70" cm="1">
        <f t="array" ref="J227">HistBootstrapVaR_2Assets($B$129,$A227,0.995,$C$4:$C$127,$H$4:$H$127,$M$127)</f>
        <v>23166.595965160184</v>
      </c>
      <c r="K227" s="69">
        <f t="shared" si="20"/>
        <v>5454.0791390762461</v>
      </c>
      <c r="L227" s="69">
        <f t="shared" si="20"/>
        <v>8393.0388215014937</v>
      </c>
      <c r="M227" s="70">
        <f t="shared" si="20"/>
        <v>7924.2151868821784</v>
      </c>
      <c r="P227"/>
    </row>
    <row r="228" spans="1:16" x14ac:dyDescent="0.2">
      <c r="A228" s="92">
        <v>94</v>
      </c>
      <c r="B228" s="92" cm="1">
        <f t="array" ref="B228">HistBootstrapVaR_Single($B$129,$A228,0.95,$C$4:$C$127,$F$127)</f>
        <v>-1755.6199727879737</v>
      </c>
      <c r="C228" s="69" cm="1">
        <f t="array" ref="C228">HistBootstrapVaR_Single($B$129,$A228,0.99,$C$4:$C$127,$F$127)</f>
        <v>3264.7928335946244</v>
      </c>
      <c r="D228" s="70" cm="1">
        <f t="array" ref="D228">HistBootstrapVaR_Single($B$129,$A228,0.995,$C$4:$C$127,$F$127)</f>
        <v>5285.1097748132943</v>
      </c>
      <c r="E228" s="92" cm="1">
        <f t="array" ref="E228">HistBootstrapVaR_Single($B$129,$A228,0.95,$H$4:$H$127,$K$127)</f>
        <v>21314.045582982031</v>
      </c>
      <c r="F228" s="69" cm="1">
        <f t="array" ref="F228">HistBootstrapVaR_Single($B$129,$A228,0.99,$H$4:$H$127,$K$127)</f>
        <v>24853.387947241867</v>
      </c>
      <c r="G228" s="70" cm="1">
        <f t="array" ref="G228">HistBootstrapVaR_Single($B$129,$A228,0.995,$H$4:$H$127,$K$127)</f>
        <v>25832.707439583166</v>
      </c>
      <c r="H228" s="92" cm="1">
        <f t="array" ref="H228">HistBootstrapVaR_2Assets($B$129,$A228,0.95,$C$4:$C$127,$H$4:$H$127,$M$127)</f>
        <v>14018.015100219291</v>
      </c>
      <c r="I228" s="69" cm="1">
        <f t="array" ref="I228">HistBootstrapVaR_2Assets($B$129,$A228,0.99,$C$4:$C$127,$H$4:$H$127,$M$127)</f>
        <v>20448.984587806342</v>
      </c>
      <c r="J228" s="70" cm="1">
        <f t="array" ref="J228">HistBootstrapVaR_2Assets($B$129,$A228,0.995,$C$4:$C$127,$H$4:$H$127,$M$127)</f>
        <v>21491.810276783774</v>
      </c>
      <c r="K228" s="69">
        <f t="shared" si="20"/>
        <v>5540.4105099747685</v>
      </c>
      <c r="L228" s="69">
        <f t="shared" si="20"/>
        <v>7669.1961930301477</v>
      </c>
      <c r="M228" s="70">
        <f t="shared" si="20"/>
        <v>9626.0069376126885</v>
      </c>
      <c r="P228"/>
    </row>
    <row r="229" spans="1:16" x14ac:dyDescent="0.2">
      <c r="A229" s="92">
        <v>95</v>
      </c>
      <c r="B229" s="92" cm="1">
        <f t="array" ref="B229">HistBootstrapVaR_Single($B$129,$A229,0.95,$C$4:$C$127,$F$127)</f>
        <v>-1737.1149464414204</v>
      </c>
      <c r="C229" s="69" cm="1">
        <f t="array" ref="C229">HistBootstrapVaR_Single($B$129,$A229,0.99,$C$4:$C$127,$F$127)</f>
        <v>3132.3671594906541</v>
      </c>
      <c r="D229" s="70" cm="1">
        <f t="array" ref="D229">HistBootstrapVaR_Single($B$129,$A229,0.995,$C$4:$C$127,$F$127)</f>
        <v>4937.0634113432443</v>
      </c>
      <c r="E229" s="92" cm="1">
        <f t="array" ref="E229">HistBootstrapVaR_Single($B$129,$A229,0.95,$H$4:$H$127,$K$127)</f>
        <v>21491.182641775791</v>
      </c>
      <c r="F229" s="69" cm="1">
        <f t="array" ref="F229">HistBootstrapVaR_Single($B$129,$A229,0.99,$H$4:$H$127,$K$127)</f>
        <v>24646.771778738417</v>
      </c>
      <c r="G229" s="70" cm="1">
        <f t="array" ref="G229">HistBootstrapVaR_Single($B$129,$A229,0.995,$H$4:$H$127,$K$127)</f>
        <v>25853.901552538922</v>
      </c>
      <c r="H229" s="92" cm="1">
        <f t="array" ref="H229">HistBootstrapVaR_2Assets($B$129,$A229,0.95,$C$4:$C$127,$H$4:$H$127,$M$127)</f>
        <v>13669.15733219836</v>
      </c>
      <c r="I229" s="69" cm="1">
        <f t="array" ref="I229">HistBootstrapVaR_2Assets($B$129,$A229,0.99,$C$4:$C$127,$H$4:$H$127,$M$127)</f>
        <v>20434.565104188976</v>
      </c>
      <c r="J229" s="70" cm="1">
        <f t="array" ref="J229">HistBootstrapVaR_2Assets($B$129,$A229,0.995,$C$4:$C$127,$H$4:$H$127,$M$127)</f>
        <v>21796.273803734792</v>
      </c>
      <c r="K229" s="69">
        <f t="shared" si="20"/>
        <v>6084.9103631360122</v>
      </c>
      <c r="L229" s="69">
        <f t="shared" si="20"/>
        <v>7344.5738340400967</v>
      </c>
      <c r="M229" s="70">
        <f t="shared" si="20"/>
        <v>8994.691160147373</v>
      </c>
      <c r="P229"/>
    </row>
    <row r="230" spans="1:16" x14ac:dyDescent="0.2">
      <c r="A230" s="92">
        <v>96</v>
      </c>
      <c r="B230" s="92" cm="1">
        <f t="array" ref="B230">HistBootstrapVaR_Single($B$129,$A230,0.95,$C$4:$C$127,$F$127)</f>
        <v>-1999.8176404897899</v>
      </c>
      <c r="C230" s="69" cm="1">
        <f t="array" ref="C230">HistBootstrapVaR_Single($B$129,$A230,0.99,$C$4:$C$127,$F$127)</f>
        <v>3367.781948943335</v>
      </c>
      <c r="D230" s="70" cm="1">
        <f t="array" ref="D230">HistBootstrapVaR_Single($B$129,$A230,0.995,$C$4:$C$127,$F$127)</f>
        <v>5121.1673727248644</v>
      </c>
      <c r="E230" s="92" cm="1">
        <f t="array" ref="E230">HistBootstrapVaR_Single($B$129,$A230,0.95,$H$4:$H$127,$K$127)</f>
        <v>21632.057956433149</v>
      </c>
      <c r="F230" s="69" cm="1">
        <f t="array" ref="F230">HistBootstrapVaR_Single($B$129,$A230,0.99,$H$4:$H$127,$K$127)</f>
        <v>25060.557281723428</v>
      </c>
      <c r="G230" s="70" cm="1">
        <f t="array" ref="G230">HistBootstrapVaR_Single($B$129,$A230,0.995,$H$4:$H$127,$K$127)</f>
        <v>26200.88626024633</v>
      </c>
      <c r="H230" s="92" cm="1">
        <f t="array" ref="H230">HistBootstrapVaR_2Assets($B$129,$A230,0.95,$C$4:$C$127,$H$4:$H$127,$M$127)</f>
        <v>13968.353790758711</v>
      </c>
      <c r="I230" s="69" cm="1">
        <f t="array" ref="I230">HistBootstrapVaR_2Assets($B$129,$A230,0.99,$C$4:$C$127,$H$4:$H$127,$M$127)</f>
        <v>20193.699063850039</v>
      </c>
      <c r="J230" s="70" cm="1">
        <f t="array" ref="J230">HistBootstrapVaR_2Assets($B$129,$A230,0.995,$C$4:$C$127,$H$4:$H$127,$M$127)</f>
        <v>22164.07511707205</v>
      </c>
      <c r="K230" s="69">
        <f t="shared" si="20"/>
        <v>5663.8865251846491</v>
      </c>
      <c r="L230" s="69">
        <f t="shared" si="20"/>
        <v>8234.6401668167236</v>
      </c>
      <c r="M230" s="70">
        <f t="shared" si="20"/>
        <v>9157.9785158991435</v>
      </c>
      <c r="P230"/>
    </row>
    <row r="231" spans="1:16" x14ac:dyDescent="0.2">
      <c r="A231" s="92">
        <v>97</v>
      </c>
      <c r="B231" s="92" cm="1">
        <f t="array" ref="B231">HistBootstrapVaR_Single($B$129,$A231,0.95,$C$4:$C$127,$F$127)</f>
        <v>-1864.6800219806639</v>
      </c>
      <c r="C231" s="69" cm="1">
        <f t="array" ref="C231">HistBootstrapVaR_Single($B$129,$A231,0.99,$C$4:$C$127,$F$127)</f>
        <v>3379.6163903357583</v>
      </c>
      <c r="D231" s="70" cm="1">
        <f t="array" ref="D231">HistBootstrapVaR_Single($B$129,$A231,0.995,$C$4:$C$127,$F$127)</f>
        <v>5135.4632301314723</v>
      </c>
      <c r="E231" s="92" cm="1">
        <f t="array" ref="E231">HistBootstrapVaR_Single($B$129,$A231,0.95,$H$4:$H$127,$K$127)</f>
        <v>21771.670117934966</v>
      </c>
      <c r="F231" s="69" cm="1">
        <f t="array" ref="F231">HistBootstrapVaR_Single($B$129,$A231,0.99,$H$4:$H$127,$K$127)</f>
        <v>25510.653633841477</v>
      </c>
      <c r="G231" s="70" cm="1">
        <f t="array" ref="G231">HistBootstrapVaR_Single($B$129,$A231,0.995,$H$4:$H$127,$K$127)</f>
        <v>26244.399386164056</v>
      </c>
      <c r="H231" s="92" cm="1">
        <f t="array" ref="H231">HistBootstrapVaR_2Assets($B$129,$A231,0.95,$C$4:$C$127,$H$4:$H$127,$M$127)</f>
        <v>14292.45676706296</v>
      </c>
      <c r="I231" s="69" cm="1">
        <f t="array" ref="I231">HistBootstrapVaR_2Assets($B$129,$A231,0.99,$C$4:$C$127,$H$4:$H$127,$M$127)</f>
        <v>20304.996055733845</v>
      </c>
      <c r="J231" s="70" cm="1">
        <f t="array" ref="J231">HistBootstrapVaR_2Assets($B$129,$A231,0.995,$C$4:$C$127,$H$4:$H$127,$M$127)</f>
        <v>22412.883028190408</v>
      </c>
      <c r="K231" s="69">
        <f t="shared" si="20"/>
        <v>5614.5333288913407</v>
      </c>
      <c r="L231" s="69">
        <f t="shared" si="20"/>
        <v>8585.2739684433909</v>
      </c>
      <c r="M231" s="70">
        <f t="shared" si="20"/>
        <v>8966.9795881051177</v>
      </c>
      <c r="P231"/>
    </row>
    <row r="232" spans="1:16" x14ac:dyDescent="0.2">
      <c r="A232" s="92">
        <v>98</v>
      </c>
      <c r="B232" s="92" cm="1">
        <f t="array" ref="B232">HistBootstrapVaR_Single($B$129,$A232,0.95,$C$4:$C$127,$F$127)</f>
        <v>-2198.5926300683709</v>
      </c>
      <c r="C232" s="69" cm="1">
        <f t="array" ref="C232">HistBootstrapVaR_Single($B$129,$A232,0.99,$C$4:$C$127,$F$127)</f>
        <v>3534.3116515056504</v>
      </c>
      <c r="D232" s="70" cm="1">
        <f t="array" ref="D232">HistBootstrapVaR_Single($B$129,$A232,0.995,$C$4:$C$127,$F$127)</f>
        <v>5005.9726182276854</v>
      </c>
      <c r="E232" s="92" cm="1">
        <f t="array" ref="E232">HistBootstrapVaR_Single($B$129,$A232,0.95,$H$4:$H$127,$K$127)</f>
        <v>21737.797236964652</v>
      </c>
      <c r="F232" s="69" cm="1">
        <f t="array" ref="F232">HistBootstrapVaR_Single($B$129,$A232,0.99,$H$4:$H$127,$K$127)</f>
        <v>25403.749409852357</v>
      </c>
      <c r="G232" s="70" cm="1">
        <f t="array" ref="G232">HistBootstrapVaR_Single($B$129,$A232,0.995,$H$4:$H$127,$K$127)</f>
        <v>26331.748093539925</v>
      </c>
      <c r="H232" s="92" cm="1">
        <f t="array" ref="H232">HistBootstrapVaR_2Assets($B$129,$A232,0.95,$C$4:$C$127,$H$4:$H$127,$M$127)</f>
        <v>13828.122717497019</v>
      </c>
      <c r="I232" s="69" cm="1">
        <f t="array" ref="I232">HistBootstrapVaR_2Assets($B$129,$A232,0.99,$C$4:$C$127,$H$4:$H$127,$M$127)</f>
        <v>20178.978271412205</v>
      </c>
      <c r="J232" s="70" cm="1">
        <f t="array" ref="J232">HistBootstrapVaR_2Assets($B$129,$A232,0.995,$C$4:$C$127,$H$4:$H$127,$M$127)</f>
        <v>22277.255169111439</v>
      </c>
      <c r="K232" s="69">
        <f t="shared" si="20"/>
        <v>5711.0818893992619</v>
      </c>
      <c r="L232" s="69">
        <f t="shared" si="20"/>
        <v>8759.0827899458018</v>
      </c>
      <c r="M232" s="70">
        <f t="shared" si="20"/>
        <v>9060.4655426561731</v>
      </c>
      <c r="P232"/>
    </row>
    <row r="233" spans="1:16" x14ac:dyDescent="0.2">
      <c r="A233" s="92">
        <v>99</v>
      </c>
      <c r="B233" s="92" cm="1">
        <f t="array" ref="B233">HistBootstrapVaR_Single($B$129,$A233,0.95,$C$4:$C$127,$F$127)</f>
        <v>-1927.4710242239826</v>
      </c>
      <c r="C233" s="69" cm="1">
        <f t="array" ref="C233">HistBootstrapVaR_Single($B$129,$A233,0.99,$C$4:$C$127,$F$127)</f>
        <v>3317.4735773476859</v>
      </c>
      <c r="D233" s="70" cm="1">
        <f t="array" ref="D233">HistBootstrapVaR_Single($B$129,$A233,0.995,$C$4:$C$127,$F$127)</f>
        <v>5449.0209197506401</v>
      </c>
      <c r="E233" s="92" cm="1">
        <f t="array" ref="E233">HistBootstrapVaR_Single($B$129,$A233,0.95,$H$4:$H$127,$K$127)</f>
        <v>21901.507954279015</v>
      </c>
      <c r="F233" s="69" cm="1">
        <f t="array" ref="F233">HistBootstrapVaR_Single($B$129,$A233,0.99,$H$4:$H$127,$K$127)</f>
        <v>25596.831740422334</v>
      </c>
      <c r="G233" s="70" cm="1">
        <f t="array" ref="G233">HistBootstrapVaR_Single($B$129,$A233,0.995,$H$4:$H$127,$K$127)</f>
        <v>26844.370613807339</v>
      </c>
      <c r="H233" s="92" cm="1">
        <f t="array" ref="H233">HistBootstrapVaR_2Assets($B$129,$A233,0.95,$C$4:$C$127,$H$4:$H$127,$M$127)</f>
        <v>14299.436488599369</v>
      </c>
      <c r="I233" s="69" cm="1">
        <f t="array" ref="I233">HistBootstrapVaR_2Assets($B$129,$A233,0.99,$C$4:$C$127,$H$4:$H$127,$M$127)</f>
        <v>20813.820922597301</v>
      </c>
      <c r="J233" s="70" cm="1">
        <f t="array" ref="J233">HistBootstrapVaR_2Assets($B$129,$A233,0.995,$C$4:$C$127,$H$4:$H$127,$M$127)</f>
        <v>23292.076048159332</v>
      </c>
      <c r="K233" s="69">
        <f t="shared" si="20"/>
        <v>5674.6004414556646</v>
      </c>
      <c r="L233" s="69">
        <f t="shared" si="20"/>
        <v>8100.4843951727198</v>
      </c>
      <c r="M233" s="70">
        <f t="shared" si="20"/>
        <v>9001.3154853986489</v>
      </c>
      <c r="P233"/>
    </row>
    <row r="234" spans="1:16" x14ac:dyDescent="0.2">
      <c r="A234" s="93">
        <v>100</v>
      </c>
      <c r="B234" s="93" cm="1">
        <f t="array" ref="B234">HistBootstrapVaR_Single($B$129,$A234,0.95,$C$4:$C$127,$F$127)</f>
        <v>-2429.2727375469767</v>
      </c>
      <c r="C234" s="71" cm="1">
        <f t="array" ref="C234">HistBootstrapVaR_Single($B$129,$A234,0.99,$C$4:$C$127,$F$127)</f>
        <v>2693.7206804390476</v>
      </c>
      <c r="D234" s="72" cm="1">
        <f t="array" ref="D234">HistBootstrapVaR_Single($B$129,$A234,0.995,$C$4:$C$127,$F$127)</f>
        <v>5625.8748414846368</v>
      </c>
      <c r="E234" s="93" cm="1">
        <f t="array" ref="E234">HistBootstrapVaR_Single($B$129,$A234,0.95,$H$4:$H$127,$K$127)</f>
        <v>22221.362738101634</v>
      </c>
      <c r="F234" s="71" cm="1">
        <f t="array" ref="F234">HistBootstrapVaR_Single($B$129,$A234,0.99,$H$4:$H$127,$K$127)</f>
        <v>25384.018025847439</v>
      </c>
      <c r="G234" s="72" cm="1">
        <f t="array" ref="G234">HistBootstrapVaR_Single($B$129,$A234,0.995,$H$4:$H$127,$K$127)</f>
        <v>26771.169845413879</v>
      </c>
      <c r="H234" s="93" cm="1">
        <f t="array" ref="H234">HistBootstrapVaR_2Assets($B$129,$A234,0.95,$C$4:$C$127,$H$4:$H$127,$M$127)</f>
        <v>14230.373266278049</v>
      </c>
      <c r="I234" s="71" cm="1">
        <f t="array" ref="I234">HistBootstrapVaR_2Assets($B$129,$A234,0.99,$C$4:$C$127,$H$4:$H$127,$M$127)</f>
        <v>19573.623604250773</v>
      </c>
      <c r="J234" s="72" cm="1">
        <f t="array" ref="J234">HistBootstrapVaR_2Assets($B$129,$A234,0.995,$C$4:$C$127,$H$4:$H$127,$M$127)</f>
        <v>22660.237955778179</v>
      </c>
      <c r="K234" s="71">
        <f>B234+E234-H234</f>
        <v>5561.7167342766079</v>
      </c>
      <c r="L234" s="71">
        <f t="shared" si="20"/>
        <v>8504.1151020357138</v>
      </c>
      <c r="M234" s="72">
        <f>D234+G234-J234</f>
        <v>9736.8067311203376</v>
      </c>
      <c r="P234"/>
    </row>
    <row r="235" spans="1:16" x14ac:dyDescent="0.2">
      <c r="A235" s="4"/>
      <c r="B235" s="5"/>
      <c r="D235"/>
      <c r="E235" s="4"/>
      <c r="F235"/>
      <c r="G235"/>
      <c r="J235"/>
      <c r="K235" s="10"/>
      <c r="P235"/>
    </row>
    <row r="236" spans="1:16" x14ac:dyDescent="0.2">
      <c r="A236" s="4"/>
      <c r="B236" s="5"/>
      <c r="D236"/>
      <c r="E236" s="4"/>
      <c r="F236"/>
      <c r="G236"/>
      <c r="J236"/>
      <c r="K236" s="10"/>
      <c r="P236"/>
    </row>
    <row r="237" spans="1:16" x14ac:dyDescent="0.2">
      <c r="A237" s="4"/>
      <c r="B237" s="5"/>
      <c r="D237"/>
      <c r="E237" s="4"/>
      <c r="F237"/>
      <c r="G237"/>
      <c r="J237"/>
      <c r="K237" s="10"/>
      <c r="P237"/>
    </row>
    <row r="238" spans="1:16" x14ac:dyDescent="0.2">
      <c r="A238" s="4"/>
      <c r="B238" s="5"/>
      <c r="D238"/>
      <c r="E238" s="4"/>
      <c r="F238"/>
      <c r="G238"/>
      <c r="J238"/>
      <c r="K238" s="10"/>
      <c r="P238"/>
    </row>
    <row r="239" spans="1:16" x14ac:dyDescent="0.2">
      <c r="A239" s="4"/>
      <c r="B239" s="5"/>
      <c r="D239"/>
      <c r="E239" s="4"/>
      <c r="F239"/>
      <c r="G239"/>
      <c r="J239"/>
      <c r="K239" s="10"/>
      <c r="P239"/>
    </row>
    <row r="240" spans="1:16" x14ac:dyDescent="0.2">
      <c r="A240" s="4"/>
      <c r="B240" s="5"/>
      <c r="D240"/>
      <c r="E240" s="4"/>
      <c r="F240"/>
      <c r="G240"/>
      <c r="J240"/>
      <c r="K240" s="10"/>
      <c r="P240"/>
    </row>
    <row r="241" spans="1:16" x14ac:dyDescent="0.2">
      <c r="A241" s="4"/>
      <c r="B241" s="5"/>
      <c r="D241"/>
      <c r="E241" s="4"/>
      <c r="F241"/>
      <c r="G241"/>
      <c r="J241"/>
      <c r="K241" s="10"/>
      <c r="P241"/>
    </row>
    <row r="242" spans="1:16" x14ac:dyDescent="0.2">
      <c r="A242" s="4"/>
      <c r="B242" s="5"/>
      <c r="D242"/>
      <c r="E242" s="4"/>
      <c r="F242"/>
      <c r="G242"/>
      <c r="J242"/>
      <c r="K242" s="10"/>
      <c r="P242"/>
    </row>
    <row r="243" spans="1:16" x14ac:dyDescent="0.2">
      <c r="A243" s="4"/>
      <c r="B243" s="5"/>
      <c r="D243"/>
      <c r="E243" s="4"/>
      <c r="F243"/>
      <c r="G243"/>
      <c r="J243"/>
      <c r="K243" s="10"/>
      <c r="P243"/>
    </row>
    <row r="244" spans="1:16" x14ac:dyDescent="0.2">
      <c r="A244" s="4"/>
      <c r="B244" s="5"/>
      <c r="D244"/>
      <c r="E244" s="4"/>
      <c r="F244"/>
      <c r="G244"/>
      <c r="J244"/>
      <c r="K244" s="10"/>
      <c r="P244"/>
    </row>
    <row r="245" spans="1:16" x14ac:dyDescent="0.2">
      <c r="A245" s="4"/>
      <c r="B245" s="5"/>
      <c r="D245"/>
      <c r="E245" s="4"/>
      <c r="F245"/>
      <c r="G245"/>
      <c r="J245"/>
      <c r="K245" s="10"/>
      <c r="P245"/>
    </row>
    <row r="246" spans="1:16" x14ac:dyDescent="0.2">
      <c r="A246" s="4"/>
      <c r="B246" s="5"/>
      <c r="D246"/>
      <c r="E246" s="4"/>
      <c r="F246"/>
      <c r="G246"/>
      <c r="J246"/>
      <c r="K246" s="10"/>
      <c r="P246"/>
    </row>
    <row r="247" spans="1:16" x14ac:dyDescent="0.2">
      <c r="A247" s="4"/>
      <c r="B247" s="5"/>
      <c r="D247"/>
      <c r="E247" s="4"/>
      <c r="F247"/>
      <c r="G247"/>
      <c r="J247"/>
      <c r="K247" s="10"/>
      <c r="P247"/>
    </row>
    <row r="248" spans="1:16" x14ac:dyDescent="0.2">
      <c r="A248" s="4"/>
      <c r="B248" s="5"/>
      <c r="D248"/>
      <c r="E248" s="4"/>
      <c r="F248"/>
      <c r="G248"/>
      <c r="J248"/>
      <c r="K248" s="10"/>
      <c r="P248"/>
    </row>
    <row r="249" spans="1:16" x14ac:dyDescent="0.2">
      <c r="A249" s="4"/>
      <c r="B249" s="5"/>
      <c r="D249"/>
      <c r="E249" s="4"/>
      <c r="F249"/>
      <c r="G249"/>
      <c r="J249"/>
      <c r="K249" s="10"/>
      <c r="P249"/>
    </row>
    <row r="250" spans="1:16" x14ac:dyDescent="0.2">
      <c r="A250" s="4"/>
      <c r="B250" s="5"/>
      <c r="D250"/>
      <c r="E250" s="4"/>
      <c r="F250"/>
      <c r="G250"/>
      <c r="J250"/>
      <c r="K250" s="10"/>
      <c r="P250"/>
    </row>
    <row r="251" spans="1:16" x14ac:dyDescent="0.2">
      <c r="A251" s="4"/>
      <c r="B251" s="5"/>
      <c r="D251"/>
      <c r="E251" s="4"/>
      <c r="F251"/>
      <c r="G251"/>
      <c r="J251"/>
      <c r="K251" s="10"/>
      <c r="P251"/>
    </row>
    <row r="252" spans="1:16" x14ac:dyDescent="0.2">
      <c r="A252" s="4"/>
      <c r="B252" s="5"/>
      <c r="D252"/>
      <c r="E252" s="4"/>
      <c r="F252"/>
      <c r="G252"/>
      <c r="J252"/>
      <c r="K252" s="10"/>
      <c r="P252"/>
    </row>
    <row r="253" spans="1:16" x14ac:dyDescent="0.2">
      <c r="A253" s="4"/>
      <c r="B253" s="5"/>
      <c r="D253"/>
      <c r="E253" s="4"/>
      <c r="F253"/>
      <c r="G253"/>
      <c r="J253"/>
      <c r="K253" s="10"/>
      <c r="P253"/>
    </row>
    <row r="254" spans="1:16" x14ac:dyDescent="0.2">
      <c r="A254" s="4"/>
      <c r="B254" s="5"/>
      <c r="D254"/>
      <c r="E254" s="4"/>
      <c r="F254"/>
      <c r="G254"/>
      <c r="J254"/>
      <c r="K254" s="10"/>
      <c r="P254"/>
    </row>
  </sheetData>
  <mergeCells count="4">
    <mergeCell ref="B133:D133"/>
    <mergeCell ref="E133:G133"/>
    <mergeCell ref="H133:J133"/>
    <mergeCell ref="K133:M13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0D49F-8F8D-2A4F-8D0C-A40D809D50F0}">
  <sheetPr codeName="Foglio6"/>
  <dimension ref="A1:P104"/>
  <sheetViews>
    <sheetView topLeftCell="M1" zoomScale="91" zoomScaleNormal="75" workbookViewId="0">
      <selection activeCell="AC26" sqref="AC26"/>
    </sheetView>
  </sheetViews>
  <sheetFormatPr baseColWidth="10" defaultRowHeight="15" x14ac:dyDescent="0.2"/>
  <sheetData>
    <row r="1" spans="1:16" x14ac:dyDescent="0.2">
      <c r="A1" t="s">
        <v>40</v>
      </c>
    </row>
    <row r="3" spans="1:16" x14ac:dyDescent="0.2">
      <c r="A3" s="85"/>
      <c r="B3" s="114" t="s">
        <v>50</v>
      </c>
      <c r="C3" s="114"/>
      <c r="D3" s="114"/>
      <c r="E3" s="114" t="s">
        <v>29</v>
      </c>
      <c r="F3" s="114"/>
      <c r="G3" s="114"/>
      <c r="H3" s="115" t="s">
        <v>51</v>
      </c>
      <c r="I3" s="115"/>
      <c r="J3" s="115"/>
      <c r="K3" s="115" t="s">
        <v>52</v>
      </c>
      <c r="L3" s="115"/>
      <c r="M3" s="115"/>
      <c r="N3" s="116" t="s">
        <v>53</v>
      </c>
      <c r="O3" s="115"/>
      <c r="P3" s="115"/>
    </row>
    <row r="4" spans="1:16" x14ac:dyDescent="0.2">
      <c r="A4" s="90" t="s">
        <v>23</v>
      </c>
      <c r="B4" s="97">
        <v>95</v>
      </c>
      <c r="C4" s="97">
        <v>99</v>
      </c>
      <c r="D4" s="97">
        <v>99.5</v>
      </c>
      <c r="E4" s="90">
        <v>95</v>
      </c>
      <c r="F4" s="91">
        <v>99</v>
      </c>
      <c r="G4" s="91">
        <v>99.5</v>
      </c>
      <c r="H4" s="97">
        <v>95</v>
      </c>
      <c r="I4" s="97">
        <v>99</v>
      </c>
      <c r="J4" s="97">
        <v>99.5</v>
      </c>
      <c r="K4" s="97">
        <v>95</v>
      </c>
      <c r="L4" s="97">
        <v>99</v>
      </c>
      <c r="M4" s="97">
        <v>99.5</v>
      </c>
      <c r="N4" s="113">
        <v>95</v>
      </c>
      <c r="O4" s="97">
        <v>99</v>
      </c>
      <c r="P4" s="97">
        <v>99.5</v>
      </c>
    </row>
    <row r="5" spans="1:16" x14ac:dyDescent="0.2">
      <c r="A5" s="85">
        <v>1</v>
      </c>
      <c r="B5" s="94">
        <v>978.89635812372626</v>
      </c>
      <c r="C5" s="95">
        <v>1390.7490941635865</v>
      </c>
      <c r="D5" s="86">
        <v>1539.9710999751305</v>
      </c>
      <c r="E5" s="92">
        <v>1387.8461045096874</v>
      </c>
      <c r="F5" s="69">
        <v>1971.7569655533966</v>
      </c>
      <c r="G5" s="70">
        <v>2183.3188717286544</v>
      </c>
      <c r="H5" s="92">
        <v>982.76568534417311</v>
      </c>
      <c r="I5" s="69">
        <v>1424.8509831628253</v>
      </c>
      <c r="J5" s="70">
        <v>1361.7248636971217</v>
      </c>
      <c r="K5" s="92">
        <v>616.00281181819969</v>
      </c>
      <c r="L5" s="69">
        <v>1168.8662650996748</v>
      </c>
      <c r="M5" s="70">
        <v>2276.8674767874422</v>
      </c>
      <c r="N5" s="69">
        <v>560.71017413931145</v>
      </c>
      <c r="O5" s="69">
        <v>1333.812916145841</v>
      </c>
      <c r="P5" s="70">
        <v>3783.3052814486955</v>
      </c>
    </row>
    <row r="6" spans="1:16" x14ac:dyDescent="0.2">
      <c r="A6" s="85">
        <v>2</v>
      </c>
      <c r="B6" s="94">
        <v>1384.3685058162041</v>
      </c>
      <c r="C6" s="95">
        <v>1966.8162308242399</v>
      </c>
      <c r="D6" s="86">
        <v>2177.8480152474422</v>
      </c>
      <c r="E6" s="92">
        <v>1962.7107834842677</v>
      </c>
      <c r="F6" s="69">
        <v>2788.4854423892334</v>
      </c>
      <c r="G6" s="70">
        <v>3087.6791593837861</v>
      </c>
      <c r="H6" s="92">
        <v>1386.3851174551451</v>
      </c>
      <c r="I6" s="69">
        <v>1867.5811905909782</v>
      </c>
      <c r="J6" s="70">
        <v>2030.9239011609184</v>
      </c>
      <c r="K6" s="92">
        <v>871.1595309332597</v>
      </c>
      <c r="L6" s="69">
        <v>1653.0265247043453</v>
      </c>
      <c r="M6" s="70">
        <v>3219.9768653990095</v>
      </c>
      <c r="N6" s="69">
        <v>1134.2770573870366</v>
      </c>
      <c r="O6" s="69">
        <v>3174.017100007999</v>
      </c>
      <c r="P6" s="70">
        <v>4274.1002646961988</v>
      </c>
    </row>
    <row r="7" spans="1:16" x14ac:dyDescent="0.2">
      <c r="A7" s="85">
        <v>3</v>
      </c>
      <c r="B7" s="94">
        <v>1695.4982276144337</v>
      </c>
      <c r="C7" s="95">
        <v>2408.8480916717244</v>
      </c>
      <c r="D7" s="86">
        <v>2667.3081873446563</v>
      </c>
      <c r="E7" s="92">
        <v>2403.8199660973241</v>
      </c>
      <c r="F7" s="69">
        <v>3415.1832445163204</v>
      </c>
      <c r="G7" s="70">
        <v>3781.6192149579861</v>
      </c>
      <c r="H7" s="92">
        <v>1761.6654264492863</v>
      </c>
      <c r="I7" s="69">
        <v>2453.1266646053846</v>
      </c>
      <c r="J7" s="70">
        <v>2568.0940190929014</v>
      </c>
      <c r="K7" s="92">
        <v>1066.9481676744117</v>
      </c>
      <c r="L7" s="69">
        <v>2024.5357584059093</v>
      </c>
      <c r="M7" s="70">
        <v>3943.6501518970026</v>
      </c>
      <c r="N7" s="69">
        <v>1416.2526187696903</v>
      </c>
      <c r="O7" s="69">
        <v>3519.6726533656156</v>
      </c>
      <c r="P7" s="70">
        <v>4071.7862561552074</v>
      </c>
    </row>
    <row r="8" spans="1:16" x14ac:dyDescent="0.2">
      <c r="A8" s="85">
        <v>4</v>
      </c>
      <c r="B8" s="94">
        <v>1957.7927162474539</v>
      </c>
      <c r="C8" s="95">
        <v>2781.4981883271739</v>
      </c>
      <c r="D8" s="86">
        <v>3079.9421999502611</v>
      </c>
      <c r="E8" s="92">
        <v>2775.6922090193757</v>
      </c>
      <c r="F8" s="69">
        <v>3943.5139311067942</v>
      </c>
      <c r="G8" s="70">
        <v>4366.6377434573087</v>
      </c>
      <c r="H8" s="92">
        <v>1922.6601062111426</v>
      </c>
      <c r="I8" s="69">
        <v>2823.7628224691016</v>
      </c>
      <c r="J8" s="70">
        <v>3102.9071451424152</v>
      </c>
      <c r="K8" s="92">
        <v>1232.0056236363994</v>
      </c>
      <c r="L8" s="69">
        <v>2337.7325301993496</v>
      </c>
      <c r="M8" s="70">
        <v>4553.7349535748845</v>
      </c>
      <c r="N8" s="69">
        <v>1831.205815942837</v>
      </c>
      <c r="O8" s="69">
        <v>3621.9679993599366</v>
      </c>
      <c r="P8" s="70">
        <v>4448.1056142248435</v>
      </c>
    </row>
    <row r="9" spans="1:16" x14ac:dyDescent="0.2">
      <c r="A9" s="85">
        <v>5</v>
      </c>
      <c r="B9" s="94">
        <v>2188.8787996916312</v>
      </c>
      <c r="C9" s="95">
        <v>3109.8095141960366</v>
      </c>
      <c r="D9" s="86">
        <v>3443.480062929516</v>
      </c>
      <c r="E9" s="92">
        <v>3103.3182319919401</v>
      </c>
      <c r="F9" s="69">
        <v>4408.9826100861083</v>
      </c>
      <c r="G9" s="70">
        <v>4882.0494137434152</v>
      </c>
      <c r="H9" s="92">
        <v>2237.4962214332149</v>
      </c>
      <c r="I9" s="69">
        <v>3107.9508499419799</v>
      </c>
      <c r="J9" s="70">
        <v>3578.2937372981769</v>
      </c>
      <c r="K9" s="92">
        <v>1377.4241615565061</v>
      </c>
      <c r="L9" s="69">
        <v>2613.6644253691638</v>
      </c>
      <c r="M9" s="70">
        <v>5091.2304538551471</v>
      </c>
      <c r="N9" s="69">
        <v>2335.6698277315209</v>
      </c>
      <c r="O9" s="69">
        <v>3924.3927673551052</v>
      </c>
      <c r="P9" s="70">
        <v>4846.0526446869999</v>
      </c>
    </row>
    <row r="10" spans="1:16" x14ac:dyDescent="0.2">
      <c r="A10" s="85">
        <v>6</v>
      </c>
      <c r="B10" s="94">
        <v>2397.7965884718769</v>
      </c>
      <c r="C10" s="95">
        <v>3406.6256409387024</v>
      </c>
      <c r="D10" s="86">
        <v>3772.1434135716099</v>
      </c>
      <c r="E10" s="92">
        <v>3399.5147975580689</v>
      </c>
      <c r="F10" s="69">
        <v>4829.7984623843286</v>
      </c>
      <c r="G10" s="70">
        <v>5348.0171815242793</v>
      </c>
      <c r="H10" s="92">
        <v>2485.3972807604632</v>
      </c>
      <c r="I10" s="69">
        <v>3481.9288248085504</v>
      </c>
      <c r="J10" s="70">
        <v>3881.5854703492159</v>
      </c>
      <c r="K10" s="92">
        <v>1508.8925690742763</v>
      </c>
      <c r="L10" s="69">
        <v>2863.1259270469354</v>
      </c>
      <c r="M10" s="70">
        <v>5577.1635300674552</v>
      </c>
      <c r="N10" s="69">
        <v>2435.5302107055186</v>
      </c>
      <c r="O10" s="69">
        <v>3973.5513286989999</v>
      </c>
      <c r="P10" s="70">
        <v>5108.0910711898005</v>
      </c>
    </row>
    <row r="11" spans="1:16" x14ac:dyDescent="0.2">
      <c r="A11" s="85">
        <v>7</v>
      </c>
      <c r="B11" s="94">
        <v>2589.9163229022042</v>
      </c>
      <c r="C11" s="95">
        <v>3679.5762392452025</v>
      </c>
      <c r="D11" s="86">
        <v>4074.3805567607815</v>
      </c>
      <c r="E11" s="92">
        <v>3671.895650562391</v>
      </c>
      <c r="F11" s="69">
        <v>5216.7785767136402</v>
      </c>
      <c r="G11" s="70">
        <v>5776.5187673481514</v>
      </c>
      <c r="H11" s="92">
        <v>2560.9997445004337</v>
      </c>
      <c r="I11" s="69">
        <v>3628.7206162441171</v>
      </c>
      <c r="J11" s="70">
        <v>4241.3499011614549</v>
      </c>
      <c r="K11" s="92">
        <v>1629.7902469874771</v>
      </c>
      <c r="L11" s="69">
        <v>3092.5294533466358</v>
      </c>
      <c r="M11" s="70">
        <v>6024.0251118307024</v>
      </c>
      <c r="N11" s="69">
        <v>2573.7809088106396</v>
      </c>
      <c r="O11" s="69">
        <v>4536.6393950250385</v>
      </c>
      <c r="P11" s="70">
        <v>4811.0450368714883</v>
      </c>
    </row>
    <row r="12" spans="1:16" x14ac:dyDescent="0.2">
      <c r="A12" s="85">
        <v>8</v>
      </c>
      <c r="B12" s="94">
        <v>2768.73701163241</v>
      </c>
      <c r="C12" s="95">
        <v>3933.6324616484826</v>
      </c>
      <c r="D12" s="86">
        <v>4355.6960304948871</v>
      </c>
      <c r="E12" s="92">
        <v>3925.4215669685364</v>
      </c>
      <c r="F12" s="69">
        <v>5576.9708847784686</v>
      </c>
      <c r="G12" s="70">
        <v>6175.358318767574</v>
      </c>
      <c r="H12" s="92">
        <v>2939.0776331163452</v>
      </c>
      <c r="I12" s="69">
        <v>3969.5812491973556</v>
      </c>
      <c r="J12" s="70">
        <v>4581.4863352983193</v>
      </c>
      <c r="K12" s="92">
        <v>1742.3190618665194</v>
      </c>
      <c r="L12" s="69">
        <v>3306.0530494086906</v>
      </c>
      <c r="M12" s="70">
        <v>6439.953730798019</v>
      </c>
      <c r="N12" s="69">
        <v>2683.8324185817482</v>
      </c>
      <c r="O12" s="69">
        <v>4336.0258223621995</v>
      </c>
      <c r="P12" s="70">
        <v>4750.7348519572733</v>
      </c>
    </row>
    <row r="13" spans="1:16" x14ac:dyDescent="0.2">
      <c r="A13" s="85">
        <v>9</v>
      </c>
      <c r="B13" s="94">
        <v>2936.6890743711811</v>
      </c>
      <c r="C13" s="95">
        <v>4172.2472824907609</v>
      </c>
      <c r="D13" s="86">
        <v>4619.9132999253925</v>
      </c>
      <c r="E13" s="92">
        <v>4163.5383135290631</v>
      </c>
      <c r="F13" s="69">
        <v>5915.2708966601922</v>
      </c>
      <c r="G13" s="70">
        <v>6549.9566151859644</v>
      </c>
      <c r="H13" s="92">
        <v>2954.429621643686</v>
      </c>
      <c r="I13" s="69">
        <v>4244.203961341881</v>
      </c>
      <c r="J13" s="70">
        <v>4723.2241647930778</v>
      </c>
      <c r="K13" s="92">
        <v>1848.0084354545988</v>
      </c>
      <c r="L13" s="69">
        <v>3506.5987952990254</v>
      </c>
      <c r="M13" s="70">
        <v>6830.6024303623308</v>
      </c>
      <c r="N13" s="69">
        <v>3240.9382565199048</v>
      </c>
      <c r="O13" s="69">
        <v>5112.1288350213335</v>
      </c>
      <c r="P13" s="70">
        <v>6158.4025613483691</v>
      </c>
    </row>
    <row r="14" spans="1:16" x14ac:dyDescent="0.2">
      <c r="A14" s="85">
        <v>10</v>
      </c>
      <c r="B14" s="94">
        <v>3095.5420849148468</v>
      </c>
      <c r="C14" s="95">
        <v>4397.9347913729207</v>
      </c>
      <c r="D14" s="86">
        <v>4869.8162067562826</v>
      </c>
      <c r="E14" s="92">
        <v>4388.7547320426957</v>
      </c>
      <c r="F14" s="69">
        <v>6235.2430034509007</v>
      </c>
      <c r="G14" s="70">
        <v>6904.2604930915531</v>
      </c>
      <c r="H14" s="92">
        <v>3166.6533080755098</v>
      </c>
      <c r="I14" s="69">
        <v>4461.8160912300445</v>
      </c>
      <c r="J14" s="70">
        <v>4979.6527357355426</v>
      </c>
      <c r="K14" s="92">
        <v>1947.9719304135997</v>
      </c>
      <c r="L14" s="69">
        <v>3696.279677849152</v>
      </c>
      <c r="M14" s="70">
        <v>7200.0871570088784</v>
      </c>
      <c r="N14" s="69">
        <v>2969.404864296057</v>
      </c>
      <c r="O14" s="69">
        <v>4939.7367196038695</v>
      </c>
      <c r="P14" s="70">
        <v>5463.4366708433918</v>
      </c>
    </row>
    <row r="15" spans="1:16" x14ac:dyDescent="0.2">
      <c r="A15" s="85">
        <v>11</v>
      </c>
      <c r="B15" s="94">
        <v>3246.6319285417703</v>
      </c>
      <c r="C15" s="95">
        <v>4612.5929228672685</v>
      </c>
      <c r="D15" s="86">
        <v>5107.5063266083926</v>
      </c>
      <c r="E15" s="92">
        <v>4602.9647954150005</v>
      </c>
      <c r="F15" s="69">
        <v>6539.5780325103378</v>
      </c>
      <c r="G15" s="70">
        <v>7241.2494952260404</v>
      </c>
      <c r="H15" s="92">
        <v>3363.4433310053528</v>
      </c>
      <c r="I15" s="69">
        <v>4849.5921696469686</v>
      </c>
      <c r="J15" s="70">
        <v>4577.4455778839965</v>
      </c>
      <c r="K15" s="92">
        <v>2043.0501966048741</v>
      </c>
      <c r="L15" s="69">
        <v>3876.6908314397078</v>
      </c>
      <c r="M15" s="70">
        <v>7551.5151178671767</v>
      </c>
      <c r="N15" s="69">
        <v>3220.4673068357715</v>
      </c>
      <c r="O15" s="69">
        <v>5229.0688315249745</v>
      </c>
      <c r="P15" s="70">
        <v>6182.2135050645211</v>
      </c>
    </row>
    <row r="16" spans="1:16" x14ac:dyDescent="0.2">
      <c r="A16" s="85">
        <v>12</v>
      </c>
      <c r="B16" s="94">
        <v>3390.9964552288684</v>
      </c>
      <c r="C16" s="95">
        <v>4817.696183343447</v>
      </c>
      <c r="D16" s="86">
        <v>5334.6163746893126</v>
      </c>
      <c r="E16" s="92">
        <v>4807.6399321946492</v>
      </c>
      <c r="F16" s="69">
        <v>6830.366489032639</v>
      </c>
      <c r="G16" s="70">
        <v>7563.2384299159721</v>
      </c>
      <c r="H16" s="92">
        <v>3382.7491549802853</v>
      </c>
      <c r="I16" s="69">
        <v>4553.2848631086999</v>
      </c>
      <c r="J16" s="70">
        <v>5412.8787585954706</v>
      </c>
      <c r="K16" s="92">
        <v>2133.8963353488234</v>
      </c>
      <c r="L16" s="69">
        <v>4049.0715168118186</v>
      </c>
      <c r="M16" s="70">
        <v>7887.3003037940052</v>
      </c>
      <c r="N16" s="69">
        <v>3397.1420647781688</v>
      </c>
      <c r="O16" s="69">
        <v>5068.3365460305558</v>
      </c>
      <c r="P16" s="70">
        <v>5575.2015392212434</v>
      </c>
    </row>
    <row r="17" spans="1:16" x14ac:dyDescent="0.2">
      <c r="A17" s="85">
        <v>13</v>
      </c>
      <c r="B17" s="94">
        <v>3529.4610125800573</v>
      </c>
      <c r="C17" s="95">
        <v>5014.41717031191</v>
      </c>
      <c r="D17" s="86">
        <v>5552.4447636930126</v>
      </c>
      <c r="E17" s="92">
        <v>5003.9502922626343</v>
      </c>
      <c r="F17" s="69">
        <v>7109.2708420560548</v>
      </c>
      <c r="G17" s="70">
        <v>7872.0681427058498</v>
      </c>
      <c r="H17" s="92">
        <v>3638.3892939531288</v>
      </c>
      <c r="I17" s="69">
        <v>5048.9584904125677</v>
      </c>
      <c r="J17" s="70">
        <v>5509.9122674980244</v>
      </c>
      <c r="K17" s="92">
        <v>2221.0297238405137</v>
      </c>
      <c r="L17" s="69">
        <v>4214.4072529769601</v>
      </c>
      <c r="M17" s="70">
        <v>8209.362434993438</v>
      </c>
      <c r="N17" s="69">
        <v>3515.868668060546</v>
      </c>
      <c r="O17" s="69">
        <v>5471.3500917668971</v>
      </c>
      <c r="P17" s="70">
        <v>5728.7389485755157</v>
      </c>
    </row>
    <row r="18" spans="1:16" x14ac:dyDescent="0.2">
      <c r="A18" s="85">
        <v>14</v>
      </c>
      <c r="B18" s="94">
        <v>3662.6947892597509</v>
      </c>
      <c r="C18" s="95">
        <v>5203.7066213263533</v>
      </c>
      <c r="D18" s="86">
        <v>5762.0442416403403</v>
      </c>
      <c r="E18" s="92">
        <v>5192.8446286441122</v>
      </c>
      <c r="F18" s="69">
        <v>7377.6390150858433</v>
      </c>
      <c r="G18" s="70">
        <v>8169.2311840864695</v>
      </c>
      <c r="H18" s="92">
        <v>3744.5927371901789</v>
      </c>
      <c r="I18" s="69">
        <v>5172.1953234278772</v>
      </c>
      <c r="J18" s="70">
        <v>5806.3458165540414</v>
      </c>
      <c r="K18" s="92">
        <v>2304.871471113086</v>
      </c>
      <c r="L18" s="69">
        <v>4373.4970949610652</v>
      </c>
      <c r="M18" s="70">
        <v>8519.2580132270814</v>
      </c>
      <c r="N18" s="69">
        <v>3698.6673997935786</v>
      </c>
      <c r="O18" s="69">
        <v>5264.5908392626807</v>
      </c>
      <c r="P18" s="70">
        <v>6233.8325135423602</v>
      </c>
    </row>
    <row r="19" spans="1:16" x14ac:dyDescent="0.2">
      <c r="A19" s="85">
        <v>15</v>
      </c>
      <c r="B19" s="94">
        <v>3791.2492926762861</v>
      </c>
      <c r="C19" s="95">
        <v>5386.3480804486207</v>
      </c>
      <c r="D19" s="86">
        <v>5964.2824238443991</v>
      </c>
      <c r="E19" s="92">
        <v>5375.1048498648597</v>
      </c>
      <c r="F19" s="69">
        <v>7636.5818903567806</v>
      </c>
      <c r="G19" s="70">
        <v>8455.9576296654468</v>
      </c>
      <c r="H19" s="92">
        <v>3614.4414582922109</v>
      </c>
      <c r="I19" s="69">
        <v>5444.1254901834109</v>
      </c>
      <c r="J19" s="70">
        <v>6370.6683386856057</v>
      </c>
      <c r="K19" s="92">
        <v>2385.7686313888289</v>
      </c>
      <c r="L19" s="69">
        <v>4526.999578674704</v>
      </c>
      <c r="M19" s="70">
        <v>8818.2698191190684</v>
      </c>
      <c r="N19" s="69">
        <v>3831.5457260851344</v>
      </c>
      <c r="O19" s="69">
        <v>5586.5773245452438</v>
      </c>
      <c r="P19" s="70">
        <v>6474.2857969571105</v>
      </c>
    </row>
    <row r="20" spans="1:16" x14ac:dyDescent="0.2">
      <c r="A20" s="85">
        <v>16</v>
      </c>
      <c r="B20" s="94">
        <v>3915.5854324949078</v>
      </c>
      <c r="C20" s="95">
        <v>5562.9963766543497</v>
      </c>
      <c r="D20" s="86">
        <v>6159.8843999005258</v>
      </c>
      <c r="E20" s="92">
        <v>5551.3844180387496</v>
      </c>
      <c r="F20" s="69">
        <v>7887.0278622135902</v>
      </c>
      <c r="G20" s="70">
        <v>8733.2754869146211</v>
      </c>
      <c r="H20" s="92">
        <v>3882.6542303425822</v>
      </c>
      <c r="I20" s="69">
        <v>5698.1855854842797</v>
      </c>
      <c r="J20" s="70">
        <v>6290.5474681340402</v>
      </c>
      <c r="K20" s="92">
        <v>2464.0112472727988</v>
      </c>
      <c r="L20" s="69">
        <v>4675.4650603986993</v>
      </c>
      <c r="M20" s="70">
        <v>9107.4699071497689</v>
      </c>
      <c r="N20" s="69">
        <v>3905.1704191498311</v>
      </c>
      <c r="O20" s="69">
        <v>5745.7601351303711</v>
      </c>
      <c r="P20" s="70">
        <v>6101.3058938334689</v>
      </c>
    </row>
    <row r="21" spans="1:16" x14ac:dyDescent="0.2">
      <c r="A21" s="85">
        <v>17</v>
      </c>
      <c r="B21" s="94">
        <v>4036.0930810765776</v>
      </c>
      <c r="C21" s="95">
        <v>5734.2054139685497</v>
      </c>
      <c r="D21" s="86">
        <v>6349.4635055960789</v>
      </c>
      <c r="E21" s="92">
        <v>5722.2360809954489</v>
      </c>
      <c r="F21" s="69">
        <v>8129.7622370240206</v>
      </c>
      <c r="G21" s="70">
        <v>9002.0543225416241</v>
      </c>
      <c r="H21" s="92">
        <v>3996.0462424377947</v>
      </c>
      <c r="I21" s="69">
        <v>5473.7043084425695</v>
      </c>
      <c r="J21" s="70">
        <v>5927.3191367173658</v>
      </c>
      <c r="K21" s="92">
        <v>2539.8446588039169</v>
      </c>
      <c r="L21" s="69">
        <v>4819.3590732271696</v>
      </c>
      <c r="M21" s="70">
        <v>9387.7651023281924</v>
      </c>
      <c r="N21" s="69">
        <v>4033.4463878251427</v>
      </c>
      <c r="O21" s="69">
        <v>5334.2454399401122</v>
      </c>
      <c r="P21" s="70">
        <v>6129.2402468164637</v>
      </c>
    </row>
    <row r="22" spans="1:16" x14ac:dyDescent="0.2">
      <c r="A22" s="85">
        <v>18</v>
      </c>
      <c r="B22" s="94">
        <v>4153.1055174486137</v>
      </c>
      <c r="C22" s="95">
        <v>5900.4486924727244</v>
      </c>
      <c r="D22" s="86">
        <v>6533.5440457423319</v>
      </c>
      <c r="E22" s="92">
        <v>5888.1323504528027</v>
      </c>
      <c r="F22" s="69">
        <v>8365.4563271677052</v>
      </c>
      <c r="G22" s="70">
        <v>9263.0374781513638</v>
      </c>
      <c r="H22" s="92">
        <v>4265.7517633536863</v>
      </c>
      <c r="I22" s="69">
        <v>5784.1594864602539</v>
      </c>
      <c r="J22" s="70">
        <v>6188.6098116852954</v>
      </c>
      <c r="K22" s="92">
        <v>2613.4785927997809</v>
      </c>
      <c r="L22" s="69">
        <v>4959.0795741130369</v>
      </c>
      <c r="M22" s="70">
        <v>9659.9305961970294</v>
      </c>
      <c r="N22" s="69">
        <v>4340.7515141220356</v>
      </c>
      <c r="O22" s="69">
        <v>5334.9631414357245</v>
      </c>
      <c r="P22" s="70">
        <v>6330.467879148453</v>
      </c>
    </row>
    <row r="23" spans="1:16" x14ac:dyDescent="0.2">
      <c r="A23" s="85">
        <v>19</v>
      </c>
      <c r="B23" s="94">
        <v>4266.910301261325</v>
      </c>
      <c r="C23" s="95">
        <v>6062.1347572798077</v>
      </c>
      <c r="D23" s="86">
        <v>6712.5784007647671</v>
      </c>
      <c r="E23" s="92">
        <v>6049.4809187443161</v>
      </c>
      <c r="F23" s="69">
        <v>8594.689354069671</v>
      </c>
      <c r="G23" s="70">
        <v>9516.8663233904481</v>
      </c>
      <c r="H23" s="92">
        <v>4148.7547675489759</v>
      </c>
      <c r="I23" s="69">
        <v>6158.995878870197</v>
      </c>
      <c r="J23" s="70">
        <v>6679.9542737438769</v>
      </c>
      <c r="K23" s="92">
        <v>2685.094005652436</v>
      </c>
      <c r="L23" s="69">
        <v>5094.9699280833047</v>
      </c>
      <c r="M23" s="70">
        <v>9924.6352391509063</v>
      </c>
      <c r="N23" s="69">
        <v>4232.2534541719515</v>
      </c>
      <c r="O23" s="69">
        <v>6148.2280695203317</v>
      </c>
      <c r="P23" s="70">
        <v>6917.8048937605272</v>
      </c>
    </row>
    <row r="24" spans="1:16" x14ac:dyDescent="0.2">
      <c r="A24" s="85">
        <v>20</v>
      </c>
      <c r="B24" s="94">
        <v>4377.7575993832634</v>
      </c>
      <c r="C24" s="95">
        <v>6219.6190283920732</v>
      </c>
      <c r="D24" s="86">
        <v>6886.9601258590337</v>
      </c>
      <c r="E24" s="92">
        <v>6206.6364639838794</v>
      </c>
      <c r="F24" s="69">
        <v>8817.9652201722165</v>
      </c>
      <c r="G24" s="70">
        <v>9764.0988274868287</v>
      </c>
      <c r="H24" s="92">
        <v>4627.27122669649</v>
      </c>
      <c r="I24" s="69">
        <v>5827.0860021727749</v>
      </c>
      <c r="J24" s="70">
        <v>7036.5444210883234</v>
      </c>
      <c r="K24" s="92">
        <v>2754.8483231130122</v>
      </c>
      <c r="L24" s="69">
        <v>5227.3288507383277</v>
      </c>
      <c r="M24" s="70">
        <v>10182.460907710294</v>
      </c>
      <c r="N24" s="69">
        <v>3928.4199246300223</v>
      </c>
      <c r="O24" s="69">
        <v>5779.8232618832426</v>
      </c>
      <c r="P24" s="70">
        <v>6575.6116669464609</v>
      </c>
    </row>
    <row r="25" spans="1:16" x14ac:dyDescent="0.2">
      <c r="A25" s="85">
        <v>21</v>
      </c>
      <c r="B25" s="94">
        <v>4485.8666586185791</v>
      </c>
      <c r="C25" s="95">
        <v>6373.2129966959055</v>
      </c>
      <c r="D25" s="86">
        <v>7057.0341336804413</v>
      </c>
      <c r="E25" s="92">
        <v>6359.9098268652415</v>
      </c>
      <c r="F25" s="69">
        <v>9035.7255467048763</v>
      </c>
      <c r="G25" s="70">
        <v>10005.223995922141</v>
      </c>
      <c r="H25" s="92">
        <v>4512.9631231918556</v>
      </c>
      <c r="I25" s="69">
        <v>6272.5293820655279</v>
      </c>
      <c r="J25" s="70">
        <v>6431.0654198942157</v>
      </c>
      <c r="K25" s="92">
        <v>2822.8795134625398</v>
      </c>
      <c r="L25" s="69">
        <v>5356.4181370995793</v>
      </c>
      <c r="M25" s="70">
        <v>10433.917559761565</v>
      </c>
      <c r="N25" s="69">
        <v>4229.2090998270978</v>
      </c>
      <c r="O25" s="69">
        <v>5965.4972108724596</v>
      </c>
      <c r="P25" s="70">
        <v>6864.1180045843794</v>
      </c>
    </row>
    <row r="26" spans="1:16" x14ac:dyDescent="0.2">
      <c r="A26" s="85">
        <v>22</v>
      </c>
      <c r="B26" s="94">
        <v>4591.4309053772877</v>
      </c>
      <c r="C26" s="95">
        <v>6523.1914692250502</v>
      </c>
      <c r="D26" s="86">
        <v>7223.1047169959784</v>
      </c>
      <c r="E26" s="92">
        <v>6509.5752408017943</v>
      </c>
      <c r="F26" s="69">
        <v>9248.3599457732817</v>
      </c>
      <c r="G26" s="70">
        <v>10240.673244675991</v>
      </c>
      <c r="H26" s="92">
        <v>4566.6001227433462</v>
      </c>
      <c r="I26" s="69">
        <v>6879.0856468285583</v>
      </c>
      <c r="J26" s="70">
        <v>7077.1031977582297</v>
      </c>
      <c r="K26" s="92">
        <v>2889.3092966476306</v>
      </c>
      <c r="L26" s="69">
        <v>5482.468750949467</v>
      </c>
      <c r="M26" s="70">
        <v>10679.455096153224</v>
      </c>
      <c r="N26" s="69">
        <v>4426.6711728737373</v>
      </c>
      <c r="O26" s="69">
        <v>6196.7826102813506</v>
      </c>
      <c r="P26" s="70">
        <v>6684.169707986608</v>
      </c>
    </row>
    <row r="27" spans="1:16" x14ac:dyDescent="0.2">
      <c r="A27" s="85">
        <v>23</v>
      </c>
      <c r="B27" s="94">
        <v>4694.6220123457879</v>
      </c>
      <c r="C27" s="95">
        <v>6669.7983468083366</v>
      </c>
      <c r="D27" s="86">
        <v>7385.4419462512942</v>
      </c>
      <c r="E27" s="92">
        <v>6655.8760975143196</v>
      </c>
      <c r="F27" s="69">
        <v>9456.2142117124185</v>
      </c>
      <c r="G27" s="70">
        <v>10470.829470479843</v>
      </c>
      <c r="H27" s="92">
        <v>4676.1135983104068</v>
      </c>
      <c r="I27" s="69">
        <v>6987.2834483996685</v>
      </c>
      <c r="J27" s="70">
        <v>7338.0622769702786</v>
      </c>
      <c r="K27" s="92">
        <v>2954.2457033669943</v>
      </c>
      <c r="L27" s="69">
        <v>5605.6856807018194</v>
      </c>
      <c r="M27" s="70">
        <v>10919.472819582712</v>
      </c>
      <c r="N27" s="69">
        <v>4607.843970295854</v>
      </c>
      <c r="O27" s="69">
        <v>6319.829122438945</v>
      </c>
      <c r="P27" s="70">
        <v>6977.8857056620654</v>
      </c>
    </row>
    <row r="28" spans="1:16" x14ac:dyDescent="0.2">
      <c r="A28" s="85">
        <v>24</v>
      </c>
      <c r="B28" s="94">
        <v>4795.5931769437566</v>
      </c>
      <c r="C28" s="95">
        <v>6813.2512818774067</v>
      </c>
      <c r="D28" s="86">
        <v>7544.2868271432199</v>
      </c>
      <c r="E28" s="92">
        <v>6799.0295951161406</v>
      </c>
      <c r="F28" s="69">
        <v>9659.5969247686608</v>
      </c>
      <c r="G28" s="70">
        <v>10696.034363048566</v>
      </c>
      <c r="H28" s="92">
        <v>4829.8650878568023</v>
      </c>
      <c r="I28" s="69">
        <v>7509.8124103399659</v>
      </c>
      <c r="J28" s="70">
        <v>7285.6466070218303</v>
      </c>
      <c r="K28" s="92">
        <v>3017.7851381485525</v>
      </c>
      <c r="L28" s="69">
        <v>5726.2518540938709</v>
      </c>
      <c r="M28" s="70">
        <v>11154.32706013491</v>
      </c>
      <c r="N28" s="69">
        <v>4861.2090838824834</v>
      </c>
      <c r="O28" s="69">
        <v>7102.4839896119956</v>
      </c>
      <c r="P28" s="70">
        <v>7043.2183965835666</v>
      </c>
    </row>
    <row r="29" spans="1:16" x14ac:dyDescent="0.2">
      <c r="A29" s="85">
        <v>25</v>
      </c>
      <c r="B29" s="94">
        <v>4894.4817906186354</v>
      </c>
      <c r="C29" s="95">
        <v>6953.7454708179339</v>
      </c>
      <c r="D29" s="86">
        <v>7699.8554998756517</v>
      </c>
      <c r="E29" s="92">
        <v>6939.2305225484388</v>
      </c>
      <c r="F29" s="69">
        <v>9858.7848277669873</v>
      </c>
      <c r="G29" s="70">
        <v>10916.594358643273</v>
      </c>
      <c r="H29" s="92">
        <v>4804.0384846380039</v>
      </c>
      <c r="I29" s="69">
        <v>6968.9492956940412</v>
      </c>
      <c r="J29" s="70">
        <v>8096.2235549103989</v>
      </c>
      <c r="K29" s="92">
        <v>3080.0140590909996</v>
      </c>
      <c r="L29" s="69">
        <v>5844.3313254983696</v>
      </c>
      <c r="M29" s="70">
        <v>11384.337383937214</v>
      </c>
      <c r="N29" s="69">
        <v>4576.8836211596881</v>
      </c>
      <c r="O29" s="69">
        <v>7112.0469787168986</v>
      </c>
      <c r="P29" s="70">
        <v>8194.6055006016668</v>
      </c>
    </row>
    <row r="30" spans="1:16" x14ac:dyDescent="0.2">
      <c r="A30" s="85">
        <v>26</v>
      </c>
      <c r="B30" s="94">
        <v>4991.4116318577944</v>
      </c>
      <c r="C30" s="95">
        <v>7091.4567696516206</v>
      </c>
      <c r="D30" s="86">
        <v>7852.3426891421332</v>
      </c>
      <c r="E30" s="92">
        <v>7076.6543687586282</v>
      </c>
      <c r="F30" s="69">
        <v>10054.02724341927</v>
      </c>
      <c r="G30" s="70">
        <v>11132.785531339792</v>
      </c>
      <c r="H30" s="92">
        <v>5031.8616823375014</v>
      </c>
      <c r="I30" s="69">
        <v>6468.684237084437</v>
      </c>
      <c r="J30" s="70">
        <v>8056.2461485291078</v>
      </c>
      <c r="K30" s="92">
        <v>3141.0103578890266</v>
      </c>
      <c r="L30" s="69">
        <v>5960.0718945235567</v>
      </c>
      <c r="M30" s="70">
        <v>11609.791694003939</v>
      </c>
      <c r="N30" s="69">
        <v>4859.3985013565043</v>
      </c>
      <c r="O30" s="69">
        <v>6217.3321007870927</v>
      </c>
      <c r="P30" s="70">
        <v>7995.9566693047855</v>
      </c>
    </row>
    <row r="31" spans="1:16" x14ac:dyDescent="0.2">
      <c r="A31" s="85">
        <v>27</v>
      </c>
      <c r="B31" s="94">
        <v>5086.4946828433058</v>
      </c>
      <c r="C31" s="95">
        <v>7226.5442750151797</v>
      </c>
      <c r="D31" s="86">
        <v>8001.9245620339734</v>
      </c>
      <c r="E31" s="92">
        <v>7211.4598982919779</v>
      </c>
      <c r="F31" s="69">
        <v>10245.549733548964</v>
      </c>
      <c r="G31" s="70">
        <v>11344.857644873964</v>
      </c>
      <c r="H31" s="92">
        <v>5127.4397989264435</v>
      </c>
      <c r="I31" s="69">
        <v>7069.5549159300372</v>
      </c>
      <c r="J31" s="70">
        <v>8570.7876976997723</v>
      </c>
      <c r="K31" s="92">
        <v>3200.8445030232378</v>
      </c>
      <c r="L31" s="69">
        <v>6073.6072752177261</v>
      </c>
      <c r="M31" s="70">
        <v>11830.950455691003</v>
      </c>
      <c r="N31" s="69">
        <v>4743.9974553925531</v>
      </c>
      <c r="O31" s="69">
        <v>6683.570776220522</v>
      </c>
      <c r="P31" s="70">
        <v>7505.802948649296</v>
      </c>
    </row>
    <row r="32" spans="1:16" x14ac:dyDescent="0.2">
      <c r="A32" s="85">
        <v>28</v>
      </c>
      <c r="B32" s="94">
        <v>5179.8326458044103</v>
      </c>
      <c r="C32" s="95">
        <v>7359.152478490405</v>
      </c>
      <c r="D32" s="86">
        <v>8148.7611135215684</v>
      </c>
      <c r="E32" s="92">
        <v>7343.791301124782</v>
      </c>
      <c r="F32" s="69">
        <v>10433.55715342728</v>
      </c>
      <c r="G32" s="70">
        <v>11553.037534696306</v>
      </c>
      <c r="H32" s="92">
        <v>4954.1523321281747</v>
      </c>
      <c r="I32" s="69">
        <v>7473.0121553006775</v>
      </c>
      <c r="J32" s="70">
        <v>8331.5089415973162</v>
      </c>
      <c r="K32" s="92">
        <v>3259.5804939749542</v>
      </c>
      <c r="L32" s="69">
        <v>6185.0589066932716</v>
      </c>
      <c r="M32" s="70">
        <v>12048.050223661405</v>
      </c>
      <c r="N32" s="69">
        <v>4532.8130794636108</v>
      </c>
      <c r="O32" s="69">
        <v>7174.2545408466685</v>
      </c>
      <c r="P32" s="70">
        <v>6791.8975371111956</v>
      </c>
    </row>
    <row r="33" spans="1:16" x14ac:dyDescent="0.2">
      <c r="A33" s="85">
        <v>29</v>
      </c>
      <c r="B33" s="94">
        <v>5271.5182176000289</v>
      </c>
      <c r="C33" s="95">
        <v>7489.4130774439382</v>
      </c>
      <c r="D33" s="86">
        <v>8292.9981715902886</v>
      </c>
      <c r="E33" s="92">
        <v>7473.7799997242864</v>
      </c>
      <c r="F33" s="69">
        <v>10618.236219120476</v>
      </c>
      <c r="G33" s="70">
        <v>11757.531950785768</v>
      </c>
      <c r="H33" s="92">
        <v>5381.4204463824572</v>
      </c>
      <c r="I33" s="69">
        <v>7677.5694580611234</v>
      </c>
      <c r="J33" s="70">
        <v>8023.1278339571891</v>
      </c>
      <c r="K33" s="92">
        <v>3317.2766632992698</v>
      </c>
      <c r="L33" s="69">
        <v>6294.5374750615174</v>
      </c>
      <c r="M33" s="70">
        <v>12261.306606504873</v>
      </c>
      <c r="N33" s="69">
        <v>4854.5399863455168</v>
      </c>
      <c r="O33" s="69">
        <v>6771.1605704769554</v>
      </c>
      <c r="P33" s="70">
        <v>7016.3466906522917</v>
      </c>
    </row>
    <row r="34" spans="1:16" x14ac:dyDescent="0.2">
      <c r="A34" s="85">
        <v>30</v>
      </c>
      <c r="B34" s="94">
        <v>5361.6361680402078</v>
      </c>
      <c r="C34" s="95">
        <v>7617.4465070327296</v>
      </c>
      <c r="D34" s="86">
        <v>8434.7690936242252</v>
      </c>
      <c r="E34" s="92">
        <v>7601.5461778562803</v>
      </c>
      <c r="F34" s="69">
        <v>10799.757679515327</v>
      </c>
      <c r="G34" s="70">
        <v>11958.529962725124</v>
      </c>
      <c r="H34" s="92">
        <v>5359.3634594076066</v>
      </c>
      <c r="I34" s="69">
        <v>8266.0656453107076</v>
      </c>
      <c r="J34" s="70">
        <v>8661.3786020714815</v>
      </c>
      <c r="K34" s="92">
        <v>3373.9863551943799</v>
      </c>
      <c r="L34" s="69">
        <v>6402.1442010190513</v>
      </c>
      <c r="M34" s="70">
        <v>12470.916774863526</v>
      </c>
      <c r="N34" s="69">
        <v>5027.4151729126588</v>
      </c>
      <c r="O34" s="69">
        <v>6667.2194423737583</v>
      </c>
      <c r="P34" s="70">
        <v>7493.0934165926083</v>
      </c>
    </row>
    <row r="35" spans="1:16" x14ac:dyDescent="0.2">
      <c r="A35" s="85">
        <v>31</v>
      </c>
      <c r="B35" s="94">
        <v>5450.2642576653816</v>
      </c>
      <c r="C35" s="95">
        <v>7743.363244122158</v>
      </c>
      <c r="D35" s="86">
        <v>8574.1962102296857</v>
      </c>
      <c r="E35" s="92">
        <v>7727.2000817815106</v>
      </c>
      <c r="F35" s="69">
        <v>10978.278164970072</v>
      </c>
      <c r="G35" s="70">
        <v>12156.205006705059</v>
      </c>
      <c r="H35" s="92">
        <v>5296.747073859573</v>
      </c>
      <c r="I35" s="69">
        <v>7209.550696018543</v>
      </c>
      <c r="J35" s="70">
        <v>8680.9553600330109</v>
      </c>
      <c r="K35" s="92">
        <v>3429.7585030444625</v>
      </c>
      <c r="L35" s="69">
        <v>6507.971935736201</v>
      </c>
      <c r="M35" s="70">
        <v>12677.061596143834</v>
      </c>
      <c r="N35" s="69">
        <v>4686.8658133202789</v>
      </c>
      <c r="O35" s="69">
        <v>7105.485272188871</v>
      </c>
      <c r="P35" s="70">
        <v>7527.4274252479809</v>
      </c>
    </row>
    <row r="36" spans="1:16" x14ac:dyDescent="0.2">
      <c r="A36" s="85">
        <v>32</v>
      </c>
      <c r="B36" s="94">
        <v>5537.4740232648201</v>
      </c>
      <c r="C36" s="95">
        <v>7867.2649232969652</v>
      </c>
      <c r="D36" s="86">
        <v>8711.3920609897741</v>
      </c>
      <c r="E36" s="92">
        <v>7850.8431339370763</v>
      </c>
      <c r="F36" s="69">
        <v>11153.941769556941</v>
      </c>
      <c r="G36" s="70">
        <v>12350.71663753515</v>
      </c>
      <c r="H36" s="92">
        <v>5558.1906176353277</v>
      </c>
      <c r="I36" s="69">
        <v>7611.8973578125533</v>
      </c>
      <c r="J36" s="70">
        <v>8865.4365477060655</v>
      </c>
      <c r="K36" s="92">
        <v>3484.6381237330388</v>
      </c>
      <c r="L36" s="69">
        <v>6612.1060988173813</v>
      </c>
      <c r="M36" s="70">
        <v>12879.907461596038</v>
      </c>
      <c r="N36" s="69">
        <v>5161.6899924569716</v>
      </c>
      <c r="O36" s="69">
        <v>7027.0042082428572</v>
      </c>
      <c r="P36" s="70">
        <v>8661.365168232498</v>
      </c>
    </row>
    <row r="37" spans="1:16" x14ac:dyDescent="0.2">
      <c r="A37" s="85">
        <v>33</v>
      </c>
      <c r="B37" s="94">
        <v>5623.3314537096776</v>
      </c>
      <c r="C37" s="95">
        <v>7989.2452970387458</v>
      </c>
      <c r="D37" s="86">
        <v>8846.4604576652218</v>
      </c>
      <c r="E37" s="92">
        <v>7972.568891109664</v>
      </c>
      <c r="F37" s="69">
        <v>11326.881412369219</v>
      </c>
      <c r="G37" s="70">
        <v>12542.212036013987</v>
      </c>
      <c r="H37" s="92">
        <v>5492.8035160523377</v>
      </c>
      <c r="I37" s="69">
        <v>8075.1991015848653</v>
      </c>
      <c r="J37" s="70">
        <v>8983.4936080357929</v>
      </c>
      <c r="K37" s="92">
        <v>3538.6667429332265</v>
      </c>
      <c r="L37" s="69">
        <v>6714.6254852900092</v>
      </c>
      <c r="M37" s="70">
        <v>13079.607858270436</v>
      </c>
      <c r="N37" s="69">
        <v>5418.2895047916591</v>
      </c>
      <c r="O37" s="69">
        <v>6975.141638415902</v>
      </c>
      <c r="P37" s="70">
        <v>8332.9408122707428</v>
      </c>
    </row>
    <row r="38" spans="1:16" x14ac:dyDescent="0.2">
      <c r="A38" s="85">
        <v>34</v>
      </c>
      <c r="B38" s="94">
        <v>5707.8975742587118</v>
      </c>
      <c r="C38" s="95">
        <v>8109.3910658675541</v>
      </c>
      <c r="D38" s="86">
        <v>8979.497403406991</v>
      </c>
      <c r="E38" s="92">
        <v>8092.4638728444324</v>
      </c>
      <c r="F38" s="69">
        <v>11497.220014468005</v>
      </c>
      <c r="G38" s="70">
        <v>12730.827312157702</v>
      </c>
      <c r="H38" s="92">
        <v>5598.9808502036067</v>
      </c>
      <c r="I38" s="69">
        <v>8247.891622816207</v>
      </c>
      <c r="J38" s="70">
        <v>9409.7909821294033</v>
      </c>
      <c r="K38" s="92">
        <v>3591.882762801366</v>
      </c>
      <c r="L38" s="69">
        <v>6815.602963303696</v>
      </c>
      <c r="M38" s="70">
        <v>13276.304728085379</v>
      </c>
      <c r="N38" s="69">
        <v>5159.8361637413</v>
      </c>
      <c r="O38" s="69">
        <v>7379.7928621550072</v>
      </c>
      <c r="P38" s="70">
        <v>7733.0453160997804</v>
      </c>
    </row>
    <row r="39" spans="1:16" x14ac:dyDescent="0.2">
      <c r="A39" s="85">
        <v>35</v>
      </c>
      <c r="B39" s="94">
        <v>5791.2289540456222</v>
      </c>
      <c r="C39" s="95">
        <v>8227.7825993453043</v>
      </c>
      <c r="D39" s="86">
        <v>9110.5918911205499</v>
      </c>
      <c r="E39" s="92">
        <v>8210.608280943321</v>
      </c>
      <c r="F39" s="69">
        <v>11665.071521096301</v>
      </c>
      <c r="G39" s="70">
        <v>12916.688637093761</v>
      </c>
      <c r="H39" s="92">
        <v>6286.4130469114789</v>
      </c>
      <c r="I39" s="69">
        <v>8037.0947201326398</v>
      </c>
      <c r="J39" s="70">
        <v>8753.4442023010033</v>
      </c>
      <c r="K39" s="92">
        <v>3644.321781330169</v>
      </c>
      <c r="L39" s="69">
        <v>6915.1060801033418</v>
      </c>
      <c r="M39" s="70">
        <v>13470.129648219223</v>
      </c>
      <c r="N39" s="69">
        <v>5152.4715822544476</v>
      </c>
      <c r="O39" s="69">
        <v>7259.6573689666802</v>
      </c>
      <c r="P39" s="70">
        <v>8033.8172617768741</v>
      </c>
    </row>
    <row r="40" spans="1:16" x14ac:dyDescent="0.2">
      <c r="A40" s="85">
        <v>36</v>
      </c>
      <c r="B40" s="94">
        <v>5873.3781487423603</v>
      </c>
      <c r="C40" s="95">
        <v>8344.4945649815199</v>
      </c>
      <c r="D40" s="86">
        <v>9239.8265998507832</v>
      </c>
      <c r="E40" s="92">
        <v>8327.0766270581262</v>
      </c>
      <c r="F40" s="69">
        <v>11830.541793320384</v>
      </c>
      <c r="G40" s="70">
        <v>13099.913230371931</v>
      </c>
      <c r="H40" s="92">
        <v>6130.0750606794118</v>
      </c>
      <c r="I40" s="69">
        <v>8392.0922584113105</v>
      </c>
      <c r="J40" s="70">
        <v>9588.4766577663595</v>
      </c>
      <c r="K40" s="92">
        <v>3696.0168709091977</v>
      </c>
      <c r="L40" s="69">
        <v>7013.1975905980507</v>
      </c>
      <c r="M40" s="70">
        <v>13661.204860724662</v>
      </c>
      <c r="N40" s="69">
        <v>5462.1013021054605</v>
      </c>
      <c r="O40" s="69">
        <v>6902.990598314931</v>
      </c>
      <c r="P40" s="70">
        <v>8235.8717843183567</v>
      </c>
    </row>
    <row r="41" spans="1:16" x14ac:dyDescent="0.2">
      <c r="A41" s="85">
        <v>37</v>
      </c>
      <c r="B41" s="94">
        <v>5954.3940882403931</v>
      </c>
      <c r="C41" s="95">
        <v>8459.5964790244561</v>
      </c>
      <c r="D41" s="86">
        <v>9367.2785046708577</v>
      </c>
      <c r="E41" s="92">
        <v>8441.9382823318738</v>
      </c>
      <c r="F41" s="69">
        <v>11993.729388922724</v>
      </c>
      <c r="G41" s="70">
        <v>13280.610224644046</v>
      </c>
      <c r="H41" s="92">
        <v>6036.3518230214449</v>
      </c>
      <c r="I41" s="69">
        <v>8334.8187597660435</v>
      </c>
      <c r="J41" s="70">
        <v>9316.5619191353835</v>
      </c>
      <c r="K41" s="92">
        <v>3746.9988222860902</v>
      </c>
      <c r="L41" s="69">
        <v>7109.9359202779269</v>
      </c>
      <c r="M41" s="70">
        <v>13849.644174257308</v>
      </c>
      <c r="N41" s="69">
        <v>5353.699048776085</v>
      </c>
      <c r="O41" s="69">
        <v>7343.4820479743466</v>
      </c>
      <c r="P41" s="70">
        <v>7999.3844021200493</v>
      </c>
    </row>
    <row r="42" spans="1:16" x14ac:dyDescent="0.2">
      <c r="A42" s="85">
        <v>38</v>
      </c>
      <c r="B42" s="94">
        <v>6034.3224174732368</v>
      </c>
      <c r="C42" s="95">
        <v>8573.1531906784385</v>
      </c>
      <c r="D42" s="86">
        <v>9493.0194128542371</v>
      </c>
      <c r="E42" s="92">
        <v>8555.2579606054642</v>
      </c>
      <c r="F42" s="69">
        <v>12154.726248908984</v>
      </c>
      <c r="G42" s="70">
        <v>13458.88142583055</v>
      </c>
      <c r="H42" s="92">
        <v>6235.3934843015995</v>
      </c>
      <c r="I42" s="69">
        <v>8453.9578056119281</v>
      </c>
      <c r="J42" s="70">
        <v>9613.4046418763573</v>
      </c>
      <c r="K42" s="92">
        <v>3797.2963590403724</v>
      </c>
      <c r="L42" s="69">
        <v>7205.3755721784837</v>
      </c>
      <c r="M42" s="70">
        <v>14035.553756813155</v>
      </c>
      <c r="N42" s="69">
        <v>5236.127065888857</v>
      </c>
      <c r="O42" s="69">
        <v>7161.5416809176295</v>
      </c>
      <c r="P42" s="70">
        <v>7699.2431515860826</v>
      </c>
    </row>
    <row r="43" spans="1:16" x14ac:dyDescent="0.2">
      <c r="A43" s="85">
        <v>39</v>
      </c>
      <c r="B43" s="94">
        <v>6113.2057971221584</v>
      </c>
      <c r="C43" s="95">
        <v>8685.225309325986</v>
      </c>
      <c r="D43" s="86">
        <v>9617.1164369360722</v>
      </c>
      <c r="E43" s="92">
        <v>8667.0961447480167</v>
      </c>
      <c r="F43" s="69">
        <v>12313.618303209068</v>
      </c>
      <c r="G43" s="70">
        <v>13634.821983810902</v>
      </c>
      <c r="H43" s="92">
        <v>6210.1694232367317</v>
      </c>
      <c r="I43" s="69">
        <v>8779.6848479577093</v>
      </c>
      <c r="J43" s="70">
        <v>9991.6556769991384</v>
      </c>
      <c r="K43" s="92">
        <v>3846.9363268124453</v>
      </c>
      <c r="L43" s="69">
        <v>7299.56748594288</v>
      </c>
      <c r="M43" s="70">
        <v>14219.032835155987</v>
      </c>
      <c r="N43" s="69">
        <v>5331.8437948442825</v>
      </c>
      <c r="O43" s="69">
        <v>7600.066449433969</v>
      </c>
      <c r="P43" s="70">
        <v>8423.0962766145822</v>
      </c>
    </row>
    <row r="44" spans="1:16" x14ac:dyDescent="0.2">
      <c r="A44" s="85">
        <v>40</v>
      </c>
      <c r="B44" s="94">
        <v>6191.0841698296936</v>
      </c>
      <c r="C44" s="95">
        <v>8795.8695827458469</v>
      </c>
      <c r="D44" s="86">
        <v>9739.6324135125615</v>
      </c>
      <c r="E44" s="92">
        <v>8777.5094640853931</v>
      </c>
      <c r="F44" s="69">
        <v>12470.486006901807</v>
      </c>
      <c r="G44" s="70">
        <v>13808.520986183115</v>
      </c>
      <c r="H44" s="92">
        <v>6185.1559962887459</v>
      </c>
      <c r="I44" s="69">
        <v>8923.6976341462268</v>
      </c>
      <c r="J44" s="70">
        <v>10072.395264934978</v>
      </c>
      <c r="K44" s="92">
        <v>3895.9438608271994</v>
      </c>
      <c r="L44" s="69">
        <v>7392.559355698304</v>
      </c>
      <c r="M44" s="70">
        <v>14400.174314017757</v>
      </c>
      <c r="N44" s="69">
        <v>4899.0323008126561</v>
      </c>
      <c r="O44" s="69">
        <v>7481.85014205882</v>
      </c>
      <c r="P44" s="70">
        <v>7684.102631270338</v>
      </c>
    </row>
    <row r="45" spans="1:16" x14ac:dyDescent="0.2">
      <c r="A45" s="85">
        <v>41</v>
      </c>
      <c r="B45" s="94">
        <v>6267.994996636784</v>
      </c>
      <c r="C45" s="95">
        <v>8905.1392330266408</v>
      </c>
      <c r="D45" s="86">
        <v>9860.6262751968825</v>
      </c>
      <c r="E45" s="92">
        <v>8886.551029612745</v>
      </c>
      <c r="F45" s="69">
        <v>12625.404816462007</v>
      </c>
      <c r="G45" s="70">
        <v>13980.061985610295</v>
      </c>
      <c r="H45" s="92">
        <v>6159.6841057204074</v>
      </c>
      <c r="I45" s="69">
        <v>8886.6227905344767</v>
      </c>
      <c r="J45" s="70">
        <v>9907.79238281582</v>
      </c>
      <c r="K45" s="92">
        <v>3944.3425346799031</v>
      </c>
      <c r="L45" s="69">
        <v>7484.3959123773348</v>
      </c>
      <c r="M45" s="70">
        <v>14579.065326040243</v>
      </c>
      <c r="N45" s="69">
        <v>5584.7519778916976</v>
      </c>
      <c r="O45" s="69">
        <v>6759.1151059799413</v>
      </c>
      <c r="P45" s="70">
        <v>8267.3344448811113</v>
      </c>
    </row>
    <row r="46" spans="1:16" x14ac:dyDescent="0.2">
      <c r="A46" s="85">
        <v>42</v>
      </c>
      <c r="B46" s="94">
        <v>6343.973467615675</v>
      </c>
      <c r="C46" s="95">
        <v>9013.0842558198219</v>
      </c>
      <c r="D46" s="86">
        <v>9980.1533819807482</v>
      </c>
      <c r="E46" s="92">
        <v>8994.2707326227464</v>
      </c>
      <c r="F46" s="69">
        <v>12778.44561403109</v>
      </c>
      <c r="G46" s="70">
        <v>14149.523469613823</v>
      </c>
      <c r="H46" s="92">
        <v>6115.2515496065535</v>
      </c>
      <c r="I46" s="69">
        <v>8784.7586195202275</v>
      </c>
      <c r="J46" s="70">
        <v>10594.418743938921</v>
      </c>
      <c r="K46" s="92">
        <v>3992.1544928838848</v>
      </c>
      <c r="L46" s="69">
        <v>7575.1191752274535</v>
      </c>
      <c r="M46" s="70">
        <v>14755.787721697594</v>
      </c>
      <c r="N46" s="69">
        <v>5723.9159477533685</v>
      </c>
      <c r="O46" s="69">
        <v>7713.2789994583254</v>
      </c>
      <c r="P46" s="70">
        <v>9224.9255409078742</v>
      </c>
    </row>
    <row r="47" spans="1:16" x14ac:dyDescent="0.2">
      <c r="A47" s="85">
        <v>43</v>
      </c>
      <c r="B47" s="94">
        <v>6419.0526900594559</v>
      </c>
      <c r="C47" s="95">
        <v>9119.7516877064136</v>
      </c>
      <c r="D47" s="86">
        <v>10098.265817288648</v>
      </c>
      <c r="E47" s="92">
        <v>9100.7155115142887</v>
      </c>
      <c r="F47" s="69">
        <v>12929.675086480667</v>
      </c>
      <c r="G47" s="70">
        <v>14316.97928030906</v>
      </c>
      <c r="H47" s="92">
        <v>6586.4433939397713</v>
      </c>
      <c r="I47" s="69">
        <v>8326.5633078532537</v>
      </c>
      <c r="J47" s="70">
        <v>11066.948430880286</v>
      </c>
      <c r="K47" s="92">
        <v>4039.4005692950213</v>
      </c>
      <c r="L47" s="69">
        <v>7664.7686765215985</v>
      </c>
      <c r="M47" s="70">
        <v>14930.418507016268</v>
      </c>
      <c r="N47" s="69">
        <v>5305.3965340901832</v>
      </c>
      <c r="O47" s="69">
        <v>7468.9001355270757</v>
      </c>
      <c r="P47" s="70">
        <v>8246.9398201525473</v>
      </c>
    </row>
    <row r="48" spans="1:16" x14ac:dyDescent="0.2">
      <c r="A48" s="85">
        <v>44</v>
      </c>
      <c r="B48" s="94">
        <v>6493.2638570835425</v>
      </c>
      <c r="C48" s="95">
        <v>9225.1858457345406</v>
      </c>
      <c r="D48" s="86">
        <v>10215.012653216792</v>
      </c>
      <c r="E48" s="92">
        <v>9205.9295908300064</v>
      </c>
      <c r="F48" s="69">
        <v>13079.156065020674</v>
      </c>
      <c r="G48" s="70">
        <v>14482.498990452081</v>
      </c>
      <c r="H48" s="92">
        <v>6485.8793883637118</v>
      </c>
      <c r="I48" s="69">
        <v>9477.661007679093</v>
      </c>
      <c r="J48" s="70">
        <v>9494.1829760703149</v>
      </c>
      <c r="K48" s="92">
        <v>4086.1003932097483</v>
      </c>
      <c r="L48" s="69">
        <v>7753.3816628794157</v>
      </c>
      <c r="M48" s="70">
        <v>15103.030235734353</v>
      </c>
      <c r="N48" s="69">
        <v>5398.9932991275564</v>
      </c>
      <c r="O48" s="69">
        <v>8002.289064038765</v>
      </c>
      <c r="P48" s="70">
        <v>8591.3889858766415</v>
      </c>
    </row>
    <row r="49" spans="1:16" x14ac:dyDescent="0.2">
      <c r="A49" s="85">
        <v>45</v>
      </c>
      <c r="B49" s="94">
        <v>6566.6363990748978</v>
      </c>
      <c r="C49" s="95">
        <v>9329.4285425881117</v>
      </c>
      <c r="D49" s="86">
        <v>10330.440188788558</v>
      </c>
      <c r="E49" s="92">
        <v>9309.9546959758209</v>
      </c>
      <c r="F49" s="69">
        <v>13226.947830258328</v>
      </c>
      <c r="G49" s="70">
        <v>14646.148241230254</v>
      </c>
      <c r="H49" s="92">
        <v>6375.9059081919095</v>
      </c>
      <c r="I49" s="69">
        <v>9284.6672608048648</v>
      </c>
      <c r="J49" s="70">
        <v>9566.5921711300216</v>
      </c>
      <c r="K49" s="92">
        <v>4132.2724846695164</v>
      </c>
      <c r="L49" s="69">
        <v>7840.9932761074888</v>
      </c>
      <c r="M49" s="70">
        <v>15273.691361565438</v>
      </c>
      <c r="N49" s="69">
        <v>5221.3792993005845</v>
      </c>
      <c r="O49" s="69">
        <v>7088.5331871869221</v>
      </c>
      <c r="P49" s="70">
        <v>9008.7655130164676</v>
      </c>
    </row>
    <row r="50" spans="1:16" x14ac:dyDescent="0.2">
      <c r="A50" s="85">
        <v>46</v>
      </c>
      <c r="B50" s="94">
        <v>6639.198120074685</v>
      </c>
      <c r="C50" s="95">
        <v>9432.5192803500086</v>
      </c>
      <c r="D50" s="86">
        <v>10444.592164507736</v>
      </c>
      <c r="E50" s="92">
        <v>9412.8302465796623</v>
      </c>
      <c r="F50" s="69">
        <v>13373.10638690891</v>
      </c>
      <c r="G50" s="70">
        <v>14807.989046448489</v>
      </c>
      <c r="H50" s="92">
        <v>6641.6517472904306</v>
      </c>
      <c r="I50" s="69">
        <v>10095.425060809779</v>
      </c>
      <c r="J50" s="70">
        <v>10422.373620727805</v>
      </c>
      <c r="K50" s="92">
        <v>4177.9343402840495</v>
      </c>
      <c r="L50" s="69">
        <v>7927.6367160491718</v>
      </c>
      <c r="M50" s="70">
        <v>15442.466555418247</v>
      </c>
      <c r="N50" s="69">
        <v>5546.6535813188348</v>
      </c>
      <c r="O50" s="69">
        <v>7264.7555293536407</v>
      </c>
      <c r="P50" s="70">
        <v>8300.0481567463248</v>
      </c>
    </row>
    <row r="51" spans="1:16" x14ac:dyDescent="0.2">
      <c r="A51" s="85">
        <v>47</v>
      </c>
      <c r="B51" s="94">
        <v>6710.9753208867569</v>
      </c>
      <c r="C51" s="95">
        <v>9534.4954254061831</v>
      </c>
      <c r="D51" s="86">
        <v>10557.509956029164</v>
      </c>
      <c r="E51" s="92">
        <v>9514.5935310305103</v>
      </c>
      <c r="F51" s="69">
        <v>13517.684711768958</v>
      </c>
      <c r="G51" s="70">
        <v>14968.080067108971</v>
      </c>
      <c r="H51" s="92">
        <v>6573.0582340138426</v>
      </c>
      <c r="I51" s="69">
        <v>8664.017717164832</v>
      </c>
      <c r="J51" s="70">
        <v>9522.0364847186283</v>
      </c>
      <c r="K51" s="92">
        <v>4223.1025107014193</v>
      </c>
      <c r="L51" s="69">
        <v>8013.3433875841729</v>
      </c>
      <c r="M51" s="70">
        <v>15609.416991741353</v>
      </c>
      <c r="N51" s="69">
        <v>5428.0518870666183</v>
      </c>
      <c r="O51" s="69">
        <v>7801.4848593889346</v>
      </c>
      <c r="P51" s="70">
        <v>8744.0510761195656</v>
      </c>
    </row>
    <row r="52" spans="1:16" x14ac:dyDescent="0.2">
      <c r="A52" s="85">
        <v>48</v>
      </c>
      <c r="B52" s="94">
        <v>6781.9929104577386</v>
      </c>
      <c r="C52" s="95">
        <v>9635.3923666869086</v>
      </c>
      <c r="D52" s="86">
        <v>10669.232749378629</v>
      </c>
      <c r="E52" s="92">
        <v>9615.279864389302</v>
      </c>
      <c r="F52" s="69">
        <v>13660.732978065284</v>
      </c>
      <c r="G52" s="70">
        <v>15126.47685983195</v>
      </c>
      <c r="H52" s="92">
        <v>7081.4165727839572</v>
      </c>
      <c r="I52" s="69">
        <v>9478.2636207209598</v>
      </c>
      <c r="J52" s="70">
        <v>10584.675457913025</v>
      </c>
      <c r="K52" s="92">
        <v>4267.7926706976468</v>
      </c>
      <c r="L52" s="69">
        <v>8098.1430336236372</v>
      </c>
      <c r="M52" s="70">
        <v>15774.60060758801</v>
      </c>
      <c r="N52" s="69">
        <v>5883.4486370393079</v>
      </c>
      <c r="O52" s="69">
        <v>8148.9272091731746</v>
      </c>
      <c r="P52" s="70">
        <v>8319.8560868844143</v>
      </c>
    </row>
    <row r="53" spans="1:16" x14ac:dyDescent="0.2">
      <c r="A53" s="85">
        <v>49</v>
      </c>
      <c r="B53" s="94">
        <v>6852.2745068660934</v>
      </c>
      <c r="C53" s="95">
        <v>9735.2436591451133</v>
      </c>
      <c r="D53" s="86">
        <v>10779.797699825918</v>
      </c>
      <c r="E53" s="92">
        <v>9714.9227315678218</v>
      </c>
      <c r="F53" s="69">
        <v>13802.298758873789</v>
      </c>
      <c r="G53" s="70">
        <v>15283.232102100588</v>
      </c>
      <c r="H53" s="92">
        <v>7018.8475118057759</v>
      </c>
      <c r="I53" s="69">
        <v>9824.0974472791968</v>
      </c>
      <c r="J53" s="70">
        <v>10390.002374850279</v>
      </c>
      <c r="K53" s="92">
        <v>4312.0196827274012</v>
      </c>
      <c r="L53" s="69">
        <v>8182.063855697721</v>
      </c>
      <c r="M53" s="70">
        <v>15938.072337512098</v>
      </c>
      <c r="N53" s="69">
        <v>6063.6337292230291</v>
      </c>
      <c r="O53" s="69">
        <v>8262.785205342454</v>
      </c>
      <c r="P53" s="70">
        <v>9157.0514531492554</v>
      </c>
    </row>
    <row r="54" spans="1:16" x14ac:dyDescent="0.2">
      <c r="A54" s="85">
        <v>50</v>
      </c>
      <c r="B54" s="94">
        <v>6921.8425290810246</v>
      </c>
      <c r="C54" s="95">
        <v>9834.0811541212115</v>
      </c>
      <c r="D54" s="86">
        <v>10889.24007623722</v>
      </c>
      <c r="E54" s="92">
        <v>9813.5539174213427</v>
      </c>
      <c r="F54" s="69">
        <v>13942.427211946169</v>
      </c>
      <c r="G54" s="70">
        <v>15438.395796918945</v>
      </c>
      <c r="H54" s="92">
        <v>7041.3813374831625</v>
      </c>
      <c r="I54" s="69">
        <v>10504.019777108459</v>
      </c>
      <c r="J54" s="70">
        <v>10937.412822646467</v>
      </c>
      <c r="K54" s="92">
        <v>4355.7976546662994</v>
      </c>
      <c r="L54" s="69">
        <v>8265.1326235217275</v>
      </c>
      <c r="M54" s="70">
        <v>16099.884326995048</v>
      </c>
      <c r="N54" s="69">
        <v>5402.3266228465473</v>
      </c>
      <c r="O54" s="69">
        <v>7494.302365069796</v>
      </c>
      <c r="P54" s="70">
        <v>9213.5582295959721</v>
      </c>
    </row>
    <row r="55" spans="1:16" x14ac:dyDescent="0.2">
      <c r="A55" s="85">
        <v>51</v>
      </c>
      <c r="B55" s="94">
        <v>6990.7182805018492</v>
      </c>
      <c r="C55" s="95">
        <v>9931.9351180300655</v>
      </c>
      <c r="D55" s="86">
        <v>10997.593392496805</v>
      </c>
      <c r="E55" s="92">
        <v>9911.2036251879381</v>
      </c>
      <c r="F55" s="69">
        <v>14081.161247980419</v>
      </c>
      <c r="G55" s="70">
        <v>15592.015459137117</v>
      </c>
      <c r="H55" s="92">
        <v>7256.3984055673682</v>
      </c>
      <c r="I55" s="69">
        <v>10164.206392682367</v>
      </c>
      <c r="J55" s="70">
        <v>10913.647824542521</v>
      </c>
      <c r="K55" s="92">
        <v>4399.1399923808258</v>
      </c>
      <c r="L55" s="69">
        <v>8347.3747747475172</v>
      </c>
      <c r="M55" s="70">
        <v>16260.086126754475</v>
      </c>
      <c r="N55" s="69">
        <v>5242.6339093465776</v>
      </c>
      <c r="O55" s="69">
        <v>7920.8060454865881</v>
      </c>
      <c r="P55" s="70">
        <v>9262.2303648403213</v>
      </c>
    </row>
    <row r="56" spans="1:16" x14ac:dyDescent="0.2">
      <c r="A56" s="85">
        <v>52</v>
      </c>
      <c r="B56" s="94">
        <v>7058.9220251601182</v>
      </c>
      <c r="C56" s="95">
        <v>10028.83434062382</v>
      </c>
      <c r="D56" s="86">
        <v>11104.889527386033</v>
      </c>
      <c r="E56" s="92">
        <v>10007.900584525272</v>
      </c>
      <c r="F56" s="69">
        <v>14218.541684112115</v>
      </c>
      <c r="G56" s="70">
        <v>15744.1362854117</v>
      </c>
      <c r="H56" s="92">
        <v>7210.117766302852</v>
      </c>
      <c r="I56" s="69">
        <v>10302.870315991713</v>
      </c>
      <c r="J56" s="70">
        <v>10458.9487593761</v>
      </c>
      <c r="K56" s="92">
        <v>4442.0594476810275</v>
      </c>
      <c r="L56" s="69">
        <v>8428.8145059539202</v>
      </c>
      <c r="M56" s="70">
        <v>16418.724869986876</v>
      </c>
      <c r="N56" s="69">
        <v>5783.2089163947458</v>
      </c>
      <c r="O56" s="69">
        <v>8532.3741248902752</v>
      </c>
      <c r="P56" s="70">
        <v>9021.3097102544889</v>
      </c>
    </row>
    <row r="57" spans="1:16" x14ac:dyDescent="0.2">
      <c r="A57" s="85">
        <v>53</v>
      </c>
      <c r="B57" s="94">
        <v>7126.4730573572288</v>
      </c>
      <c r="C57" s="95">
        <v>10124.806233928259</v>
      </c>
      <c r="D57" s="86">
        <v>11211.158834135145</v>
      </c>
      <c r="E57" s="92">
        <v>10103.672150240423</v>
      </c>
      <c r="F57" s="69">
        <v>14354.607384183038</v>
      </c>
      <c r="G57" s="70">
        <v>15894.801309524564</v>
      </c>
      <c r="H57" s="92">
        <v>7022.033275728445</v>
      </c>
      <c r="I57" s="69">
        <v>10067.863894532293</v>
      </c>
      <c r="J57" s="70">
        <v>12271.778207073228</v>
      </c>
      <c r="K57" s="92">
        <v>4484.5681621422846</v>
      </c>
      <c r="L57" s="69">
        <v>8509.4748557985258</v>
      </c>
      <c r="M57" s="70">
        <v>16575.845434341438</v>
      </c>
      <c r="N57" s="69">
        <v>5963.8990701786097</v>
      </c>
      <c r="O57" s="69">
        <v>7764.559091956562</v>
      </c>
      <c r="P57" s="70">
        <v>9887.6603109937387</v>
      </c>
    </row>
    <row r="58" spans="1:16" x14ac:dyDescent="0.2">
      <c r="A58" s="85">
        <v>54</v>
      </c>
      <c r="B58" s="94">
        <v>7193.3897654156372</v>
      </c>
      <c r="C58" s="95">
        <v>10219.876922816115</v>
      </c>
      <c r="D58" s="86">
        <v>11316.430240714835</v>
      </c>
      <c r="E58" s="92">
        <v>10198.544392674217</v>
      </c>
      <c r="F58" s="69">
        <v>14489.395387152999</v>
      </c>
      <c r="G58" s="70">
        <v>16044.051544572849</v>
      </c>
      <c r="H58" s="92">
        <v>7053.3576845101688</v>
      </c>
      <c r="I58" s="69">
        <v>9831.8544343268331</v>
      </c>
      <c r="J58" s="70">
        <v>11380.915492219083</v>
      </c>
      <c r="K58" s="92">
        <v>4526.6777072228306</v>
      </c>
      <c r="L58" s="69">
        <v>8589.3777811408108</v>
      </c>
      <c r="M58" s="70">
        <v>16731.490590202375</v>
      </c>
      <c r="N58" s="69">
        <v>5788.7562536866899</v>
      </c>
      <c r="O58" s="69">
        <v>7842.8614054799036</v>
      </c>
      <c r="P58" s="70">
        <v>9016.9370700012914</v>
      </c>
    </row>
    <row r="59" spans="1:16" x14ac:dyDescent="0.2">
      <c r="A59" s="85">
        <v>55</v>
      </c>
      <c r="B59" s="94">
        <v>7259.689690140638</v>
      </c>
      <c r="C59" s="95">
        <v>10314.071328065656</v>
      </c>
      <c r="D59" s="86">
        <v>11420.731341806615</v>
      </c>
      <c r="E59" s="92">
        <v>10292.542180586353</v>
      </c>
      <c r="F59" s="69">
        <v>14622.94102485744</v>
      </c>
      <c r="G59" s="70">
        <v>16191.926113361464</v>
      </c>
      <c r="H59" s="92">
        <v>7114.8763202825867</v>
      </c>
      <c r="I59" s="69">
        <v>10726.470855926182</v>
      </c>
      <c r="J59" s="70">
        <v>11651.43111392426</v>
      </c>
      <c r="K59" s="92">
        <v>4568.3991210528093</v>
      </c>
      <c r="L59" s="69">
        <v>8668.5442268493643</v>
      </c>
      <c r="M59" s="70">
        <v>16885.701136668351</v>
      </c>
      <c r="N59" s="69">
        <v>5695.7920304039926</v>
      </c>
      <c r="O59" s="69">
        <v>8092.7193012454663</v>
      </c>
      <c r="P59" s="70">
        <v>8497.7477398039482</v>
      </c>
    </row>
    <row r="60" spans="1:16" x14ac:dyDescent="0.2">
      <c r="A60" s="85">
        <v>56</v>
      </c>
      <c r="B60" s="94">
        <v>7325.3895785195073</v>
      </c>
      <c r="C60" s="95">
        <v>10407.413242652707</v>
      </c>
      <c r="D60" s="86">
        <v>11524.088483280681</v>
      </c>
      <c r="E60" s="92">
        <v>10385.68925728823</v>
      </c>
      <c r="F60" s="69">
        <v>14755.278030171687</v>
      </c>
      <c r="G60" s="70">
        <v>16338.462368172939</v>
      </c>
      <c r="H60" s="92">
        <v>7677.2538961337632</v>
      </c>
      <c r="I60" s="69">
        <v>10549.25444521851</v>
      </c>
      <c r="J60" s="70">
        <v>12093.330778799347</v>
      </c>
      <c r="K60" s="92">
        <v>4609.7429422261721</v>
      </c>
      <c r="L60" s="69">
        <v>8746.9941899221303</v>
      </c>
      <c r="M60" s="70">
        <v>17038.516026454163</v>
      </c>
      <c r="N60" s="69">
        <v>5704.9727084650003</v>
      </c>
      <c r="O60" s="69">
        <v>8407.1201817021283</v>
      </c>
      <c r="P60" s="70">
        <v>8882.3140855025631</v>
      </c>
    </row>
    <row r="61" spans="1:16" x14ac:dyDescent="0.2">
      <c r="A61" s="85">
        <v>57</v>
      </c>
      <c r="B61" s="94">
        <v>7390.5054331236406</v>
      </c>
      <c r="C61" s="95">
        <v>10499.925401937857</v>
      </c>
      <c r="D61" s="86">
        <v>11626.526839914019</v>
      </c>
      <c r="E61" s="92">
        <v>10478.00831068361</v>
      </c>
      <c r="F61" s="69">
        <v>14886.438636520004</v>
      </c>
      <c r="G61" s="70">
        <v>16483.696000953481</v>
      </c>
      <c r="H61" s="92">
        <v>7223.5235152252299</v>
      </c>
      <c r="I61" s="69">
        <v>11141.726953877056</v>
      </c>
      <c r="J61" s="70">
        <v>11619.744249880285</v>
      </c>
      <c r="K61" s="92">
        <v>4650.7192408886531</v>
      </c>
      <c r="L61" s="69">
        <v>8824.7467784758301</v>
      </c>
      <c r="M61" s="70">
        <v>17189.972480797856</v>
      </c>
      <c r="N61" s="69">
        <v>5276.8982330493182</v>
      </c>
      <c r="O61" s="69">
        <v>7614.0731319401348</v>
      </c>
      <c r="P61" s="70">
        <v>9156.9849882135823</v>
      </c>
    </row>
    <row r="62" spans="1:16" x14ac:dyDescent="0.2">
      <c r="A62" s="85">
        <v>58</v>
      </c>
      <c r="B62" s="94">
        <v>7455.0525576268083</v>
      </c>
      <c r="C62" s="95">
        <v>10591.629548335644</v>
      </c>
      <c r="D62" s="86">
        <v>11728.070486998266</v>
      </c>
      <c r="E62" s="92">
        <v>10569.521037802875</v>
      </c>
      <c r="F62" s="69">
        <v>15016.453669561397</v>
      </c>
      <c r="G62" s="70">
        <v>16627.661144836224</v>
      </c>
      <c r="H62" s="92">
        <v>7583.1923440270857</v>
      </c>
      <c r="I62" s="69">
        <v>10224.923096508552</v>
      </c>
      <c r="J62" s="70">
        <v>11884.897468562209</v>
      </c>
      <c r="K62" s="92">
        <v>4691.3376473815933</v>
      </c>
      <c r="L62" s="69">
        <v>8901.8202660976967</v>
      </c>
      <c r="M62" s="70">
        <v>17340.106095334024</v>
      </c>
      <c r="N62" s="69">
        <v>6120.3818480116679</v>
      </c>
      <c r="O62" s="69">
        <v>7714.5457689258255</v>
      </c>
      <c r="P62" s="70">
        <v>9198.412031641994</v>
      </c>
    </row>
    <row r="63" spans="1:16" x14ac:dyDescent="0.2">
      <c r="A63" s="85">
        <v>59</v>
      </c>
      <c r="B63" s="94">
        <v>7519.0455988061367</v>
      </c>
      <c r="C63" s="95">
        <v>10682.546490986755</v>
      </c>
      <c r="D63" s="86">
        <v>11828.742466414518</v>
      </c>
      <c r="E63" s="92">
        <v>10660.248204350599</v>
      </c>
      <c r="F63" s="69">
        <v>15145.352631790789</v>
      </c>
      <c r="G63" s="70">
        <v>16770.390467819845</v>
      </c>
      <c r="H63" s="92">
        <v>7649.9291882735961</v>
      </c>
      <c r="I63" s="69">
        <v>10663.355999884428</v>
      </c>
      <c r="J63" s="70">
        <v>11856.346792937464</v>
      </c>
      <c r="K63" s="92">
        <v>4731.6073786724737</v>
      </c>
      <c r="L63" s="69">
        <v>8978.2321419974251</v>
      </c>
      <c r="M63" s="70">
        <v>17488.95093778619</v>
      </c>
      <c r="N63" s="69">
        <v>5756.8979868674014</v>
      </c>
      <c r="O63" s="69">
        <v>8082.9486170650016</v>
      </c>
      <c r="P63" s="70">
        <v>9211.6407603564112</v>
      </c>
    </row>
    <row r="64" spans="1:16" x14ac:dyDescent="0.2">
      <c r="A64" s="85">
        <v>60</v>
      </c>
      <c r="B64" s="94">
        <v>7582.4985853525741</v>
      </c>
      <c r="C64" s="95">
        <v>10772.696160897252</v>
      </c>
      <c r="D64" s="86">
        <v>11928.564847688802</v>
      </c>
      <c r="E64" s="92">
        <v>10750.209699729725</v>
      </c>
      <c r="F64" s="69">
        <v>15273.163780713568</v>
      </c>
      <c r="G64" s="70">
        <v>16911.915259330897</v>
      </c>
      <c r="H64" s="92">
        <v>7478.4464210646947</v>
      </c>
      <c r="I64" s="69">
        <v>10681.638360080313</v>
      </c>
      <c r="J64" s="70">
        <v>11011.786875008267</v>
      </c>
      <c r="K64" s="92">
        <v>4771.5372627776578</v>
      </c>
      <c r="L64" s="69">
        <v>9053.9991573494081</v>
      </c>
      <c r="M64" s="70">
        <v>17636.539638238137</v>
      </c>
      <c r="N64" s="69">
        <v>5811.8222902578927</v>
      </c>
      <c r="O64" s="69">
        <v>8408.684407936722</v>
      </c>
      <c r="P64" s="70">
        <v>8987.3044748758948</v>
      </c>
    </row>
    <row r="65" spans="1:16" x14ac:dyDescent="0.2">
      <c r="A65" s="85">
        <v>61</v>
      </c>
      <c r="B65" s="94">
        <v>7645.4249637820467</v>
      </c>
      <c r="C65" s="95">
        <v>10862.097661958633</v>
      </c>
      <c r="D65" s="86">
        <v>12027.55878448638</v>
      </c>
      <c r="E65" s="92">
        <v>10839.424587955107</v>
      </c>
      <c r="F65" s="69">
        <v>15399.914201180114</v>
      </c>
      <c r="G65" s="70">
        <v>17052.265510319612</v>
      </c>
      <c r="H65" s="92">
        <v>7599.2548684381509</v>
      </c>
      <c r="I65" s="69">
        <v>10751.494592313313</v>
      </c>
      <c r="J65" s="70">
        <v>11891.169889888552</v>
      </c>
      <c r="K65" s="92">
        <v>4811.1357613606815</v>
      </c>
      <c r="L65" s="69">
        <v>9129.1373681729528</v>
      </c>
      <c r="M65" s="70">
        <v>17782.903472661528</v>
      </c>
      <c r="N65" s="69">
        <v>5609.4603837825234</v>
      </c>
      <c r="O65" s="69">
        <v>8858.2224333918275</v>
      </c>
      <c r="P65" s="70">
        <v>9286.1206322383368</v>
      </c>
    </row>
    <row r="66" spans="1:16" x14ac:dyDescent="0.2">
      <c r="A66" s="85">
        <v>62</v>
      </c>
      <c r="B66" s="94">
        <v>7707.8376317077109</v>
      </c>
      <c r="C66" s="95">
        <v>10950.769318218881</v>
      </c>
      <c r="D66" s="86">
        <v>12125.744566954811</v>
      </c>
      <c r="E66" s="92">
        <v>10927.911154825904</v>
      </c>
      <c r="F66" s="69">
        <v>15525.629872405088</v>
      </c>
      <c r="G66" s="70">
        <v>17191.469987470016</v>
      </c>
      <c r="H66" s="92">
        <v>7820.7007803575525</v>
      </c>
      <c r="I66" s="69">
        <v>10633.389471099188</v>
      </c>
      <c r="J66" s="70">
        <v>11947.549895873221</v>
      </c>
      <c r="K66" s="92">
        <v>4850.4109906699214</v>
      </c>
      <c r="L66" s="69">
        <v>9203.6621750616141</v>
      </c>
      <c r="M66" s="70">
        <v>17928.072440305732</v>
      </c>
      <c r="N66" s="69">
        <v>5461.6577175177699</v>
      </c>
      <c r="O66" s="69">
        <v>7662.6285882987322</v>
      </c>
      <c r="P66" s="70">
        <v>8808.7646800238872</v>
      </c>
    </row>
    <row r="67" spans="1:16" x14ac:dyDescent="0.2">
      <c r="A67" s="85">
        <v>63</v>
      </c>
      <c r="B67" s="94">
        <v>7769.7489687066154</v>
      </c>
      <c r="C67" s="95">
        <v>11038.728717735608</v>
      </c>
      <c r="D67" s="86">
        <v>12223.141670282348</v>
      </c>
      <c r="E67" s="92">
        <v>11015.686951687176</v>
      </c>
      <c r="F67" s="69">
        <v>15650.335730140925</v>
      </c>
      <c r="G67" s="70">
        <v>17329.556302044461</v>
      </c>
      <c r="H67" s="92">
        <v>7784.808750008302</v>
      </c>
      <c r="I67" s="69">
        <v>10327.163317095972</v>
      </c>
      <c r="J67" s="70">
        <v>12549.898674962187</v>
      </c>
      <c r="K67" s="92">
        <v>4889.370740962433</v>
      </c>
      <c r="L67" s="69">
        <v>9277.5883600399102</v>
      </c>
      <c r="M67" s="70">
        <v>18072.075335492114</v>
      </c>
      <c r="N67" s="69">
        <v>5771.0931718493339</v>
      </c>
      <c r="O67" s="69">
        <v>8802.5253790312781</v>
      </c>
      <c r="P67" s="70">
        <v>10114.322004469748</v>
      </c>
    </row>
    <row r="68" spans="1:16" x14ac:dyDescent="0.2">
      <c r="A68" s="85">
        <v>64</v>
      </c>
      <c r="B68" s="94">
        <v>7831.1708649898173</v>
      </c>
      <c r="C68" s="95">
        <v>11125.992753308703</v>
      </c>
      <c r="D68" s="86">
        <v>12319.768799801052</v>
      </c>
      <c r="E68" s="92">
        <v>11102.768836077506</v>
      </c>
      <c r="F68" s="69">
        <v>15774.055724427184</v>
      </c>
      <c r="G68" s="70">
        <v>17466.550973829249</v>
      </c>
      <c r="H68" s="92">
        <v>7896.1776227185674</v>
      </c>
      <c r="I68" s="69">
        <v>11474.800103522233</v>
      </c>
      <c r="J68" s="70">
        <v>12970.314870869141</v>
      </c>
      <c r="K68" s="92">
        <v>4928.0224945455975</v>
      </c>
      <c r="L68" s="69">
        <v>9350.9301207973986</v>
      </c>
      <c r="M68" s="70">
        <v>18214.939814299538</v>
      </c>
      <c r="N68" s="69">
        <v>5862.528803282541</v>
      </c>
      <c r="O68" s="69">
        <v>8529.4169491493485</v>
      </c>
      <c r="P68" s="70">
        <v>9879.7833104742749</v>
      </c>
    </row>
    <row r="69" spans="1:16" x14ac:dyDescent="0.2">
      <c r="A69" s="85">
        <v>65</v>
      </c>
      <c r="B69" s="94">
        <v>7892.1147480642539</v>
      </c>
      <c r="C69" s="95">
        <v>11212.577660359577</v>
      </c>
      <c r="D69" s="86">
        <v>12415.643932930343</v>
      </c>
      <c r="E69" s="92">
        <v>11189.173009529193</v>
      </c>
      <c r="F69" s="69">
        <v>15896.812873294521</v>
      </c>
      <c r="G69" s="70">
        <v>17602.479490600796</v>
      </c>
      <c r="H69" s="92">
        <v>8068.9379142705238</v>
      </c>
      <c r="I69" s="69">
        <v>11426.659933122239</v>
      </c>
      <c r="J69" s="70">
        <v>13011.703211066924</v>
      </c>
      <c r="K69" s="92">
        <v>4966.3734425549737</v>
      </c>
      <c r="L69" s="69">
        <v>9423.7011025246356</v>
      </c>
      <c r="M69" s="70">
        <v>18356.692456578523</v>
      </c>
      <c r="N69" s="69">
        <v>5764.8573736325452</v>
      </c>
      <c r="O69" s="69">
        <v>7898.0654478468641</v>
      </c>
      <c r="P69" s="70">
        <v>9321.7612589747987</v>
      </c>
    </row>
    <row r="70" spans="1:16" x14ac:dyDescent="0.2">
      <c r="A70" s="85">
        <v>66</v>
      </c>
      <c r="B70" s="94">
        <v>7952.5916075554378</v>
      </c>
      <c r="C70" s="95">
        <v>11298.499052197658</v>
      </c>
      <c r="D70" s="86">
        <v>12510.784358227455</v>
      </c>
      <c r="E70" s="92">
        <v>11274.915052761124</v>
      </c>
      <c r="F70" s="69">
        <v>16018.629312764273</v>
      </c>
      <c r="G70" s="70">
        <v>17737.366363490051</v>
      </c>
      <c r="H70" s="92">
        <v>7247.2438908444747</v>
      </c>
      <c r="I70" s="69">
        <v>10879.888027921348</v>
      </c>
      <c r="J70" s="70">
        <v>12198.916788157054</v>
      </c>
      <c r="K70" s="92">
        <v>5004.4305005747938</v>
      </c>
      <c r="L70" s="69">
        <v>9495.9144275531507</v>
      </c>
      <c r="M70" s="70">
        <v>18497.358823687759</v>
      </c>
      <c r="N70" s="69">
        <v>5646.2087243656824</v>
      </c>
      <c r="O70" s="69">
        <v>8287.1322154989102</v>
      </c>
      <c r="P70" s="70">
        <v>8386.2477948698361</v>
      </c>
    </row>
    <row r="71" spans="1:16" x14ac:dyDescent="0.2">
      <c r="A71" s="85">
        <v>67</v>
      </c>
      <c r="B71" s="94">
        <v>8012.6120183438998</v>
      </c>
      <c r="C71" s="95">
        <v>11383.77195289102</v>
      </c>
      <c r="D71" s="86">
        <v>12605.206711784907</v>
      </c>
      <c r="E71" s="92">
        <v>11360.009958480759</v>
      </c>
      <c r="F71" s="69">
        <v>16139.52634345132</v>
      </c>
      <c r="G71" s="70">
        <v>17871.235178585575</v>
      </c>
      <c r="H71" s="92">
        <v>7731.5874954597512</v>
      </c>
      <c r="I71" s="69">
        <v>11157.803860752458</v>
      </c>
      <c r="J71" s="70">
        <v>11846.212662895035</v>
      </c>
      <c r="K71" s="92">
        <v>5042.2003231973267</v>
      </c>
      <c r="L71" s="69">
        <v>9567.5827229818206</v>
      </c>
      <c r="M71" s="70">
        <v>18636.963512308328</v>
      </c>
      <c r="N71" s="69">
        <v>5621.9348307302207</v>
      </c>
      <c r="O71" s="69">
        <v>8536.9477521302506</v>
      </c>
      <c r="P71" s="70">
        <v>8181.8909486637531</v>
      </c>
    </row>
    <row r="72" spans="1:16" x14ac:dyDescent="0.2">
      <c r="A72" s="85">
        <v>68</v>
      </c>
      <c r="B72" s="94">
        <v>8072.1861621531589</v>
      </c>
      <c r="C72" s="95">
        <v>11468.410827937103</v>
      </c>
      <c r="D72" s="86">
        <v>12698.927011192161</v>
      </c>
      <c r="E72" s="92">
        <v>11444.472161990901</v>
      </c>
      <c r="F72" s="69">
        <v>16259.524474048047</v>
      </c>
      <c r="G72" s="70">
        <v>18004.108645083248</v>
      </c>
      <c r="H72" s="92">
        <v>8041.2254589576714</v>
      </c>
      <c r="I72" s="69">
        <v>11871.075056905302</v>
      </c>
      <c r="J72" s="70">
        <v>12553.941311097038</v>
      </c>
      <c r="K72" s="92">
        <v>5079.6893176078338</v>
      </c>
      <c r="L72" s="69">
        <v>9638.7181464543391</v>
      </c>
      <c r="M72" s="70">
        <v>18775.530204656385</v>
      </c>
      <c r="N72" s="69">
        <v>5913.6783102248628</v>
      </c>
      <c r="O72" s="69">
        <v>9060.2543565147353</v>
      </c>
      <c r="P72" s="70">
        <v>9272.8251916807531</v>
      </c>
    </row>
    <row r="73" spans="1:16" x14ac:dyDescent="0.2">
      <c r="A73" s="85">
        <v>69</v>
      </c>
      <c r="B73" s="94">
        <v>8131.3238477141513</v>
      </c>
      <c r="C73" s="95">
        <v>11552.429612910957</v>
      </c>
      <c r="D73" s="86">
        <v>12791.960687257626</v>
      </c>
      <c r="E73" s="92">
        <v>11528.315569778069</v>
      </c>
      <c r="F73" s="69">
        <v>16378.643461940788</v>
      </c>
      <c r="G73" s="70">
        <v>18136.008640260618</v>
      </c>
      <c r="H73" s="92">
        <v>8107.0546447130746</v>
      </c>
      <c r="I73" s="69">
        <v>11209.454284466759</v>
      </c>
      <c r="J73" s="70">
        <v>12380.394900114137</v>
      </c>
      <c r="K73" s="92">
        <v>5116.9036562736892</v>
      </c>
      <c r="L73" s="69">
        <v>9709.3324102368824</v>
      </c>
      <c r="M73" s="70">
        <v>18913.081715384636</v>
      </c>
      <c r="N73" s="69">
        <v>5683.7362452546677</v>
      </c>
      <c r="O73" s="69">
        <v>8330.7975669728221</v>
      </c>
      <c r="P73" s="70">
        <v>8556.9339797883949</v>
      </c>
    </row>
    <row r="74" spans="1:16" x14ac:dyDescent="0.2">
      <c r="A74" s="85">
        <v>70</v>
      </c>
      <c r="B74" s="94">
        <v>8190.0345296190753</v>
      </c>
      <c r="C74" s="95">
        <v>11635.841740251493</v>
      </c>
      <c r="D74" s="86">
        <v>12884.322613669028</v>
      </c>
      <c r="E74" s="92">
        <v>11611.553586242891</v>
      </c>
      <c r="F74" s="69">
        <v>16496.902351186545</v>
      </c>
      <c r="G74" s="70">
        <v>18266.956251528445</v>
      </c>
      <c r="H74" s="92">
        <v>7992.2958626339059</v>
      </c>
      <c r="I74" s="69">
        <v>12224.356348902842</v>
      </c>
      <c r="J74" s="70">
        <v>12607.067204817311</v>
      </c>
      <c r="K74" s="92">
        <v>5153.849288808804</v>
      </c>
      <c r="L74" s="69">
        <v>9779.4368037307977</v>
      </c>
      <c r="M74" s="70">
        <v>19049.640035435557</v>
      </c>
      <c r="N74" s="69">
        <v>5339.8365145416756</v>
      </c>
      <c r="O74" s="69">
        <v>8985.3004968519272</v>
      </c>
      <c r="P74" s="70">
        <v>9067.2042562398055</v>
      </c>
    </row>
    <row r="75" spans="1:16" x14ac:dyDescent="0.2">
      <c r="A75" s="85">
        <v>71</v>
      </c>
      <c r="B75" s="94">
        <v>8248.3273259674115</v>
      </c>
      <c r="C75" s="95">
        <v>11718.660164331741</v>
      </c>
      <c r="D75" s="86">
        <v>12976.027134753604</v>
      </c>
      <c r="E75" s="92">
        <v>11694.199138718002</v>
      </c>
      <c r="F75" s="69">
        <v>16614.319508056669</v>
      </c>
      <c r="G75" s="70">
        <v>18396.971815788071</v>
      </c>
      <c r="H75" s="92">
        <v>8461.2856604417975</v>
      </c>
      <c r="I75" s="69">
        <v>11555.456812832275</v>
      </c>
      <c r="J75" s="70">
        <v>13203.609548055661</v>
      </c>
      <c r="K75" s="92">
        <v>5190.5319530779252</v>
      </c>
      <c r="L75" s="69">
        <v>9849.0422145431221</v>
      </c>
      <c r="M75" s="70">
        <v>19185.226373085145</v>
      </c>
      <c r="N75" s="69">
        <v>5708.1500202574134</v>
      </c>
      <c r="O75" s="69">
        <v>8073.0512820790573</v>
      </c>
      <c r="P75" s="70">
        <v>9686.7656151177835</v>
      </c>
    </row>
    <row r="76" spans="1:16" x14ac:dyDescent="0.2">
      <c r="A76" s="85">
        <v>72</v>
      </c>
      <c r="B76" s="94">
        <v>8306.2110348972328</v>
      </c>
      <c r="C76" s="95">
        <v>11800.897384945452</v>
      </c>
      <c r="D76" s="86">
        <v>13067.08809148466</v>
      </c>
      <c r="E76" s="92">
        <v>11776.264700905607</v>
      </c>
      <c r="F76" s="69">
        <v>16730.912654335414</v>
      </c>
      <c r="G76" s="70">
        <v>18526.074956302728</v>
      </c>
      <c r="H76" s="92">
        <v>8641.3511941739325</v>
      </c>
      <c r="I76" s="69">
        <v>11807.432208427854</v>
      </c>
      <c r="J76" s="70">
        <v>12771.710221226953</v>
      </c>
      <c r="K76" s="92">
        <v>5226.9571855995619</v>
      </c>
      <c r="L76" s="69">
        <v>9918.1591482260737</v>
      </c>
      <c r="M76" s="70">
        <v>19319.861192394059</v>
      </c>
      <c r="N76" s="69">
        <v>5696.4465664316976</v>
      </c>
      <c r="O76" s="69">
        <v>8138.6847537052818</v>
      </c>
      <c r="P76" s="70">
        <v>8714.7532282447937</v>
      </c>
    </row>
    <row r="77" spans="1:16" x14ac:dyDescent="0.2">
      <c r="A77" s="85">
        <v>73</v>
      </c>
      <c r="B77" s="94">
        <v>8363.6941500868161</v>
      </c>
      <c r="C77" s="95">
        <v>11882.565469330657</v>
      </c>
      <c r="D77" s="86">
        <v>13157.518845868282</v>
      </c>
      <c r="E77" s="92">
        <v>11857.762314855119</v>
      </c>
      <c r="F77" s="69">
        <v>16846.698898544164</v>
      </c>
      <c r="G77" s="70">
        <v>18654.284617272075</v>
      </c>
      <c r="H77" s="92">
        <v>8139.2991511209257</v>
      </c>
      <c r="I77" s="69">
        <v>11671.906078640011</v>
      </c>
      <c r="J77" s="70">
        <v>13861.037808295278</v>
      </c>
      <c r="K77" s="92">
        <v>5263.1303313008302</v>
      </c>
      <c r="L77" s="69">
        <v>9986.797746786935</v>
      </c>
      <c r="M77" s="70">
        <v>19453.564249263589</v>
      </c>
      <c r="N77" s="69">
        <v>6061.7061168417022</v>
      </c>
      <c r="O77" s="69">
        <v>8662.3272756211918</v>
      </c>
      <c r="P77" s="70">
        <v>8396.48376218255</v>
      </c>
    </row>
    <row r="78" spans="1:16" x14ac:dyDescent="0.2">
      <c r="A78" s="85">
        <v>74</v>
      </c>
      <c r="B78" s="94">
        <v>8420.784875303747</v>
      </c>
      <c r="C78" s="95">
        <v>11963.67607284007</v>
      </c>
      <c r="D78" s="86">
        <v>13247.332303831496</v>
      </c>
      <c r="E78" s="92">
        <v>11938.703611590372</v>
      </c>
      <c r="F78" s="69">
        <v>16961.694765247299</v>
      </c>
      <c r="G78" s="70">
        <v>18781.619096282411</v>
      </c>
      <c r="H78" s="92">
        <v>8533.1524310535624</v>
      </c>
      <c r="I78" s="69">
        <v>11905.024946036443</v>
      </c>
      <c r="J78" s="70">
        <v>13964.018815729709</v>
      </c>
      <c r="K78" s="92">
        <v>5299.0565526730079</v>
      </c>
      <c r="L78" s="69">
        <v>10054.967806060678</v>
      </c>
      <c r="M78" s="70">
        <v>19586.354625276206</v>
      </c>
      <c r="N78" s="69">
        <v>5968.1677617204678</v>
      </c>
      <c r="O78" s="69">
        <v>8107.5627164466168</v>
      </c>
      <c r="P78" s="70">
        <v>8968.4081906636638</v>
      </c>
    </row>
    <row r="79" spans="1:16" x14ac:dyDescent="0.2">
      <c r="A79" s="85">
        <v>75</v>
      </c>
      <c r="B79" s="94">
        <v>8477.4911380721769</v>
      </c>
      <c r="C79" s="95">
        <v>12044.240458358632</v>
      </c>
      <c r="D79" s="86">
        <v>13336.540936723293</v>
      </c>
      <c r="E79" s="92">
        <v>12019.099830486632</v>
      </c>
      <c r="F79" s="69">
        <v>17075.916222581607</v>
      </c>
      <c r="G79" s="70">
        <v>18908.096074789937</v>
      </c>
      <c r="H79" s="92">
        <v>8319.6199148604428</v>
      </c>
      <c r="I79" s="69">
        <v>12215.338505977354</v>
      </c>
      <c r="J79" s="70">
        <v>12687.301598634589</v>
      </c>
      <c r="K79" s="92">
        <v>5334.7408383720594</v>
      </c>
      <c r="L79" s="69">
        <v>10122.678792029546</v>
      </c>
      <c r="M79" s="70">
        <v>19718.25075948501</v>
      </c>
      <c r="N79" s="69">
        <v>5626.9963702424393</v>
      </c>
      <c r="O79" s="69">
        <v>9302.7947434022972</v>
      </c>
      <c r="P79" s="70">
        <v>8860.8346432992657</v>
      </c>
    </row>
    <row r="80" spans="1:16" x14ac:dyDescent="0.2">
      <c r="A80" s="85">
        <v>76</v>
      </c>
      <c r="B80" s="94">
        <v>8533.8206025226536</v>
      </c>
      <c r="C80" s="95">
        <v>12124.269514559615</v>
      </c>
      <c r="D80" s="86">
        <v>13425.156801529545</v>
      </c>
      <c r="E80" s="92">
        <v>12098.961837488638</v>
      </c>
      <c r="F80" s="69">
        <v>17189.378708139342</v>
      </c>
      <c r="G80" s="70">
        <v>19033.7326467809</v>
      </c>
      <c r="H80" s="92">
        <v>8766.1804731070697</v>
      </c>
      <c r="I80" s="69">
        <v>12777.91324027492</v>
      </c>
      <c r="J80" s="70">
        <v>12844.958192178394</v>
      </c>
      <c r="K80" s="92">
        <v>5370.1880113048719</v>
      </c>
      <c r="L80" s="69">
        <v>10189.939856166609</v>
      </c>
      <c r="M80" s="70">
        <v>19849.270478301813</v>
      </c>
      <c r="N80" s="69">
        <v>6100.9479307136426</v>
      </c>
      <c r="O80" s="69">
        <v>7586.8986717185253</v>
      </c>
      <c r="P80" s="70">
        <v>9892.4620047591816</v>
      </c>
    </row>
    <row r="81" spans="1:16" x14ac:dyDescent="0.2">
      <c r="A81" s="85">
        <v>77</v>
      </c>
      <c r="B81" s="94">
        <v>8589.7806814835567</v>
      </c>
      <c r="C81" s="95">
        <v>12203.773773083332</v>
      </c>
      <c r="D81" s="86">
        <v>13513.191559894847</v>
      </c>
      <c r="E81" s="92">
        <v>12178.300142253402</v>
      </c>
      <c r="F81" s="69">
        <v>17302.097153323422</v>
      </c>
      <c r="G81" s="70">
        <v>19158.545345740098</v>
      </c>
      <c r="H81" s="92">
        <v>9049.8562394540295</v>
      </c>
      <c r="I81" s="69">
        <v>13528.889454738626</v>
      </c>
      <c r="J81" s="70">
        <v>12962.056350892046</v>
      </c>
      <c r="K81" s="92">
        <v>5405.4027362381166</v>
      </c>
      <c r="L81" s="69">
        <v>10256.759849873684</v>
      </c>
      <c r="M81" s="70">
        <v>19979.431023621171</v>
      </c>
      <c r="N81" s="69">
        <v>6033.6375725228299</v>
      </c>
      <c r="O81" s="69">
        <v>8441.9645130630233</v>
      </c>
      <c r="P81" s="70">
        <v>9748.3186234629684</v>
      </c>
    </row>
    <row r="82" spans="1:16" x14ac:dyDescent="0.2">
      <c r="A82" s="85">
        <v>78</v>
      </c>
      <c r="B82" s="94">
        <v>8645.3785478679838</v>
      </c>
      <c r="C82" s="95">
        <v>12282.763424714878</v>
      </c>
      <c r="D82" s="86">
        <v>13600.656496036212</v>
      </c>
      <c r="E82" s="92">
        <v>12257.124914294214</v>
      </c>
      <c r="F82" s="69">
        <v>17414.086006283851</v>
      </c>
      <c r="G82" s="70">
        <v>19282.550170048213</v>
      </c>
      <c r="H82" s="92">
        <v>8342.1693784299441</v>
      </c>
      <c r="I82" s="69">
        <v>12659.693507101474</v>
      </c>
      <c r="J82" s="70">
        <v>14244.813644570699</v>
      </c>
      <c r="K82" s="92">
        <v>5440.3895269638942</v>
      </c>
      <c r="L82" s="69">
        <v>10323.147338078095</v>
      </c>
      <c r="M82" s="70">
        <v>20108.74907930597</v>
      </c>
      <c r="N82" s="69">
        <v>6015.1643898416041</v>
      </c>
      <c r="O82" s="69">
        <v>8223.5980022469885</v>
      </c>
      <c r="P82" s="70">
        <v>8723.8267892968943</v>
      </c>
    </row>
    <row r="83" spans="1:16" x14ac:dyDescent="0.2">
      <c r="A83" s="85">
        <v>79</v>
      </c>
      <c r="B83" s="94">
        <v>8700.6211454058739</v>
      </c>
      <c r="C83" s="95">
        <v>12361.248334631509</v>
      </c>
      <c r="D83" s="86">
        <v>13687.562533626307</v>
      </c>
      <c r="E83" s="92">
        <v>12335.445998196199</v>
      </c>
      <c r="F83" s="69">
        <v>17525.35925353484</v>
      </c>
      <c r="G83" s="70">
        <v>19405.762606918401</v>
      </c>
      <c r="H83" s="92">
        <v>8568.0807994588249</v>
      </c>
      <c r="I83" s="69">
        <v>12760.762330490794</v>
      </c>
      <c r="J83" s="70">
        <v>13487.937589607765</v>
      </c>
      <c r="K83" s="92">
        <v>5475.1527530532294</v>
      </c>
      <c r="L83" s="69">
        <v>10389.110612047447</v>
      </c>
      <c r="M83" s="70">
        <v>20237.240796149577</v>
      </c>
      <c r="N83" s="69">
        <v>5734.4505051384804</v>
      </c>
      <c r="O83" s="69">
        <v>8885.3381396109653</v>
      </c>
      <c r="P83" s="70">
        <v>9366.3594784189445</v>
      </c>
    </row>
    <row r="84" spans="1:16" x14ac:dyDescent="0.2">
      <c r="A84" s="85">
        <v>80</v>
      </c>
      <c r="B84" s="94">
        <v>8755.5151987665322</v>
      </c>
      <c r="C84" s="95">
        <v>12439.238056784157</v>
      </c>
      <c r="D84" s="86">
        <v>13773.920251718071</v>
      </c>
      <c r="E84" s="92">
        <v>12413.272927967762</v>
      </c>
      <c r="F84" s="69">
        <v>17635.930440344437</v>
      </c>
      <c r="G84" s="70">
        <v>19528.197654973668</v>
      </c>
      <c r="H84" s="92">
        <v>8432.2967757505558</v>
      </c>
      <c r="I84" s="69">
        <v>12159.914463628149</v>
      </c>
      <c r="J84" s="70">
        <v>13184.264590814524</v>
      </c>
      <c r="K84" s="92">
        <v>5509.6966462260243</v>
      </c>
      <c r="L84" s="69">
        <v>10454.657701476655</v>
      </c>
      <c r="M84" s="70">
        <v>20364.921815420588</v>
      </c>
      <c r="N84" s="69">
        <v>5724.1282910459231</v>
      </c>
      <c r="O84" s="69">
        <v>8898.0576352239914</v>
      </c>
      <c r="P84" s="70">
        <v>9491.1680469249332</v>
      </c>
    </row>
    <row r="85" spans="1:16" x14ac:dyDescent="0.2">
      <c r="A85" s="85">
        <v>81</v>
      </c>
      <c r="B85" s="94">
        <v>8810.0672231135468</v>
      </c>
      <c r="C85" s="95">
        <v>12516.741847472294</v>
      </c>
      <c r="D85" s="86">
        <v>13859.739899776185</v>
      </c>
      <c r="E85" s="92">
        <v>12490.614940587191</v>
      </c>
      <c r="F85" s="69">
        <v>17745.812689980583</v>
      </c>
      <c r="G85" s="70">
        <v>19649.8698455579</v>
      </c>
      <c r="H85" s="92">
        <v>9455.5526280354916</v>
      </c>
      <c r="I85" s="69">
        <v>12193.571833475351</v>
      </c>
      <c r="J85" s="70">
        <v>14286.436991133502</v>
      </c>
      <c r="K85" s="92">
        <v>5544.0253063638011</v>
      </c>
      <c r="L85" s="69">
        <v>10519.796385897069</v>
      </c>
      <c r="M85" s="70">
        <v>20491.807291086985</v>
      </c>
      <c r="N85" s="69">
        <v>5455.5153122764495</v>
      </c>
      <c r="O85" s="69">
        <v>8109.774753525191</v>
      </c>
      <c r="P85" s="70">
        <v>8394.8302532143825</v>
      </c>
    </row>
    <row r="86" spans="1:16" x14ac:dyDescent="0.2">
      <c r="A86" s="85">
        <v>82</v>
      </c>
      <c r="B86" s="94">
        <v>8864.2835331304468</v>
      </c>
      <c r="C86" s="95">
        <v>12593.768678167027</v>
      </c>
      <c r="D86" s="86">
        <v>13945.031411875942</v>
      </c>
      <c r="E86" s="92">
        <v>12567.480988798936</v>
      </c>
      <c r="F86" s="69">
        <v>17855.018721891174</v>
      </c>
      <c r="G86" s="70">
        <v>19770.793262866624</v>
      </c>
      <c r="H86" s="92">
        <v>8616.2772770850752</v>
      </c>
      <c r="I86" s="69">
        <v>13135.776094416302</v>
      </c>
      <c r="J86" s="70">
        <v>14568.270205545006</v>
      </c>
      <c r="K86" s="92">
        <v>5578.142707189385</v>
      </c>
      <c r="L86" s="69">
        <v>10584.534205453787</v>
      </c>
      <c r="M86" s="70">
        <v>20617.911910809442</v>
      </c>
      <c r="N86" s="69">
        <v>5721.9598103631779</v>
      </c>
      <c r="O86" s="69">
        <v>8470.6488595584633</v>
      </c>
      <c r="P86" s="70">
        <v>9956.6126407664597</v>
      </c>
    </row>
    <row r="87" spans="1:16" x14ac:dyDescent="0.2">
      <c r="A87" s="85">
        <v>83</v>
      </c>
      <c r="B87" s="94">
        <v>8918.1702515524757</v>
      </c>
      <c r="C87" s="95">
        <v>12670.327247632471</v>
      </c>
      <c r="D87" s="86">
        <v>14029.804420125227</v>
      </c>
      <c r="E87" s="92">
        <v>12643.879753209676</v>
      </c>
      <c r="F87" s="69">
        <v>17963.560868889348</v>
      </c>
      <c r="G87" s="70">
        <v>19890.981562976187</v>
      </c>
      <c r="H87" s="92">
        <v>9327.7022516946363</v>
      </c>
      <c r="I87" s="69">
        <v>12605.333521424407</v>
      </c>
      <c r="J87" s="70">
        <v>15038.185922942244</v>
      </c>
      <c r="K87" s="92">
        <v>5612.0527016358355</v>
      </c>
      <c r="L87" s="69">
        <v>10648.878471093056</v>
      </c>
      <c r="M87" s="70">
        <v>20743.249915785877</v>
      </c>
      <c r="N87" s="69">
        <v>5414.5001065965153</v>
      </c>
      <c r="O87" s="69">
        <v>9244.0184119371697</v>
      </c>
      <c r="P87" s="70">
        <v>10155.947351627885</v>
      </c>
    </row>
    <row r="88" spans="1:16" x14ac:dyDescent="0.2">
      <c r="A88" s="85">
        <v>84</v>
      </c>
      <c r="B88" s="94">
        <v>8971.7333172371618</v>
      </c>
      <c r="C88" s="95">
        <v>12746.425993391811</v>
      </c>
      <c r="D88" s="86">
        <v>14114.068267360897</v>
      </c>
      <c r="E88" s="92">
        <v>12719.819653730483</v>
      </c>
      <c r="F88" s="69">
        <v>18071.451093409771</v>
      </c>
      <c r="G88" s="70">
        <v>20010.447991844292</v>
      </c>
      <c r="H88" s="92">
        <v>8891.0199978122564</v>
      </c>
      <c r="I88" s="69">
        <v>12430.879722459693</v>
      </c>
      <c r="J88" s="70">
        <v>12866.787709171647</v>
      </c>
      <c r="K88" s="92">
        <v>5645.7590269250795</v>
      </c>
      <c r="L88" s="69">
        <v>10712.836274199159</v>
      </c>
      <c r="M88" s="70">
        <v>20867.83511952313</v>
      </c>
      <c r="N88" s="69">
        <v>5469.5087131979526</v>
      </c>
      <c r="O88" s="69">
        <v>8203.1870875026943</v>
      </c>
      <c r="P88" s="70">
        <v>8653.403078344305</v>
      </c>
    </row>
    <row r="89" spans="1:16" x14ac:dyDescent="0.2">
      <c r="A89" s="85">
        <v>85</v>
      </c>
      <c r="B89" s="94">
        <v>9024.9784928037989</v>
      </c>
      <c r="C89" s="95">
        <v>12822.073102581009</v>
      </c>
      <c r="D89" s="86">
        <v>14197.832019166955</v>
      </c>
      <c r="E89" s="92">
        <v>12795.30886040782</v>
      </c>
      <c r="F89" s="69">
        <v>18178.701002896472</v>
      </c>
      <c r="G89" s="70">
        <v>20129.205402348885</v>
      </c>
      <c r="H89" s="92">
        <v>9247.186541670213</v>
      </c>
      <c r="I89" s="69">
        <v>13702.18842412646</v>
      </c>
      <c r="J89" s="70">
        <v>13844.584188518478</v>
      </c>
      <c r="K89" s="92">
        <v>5679.2653093753179</v>
      </c>
      <c r="L89" s="69">
        <v>10776.414495716341</v>
      </c>
      <c r="M89" s="70">
        <v>20991.680925606106</v>
      </c>
      <c r="N89" s="69">
        <v>5745.7577182067671</v>
      </c>
      <c r="O89" s="69">
        <v>8750.4493415202051</v>
      </c>
      <c r="P89" s="70">
        <v>8994.9268094477011</v>
      </c>
    </row>
    <row r="90" spans="1:16" x14ac:dyDescent="0.2">
      <c r="A90" s="85">
        <v>86</v>
      </c>
      <c r="B90" s="94">
        <v>9077.9113718695808</v>
      </c>
      <c r="C90" s="95">
        <v>12897.276522229346</v>
      </c>
      <c r="D90" s="86">
        <v>14281.104475258235</v>
      </c>
      <c r="E90" s="92">
        <v>12870.355303682705</v>
      </c>
      <c r="F90" s="69">
        <v>18285.321864378478</v>
      </c>
      <c r="G90" s="70">
        <v>20247.26627042767</v>
      </c>
      <c r="H90" s="92">
        <v>9515.7212908052134</v>
      </c>
      <c r="I90" s="69">
        <v>12879.236826924876</v>
      </c>
      <c r="J90" s="70">
        <v>14899.559643807221</v>
      </c>
      <c r="K90" s="92">
        <v>5712.5750689546148</v>
      </c>
      <c r="L90" s="69">
        <v>10839.61981478933</v>
      </c>
      <c r="M90" s="70">
        <v>21114.800344528667</v>
      </c>
      <c r="N90" s="69">
        <v>5408.2376313925288</v>
      </c>
      <c r="O90" s="69">
        <v>8466.3596915567541</v>
      </c>
      <c r="P90" s="70">
        <v>8668.8720351644224</v>
      </c>
    </row>
    <row r="91" spans="1:16" x14ac:dyDescent="0.2">
      <c r="A91" s="85">
        <v>87</v>
      </c>
      <c r="B91" s="94">
        <v>9130.5373859081792</v>
      </c>
      <c r="C91" s="95">
        <v>12972.043969003691</v>
      </c>
      <c r="D91" s="86">
        <v>14363.894180270185</v>
      </c>
      <c r="E91" s="92">
        <v>12944.966684114577</v>
      </c>
      <c r="F91" s="69">
        <v>18391.324618284729</v>
      </c>
      <c r="G91" s="70">
        <v>20364.642710375367</v>
      </c>
      <c r="H91" s="92">
        <v>9377.5537175066256</v>
      </c>
      <c r="I91" s="69">
        <v>12625.425862179545</v>
      </c>
      <c r="J91" s="70">
        <v>14637.221113140982</v>
      </c>
      <c r="K91" s="92">
        <v>5745.6917235968904</v>
      </c>
      <c r="L91" s="69">
        <v>10902.45871695286</v>
      </c>
      <c r="M91" s="70">
        <v>21237.206009646376</v>
      </c>
      <c r="N91" s="69">
        <v>5622.0558617784172</v>
      </c>
      <c r="O91" s="69">
        <v>8461.0547583879998</v>
      </c>
      <c r="P91" s="70">
        <v>10528.711837768282</v>
      </c>
    </row>
    <row r="92" spans="1:16" x14ac:dyDescent="0.2">
      <c r="A92" s="85">
        <v>88</v>
      </c>
      <c r="B92" s="94">
        <v>9182.8618107545826</v>
      </c>
      <c r="C92" s="95">
        <v>13046.382938450104</v>
      </c>
      <c r="D92" s="86">
        <v>14446.209433991957</v>
      </c>
      <c r="E92" s="92">
        <v>13019.150481603594</v>
      </c>
      <c r="F92" s="69">
        <v>18496.719891546563</v>
      </c>
      <c r="G92" s="70">
        <v>20481.346489351992</v>
      </c>
      <c r="H92" s="92">
        <v>10053.488538287495</v>
      </c>
      <c r="I92" s="69">
        <v>13291.400206336632</v>
      </c>
      <c r="J92" s="70">
        <v>14104.053586428534</v>
      </c>
      <c r="K92" s="92">
        <v>5778.6185932952612</v>
      </c>
      <c r="L92" s="69">
        <v>10964.937501898934</v>
      </c>
      <c r="M92" s="70">
        <v>21358.910192306448</v>
      </c>
      <c r="N92" s="69">
        <v>5894.5493091421431</v>
      </c>
      <c r="O92" s="69">
        <v>7777.8505960475486</v>
      </c>
      <c r="P92" s="70">
        <v>9297.7140701313074</v>
      </c>
    </row>
    <row r="93" spans="1:16" x14ac:dyDescent="0.2">
      <c r="A93" s="85">
        <v>89</v>
      </c>
      <c r="B93" s="94">
        <v>9234.8897727781659</v>
      </c>
      <c r="C93" s="95">
        <v>13120.300713764093</v>
      </c>
      <c r="D93" s="86">
        <v>14528.058301077839</v>
      </c>
      <c r="E93" s="92">
        <v>13092.913964142655</v>
      </c>
      <c r="F93" s="69">
        <v>18601.518010031941</v>
      </c>
      <c r="G93" s="70">
        <v>20597.389041151244</v>
      </c>
      <c r="H93" s="92">
        <v>9208.7300637264798</v>
      </c>
      <c r="I93" s="69">
        <v>12983.015326651253</v>
      </c>
      <c r="J93" s="70">
        <v>14407.225948758532</v>
      </c>
      <c r="K93" s="92">
        <v>5811.3589039867147</v>
      </c>
      <c r="L93" s="69">
        <v>11027.062290847807</v>
      </c>
      <c r="M93" s="70">
        <v>21479.924816206054</v>
      </c>
      <c r="N93" s="69">
        <v>5584.9280178187746</v>
      </c>
      <c r="O93" s="69">
        <v>8837.491237778504</v>
      </c>
      <c r="P93" s="70">
        <v>9186.8617692803055</v>
      </c>
    </row>
    <row r="94" spans="1:16" x14ac:dyDescent="0.2">
      <c r="A94" s="85">
        <v>90</v>
      </c>
      <c r="B94" s="94">
        <v>9286.6262547445458</v>
      </c>
      <c r="C94" s="95">
        <v>13193.804374118772</v>
      </c>
      <c r="D94" s="86">
        <v>14609.448620268857</v>
      </c>
      <c r="E94" s="92">
        <v>13166.264196128091</v>
      </c>
      <c r="F94" s="69">
        <v>18705.729010352708</v>
      </c>
      <c r="G94" s="70">
        <v>20712.781479274672</v>
      </c>
      <c r="H94" s="92">
        <v>9452.9900647492741</v>
      </c>
      <c r="I94" s="69">
        <v>12779.682083194395</v>
      </c>
      <c r="J94" s="70">
        <v>14362.008730556485</v>
      </c>
      <c r="K94" s="92">
        <v>5843.9157912408009</v>
      </c>
      <c r="L94" s="69">
        <v>11088.839033547451</v>
      </c>
      <c r="M94" s="70">
        <v>21600.261471026632</v>
      </c>
      <c r="N94" s="69">
        <v>5220.3494343941911</v>
      </c>
      <c r="O94" s="69">
        <v>7719.6911922807194</v>
      </c>
      <c r="P94" s="70">
        <v>8892.3203231493462</v>
      </c>
    </row>
    <row r="95" spans="1:16" x14ac:dyDescent="0.2">
      <c r="A95" s="85">
        <v>91</v>
      </c>
      <c r="B95" s="94">
        <v>9338.0761013850497</v>
      </c>
      <c r="C95" s="95">
        <v>13266.900802577533</v>
      </c>
      <c r="D95" s="86">
        <v>14690.38801315453</v>
      </c>
      <c r="E95" s="92">
        <v>13239.208046255906</v>
      </c>
      <c r="F95" s="69">
        <v>18809.362651083087</v>
      </c>
      <c r="G95" s="70">
        <v>20827.534609353806</v>
      </c>
      <c r="H95" s="92">
        <v>8942.2555725125494</v>
      </c>
      <c r="I95" s="69">
        <v>12320.046455486787</v>
      </c>
      <c r="J95" s="70">
        <v>15466.024714755564</v>
      </c>
      <c r="K95" s="92">
        <v>5876.2923037644687</v>
      </c>
      <c r="L95" s="69">
        <v>11150.273514923916</v>
      </c>
      <c r="M95" s="70">
        <v>21719.931425388291</v>
      </c>
      <c r="N95" s="69">
        <v>5672.4413913297703</v>
      </c>
      <c r="O95" s="69">
        <v>8561.4810641108415</v>
      </c>
      <c r="P95" s="70">
        <v>8937.846396067569</v>
      </c>
    </row>
    <row r="96" spans="1:16" x14ac:dyDescent="0.2">
      <c r="A96" s="85">
        <v>92</v>
      </c>
      <c r="B96" s="94">
        <v>9389.2440246915812</v>
      </c>
      <c r="C96" s="95">
        <v>13339.596693616677</v>
      </c>
      <c r="D96" s="86">
        <v>14770.883892502599</v>
      </c>
      <c r="E96" s="92">
        <v>13311.752195028639</v>
      </c>
      <c r="F96" s="69">
        <v>18912.428423424833</v>
      </c>
      <c r="G96" s="70">
        <v>20941.658940959689</v>
      </c>
      <c r="H96" s="92">
        <v>9422.021761409087</v>
      </c>
      <c r="I96" s="69">
        <v>13745.80206503774</v>
      </c>
      <c r="J96" s="70">
        <v>13627.388991865828</v>
      </c>
      <c r="K96" s="92">
        <v>5908.4914067339887</v>
      </c>
      <c r="L96" s="69">
        <v>11211.371361403639</v>
      </c>
      <c r="M96" s="70">
        <v>21838.945639165424</v>
      </c>
      <c r="N96" s="69">
        <v>5812.1450622097091</v>
      </c>
      <c r="O96" s="69">
        <v>8250.3090428632495</v>
      </c>
      <c r="P96" s="70">
        <v>9604.7263077905518</v>
      </c>
    </row>
    <row r="97" spans="1:16" x14ac:dyDescent="0.2">
      <c r="A97" s="85">
        <v>93</v>
      </c>
      <c r="B97" s="94">
        <v>9440.1346089531162</v>
      </c>
      <c r="C97" s="95">
        <v>13411.898560280948</v>
      </c>
      <c r="D97" s="86">
        <v>14850.943470182337</v>
      </c>
      <c r="E97" s="92">
        <v>13383.903141895964</v>
      </c>
      <c r="F97" s="69">
        <v>19014.935561352191</v>
      </c>
      <c r="G97" s="70">
        <v>21055.164698836328</v>
      </c>
      <c r="H97" s="92">
        <v>9596.6335934610997</v>
      </c>
      <c r="I97" s="69">
        <v>13950.273718877041</v>
      </c>
      <c r="J97" s="70">
        <v>15394.782660264882</v>
      </c>
      <c r="K97" s="92">
        <v>5940.5159849643824</v>
      </c>
      <c r="L97" s="69">
        <v>11272.138046927463</v>
      </c>
      <c r="M97" s="70">
        <v>21957.314775201339</v>
      </c>
      <c r="N97" s="69">
        <v>5697.0624774397038</v>
      </c>
      <c r="O97" s="69">
        <v>8454.7385944002526</v>
      </c>
      <c r="P97" s="70">
        <v>8959.8829651531669</v>
      </c>
    </row>
    <row r="98" spans="1:16" x14ac:dyDescent="0.2">
      <c r="A98" s="85">
        <v>94</v>
      </c>
      <c r="B98" s="94">
        <v>9490.7523155491926</v>
      </c>
      <c r="C98" s="95">
        <v>13483.812740993653</v>
      </c>
      <c r="D98" s="86">
        <v>14930.573764705427</v>
      </c>
      <c r="E98" s="92">
        <v>13455.66721205067</v>
      </c>
      <c r="F98" s="69">
        <v>19116.8930512671</v>
      </c>
      <c r="G98" s="70">
        <v>21168.061833591895</v>
      </c>
      <c r="H98" s="92">
        <v>9268.9417970402228</v>
      </c>
      <c r="I98" s="69">
        <v>13757.982988399173</v>
      </c>
      <c r="J98" s="70">
        <v>15294.622859258099</v>
      </c>
      <c r="K98" s="92">
        <v>5972.3688459258192</v>
      </c>
      <c r="L98" s="69">
        <v>11332.578898674299</v>
      </c>
      <c r="M98" s="70">
        <v>22075.049210457655</v>
      </c>
      <c r="N98" s="69">
        <v>5796.385574086944</v>
      </c>
      <c r="O98" s="69">
        <v>8507.5891598688104</v>
      </c>
      <c r="P98" s="70">
        <v>9755.9283119798638</v>
      </c>
    </row>
    <row r="99" spans="1:16" x14ac:dyDescent="0.2">
      <c r="A99" s="85">
        <v>95</v>
      </c>
      <c r="B99" s="94">
        <v>9541.1014875144392</v>
      </c>
      <c r="C99" s="95">
        <v>13555.345406041844</v>
      </c>
      <c r="D99" s="86">
        <v>15009.781608406851</v>
      </c>
      <c r="E99" s="92">
        <v>13527.05056290018</v>
      </c>
      <c r="F99" s="69">
        <v>19218.309641193548</v>
      </c>
      <c r="G99" s="70">
        <v>21280.360031879543</v>
      </c>
      <c r="H99" s="92">
        <v>9986.936399191236</v>
      </c>
      <c r="I99" s="69">
        <v>14051.896662943658</v>
      </c>
      <c r="J99" s="70">
        <v>15760.973254380991</v>
      </c>
      <c r="K99" s="92">
        <v>6004.0527226160484</v>
      </c>
      <c r="L99" s="69">
        <v>11392.699102511477</v>
      </c>
      <c r="M99" s="70">
        <v>22192.159046631292</v>
      </c>
      <c r="N99" s="69">
        <v>5671.992438956313</v>
      </c>
      <c r="O99" s="69">
        <v>8258.2612277138105</v>
      </c>
      <c r="P99" s="70">
        <v>9626.2589360762067</v>
      </c>
    </row>
    <row r="100" spans="1:16" x14ac:dyDescent="0.2">
      <c r="A100" s="85">
        <v>96</v>
      </c>
      <c r="B100" s="94">
        <v>9591.186353887515</v>
      </c>
      <c r="C100" s="95">
        <v>13626.502563754813</v>
      </c>
      <c r="D100" s="86">
        <v>15088.573654286458</v>
      </c>
      <c r="E100" s="92">
        <v>13598.059190232287</v>
      </c>
      <c r="F100" s="69">
        <v>19319.193849537325</v>
      </c>
      <c r="G100" s="70">
        <v>21392.068726097132</v>
      </c>
      <c r="H100" s="92">
        <v>9239.5799842462184</v>
      </c>
      <c r="I100" s="69">
        <v>14088.049383770503</v>
      </c>
      <c r="J100" s="70">
        <v>14922.302997241201</v>
      </c>
      <c r="K100" s="92">
        <v>6035.570276297105</v>
      </c>
      <c r="L100" s="69">
        <v>11452.503708187742</v>
      </c>
      <c r="M100" s="70">
        <v>22308.654120269821</v>
      </c>
      <c r="N100" s="69">
        <v>5810.7478702735516</v>
      </c>
      <c r="O100" s="69">
        <v>8119.7638726767436</v>
      </c>
      <c r="P100" s="70">
        <v>8907.5154399625535</v>
      </c>
    </row>
    <row r="101" spans="1:16" x14ac:dyDescent="0.2">
      <c r="A101" s="85">
        <v>97</v>
      </c>
      <c r="B101" s="94">
        <v>9641.0110338566683</v>
      </c>
      <c r="C101" s="95">
        <v>13697.290066393911</v>
      </c>
      <c r="D101" s="86">
        <v>15166.9563825306</v>
      </c>
      <c r="E101" s="92">
        <v>13668.698934092574</v>
      </c>
      <c r="F101" s="69">
        <v>19419.553973436392</v>
      </c>
      <c r="G101" s="70">
        <v>21503.197103633425</v>
      </c>
      <c r="H101" s="92">
        <v>9635.5329294164312</v>
      </c>
      <c r="I101" s="69">
        <v>12863.204691083552</v>
      </c>
      <c r="J101" s="70">
        <v>15698.862947650538</v>
      </c>
      <c r="K101" s="92">
        <v>6066.9240991040169</v>
      </c>
      <c r="L101" s="69">
        <v>11511.997634283205</v>
      </c>
      <c r="M101" s="70">
        <v>22424.544012413811</v>
      </c>
      <c r="N101" s="69">
        <v>5656.3347847789646</v>
      </c>
      <c r="O101" s="69">
        <v>8949.4724028533346</v>
      </c>
      <c r="P101" s="70">
        <v>8756.619917570144</v>
      </c>
    </row>
    <row r="102" spans="1:16" x14ac:dyDescent="0.2">
      <c r="A102" s="85">
        <v>98</v>
      </c>
      <c r="B102" s="94">
        <v>9690.5795407134392</v>
      </c>
      <c r="C102" s="95">
        <v>13767.713615769695</v>
      </c>
      <c r="D102" s="86">
        <v>15244.936106732119</v>
      </c>
      <c r="E102" s="92">
        <v>13738.975484389885</v>
      </c>
      <c r="F102" s="69">
        <v>19519.398096724653</v>
      </c>
      <c r="G102" s="70">
        <v>21613.754115686515</v>
      </c>
      <c r="H102" s="92">
        <v>9749.6935057001228</v>
      </c>
      <c r="I102" s="69">
        <v>13655.530861593379</v>
      </c>
      <c r="J102" s="70">
        <v>14961.254802370968</v>
      </c>
      <c r="K102" s="92">
        <v>6098.1167165328188</v>
      </c>
      <c r="L102" s="69">
        <v>11571.185672930416</v>
      </c>
      <c r="M102" s="70">
        <v>22539.838057793073</v>
      </c>
      <c r="N102" s="69">
        <v>5730.2628548725079</v>
      </c>
      <c r="O102" s="69">
        <v>8347.1699744216494</v>
      </c>
      <c r="P102" s="70">
        <v>9469.1445800666224</v>
      </c>
    </row>
    <row r="103" spans="1:16" x14ac:dyDescent="0.2">
      <c r="A103" s="85">
        <v>99</v>
      </c>
      <c r="B103" s="94">
        <v>9739.8957856253201</v>
      </c>
      <c r="C103" s="95">
        <v>13837.778768601816</v>
      </c>
      <c r="D103" s="86">
        <v>15322.518979825185</v>
      </c>
      <c r="E103" s="92">
        <v>13808.894386245011</v>
      </c>
      <c r="F103" s="69">
        <v>19618.734097531018</v>
      </c>
      <c r="G103" s="70">
        <v>21723.748485678123</v>
      </c>
      <c r="H103" s="92">
        <v>10006.997839850857</v>
      </c>
      <c r="I103" s="69">
        <v>14265.650158480912</v>
      </c>
      <c r="J103" s="70">
        <v>15428.572388385364</v>
      </c>
      <c r="K103" s="92">
        <v>6129.1505898146206</v>
      </c>
      <c r="L103" s="69">
        <v>11630.072494319124</v>
      </c>
      <c r="M103" s="70">
        <v>22654.545353601541</v>
      </c>
      <c r="N103" s="69">
        <v>5562.7286603828525</v>
      </c>
      <c r="O103" s="69">
        <v>8012.2226591364997</v>
      </c>
      <c r="P103" s="70">
        <v>9697.440663266414</v>
      </c>
    </row>
    <row r="104" spans="1:16" x14ac:dyDescent="0.2">
      <c r="A104" s="87">
        <v>100</v>
      </c>
      <c r="B104" s="96">
        <v>9788.963581237278</v>
      </c>
      <c r="C104" s="88">
        <v>13907.490941635879</v>
      </c>
      <c r="D104" s="89">
        <v>15399.710999751318</v>
      </c>
      <c r="E104" s="93">
        <v>13878.461045096881</v>
      </c>
      <c r="F104" s="71">
        <v>19717.569655533978</v>
      </c>
      <c r="G104" s="72">
        <v>21833.18871728655</v>
      </c>
      <c r="H104" s="93">
        <v>9730.885963137609</v>
      </c>
      <c r="I104" s="71">
        <v>14034.677946350141</v>
      </c>
      <c r="J104" s="72">
        <v>16088.33526044582</v>
      </c>
      <c r="K104" s="93">
        <v>6160.0281181819992</v>
      </c>
      <c r="L104" s="71">
        <v>11688.662650996739</v>
      </c>
      <c r="M104" s="72">
        <v>22768.674767874429</v>
      </c>
      <c r="N104" s="71">
        <v>5229.7158166500685</v>
      </c>
      <c r="O104" s="71">
        <v>7942.5533459697217</v>
      </c>
      <c r="P104" s="72">
        <v>8727.1466305965878</v>
      </c>
    </row>
  </sheetData>
  <mergeCells count="5">
    <mergeCell ref="B3:D3"/>
    <mergeCell ref="E3:G3"/>
    <mergeCell ref="H3:J3"/>
    <mergeCell ref="K3:M3"/>
    <mergeCell ref="N3:P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sigma flat</vt:lpstr>
      <vt:lpstr>EWMA </vt:lpstr>
      <vt:lpstr>monte carlo</vt:lpstr>
      <vt:lpstr>historical</vt:lpstr>
      <vt:lpstr>historical bootstrap</vt:lpstr>
      <vt:lpstr>recap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Angela Bortolato</cp:lastModifiedBy>
  <dcterms:created xsi:type="dcterms:W3CDTF">2016-05-13T15:46:46Z</dcterms:created>
  <dcterms:modified xsi:type="dcterms:W3CDTF">2026-04-09T09:17:56Z</dcterms:modified>
</cp:coreProperties>
</file>