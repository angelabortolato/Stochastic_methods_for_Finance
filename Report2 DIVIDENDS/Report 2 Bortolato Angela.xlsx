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esktop\Stochastic methods for finance\"/>
    </mc:Choice>
  </mc:AlternateContent>
  <xr:revisionPtr revIDLastSave="0" documentId="13_ncr:1_{5EDA50D6-425A-4F10-8C17-344C22D1727E}" xr6:coauthVersionLast="47" xr6:coauthVersionMax="47" xr10:uidLastSave="{00000000-0000-0000-0000-000000000000}"/>
  <bookViews>
    <workbookView xWindow="-108" yWindow="-108" windowWidth="23256" windowHeight="12456" tabRatio="554" firstSheet="3" activeTab="4" xr2:uid="{00000000-000D-0000-FFFF-FFFF00000000}"/>
  </bookViews>
  <sheets>
    <sheet name="T=1m" sheetId="2" r:id="rId1"/>
    <sheet name="T=3m" sheetId="8" r:id="rId2"/>
    <sheet name="T=6m" sheetId="9" r:id="rId3"/>
    <sheet name="T=1y" sheetId="10" r:id="rId4"/>
    <sheet name="Aggregate results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2" l="1"/>
  <c r="J6" i="12"/>
  <c r="K6" i="12"/>
  <c r="H6" i="12"/>
  <c r="J5" i="12"/>
  <c r="K5" i="12"/>
  <c r="I5" i="12"/>
  <c r="H5" i="12"/>
  <c r="I3" i="12"/>
  <c r="J3" i="12"/>
  <c r="K3" i="12"/>
  <c r="H3" i="12"/>
  <c r="G33" i="8"/>
  <c r="G33" i="9"/>
  <c r="G33" i="10"/>
  <c r="G32" i="10"/>
  <c r="G32" i="9"/>
  <c r="G32" i="8"/>
  <c r="G32" i="2"/>
  <c r="G21" i="10"/>
  <c r="G21" i="9"/>
  <c r="G21" i="8"/>
  <c r="B32" i="8" s="1"/>
  <c r="C32" i="8" s="1"/>
  <c r="G21" i="2"/>
  <c r="B29" i="2" s="1"/>
  <c r="B25" i="10"/>
  <c r="C25" i="10" s="1"/>
  <c r="A26" i="9"/>
  <c r="A27" i="9"/>
  <c r="A28" i="9"/>
  <c r="A29" i="9"/>
  <c r="A30" i="9"/>
  <c r="A31" i="9"/>
  <c r="A32" i="9"/>
  <c r="A33" i="9"/>
  <c r="A34" i="9"/>
  <c r="A25" i="9"/>
  <c r="C20" i="9"/>
  <c r="C19" i="9"/>
  <c r="C22" i="9"/>
  <c r="A22" i="9"/>
  <c r="A21" i="9"/>
  <c r="A20" i="9"/>
  <c r="A19" i="9"/>
  <c r="B19" i="9"/>
  <c r="B20" i="9"/>
  <c r="B21" i="9"/>
  <c r="B22" i="9"/>
  <c r="B18" i="9"/>
  <c r="A18" i="9"/>
  <c r="B27" i="8"/>
  <c r="C27" i="8" s="1"/>
  <c r="B28" i="8"/>
  <c r="C28" i="8" s="1"/>
  <c r="B29" i="8"/>
  <c r="B34" i="8"/>
  <c r="C34" i="8" s="1"/>
  <c r="B25" i="8"/>
  <c r="C25" i="8" s="1"/>
  <c r="B28" i="2"/>
  <c r="B33" i="2"/>
  <c r="B34" i="2"/>
  <c r="A26" i="8"/>
  <c r="A27" i="8"/>
  <c r="A28" i="8"/>
  <c r="A29" i="8"/>
  <c r="A30" i="8"/>
  <c r="A31" i="8"/>
  <c r="A32" i="8"/>
  <c r="A33" i="8"/>
  <c r="A34" i="8"/>
  <c r="A25" i="8"/>
  <c r="D19" i="8"/>
  <c r="D20" i="8"/>
  <c r="D21" i="8"/>
  <c r="D22" i="8"/>
  <c r="D18" i="8"/>
  <c r="C22" i="8"/>
  <c r="B19" i="8"/>
  <c r="B20" i="8"/>
  <c r="B21" i="8"/>
  <c r="B22" i="8"/>
  <c r="B18" i="8"/>
  <c r="A22" i="8"/>
  <c r="A21" i="8"/>
  <c r="A20" i="8"/>
  <c r="A19" i="8"/>
  <c r="A18" i="8"/>
  <c r="C22" i="2"/>
  <c r="C21" i="2"/>
  <c r="C20" i="2"/>
  <c r="C19" i="2"/>
  <c r="A18" i="2"/>
  <c r="G6" i="10"/>
  <c r="G7" i="10"/>
  <c r="G8" i="10"/>
  <c r="G9" i="10"/>
  <c r="G10" i="10"/>
  <c r="G11" i="10"/>
  <c r="G12" i="10"/>
  <c r="G13" i="10"/>
  <c r="G14" i="10"/>
  <c r="G15" i="10"/>
  <c r="D7" i="10"/>
  <c r="D8" i="10"/>
  <c r="D9" i="10"/>
  <c r="C19" i="10" s="1"/>
  <c r="D10" i="10"/>
  <c r="C18" i="10" s="1"/>
  <c r="D11" i="10"/>
  <c r="D12" i="10"/>
  <c r="D13" i="10"/>
  <c r="D14" i="10"/>
  <c r="D15" i="10"/>
  <c r="D6" i="10"/>
  <c r="C22" i="10" s="1"/>
  <c r="G7" i="9"/>
  <c r="G8" i="9"/>
  <c r="G9" i="9"/>
  <c r="G10" i="9"/>
  <c r="G11" i="9"/>
  <c r="G12" i="9"/>
  <c r="G13" i="9"/>
  <c r="G14" i="9"/>
  <c r="G15" i="9"/>
  <c r="G6" i="9"/>
  <c r="D7" i="9"/>
  <c r="D8" i="9"/>
  <c r="D9" i="9"/>
  <c r="D10" i="9"/>
  <c r="D11" i="9"/>
  <c r="D12" i="9"/>
  <c r="D13" i="9"/>
  <c r="D14" i="9"/>
  <c r="D15" i="9"/>
  <c r="D6" i="9"/>
  <c r="G7" i="8"/>
  <c r="G8" i="8"/>
  <c r="G9" i="8"/>
  <c r="G10" i="8"/>
  <c r="G11" i="8"/>
  <c r="G12" i="8"/>
  <c r="G13" i="8"/>
  <c r="G14" i="8"/>
  <c r="G15" i="8"/>
  <c r="G6" i="8"/>
  <c r="D7" i="8"/>
  <c r="C21" i="8" s="1"/>
  <c r="D8" i="8"/>
  <c r="C20" i="8" s="1"/>
  <c r="D9" i="8"/>
  <c r="C19" i="8" s="1"/>
  <c r="D10" i="8"/>
  <c r="C18" i="8" s="1"/>
  <c r="D11" i="8"/>
  <c r="D12" i="8"/>
  <c r="D13" i="8"/>
  <c r="D14" i="8"/>
  <c r="D15" i="8"/>
  <c r="D6" i="8"/>
  <c r="G7" i="2"/>
  <c r="G8" i="2"/>
  <c r="G9" i="2"/>
  <c r="G10" i="2"/>
  <c r="G11" i="2"/>
  <c r="G12" i="2"/>
  <c r="G13" i="2"/>
  <c r="G14" i="2"/>
  <c r="G15" i="2"/>
  <c r="D7" i="2"/>
  <c r="D8" i="2"/>
  <c r="D9" i="2"/>
  <c r="D10" i="2"/>
  <c r="D11" i="2"/>
  <c r="C18" i="2" s="1"/>
  <c r="D12" i="2"/>
  <c r="D13" i="2"/>
  <c r="D14" i="2"/>
  <c r="D15" i="2"/>
  <c r="A18" i="10"/>
  <c r="F1" i="8"/>
  <c r="F1" i="9"/>
  <c r="A34" i="10"/>
  <c r="A33" i="10"/>
  <c r="A32" i="10"/>
  <c r="A31" i="10"/>
  <c r="A30" i="10"/>
  <c r="A29" i="10"/>
  <c r="A28" i="10"/>
  <c r="A27" i="10"/>
  <c r="A26" i="10"/>
  <c r="A25" i="10"/>
  <c r="B22" i="10"/>
  <c r="A22" i="10"/>
  <c r="B21" i="10"/>
  <c r="A21" i="10"/>
  <c r="B20" i="10"/>
  <c r="A20" i="10"/>
  <c r="B19" i="10"/>
  <c r="A19" i="10"/>
  <c r="B18" i="10"/>
  <c r="A22" i="2"/>
  <c r="A21" i="2"/>
  <c r="A20" i="2"/>
  <c r="B19" i="2"/>
  <c r="B20" i="2"/>
  <c r="B21" i="2"/>
  <c r="B22" i="2"/>
  <c r="A19" i="2"/>
  <c r="B18" i="2"/>
  <c r="A33" i="2"/>
  <c r="A34" i="2"/>
  <c r="A25" i="2"/>
  <c r="A26" i="2"/>
  <c r="A27" i="2"/>
  <c r="A28" i="2"/>
  <c r="A29" i="2"/>
  <c r="A30" i="2"/>
  <c r="A31" i="2"/>
  <c r="A32" i="2"/>
  <c r="F1" i="2"/>
  <c r="G6" i="2"/>
  <c r="D6" i="2"/>
  <c r="B26" i="8" l="1"/>
  <c r="C26" i="8" s="1"/>
  <c r="B30" i="8"/>
  <c r="C30" i="8" s="1"/>
  <c r="B33" i="8"/>
  <c r="C33" i="8" s="1"/>
  <c r="B25" i="2"/>
  <c r="C25" i="2" s="1"/>
  <c r="B26" i="2"/>
  <c r="B27" i="2"/>
  <c r="B32" i="2"/>
  <c r="B31" i="2"/>
  <c r="B30" i="2"/>
  <c r="C18" i="9"/>
  <c r="C29" i="8"/>
  <c r="B31" i="8"/>
  <c r="C31" i="8" s="1"/>
  <c r="G22" i="8"/>
  <c r="D25" i="8" s="1"/>
  <c r="D19" i="9"/>
  <c r="C21" i="9"/>
  <c r="D21" i="9" s="1"/>
  <c r="D19" i="2"/>
  <c r="D21" i="2"/>
  <c r="D22" i="10"/>
  <c r="C20" i="10"/>
  <c r="D20" i="10" s="1"/>
  <c r="D19" i="10"/>
  <c r="C21" i="10"/>
  <c r="D21" i="10" s="1"/>
  <c r="D22" i="9"/>
  <c r="D20" i="9"/>
  <c r="D22" i="2"/>
  <c r="D20" i="2"/>
  <c r="B33" i="10" l="1"/>
  <c r="C33" i="10" s="1"/>
  <c r="D18" i="9"/>
  <c r="D18" i="10"/>
  <c r="D18" i="2"/>
  <c r="G22" i="10" l="1"/>
  <c r="B31" i="10"/>
  <c r="C31" i="10" s="1"/>
  <c r="B26" i="10"/>
  <c r="C26" i="10" s="1"/>
  <c r="B28" i="10"/>
  <c r="C28" i="10" s="1"/>
  <c r="B30" i="10"/>
  <c r="C30" i="10" s="1"/>
  <c r="B32" i="10"/>
  <c r="C32" i="10" s="1"/>
  <c r="B27" i="10"/>
  <c r="C27" i="10" s="1"/>
  <c r="B34" i="10"/>
  <c r="C34" i="10" s="1"/>
  <c r="B29" i="10"/>
  <c r="C29" i="10" s="1"/>
  <c r="C32" i="2"/>
  <c r="C29" i="2"/>
  <c r="C34" i="2"/>
  <c r="C33" i="2"/>
  <c r="C28" i="2"/>
  <c r="C30" i="2"/>
  <c r="C27" i="2"/>
  <c r="C26" i="2"/>
  <c r="G22" i="2"/>
  <c r="D25" i="2" s="1"/>
  <c r="C31" i="2"/>
  <c r="B28" i="9"/>
  <c r="G22" i="9"/>
  <c r="B31" i="9"/>
  <c r="B30" i="9"/>
  <c r="B32" i="9"/>
  <c r="B34" i="9"/>
  <c r="B29" i="9"/>
  <c r="B27" i="9"/>
  <c r="B33" i="9"/>
  <c r="C33" i="9" s="1"/>
  <c r="B25" i="9"/>
  <c r="B26" i="9"/>
  <c r="D29" i="10" l="1"/>
  <c r="D30" i="10"/>
  <c r="D34" i="10"/>
  <c r="D25" i="10"/>
  <c r="D28" i="10"/>
  <c r="D27" i="10"/>
  <c r="D33" i="10"/>
  <c r="D32" i="10"/>
  <c r="D26" i="10"/>
  <c r="D31" i="10"/>
  <c r="D33" i="2"/>
  <c r="D26" i="2"/>
  <c r="D27" i="2"/>
  <c r="D28" i="2"/>
  <c r="D29" i="2"/>
  <c r="D30" i="2"/>
  <c r="D31" i="2"/>
  <c r="D34" i="2"/>
  <c r="D32" i="2"/>
  <c r="D32" i="9"/>
  <c r="D33" i="9"/>
  <c r="D26" i="9"/>
  <c r="D27" i="9"/>
  <c r="D25" i="9"/>
  <c r="D28" i="9"/>
  <c r="D29" i="9"/>
  <c r="D30" i="9"/>
  <c r="D31" i="9"/>
  <c r="D34" i="9"/>
  <c r="D26" i="8"/>
  <c r="D34" i="8"/>
  <c r="D27" i="8"/>
  <c r="D28" i="8"/>
  <c r="D29" i="8"/>
  <c r="D32" i="8"/>
  <c r="D30" i="8"/>
  <c r="D31" i="8"/>
  <c r="D33" i="8"/>
  <c r="C25" i="9"/>
  <c r="C31" i="9"/>
  <c r="C27" i="9"/>
  <c r="C28" i="9"/>
  <c r="C29" i="9"/>
  <c r="C34" i="9"/>
  <c r="C32" i="9"/>
  <c r="C26" i="9"/>
  <c r="C30" i="9"/>
  <c r="G33" i="2" l="1"/>
</calcChain>
</file>

<file path=xl/sharedStrings.xml><?xml version="1.0" encoding="utf-8"?>
<sst xmlns="http://schemas.openxmlformats.org/spreadsheetml/2006/main" count="175" uniqueCount="50">
  <si>
    <t>CK1 - CK2 +PK2-PK1 = (K2-K1)*D(0,T)</t>
  </si>
  <si>
    <t>F(0,T)=s*exp(rT)-div</t>
  </si>
  <si>
    <t>Data updated on</t>
  </si>
  <si>
    <t>Stock</t>
  </si>
  <si>
    <t>Strike price K</t>
  </si>
  <si>
    <t>Stock price S</t>
  </si>
  <si>
    <t>call bid</t>
  </si>
  <si>
    <t>call ask</t>
  </si>
  <si>
    <t>call mid</t>
  </si>
  <si>
    <t>put bid</t>
  </si>
  <si>
    <t>put ask</t>
  </si>
  <si>
    <t>put mid</t>
  </si>
  <si>
    <t>D(0,T)</t>
  </si>
  <si>
    <t>Maturity</t>
  </si>
  <si>
    <t>1month</t>
  </si>
  <si>
    <t>Option expiry</t>
  </si>
  <si>
    <t>r=-ln(D)/T</t>
  </si>
  <si>
    <t>r</t>
  </si>
  <si>
    <t>F=(Call-Put)/D + K</t>
  </si>
  <si>
    <t>F</t>
  </si>
  <si>
    <t>D(0,T)=exp(-rT)</t>
  </si>
  <si>
    <t>div=s*exp(rT)-F</t>
  </si>
  <si>
    <t>K</t>
  </si>
  <si>
    <t>div</t>
  </si>
  <si>
    <t>q</t>
  </si>
  <si>
    <t>T=</t>
  </si>
  <si>
    <t>div = s*exp(qT)</t>
  </si>
  <si>
    <t>3month</t>
  </si>
  <si>
    <t>K1</t>
  </si>
  <si>
    <t>K2</t>
  </si>
  <si>
    <t>D</t>
  </si>
  <si>
    <t>C-P= D(0,T)*( F(0,T)- K)</t>
  </si>
  <si>
    <t>q=r−1/T ​ln(F/S0​)</t>
  </si>
  <si>
    <t>1m</t>
  </si>
  <si>
    <t>3m</t>
  </si>
  <si>
    <t>6m</t>
  </si>
  <si>
    <t>1y</t>
  </si>
  <si>
    <t>T</t>
  </si>
  <si>
    <t>MSFT</t>
  </si>
  <si>
    <t>1year</t>
  </si>
  <si>
    <t>6month</t>
  </si>
  <si>
    <t>BOOTSTRAPPING</t>
  </si>
  <si>
    <t>PV(div)</t>
  </si>
  <si>
    <t>6m-1y</t>
  </si>
  <si>
    <t>today-1m</t>
  </si>
  <si>
    <t>period</t>
  </si>
  <si>
    <t>PV(D_i)</t>
  </si>
  <si>
    <t>D_i</t>
  </si>
  <si>
    <t>1m-3m</t>
  </si>
  <si>
    <t>3m-6m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</si>
</sst>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2" fontId="0" fillId="0" borderId="6" xfId="0" applyNumberFormat="1" applyBorder="1"/>
    <xf numFmtId="2" fontId="0" fillId="0" borderId="9" xfId="0" applyNumberFormat="1" applyBorder="1"/>
    <xf numFmtId="0" fontId="2" fillId="0" borderId="0" xfId="0" applyFont="1"/>
    <xf numFmtId="0" fontId="0" fillId="0" borderId="10" xfId="0" applyBorder="1"/>
    <xf numFmtId="0" fontId="0" fillId="0" borderId="14" xfId="0" applyBorder="1"/>
    <xf numFmtId="0" fontId="0" fillId="0" borderId="0" xfId="0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7" xfId="0" applyBorder="1"/>
    <xf numFmtId="164" fontId="0" fillId="0" borderId="3" xfId="0" applyNumberFormat="1" applyBorder="1"/>
    <xf numFmtId="164" fontId="0" fillId="0" borderId="4" xfId="0" applyNumberFormat="1" applyBorder="1"/>
    <xf numFmtId="0" fontId="0" fillId="2" borderId="12" xfId="0" applyFill="1" applyBorder="1"/>
    <xf numFmtId="0" fontId="0" fillId="0" borderId="0" xfId="0" applyAlignment="1">
      <alignment wrapText="1"/>
    </xf>
    <xf numFmtId="164" fontId="0" fillId="0" borderId="0" xfId="0" applyNumberFormat="1"/>
    <xf numFmtId="164" fontId="0" fillId="0" borderId="8" xfId="0" applyNumberFormat="1" applyBorder="1"/>
    <xf numFmtId="0" fontId="3" fillId="0" borderId="1" xfId="0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0" fillId="2" borderId="12" xfId="0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3" xfId="0" applyNumberFormat="1" applyFill="1" applyBorder="1"/>
    <xf numFmtId="0" fontId="0" fillId="2" borderId="7" xfId="0" applyFill="1" applyBorder="1"/>
    <xf numFmtId="164" fontId="0" fillId="2" borderId="9" xfId="0" applyNumberFormat="1" applyFill="1" applyBorder="1"/>
    <xf numFmtId="164" fontId="0" fillId="0" borderId="6" xfId="0" applyNumberFormat="1" applyBorder="1"/>
    <xf numFmtId="164" fontId="0" fillId="0" borderId="9" xfId="0" applyNumberFormat="1" applyBorder="1"/>
    <xf numFmtId="0" fontId="4" fillId="0" borderId="0" xfId="0" applyFont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5" xfId="0" applyBorder="1"/>
    <xf numFmtId="2" fontId="0" fillId="0" borderId="13" xfId="0" applyNumberFormat="1" applyBorder="1"/>
    <xf numFmtId="0" fontId="0" fillId="0" borderId="8" xfId="0" applyBorder="1"/>
    <xf numFmtId="164" fontId="0" fillId="0" borderId="0" xfId="0" applyNumberFormat="1" applyBorder="1"/>
    <xf numFmtId="0" fontId="3" fillId="0" borderId="14" xfId="0" applyFont="1" applyBorder="1"/>
    <xf numFmtId="164" fontId="0" fillId="0" borderId="15" xfId="0" applyNumberFormat="1" applyBorder="1"/>
    <xf numFmtId="164" fontId="0" fillId="0" borderId="13" xfId="0" applyNumberForma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3" xfId="0" applyBorder="1"/>
    <xf numFmtId="164" fontId="0" fillId="0" borderId="14" xfId="0" applyNumberFormat="1" applyBorder="1"/>
    <xf numFmtId="164" fontId="3" fillId="0" borderId="14" xfId="0" applyNumberFormat="1" applyFont="1" applyBorder="1"/>
    <xf numFmtId="164" fontId="0" fillId="0" borderId="11" xfId="0" applyNumberFormat="1" applyBorder="1"/>
    <xf numFmtId="164" fontId="0" fillId="0" borderId="2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'Aggregate results'!$A$2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'Aggregate results'!$B$1:$E$1</c:f>
              <c:strCache>
                <c:ptCount val="4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</c:strCache>
            </c:strRef>
          </c:cat>
          <c:val>
            <c:numRef>
              <c:f>'Aggregate results'!$B$2:$E$2</c:f>
              <c:numCache>
                <c:formatCode>0.000</c:formatCode>
                <c:ptCount val="4"/>
                <c:pt idx="0">
                  <c:v>0.98590476190476184</c:v>
                </c:pt>
                <c:pt idx="1">
                  <c:v>0.98208571428571445</c:v>
                </c:pt>
                <c:pt idx="2">
                  <c:v>0.97444761904761867</c:v>
                </c:pt>
                <c:pt idx="3">
                  <c:v>0.94962539682539671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C-4EF2-953E-929D49EED16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473007"/>
        <c:axId val="1967469167"/>
      </c:barChart>
      <c:catAx>
        <c:axId val="196747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7469167"/>
        <c:crosses val="autoZero"/>
        <c:auto val="1"/>
        <c:lblAlgn val="ctr"/>
        <c:lblOffset val="100"/>
        <c:noMultiLvlLbl val="0"/>
      </c:catAx>
      <c:valAx>
        <c:axId val="19674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Discount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747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'Aggregate results'!$A$3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'Aggregate results'!$B$1:$E$1</c:f>
              <c:strCache>
                <c:ptCount val="4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</c:strCache>
            </c:strRef>
          </c:cat>
          <c:val>
            <c:numRef>
              <c:f>'Aggregate results'!$B$3:$E$3</c:f>
              <c:numCache>
                <c:formatCode>0.000</c:formatCode>
                <c:ptCount val="4"/>
                <c:pt idx="0">
                  <c:v>0.17034623285919606</c:v>
                </c:pt>
                <c:pt idx="1">
                  <c:v>7.2306756053950413E-2</c:v>
                </c:pt>
                <c:pt idx="2">
                  <c:v>5.1769026195697308E-2</c:v>
                </c:pt>
                <c:pt idx="3">
                  <c:v>5.168769128294378E-2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8-46EB-8C6F-10FEDF19A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870335"/>
        <c:axId val="1974870815"/>
      </c:barChart>
      <c:catAx>
        <c:axId val="197487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4870815"/>
        <c:crosses val="autoZero"/>
        <c:auto val="1"/>
        <c:lblAlgn val="ctr"/>
        <c:lblOffset val="100"/>
        <c:noMultiLvlLbl val="0"/>
      </c:catAx>
      <c:valAx>
        <c:axId val="19748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Interest</a:t>
                </a:r>
                <a:r>
                  <a:rPr lang="it-IT" baseline="0"/>
                  <a:t> rate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487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</a:t>
            </a:r>
            <a:r>
              <a:rPr lang="en-US" baseline="-25000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'Aggregate results'!$A$4</c:f>
              <c:strCache>
                <c:ptCount val="1"/>
                <c:pt idx="0">
                  <c:v>div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'Aggregate results'!$B$1:$E$1</c:f>
              <c:strCache>
                <c:ptCount val="4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</c:strCache>
            </c:strRef>
          </c:cat>
          <c:val>
            <c:numRef>
              <c:f>'Aggregate results'!$B$4:$E$4</c:f>
              <c:numCache>
                <c:formatCode>0.000</c:formatCode>
                <c:ptCount val="4"/>
                <c:pt idx="0">
                  <c:v>3.9837712519320498</c:v>
                </c:pt>
                <c:pt idx="1">
                  <c:v>4.3130751849804296</c:v>
                </c:pt>
                <c:pt idx="2">
                  <c:v>4.3859280471477673</c:v>
                </c:pt>
                <c:pt idx="3">
                  <c:v>7.8325454983085194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9-4228-978D-71146CF99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549039"/>
        <c:axId val="1965549519"/>
      </c:barChart>
      <c:catAx>
        <c:axId val="1965549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5549519"/>
        <c:crosses val="autoZero"/>
        <c:auto val="1"/>
        <c:lblAlgn val="ctr"/>
        <c:lblOffset val="100"/>
        <c:noMultiLvlLbl val="0"/>
      </c:catAx>
      <c:valAx>
        <c:axId val="19655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Dividend</a:t>
                </a:r>
                <a:r>
                  <a:rPr lang="it-IT" baseline="0"/>
                  <a:t> (USD)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554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'Aggregate results'!$A$5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'Aggregate results'!$B$1:$E$1</c:f>
              <c:strCache>
                <c:ptCount val="4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</c:strCache>
            </c:strRef>
          </c:cat>
          <c:val>
            <c:numRef>
              <c:f>'Aggregate results'!$B$5:$E$5</c:f>
              <c:numCache>
                <c:formatCode>0.000</c:formatCode>
                <c:ptCount val="4"/>
                <c:pt idx="0">
                  <c:v>0.13192788205898168</c:v>
                </c:pt>
                <c:pt idx="1">
                  <c:v>4.673504819444356E-2</c:v>
                </c:pt>
                <c:pt idx="2">
                  <c:v>2.4000974642250587E-2</c:v>
                </c:pt>
                <c:pt idx="3">
                  <c:v>2.0940475653501649E-2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F-491B-B068-4FBD57422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646095"/>
        <c:axId val="1966646575"/>
      </c:barChart>
      <c:catAx>
        <c:axId val="196664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6646575"/>
        <c:crosses val="autoZero"/>
        <c:auto val="1"/>
        <c:lblAlgn val="ctr"/>
        <c:lblOffset val="100"/>
        <c:noMultiLvlLbl val="0"/>
      </c:catAx>
      <c:valAx>
        <c:axId val="196664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Dividend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664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Bootstrapped dividends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'Aggregate results'!$H$4:$K$4</c:f>
              <c:strCache>
                <c:ptCount val="4"/>
                <c:pt idx="0">
                  <c:v>today-1m</c:v>
                </c:pt>
                <c:pt idx="1">
                  <c:v>1m-3m</c:v>
                </c:pt>
                <c:pt idx="2">
                  <c:v>3m-6m</c:v>
                </c:pt>
                <c:pt idx="3">
                  <c:v>6m-1y</c:v>
                </c:pt>
              </c:strCache>
            </c:strRef>
          </c:cat>
          <c:val>
            <c:numRef>
              <c:f>'Aggregate results'!$H$6:$K$6</c:f>
              <c:numCache>
                <c:formatCode>0.000</c:formatCode>
                <c:ptCount val="4"/>
                <c:pt idx="0">
                  <c:v>3.9837712519320498</c:v>
                </c:pt>
                <c:pt idx="1">
                  <c:v>0.31381219755807582</c:v>
                </c:pt>
                <c:pt idx="2">
                  <c:v>3.9045319937263512E-2</c:v>
                </c:pt>
                <c:pt idx="3">
                  <c:v>3.3319738443228069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F-46A0-B341-B58CB70891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7773967"/>
        <c:axId val="1987771567"/>
      </c:barChart>
      <c:catAx>
        <c:axId val="198777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7771567"/>
        <c:crosses val="autoZero"/>
        <c:auto val="1"/>
        <c:lblAlgn val="ctr"/>
        <c:lblOffset val="100"/>
        <c:noMultiLvlLbl val="0"/>
      </c:catAx>
      <c:valAx>
        <c:axId val="19877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div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777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4899</xdr:rowOff>
    </xdr:from>
    <xdr:to>
      <xdr:col>7</xdr:col>
      <xdr:colOff>304800</xdr:colOff>
      <xdr:row>21</xdr:row>
      <xdr:rowOff>4898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4D8A791-C745-FD29-B898-DA196768D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6</xdr:row>
      <xdr:rowOff>3810</xdr:rowOff>
    </xdr:from>
    <xdr:to>
      <xdr:col>15</xdr:col>
      <xdr:colOff>7620</xdr:colOff>
      <xdr:row>21</xdr:row>
      <xdr:rowOff>3810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546DBBA-5B68-C52B-C50F-656CB4EDF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</xdr:colOff>
      <xdr:row>21</xdr:row>
      <xdr:rowOff>476</xdr:rowOff>
    </xdr:from>
    <xdr:to>
      <xdr:col>7</xdr:col>
      <xdr:colOff>316706</xdr:colOff>
      <xdr:row>36</xdr:row>
      <xdr:rowOff>476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9C5348F-2693-9FE7-E6A7-8674EBBAB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320040</xdr:colOff>
      <xdr:row>21</xdr:row>
      <xdr:rowOff>3810</xdr:rowOff>
    </xdr:from>
    <xdr:to>
      <xdr:col>15</xdr:col>
      <xdr:colOff>15240</xdr:colOff>
      <xdr:row>36</xdr:row>
      <xdr:rowOff>3810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DED9A78-B00B-5E16-66DD-D6DE3DDFE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3629</xdr:colOff>
      <xdr:row>36</xdr:row>
      <xdr:rowOff>7256</xdr:rowOff>
    </xdr:from>
    <xdr:to>
      <xdr:col>11</xdr:col>
      <xdr:colOff>308429</xdr:colOff>
      <xdr:row>51</xdr:row>
      <xdr:rowOff>29028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A5313DD-3AD5-C4F3-03A1-CA3C26728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D470-CD2D-49BF-85FD-B77A2BAFF977}">
  <dimension ref="A1:I34"/>
  <sheetViews>
    <sheetView zoomScale="108" workbookViewId="0">
      <selection activeCell="G22" sqref="G22"/>
    </sheetView>
  </sheetViews>
  <sheetFormatPr defaultRowHeight="14.4" x14ac:dyDescent="0.3"/>
  <cols>
    <col min="1" max="1" width="15.6640625" bestFit="1" customWidth="1"/>
    <col min="2" max="2" width="11.33203125" bestFit="1" customWidth="1"/>
    <col min="3" max="3" width="10.5546875" bestFit="1" customWidth="1"/>
    <col min="4" max="4" width="10.6640625" bestFit="1" customWidth="1"/>
  </cols>
  <sheetData>
    <row r="1" spans="1:7" ht="21" x14ac:dyDescent="0.4">
      <c r="A1" s="11" t="s">
        <v>3</v>
      </c>
      <c r="B1" s="11" t="s">
        <v>38</v>
      </c>
      <c r="C1" t="s">
        <v>13</v>
      </c>
      <c r="D1" t="s">
        <v>14</v>
      </c>
      <c r="E1" t="s">
        <v>25</v>
      </c>
      <c r="F1">
        <f>1/12</f>
        <v>8.3333333333333329E-2</v>
      </c>
    </row>
    <row r="2" spans="1:7" x14ac:dyDescent="0.3">
      <c r="A2" s="1" t="s">
        <v>2</v>
      </c>
      <c r="B2" s="2">
        <v>46108</v>
      </c>
    </row>
    <row r="3" spans="1:7" x14ac:dyDescent="0.3">
      <c r="A3" s="3" t="s">
        <v>5</v>
      </c>
      <c r="B3" s="4">
        <v>359.22</v>
      </c>
    </row>
    <row r="4" spans="1:7" x14ac:dyDescent="0.3">
      <c r="A4" s="1" t="s">
        <v>15</v>
      </c>
      <c r="B4" s="2">
        <v>46136</v>
      </c>
      <c r="C4" t="s">
        <v>13</v>
      </c>
      <c r="D4" t="s">
        <v>14</v>
      </c>
    </row>
    <row r="5" spans="1:7" x14ac:dyDescent="0.3">
      <c r="A5" s="3" t="s">
        <v>4</v>
      </c>
      <c r="B5" s="4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 s="13">
        <v>335</v>
      </c>
      <c r="B6" s="46">
        <v>23.65</v>
      </c>
      <c r="C6" s="46">
        <v>30.45</v>
      </c>
      <c r="D6" s="47">
        <f t="shared" ref="D6:D15" si="0">(B6+C6)/2</f>
        <v>27.049999999999997</v>
      </c>
      <c r="E6" s="46">
        <v>4.8</v>
      </c>
      <c r="F6" s="46">
        <v>5.0999999999999996</v>
      </c>
      <c r="G6" s="47">
        <f t="shared" ref="G6:G15" si="1">(E6+F6)/2</f>
        <v>4.9499999999999993</v>
      </c>
    </row>
    <row r="7" spans="1:7" x14ac:dyDescent="0.3">
      <c r="A7" s="5">
        <v>340</v>
      </c>
      <c r="B7" s="45">
        <v>25.65</v>
      </c>
      <c r="C7" s="45">
        <v>26.5</v>
      </c>
      <c r="D7" s="9">
        <f t="shared" si="0"/>
        <v>26.074999999999999</v>
      </c>
      <c r="E7" s="45">
        <v>5.75</v>
      </c>
      <c r="F7" s="45">
        <v>6.15</v>
      </c>
      <c r="G7" s="9">
        <f t="shared" si="1"/>
        <v>5.95</v>
      </c>
    </row>
    <row r="8" spans="1:7" x14ac:dyDescent="0.3">
      <c r="A8" s="5">
        <v>345</v>
      </c>
      <c r="B8" s="45">
        <v>21.35</v>
      </c>
      <c r="C8" s="45">
        <v>22.75</v>
      </c>
      <c r="D8" s="9">
        <f t="shared" si="0"/>
        <v>22.05</v>
      </c>
      <c r="E8" s="45">
        <v>7</v>
      </c>
      <c r="F8" s="45">
        <v>7.4</v>
      </c>
      <c r="G8" s="9">
        <f t="shared" si="1"/>
        <v>7.2</v>
      </c>
    </row>
    <row r="9" spans="1:7" x14ac:dyDescent="0.3">
      <c r="A9" s="5">
        <v>350</v>
      </c>
      <c r="B9" s="45">
        <v>18.5</v>
      </c>
      <c r="C9" s="45">
        <v>19.350000000000001</v>
      </c>
      <c r="D9" s="9">
        <f t="shared" si="0"/>
        <v>18.925000000000001</v>
      </c>
      <c r="E9" s="45">
        <v>8.5</v>
      </c>
      <c r="F9" s="45">
        <v>8.85</v>
      </c>
      <c r="G9" s="9">
        <f t="shared" si="1"/>
        <v>8.6750000000000007</v>
      </c>
    </row>
    <row r="10" spans="1:7" x14ac:dyDescent="0.3">
      <c r="A10" s="6">
        <v>355</v>
      </c>
      <c r="B10" s="48">
        <v>15.4</v>
      </c>
      <c r="C10" s="48">
        <v>16.350000000000001</v>
      </c>
      <c r="D10" s="10">
        <f t="shared" si="0"/>
        <v>15.875</v>
      </c>
      <c r="E10" s="48">
        <v>10.25</v>
      </c>
      <c r="F10" s="48">
        <v>10.65</v>
      </c>
      <c r="G10" s="10">
        <f t="shared" si="1"/>
        <v>10.45</v>
      </c>
    </row>
    <row r="11" spans="1:7" x14ac:dyDescent="0.3">
      <c r="A11" s="13">
        <v>360</v>
      </c>
      <c r="B11" s="46">
        <v>12.5</v>
      </c>
      <c r="C11" s="46">
        <v>13.1</v>
      </c>
      <c r="D11" s="47">
        <f t="shared" si="0"/>
        <v>12.8</v>
      </c>
      <c r="E11" s="46">
        <v>12.35</v>
      </c>
      <c r="F11" s="46">
        <v>12.7</v>
      </c>
      <c r="G11" s="47">
        <f t="shared" si="1"/>
        <v>12.524999999999999</v>
      </c>
    </row>
    <row r="12" spans="1:7" x14ac:dyDescent="0.3">
      <c r="A12" s="5">
        <v>365</v>
      </c>
      <c r="B12" s="45">
        <v>10.1</v>
      </c>
      <c r="C12" s="45">
        <v>10.45</v>
      </c>
      <c r="D12" s="9">
        <f t="shared" si="0"/>
        <v>10.274999999999999</v>
      </c>
      <c r="E12" s="45">
        <v>14.55</v>
      </c>
      <c r="F12" s="45">
        <v>15.2</v>
      </c>
      <c r="G12" s="9">
        <f t="shared" si="1"/>
        <v>14.875</v>
      </c>
    </row>
    <row r="13" spans="1:7" x14ac:dyDescent="0.3">
      <c r="A13" s="5">
        <v>370</v>
      </c>
      <c r="B13" s="45">
        <v>7.7</v>
      </c>
      <c r="C13" s="45">
        <v>8.35</v>
      </c>
      <c r="D13" s="9">
        <f t="shared" si="0"/>
        <v>8.0250000000000004</v>
      </c>
      <c r="E13" s="45">
        <v>17.55</v>
      </c>
      <c r="F13" s="45">
        <v>18.05</v>
      </c>
      <c r="G13" s="9">
        <f t="shared" si="1"/>
        <v>17.8</v>
      </c>
    </row>
    <row r="14" spans="1:7" x14ac:dyDescent="0.3">
      <c r="A14" s="5">
        <v>375</v>
      </c>
      <c r="B14" s="45">
        <v>6.25</v>
      </c>
      <c r="C14" s="45">
        <v>6.45</v>
      </c>
      <c r="D14" s="9">
        <f t="shared" si="0"/>
        <v>6.35</v>
      </c>
      <c r="E14" s="45">
        <v>20.6</v>
      </c>
      <c r="F14" s="45">
        <v>21.35</v>
      </c>
      <c r="G14" s="9">
        <f t="shared" si="1"/>
        <v>20.975000000000001</v>
      </c>
    </row>
    <row r="15" spans="1:7" x14ac:dyDescent="0.3">
      <c r="A15" s="6">
        <v>380</v>
      </c>
      <c r="B15" s="48">
        <v>4.45</v>
      </c>
      <c r="C15" s="48">
        <v>4.95</v>
      </c>
      <c r="D15" s="10">
        <f t="shared" si="0"/>
        <v>4.7</v>
      </c>
      <c r="E15" s="48">
        <v>24.1</v>
      </c>
      <c r="F15" s="48">
        <v>24.95</v>
      </c>
      <c r="G15" s="10">
        <f t="shared" si="1"/>
        <v>24.524999999999999</v>
      </c>
    </row>
    <row r="17" spans="1:9" x14ac:dyDescent="0.3">
      <c r="A17" s="15" t="s">
        <v>28</v>
      </c>
      <c r="B17" s="13" t="s">
        <v>29</v>
      </c>
      <c r="C17" s="13" t="s">
        <v>12</v>
      </c>
      <c r="D17" s="55" t="s">
        <v>17</v>
      </c>
      <c r="F17" s="44" t="s">
        <v>0</v>
      </c>
      <c r="G17" s="44"/>
      <c r="H17" s="44"/>
      <c r="I17" s="44"/>
    </row>
    <row r="18" spans="1:9" x14ac:dyDescent="0.3">
      <c r="A18" s="15">
        <f>A10</f>
        <v>355</v>
      </c>
      <c r="B18" s="13">
        <f>A11</f>
        <v>360</v>
      </c>
      <c r="C18" s="56">
        <f>(D10-D11+G11-G10)/(B18-A18)</f>
        <v>1.0299999999999998</v>
      </c>
      <c r="D18" s="52">
        <f t="shared" ref="D18:D22" si="2">-LN(C18)/F$1</f>
        <v>-0.35470562689853058</v>
      </c>
      <c r="F18" s="41" t="s">
        <v>20</v>
      </c>
      <c r="G18" s="43"/>
    </row>
    <row r="19" spans="1:9" x14ac:dyDescent="0.3">
      <c r="A19" s="7">
        <f>A9</f>
        <v>350</v>
      </c>
      <c r="B19" s="5">
        <f>A12</f>
        <v>365</v>
      </c>
      <c r="C19" s="18">
        <f>(D9-D12+G12-G9)/(B19-A19)</f>
        <v>0.9900000000000001</v>
      </c>
      <c r="D19" s="34">
        <f t="shared" si="2"/>
        <v>0.12060403024201606</v>
      </c>
      <c r="F19" s="6" t="s">
        <v>16</v>
      </c>
      <c r="G19" s="14"/>
    </row>
    <row r="20" spans="1:9" x14ac:dyDescent="0.3">
      <c r="A20" s="7">
        <f>A8</f>
        <v>345</v>
      </c>
      <c r="B20" s="5">
        <f>A13</f>
        <v>370</v>
      </c>
      <c r="C20" s="18">
        <f>(D8-D13+G13-G8)/(B20-A20)</f>
        <v>0.9850000000000001</v>
      </c>
      <c r="D20" s="34">
        <f t="shared" si="2"/>
        <v>0.18136365372057686</v>
      </c>
      <c r="F20" s="14"/>
      <c r="G20" s="14"/>
      <c r="H20" s="14"/>
    </row>
    <row r="21" spans="1:9" x14ac:dyDescent="0.3">
      <c r="A21" s="7">
        <f>A7</f>
        <v>340</v>
      </c>
      <c r="B21" s="5">
        <f>A14</f>
        <v>375</v>
      </c>
      <c r="C21" s="18">
        <f>(D7-D14+G14-G7)/(B21-A21)</f>
        <v>0.99285714285714288</v>
      </c>
      <c r="D21" s="34">
        <f t="shared" si="2"/>
        <v>8.60218737433502E-2</v>
      </c>
      <c r="F21" s="27" t="s">
        <v>30</v>
      </c>
      <c r="G21" s="28">
        <f>AVERAGE(C18:C22)</f>
        <v>0.98590476190476184</v>
      </c>
      <c r="H21" s="14"/>
    </row>
    <row r="22" spans="1:9" x14ac:dyDescent="0.3">
      <c r="A22" s="17">
        <f>A6</f>
        <v>335</v>
      </c>
      <c r="B22" s="6">
        <f>A15</f>
        <v>380</v>
      </c>
      <c r="C22" s="19">
        <f>(D6-D15+G15-G6)/(B22-A22)</f>
        <v>0.93166666666666664</v>
      </c>
      <c r="D22" s="35">
        <f t="shared" si="2"/>
        <v>0.84936218473256686</v>
      </c>
      <c r="F22" s="29" t="s">
        <v>17</v>
      </c>
      <c r="G22" s="30">
        <f>-LN(G21)/F1</f>
        <v>0.17034623285919606</v>
      </c>
      <c r="H22" s="14"/>
    </row>
    <row r="24" spans="1:9" x14ac:dyDescent="0.3">
      <c r="A24" s="15" t="s">
        <v>22</v>
      </c>
      <c r="B24" s="13" t="s">
        <v>19</v>
      </c>
      <c r="C24" s="46" t="s">
        <v>23</v>
      </c>
      <c r="D24" s="50" t="s">
        <v>24</v>
      </c>
    </row>
    <row r="25" spans="1:9" x14ac:dyDescent="0.3">
      <c r="A25" s="15">
        <f t="shared" ref="A25:A34" si="3">A6</f>
        <v>335</v>
      </c>
      <c r="B25" s="56">
        <f>(D6-G6)/G$21 +A25</f>
        <v>357.41595826893354</v>
      </c>
      <c r="C25" s="51">
        <f>B$3/G$21-B25</f>
        <v>6.9397217928903387</v>
      </c>
      <c r="D25" s="57">
        <f>G$22-LN(B25/B$3)/F$1</f>
        <v>0.23076337004948072</v>
      </c>
      <c r="F25" s="41" t="s">
        <v>31</v>
      </c>
      <c r="G25" s="42"/>
      <c r="H25" s="43"/>
    </row>
    <row r="26" spans="1:9" x14ac:dyDescent="0.3">
      <c r="A26" s="7">
        <f t="shared" si="3"/>
        <v>340</v>
      </c>
      <c r="B26" s="18">
        <f t="shared" ref="B26:B34" si="4">(D7-G7)/G$21 +A26</f>
        <v>360.41272217928901</v>
      </c>
      <c r="C26" s="49">
        <f>B$3/G$21-B26</f>
        <v>3.9429578825348699</v>
      </c>
      <c r="D26" s="25">
        <f>G$22-LN(B26/B$3)/F$1</f>
        <v>0.1305684995351169</v>
      </c>
      <c r="F26" s="53" t="s">
        <v>18</v>
      </c>
      <c r="G26" s="53"/>
    </row>
    <row r="27" spans="1:9" x14ac:dyDescent="0.3">
      <c r="A27" s="7">
        <f t="shared" si="3"/>
        <v>345</v>
      </c>
      <c r="B27" s="18">
        <f t="shared" si="4"/>
        <v>360.06230680061822</v>
      </c>
      <c r="C27" s="49">
        <f>B$3/G$21-B27</f>
        <v>4.2933732612056588</v>
      </c>
      <c r="D27" s="25">
        <f>G$22-LN(B27/B$3)/F$1</f>
        <v>0.14224131179502367</v>
      </c>
      <c r="F27" s="53" t="s">
        <v>1</v>
      </c>
      <c r="G27" s="53"/>
    </row>
    <row r="28" spans="1:9" x14ac:dyDescent="0.3">
      <c r="A28" s="7">
        <f t="shared" si="3"/>
        <v>350</v>
      </c>
      <c r="B28" s="18">
        <f t="shared" si="4"/>
        <v>360.39654173106646</v>
      </c>
      <c r="C28" s="49">
        <f>B$3/G$21-B28</f>
        <v>3.9591383307574119</v>
      </c>
      <c r="D28" s="25">
        <f>G$22-LN(B28/B$3)/F$1</f>
        <v>0.13110724227449441</v>
      </c>
      <c r="F28" s="53" t="s">
        <v>21</v>
      </c>
      <c r="G28" s="53"/>
    </row>
    <row r="29" spans="1:9" x14ac:dyDescent="0.3">
      <c r="A29" s="7">
        <f t="shared" si="3"/>
        <v>355</v>
      </c>
      <c r="B29" s="18">
        <f t="shared" si="4"/>
        <v>360.50255989180835</v>
      </c>
      <c r="C29" s="49">
        <f>B$3/G$21-B29</f>
        <v>3.8531201700155293</v>
      </c>
      <c r="D29" s="25">
        <f>G$22-LN(B29/B$3)/F$1</f>
        <v>0.12757771106767127</v>
      </c>
      <c r="F29" s="53" t="s">
        <v>26</v>
      </c>
      <c r="G29" s="53"/>
    </row>
    <row r="30" spans="1:9" x14ac:dyDescent="0.3">
      <c r="A30" s="7">
        <f t="shared" si="3"/>
        <v>360</v>
      </c>
      <c r="B30" s="18">
        <f t="shared" si="4"/>
        <v>360.27893160741888</v>
      </c>
      <c r="C30" s="49">
        <f>B$3/G$21-B30</f>
        <v>4.0767484544049921</v>
      </c>
      <c r="D30" s="25">
        <f>G$22-LN(B30/B$3)/F$1</f>
        <v>0.13502390531774114</v>
      </c>
      <c r="F30" s="54" t="s">
        <v>32</v>
      </c>
      <c r="G30" s="54"/>
    </row>
    <row r="31" spans="1:9" x14ac:dyDescent="0.3">
      <c r="A31" s="7">
        <f t="shared" si="3"/>
        <v>365</v>
      </c>
      <c r="B31" s="18">
        <f t="shared" si="4"/>
        <v>360.33423493044825</v>
      </c>
      <c r="C31" s="49">
        <f>B$3/G$21-B31</f>
        <v>4.0214451313756285</v>
      </c>
      <c r="D31" s="25">
        <f>G$22-LN(B31/B$3)/F$1</f>
        <v>0.13318202979153265</v>
      </c>
    </row>
    <row r="32" spans="1:9" x14ac:dyDescent="0.3">
      <c r="A32" s="7">
        <f t="shared" si="3"/>
        <v>370</v>
      </c>
      <c r="B32" s="18">
        <f t="shared" si="4"/>
        <v>360.0852492272025</v>
      </c>
      <c r="C32" s="49">
        <f>B$3/G$21-B32</f>
        <v>4.2704308346213793</v>
      </c>
      <c r="D32" s="25">
        <f>G$22-LN(B32/B$3)/F$1</f>
        <v>0.14147672093638622</v>
      </c>
      <c r="F32" s="20" t="s">
        <v>23</v>
      </c>
      <c r="G32" s="31">
        <f>AVERAGE(C29:C31)</f>
        <v>3.9837712519320498</v>
      </c>
    </row>
    <row r="33" spans="1:7" x14ac:dyDescent="0.3">
      <c r="A33" s="7">
        <f t="shared" si="3"/>
        <v>375</v>
      </c>
      <c r="B33" s="18">
        <f t="shared" si="4"/>
        <v>360.16590996908809</v>
      </c>
      <c r="C33" s="49">
        <f>B$3/G$21-B33</f>
        <v>4.1897700927357846</v>
      </c>
      <c r="D33" s="25">
        <f>G$22-LN(B33/B$3)/F$1</f>
        <v>0.13878896710408864</v>
      </c>
      <c r="F33" s="32" t="s">
        <v>24</v>
      </c>
      <c r="G33" s="33">
        <f>AVERAGE(D29:D31)</f>
        <v>0.13192788205898168</v>
      </c>
    </row>
    <row r="34" spans="1:7" x14ac:dyDescent="0.3">
      <c r="A34" s="17">
        <f t="shared" si="3"/>
        <v>380</v>
      </c>
      <c r="B34" s="19">
        <f t="shared" si="4"/>
        <v>359.89156684698611</v>
      </c>
      <c r="C34" s="23">
        <f>B$3/G$21-B34</f>
        <v>4.4641132148377665</v>
      </c>
      <c r="D34" s="26">
        <f>G$22-LN(B34/B$3)/F$1</f>
        <v>0.14793300832445899</v>
      </c>
    </row>
  </sheetData>
  <mergeCells count="8">
    <mergeCell ref="F28:G28"/>
    <mergeCell ref="F29:G29"/>
    <mergeCell ref="F30:G30"/>
    <mergeCell ref="F25:H25"/>
    <mergeCell ref="F17:I17"/>
    <mergeCell ref="F18:G18"/>
    <mergeCell ref="F26:G26"/>
    <mergeCell ref="F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9563-359C-419E-82D0-4B4E4F4A2D33}">
  <dimension ref="A1:N34"/>
  <sheetViews>
    <sheetView topLeftCell="A20" zoomScale="108" workbookViewId="0">
      <selection activeCell="G34" sqref="G34"/>
    </sheetView>
  </sheetViews>
  <sheetFormatPr defaultRowHeight="14.4" x14ac:dyDescent="0.3"/>
  <cols>
    <col min="1" max="1" width="15.6640625" bestFit="1" customWidth="1"/>
    <col min="2" max="2" width="11.33203125" bestFit="1" customWidth="1"/>
    <col min="3" max="3" width="10.5546875" bestFit="1" customWidth="1"/>
    <col min="4" max="4" width="10.6640625" bestFit="1" customWidth="1"/>
  </cols>
  <sheetData>
    <row r="1" spans="1:7" ht="21" x14ac:dyDescent="0.4">
      <c r="A1" s="11" t="s">
        <v>3</v>
      </c>
      <c r="B1" s="11" t="s">
        <v>38</v>
      </c>
      <c r="C1" t="s">
        <v>13</v>
      </c>
      <c r="D1" t="s">
        <v>27</v>
      </c>
      <c r="E1" t="s">
        <v>25</v>
      </c>
      <c r="F1">
        <f>3/12</f>
        <v>0.25</v>
      </c>
    </row>
    <row r="2" spans="1:7" x14ac:dyDescent="0.3">
      <c r="A2" s="1" t="s">
        <v>2</v>
      </c>
      <c r="B2" s="2">
        <v>46108</v>
      </c>
    </row>
    <row r="3" spans="1:7" x14ac:dyDescent="0.3">
      <c r="A3" s="3" t="s">
        <v>5</v>
      </c>
      <c r="B3" s="4">
        <v>359.37</v>
      </c>
    </row>
    <row r="4" spans="1:7" x14ac:dyDescent="0.3">
      <c r="A4" s="1" t="s">
        <v>15</v>
      </c>
      <c r="B4" s="2">
        <v>46191</v>
      </c>
      <c r="C4" t="s">
        <v>13</v>
      </c>
      <c r="D4" t="s">
        <v>27</v>
      </c>
    </row>
    <row r="5" spans="1:7" x14ac:dyDescent="0.3">
      <c r="A5" s="3" t="s">
        <v>4</v>
      </c>
      <c r="B5" s="4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 s="13">
        <v>335</v>
      </c>
      <c r="B6" s="46">
        <v>37.75</v>
      </c>
      <c r="C6" s="46">
        <v>40.15</v>
      </c>
      <c r="D6" s="47">
        <f>(B6+C6)/2</f>
        <v>38.950000000000003</v>
      </c>
      <c r="E6" s="46">
        <v>13.15</v>
      </c>
      <c r="F6" s="46">
        <v>13.3</v>
      </c>
      <c r="G6" s="47">
        <f>(E6+F6)/2</f>
        <v>13.225000000000001</v>
      </c>
    </row>
    <row r="7" spans="1:7" x14ac:dyDescent="0.3">
      <c r="A7" s="5">
        <v>340</v>
      </c>
      <c r="B7" s="45">
        <v>34.75</v>
      </c>
      <c r="C7" s="45">
        <v>35.700000000000003</v>
      </c>
      <c r="D7" s="9">
        <f t="shared" ref="D7:D15" si="0">(B7+C7)/2</f>
        <v>35.225000000000001</v>
      </c>
      <c r="E7" s="45">
        <v>14.7</v>
      </c>
      <c r="F7" s="45">
        <v>14.9</v>
      </c>
      <c r="G7" s="9">
        <f t="shared" ref="G7:G15" si="1">(E7+F7)/2</f>
        <v>14.8</v>
      </c>
    </row>
    <row r="8" spans="1:7" x14ac:dyDescent="0.3">
      <c r="A8" s="5">
        <v>345</v>
      </c>
      <c r="B8" s="45">
        <v>31.2</v>
      </c>
      <c r="C8" s="45">
        <v>33.4</v>
      </c>
      <c r="D8" s="9">
        <f t="shared" si="0"/>
        <v>32.299999999999997</v>
      </c>
      <c r="E8" s="45">
        <v>16.45</v>
      </c>
      <c r="F8" s="45">
        <v>16.649999999999999</v>
      </c>
      <c r="G8" s="9">
        <f t="shared" si="1"/>
        <v>16.549999999999997</v>
      </c>
    </row>
    <row r="9" spans="1:7" x14ac:dyDescent="0.3">
      <c r="A9" s="5">
        <v>350</v>
      </c>
      <c r="B9" s="45">
        <v>29.7</v>
      </c>
      <c r="C9" s="45">
        <v>30.3</v>
      </c>
      <c r="D9" s="9">
        <f t="shared" si="0"/>
        <v>30</v>
      </c>
      <c r="E9" s="45">
        <v>18.350000000000001</v>
      </c>
      <c r="F9" s="45">
        <v>18.55</v>
      </c>
      <c r="G9" s="9">
        <f t="shared" si="1"/>
        <v>18.450000000000003</v>
      </c>
    </row>
    <row r="10" spans="1:7" x14ac:dyDescent="0.3">
      <c r="A10" s="6">
        <v>355</v>
      </c>
      <c r="B10" s="48">
        <v>27</v>
      </c>
      <c r="C10" s="48">
        <v>27.2</v>
      </c>
      <c r="D10" s="10">
        <f t="shared" si="0"/>
        <v>27.1</v>
      </c>
      <c r="E10" s="48">
        <v>20.399999999999999</v>
      </c>
      <c r="F10" s="48">
        <v>20.6</v>
      </c>
      <c r="G10" s="10">
        <f t="shared" si="1"/>
        <v>20.5</v>
      </c>
    </row>
    <row r="11" spans="1:7" x14ac:dyDescent="0.3">
      <c r="A11" s="5">
        <v>360</v>
      </c>
      <c r="B11" s="45">
        <v>24.2</v>
      </c>
      <c r="C11" s="45">
        <v>24.45</v>
      </c>
      <c r="D11" s="9">
        <f t="shared" si="0"/>
        <v>24.324999999999999</v>
      </c>
      <c r="E11" s="45">
        <v>22.6</v>
      </c>
      <c r="F11" s="45">
        <v>22.85</v>
      </c>
      <c r="G11" s="9">
        <f t="shared" si="1"/>
        <v>22.725000000000001</v>
      </c>
    </row>
    <row r="12" spans="1:7" x14ac:dyDescent="0.3">
      <c r="A12" s="5">
        <v>365</v>
      </c>
      <c r="B12" s="45">
        <v>21.65</v>
      </c>
      <c r="C12" s="45">
        <v>21.85</v>
      </c>
      <c r="D12" s="9">
        <f t="shared" si="0"/>
        <v>21.75</v>
      </c>
      <c r="E12" s="45">
        <v>25.1</v>
      </c>
      <c r="F12" s="45">
        <v>25.3</v>
      </c>
      <c r="G12" s="9">
        <f t="shared" si="1"/>
        <v>25.200000000000003</v>
      </c>
    </row>
    <row r="13" spans="1:7" x14ac:dyDescent="0.3">
      <c r="A13" s="5">
        <v>370</v>
      </c>
      <c r="B13" s="45">
        <v>19.3</v>
      </c>
      <c r="C13" s="45">
        <v>19.5</v>
      </c>
      <c r="D13" s="9">
        <f t="shared" si="0"/>
        <v>19.399999999999999</v>
      </c>
      <c r="E13" s="45">
        <v>27.65</v>
      </c>
      <c r="F13" s="45">
        <v>27.85</v>
      </c>
      <c r="G13" s="9">
        <f t="shared" si="1"/>
        <v>27.75</v>
      </c>
    </row>
    <row r="14" spans="1:7" x14ac:dyDescent="0.3">
      <c r="A14" s="5">
        <v>375</v>
      </c>
      <c r="B14" s="45">
        <v>17.05</v>
      </c>
      <c r="C14" s="45">
        <v>17.25</v>
      </c>
      <c r="D14" s="9">
        <f t="shared" si="0"/>
        <v>17.149999999999999</v>
      </c>
      <c r="E14" s="45">
        <v>30.4</v>
      </c>
      <c r="F14" s="45">
        <v>30.7</v>
      </c>
      <c r="G14" s="9">
        <f t="shared" si="1"/>
        <v>30.549999999999997</v>
      </c>
    </row>
    <row r="15" spans="1:7" x14ac:dyDescent="0.3">
      <c r="A15" s="6">
        <v>380</v>
      </c>
      <c r="B15" s="48">
        <v>15.05</v>
      </c>
      <c r="C15" s="48">
        <v>15.25</v>
      </c>
      <c r="D15" s="10">
        <f t="shared" si="0"/>
        <v>15.15</v>
      </c>
      <c r="E15" s="48">
        <v>33.4</v>
      </c>
      <c r="F15" s="48">
        <v>33.65</v>
      </c>
      <c r="G15" s="10">
        <f t="shared" si="1"/>
        <v>33.524999999999999</v>
      </c>
    </row>
    <row r="17" spans="1:14" x14ac:dyDescent="0.3">
      <c r="A17" s="15" t="s">
        <v>28</v>
      </c>
      <c r="B17" s="13" t="s">
        <v>29</v>
      </c>
      <c r="C17" s="13" t="s">
        <v>12</v>
      </c>
      <c r="D17" s="55" t="s">
        <v>17</v>
      </c>
      <c r="F17" s="44" t="s">
        <v>0</v>
      </c>
      <c r="G17" s="44"/>
      <c r="H17" s="44"/>
      <c r="I17" s="44"/>
      <c r="J17" s="21"/>
      <c r="K17" s="21"/>
      <c r="L17" s="21"/>
      <c r="M17" s="21"/>
    </row>
    <row r="18" spans="1:14" x14ac:dyDescent="0.3">
      <c r="A18" s="15">
        <f>A10</f>
        <v>355</v>
      </c>
      <c r="B18" s="13">
        <f>A11</f>
        <v>360</v>
      </c>
      <c r="C18" s="56">
        <f>(D10-D11+G11-G10)/(B18-A18)</f>
        <v>1.0000000000000007</v>
      </c>
      <c r="D18" s="52">
        <f>-LN(C18)/F$1</f>
        <v>-2.6645352591003749E-15</v>
      </c>
      <c r="F18" s="41" t="s">
        <v>20</v>
      </c>
      <c r="G18" s="43"/>
      <c r="J18" s="21"/>
      <c r="K18" s="21"/>
      <c r="L18" s="21"/>
      <c r="M18" s="21"/>
    </row>
    <row r="19" spans="1:14" x14ac:dyDescent="0.3">
      <c r="A19" s="7">
        <f>A9</f>
        <v>350</v>
      </c>
      <c r="B19" s="5">
        <f t="shared" ref="B19:B22" si="2">A12</f>
        <v>365</v>
      </c>
      <c r="C19" s="18">
        <f>(D9-D12+G12-G9)/(B19-A19)</f>
        <v>1</v>
      </c>
      <c r="D19" s="34">
        <f t="shared" ref="D19:D22" si="3">-LN(C19)/F$1</f>
        <v>0</v>
      </c>
      <c r="F19" s="3" t="s">
        <v>16</v>
      </c>
      <c r="J19" s="21"/>
    </row>
    <row r="20" spans="1:14" x14ac:dyDescent="0.3">
      <c r="A20" s="7">
        <f>A8</f>
        <v>345</v>
      </c>
      <c r="B20" s="5">
        <f t="shared" si="2"/>
        <v>370</v>
      </c>
      <c r="C20" s="18">
        <f>(D8-D13+G13-G8)/(B20-A20)</f>
        <v>0.96400000000000008</v>
      </c>
      <c r="D20" s="34">
        <f t="shared" si="3"/>
        <v>0.14665593748636543</v>
      </c>
      <c r="F20" s="14"/>
      <c r="G20" s="14"/>
      <c r="H20" s="14"/>
      <c r="J20" s="21"/>
      <c r="L20" s="14"/>
    </row>
    <row r="21" spans="1:14" x14ac:dyDescent="0.3">
      <c r="A21" s="7">
        <f>A7</f>
        <v>340</v>
      </c>
      <c r="B21" s="5">
        <f t="shared" si="2"/>
        <v>375</v>
      </c>
      <c r="C21" s="18">
        <f>(D7-D14+G14-G7)/(B21-A21)</f>
        <v>0.96642857142857153</v>
      </c>
      <c r="D21" s="34">
        <f t="shared" si="3"/>
        <v>0.13659154973024737</v>
      </c>
      <c r="F21" s="27" t="s">
        <v>30</v>
      </c>
      <c r="G21" s="28">
        <f>AVERAGE(C18:C22)</f>
        <v>0.98208571428571445</v>
      </c>
      <c r="H21" s="14"/>
      <c r="J21" s="21"/>
      <c r="L21" s="14"/>
      <c r="N21" s="14"/>
    </row>
    <row r="22" spans="1:14" x14ac:dyDescent="0.3">
      <c r="A22" s="17">
        <f>A6</f>
        <v>335</v>
      </c>
      <c r="B22" s="6">
        <f t="shared" si="2"/>
        <v>380</v>
      </c>
      <c r="C22" s="19">
        <f>(D6-D15+G15-G6)/(B22-A22)</f>
        <v>0.98</v>
      </c>
      <c r="D22" s="35">
        <f t="shared" si="3"/>
        <v>8.0810829270077864E-2</v>
      </c>
      <c r="F22" s="29" t="s">
        <v>17</v>
      </c>
      <c r="G22" s="30">
        <f>-LN(G21)/F1</f>
        <v>7.2306756053950413E-2</v>
      </c>
      <c r="H22" s="14"/>
      <c r="J22" s="21"/>
      <c r="K22" s="21"/>
      <c r="L22" s="21"/>
      <c r="M22" s="21"/>
    </row>
    <row r="24" spans="1:14" x14ac:dyDescent="0.3">
      <c r="A24" s="12" t="s">
        <v>22</v>
      </c>
      <c r="B24" s="3" t="s">
        <v>19</v>
      </c>
      <c r="C24" s="16" t="s">
        <v>23</v>
      </c>
      <c r="D24" s="24" t="s">
        <v>24</v>
      </c>
    </row>
    <row r="25" spans="1:14" x14ac:dyDescent="0.3">
      <c r="A25" s="7">
        <f>A6</f>
        <v>335</v>
      </c>
      <c r="B25" s="18">
        <f>(D6-G6)/G$21 +A25</f>
        <v>361.19425130189393</v>
      </c>
      <c r="C25" s="22">
        <f>B$3/G$21-B25</f>
        <v>4.7310388968085135</v>
      </c>
      <c r="D25" s="25">
        <f>G$22-LN(B25/B$3)/F$1</f>
        <v>5.2053126250656001E-2</v>
      </c>
      <c r="F25" s="41" t="s">
        <v>31</v>
      </c>
      <c r="G25" s="42"/>
      <c r="H25" s="43"/>
    </row>
    <row r="26" spans="1:14" x14ac:dyDescent="0.3">
      <c r="A26" s="45">
        <f t="shared" ref="A26:A34" si="4">A7</f>
        <v>340</v>
      </c>
      <c r="B26" s="18">
        <f t="shared" ref="B26:B34" si="5">(D7-G7)/G$21 +A26</f>
        <v>360.79757367701393</v>
      </c>
      <c r="C26" s="49">
        <f t="shared" ref="C26:C34" si="6">B$3/G$21-B26</f>
        <v>5.1277165216885123</v>
      </c>
      <c r="D26" s="25">
        <f>G$22-LN(B26/B$3)/F$1</f>
        <v>5.6448496403837284E-2</v>
      </c>
      <c r="F26" s="37" t="s">
        <v>18</v>
      </c>
      <c r="G26" s="38"/>
    </row>
    <row r="27" spans="1:14" x14ac:dyDescent="0.3">
      <c r="A27" s="45">
        <f t="shared" si="4"/>
        <v>345</v>
      </c>
      <c r="B27" s="18">
        <f t="shared" si="5"/>
        <v>361.03729671544528</v>
      </c>
      <c r="C27" s="49">
        <f t="shared" si="6"/>
        <v>4.8879934832571621</v>
      </c>
      <c r="D27" s="25">
        <f>G$22-LN(B27/B$3)/F$1</f>
        <v>5.3791677709398661E-2</v>
      </c>
      <c r="F27" s="37" t="s">
        <v>1</v>
      </c>
      <c r="G27" s="38"/>
    </row>
    <row r="28" spans="1:14" x14ac:dyDescent="0.3">
      <c r="A28" s="45">
        <f t="shared" si="4"/>
        <v>350</v>
      </c>
      <c r="B28" s="18">
        <f t="shared" si="5"/>
        <v>361.7606842579932</v>
      </c>
      <c r="C28" s="49">
        <f t="shared" si="6"/>
        <v>4.1646059407092366</v>
      </c>
      <c r="D28" s="25">
        <f>G$22-LN(B28/B$3)/F$1</f>
        <v>4.5785149710008924E-2</v>
      </c>
      <c r="F28" s="37" t="s">
        <v>21</v>
      </c>
      <c r="G28" s="38"/>
    </row>
    <row r="29" spans="1:14" x14ac:dyDescent="0.3">
      <c r="A29" s="45">
        <f t="shared" si="4"/>
        <v>355</v>
      </c>
      <c r="B29" s="18">
        <f t="shared" si="5"/>
        <v>361.72039100456755</v>
      </c>
      <c r="C29" s="49">
        <f t="shared" si="6"/>
        <v>4.2048991941348959</v>
      </c>
      <c r="D29" s="25">
        <f>G$22-LN(B29/B$3)/F$1</f>
        <v>4.6230698375703552E-2</v>
      </c>
      <c r="F29" s="37" t="s">
        <v>26</v>
      </c>
      <c r="G29" s="38"/>
    </row>
    <row r="30" spans="1:14" x14ac:dyDescent="0.3">
      <c r="A30" s="45">
        <f t="shared" si="4"/>
        <v>360</v>
      </c>
      <c r="B30" s="18">
        <f t="shared" si="5"/>
        <v>361.62918569807698</v>
      </c>
      <c r="C30" s="49">
        <f t="shared" si="6"/>
        <v>4.2961045006254608</v>
      </c>
      <c r="D30" s="25">
        <f>G$22-LN(B30/B$3)/F$1</f>
        <v>4.7239398013183567E-2</v>
      </c>
      <c r="F30" s="39" t="s">
        <v>32</v>
      </c>
      <c r="G30" s="40"/>
    </row>
    <row r="31" spans="1:14" x14ac:dyDescent="0.3">
      <c r="A31" s="45">
        <f t="shared" si="4"/>
        <v>365</v>
      </c>
      <c r="B31" s="18">
        <f t="shared" si="5"/>
        <v>361.48706833852151</v>
      </c>
      <c r="C31" s="49">
        <f t="shared" si="6"/>
        <v>4.4382218601809313</v>
      </c>
      <c r="D31" s="25">
        <f>G$22-LN(B31/B$3)/F$1</f>
        <v>4.8811674787126599E-2</v>
      </c>
    </row>
    <row r="32" spans="1:14" x14ac:dyDescent="0.3">
      <c r="A32" s="45">
        <f t="shared" si="4"/>
        <v>370</v>
      </c>
      <c r="B32" s="18">
        <f t="shared" si="5"/>
        <v>361.49768713816076</v>
      </c>
      <c r="C32" s="49">
        <f t="shared" si="6"/>
        <v>4.427603060541685</v>
      </c>
      <c r="D32" s="25">
        <f>G$22-LN(B32/B$3)/F$1</f>
        <v>4.8694175218184511E-2</v>
      </c>
      <c r="F32" s="20" t="s">
        <v>23</v>
      </c>
      <c r="G32" s="31">
        <f>AVERAGE(C29:C31)</f>
        <v>4.3130751849804296</v>
      </c>
    </row>
    <row r="33" spans="1:7" x14ac:dyDescent="0.3">
      <c r="A33" s="45">
        <f t="shared" si="4"/>
        <v>375</v>
      </c>
      <c r="B33" s="18">
        <f t="shared" si="5"/>
        <v>361.35556977860529</v>
      </c>
      <c r="C33" s="49">
        <f t="shared" si="6"/>
        <v>4.5697204200971555</v>
      </c>
      <c r="D33" s="25">
        <f>G$22-LN(B33/B$3)/F$1</f>
        <v>5.0267024036688208E-2</v>
      </c>
      <c r="F33" s="32" t="s">
        <v>24</v>
      </c>
      <c r="G33" s="33">
        <f>AVERAGE(D29:D31)</f>
        <v>4.7427257058671235E-2</v>
      </c>
    </row>
    <row r="34" spans="1:7" x14ac:dyDescent="0.3">
      <c r="A34" s="17">
        <f t="shared" si="4"/>
        <v>380</v>
      </c>
      <c r="B34" s="19">
        <f t="shared" si="5"/>
        <v>361.2898204986472</v>
      </c>
      <c r="C34" s="23">
        <f t="shared" si="6"/>
        <v>4.6354697000552392</v>
      </c>
      <c r="D34" s="26">
        <f>G$22-LN(B34/B$3)/F$1</f>
        <v>5.0994897276029363E-2</v>
      </c>
    </row>
  </sheetData>
  <mergeCells count="8">
    <mergeCell ref="F29:G29"/>
    <mergeCell ref="F30:G30"/>
    <mergeCell ref="F18:G18"/>
    <mergeCell ref="F25:H25"/>
    <mergeCell ref="F17:I17"/>
    <mergeCell ref="F26:G26"/>
    <mergeCell ref="F27:G27"/>
    <mergeCell ref="F28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ACF0-42D0-4084-973C-E69A9DF6541D}">
  <dimension ref="A1:M34"/>
  <sheetViews>
    <sheetView topLeftCell="A17" zoomScale="108" workbookViewId="0">
      <selection activeCell="G34" sqref="G34"/>
    </sheetView>
  </sheetViews>
  <sheetFormatPr defaultRowHeight="14.4" x14ac:dyDescent="0.3"/>
  <cols>
    <col min="1" max="1" width="15.6640625" bestFit="1" customWidth="1"/>
    <col min="2" max="2" width="11.33203125" bestFit="1" customWidth="1"/>
    <col min="3" max="3" width="10.5546875" bestFit="1" customWidth="1"/>
    <col min="4" max="4" width="10.6640625" bestFit="1" customWidth="1"/>
  </cols>
  <sheetData>
    <row r="1" spans="1:7" ht="21" x14ac:dyDescent="0.4">
      <c r="A1" s="11" t="s">
        <v>3</v>
      </c>
      <c r="B1" s="11" t="s">
        <v>38</v>
      </c>
      <c r="C1" t="s">
        <v>13</v>
      </c>
      <c r="D1" t="s">
        <v>40</v>
      </c>
      <c r="E1" t="s">
        <v>25</v>
      </c>
      <c r="F1" s="8">
        <f>6/12</f>
        <v>0.5</v>
      </c>
    </row>
    <row r="2" spans="1:7" x14ac:dyDescent="0.3">
      <c r="A2" s="1" t="s">
        <v>2</v>
      </c>
      <c r="B2" s="2">
        <v>46108</v>
      </c>
    </row>
    <row r="3" spans="1:7" x14ac:dyDescent="0.3">
      <c r="A3" s="3" t="s">
        <v>5</v>
      </c>
      <c r="B3" s="4">
        <v>359.1</v>
      </c>
    </row>
    <row r="4" spans="1:7" x14ac:dyDescent="0.3">
      <c r="A4" s="1" t="s">
        <v>15</v>
      </c>
      <c r="B4" s="2">
        <v>46283</v>
      </c>
      <c r="C4" t="s">
        <v>13</v>
      </c>
      <c r="D4" t="s">
        <v>40</v>
      </c>
    </row>
    <row r="5" spans="1:7" x14ac:dyDescent="0.3">
      <c r="A5" s="3" t="s">
        <v>4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 s="15">
        <v>310</v>
      </c>
      <c r="B6" s="46">
        <v>65.650000000000006</v>
      </c>
      <c r="C6" s="46">
        <v>68.3</v>
      </c>
      <c r="D6" s="47">
        <f>(C6+B6)/2</f>
        <v>66.974999999999994</v>
      </c>
      <c r="E6" s="46">
        <v>13.8</v>
      </c>
      <c r="F6" s="46">
        <v>13.95</v>
      </c>
      <c r="G6" s="47">
        <f>(E6+F6)/2</f>
        <v>13.875</v>
      </c>
    </row>
    <row r="7" spans="1:7" x14ac:dyDescent="0.3">
      <c r="A7" s="7">
        <v>320</v>
      </c>
      <c r="B7" s="45">
        <v>59.1</v>
      </c>
      <c r="C7" s="45">
        <v>61</v>
      </c>
      <c r="D7" s="9">
        <f t="shared" ref="D7:D15" si="0">(C7+B7)/2</f>
        <v>60.05</v>
      </c>
      <c r="E7" s="45">
        <v>16.5</v>
      </c>
      <c r="F7" s="45">
        <v>16.649999999999999</v>
      </c>
      <c r="G7" s="9">
        <f t="shared" ref="G7:G15" si="1">(E7+F7)/2</f>
        <v>16.574999999999999</v>
      </c>
    </row>
    <row r="8" spans="1:7" x14ac:dyDescent="0.3">
      <c r="A8" s="7">
        <v>330</v>
      </c>
      <c r="B8" s="45">
        <v>51.65</v>
      </c>
      <c r="C8" s="45">
        <v>54.15</v>
      </c>
      <c r="D8" s="9">
        <f t="shared" si="0"/>
        <v>52.9</v>
      </c>
      <c r="E8" s="45">
        <v>19.55</v>
      </c>
      <c r="F8" s="45">
        <v>19.7</v>
      </c>
      <c r="G8" s="9">
        <f t="shared" si="1"/>
        <v>19.625</v>
      </c>
    </row>
    <row r="9" spans="1:7" x14ac:dyDescent="0.3">
      <c r="A9" s="7">
        <v>340</v>
      </c>
      <c r="B9" s="45">
        <v>45.3</v>
      </c>
      <c r="C9" s="45">
        <v>47.65</v>
      </c>
      <c r="D9" s="9">
        <f t="shared" si="0"/>
        <v>46.474999999999994</v>
      </c>
      <c r="E9" s="45">
        <v>23.05</v>
      </c>
      <c r="F9" s="45">
        <v>23.2</v>
      </c>
      <c r="G9" s="9">
        <f t="shared" si="1"/>
        <v>23.125</v>
      </c>
    </row>
    <row r="10" spans="1:7" x14ac:dyDescent="0.3">
      <c r="A10" s="17">
        <v>350</v>
      </c>
      <c r="B10" s="48">
        <v>39.9</v>
      </c>
      <c r="C10" s="48">
        <v>41.55</v>
      </c>
      <c r="D10" s="10">
        <f t="shared" si="0"/>
        <v>40.724999999999994</v>
      </c>
      <c r="E10" s="48">
        <v>27</v>
      </c>
      <c r="F10" s="48">
        <v>27.2</v>
      </c>
      <c r="G10" s="10">
        <f t="shared" si="1"/>
        <v>27.1</v>
      </c>
    </row>
    <row r="11" spans="1:7" x14ac:dyDescent="0.3">
      <c r="A11" s="15">
        <v>360</v>
      </c>
      <c r="B11" s="46">
        <v>35.549999999999997</v>
      </c>
      <c r="C11" s="46">
        <v>35.85</v>
      </c>
      <c r="D11" s="47">
        <f t="shared" si="0"/>
        <v>35.700000000000003</v>
      </c>
      <c r="E11" s="46">
        <v>31.45</v>
      </c>
      <c r="F11" s="46">
        <v>31.65</v>
      </c>
      <c r="G11" s="47">
        <f t="shared" si="1"/>
        <v>31.549999999999997</v>
      </c>
    </row>
    <row r="12" spans="1:7" x14ac:dyDescent="0.3">
      <c r="A12" s="7">
        <v>370</v>
      </c>
      <c r="B12" s="45">
        <v>30.6</v>
      </c>
      <c r="C12" s="45">
        <v>30.85</v>
      </c>
      <c r="D12" s="9">
        <f t="shared" si="0"/>
        <v>30.725000000000001</v>
      </c>
      <c r="E12" s="45">
        <v>36.299999999999997</v>
      </c>
      <c r="F12" s="45">
        <v>36.549999999999997</v>
      </c>
      <c r="G12" s="9">
        <f t="shared" si="1"/>
        <v>36.424999999999997</v>
      </c>
    </row>
    <row r="13" spans="1:7" x14ac:dyDescent="0.3">
      <c r="A13" s="7">
        <v>380</v>
      </c>
      <c r="B13" s="45">
        <v>26.1</v>
      </c>
      <c r="C13" s="45">
        <v>26.35</v>
      </c>
      <c r="D13" s="9">
        <f t="shared" si="0"/>
        <v>26.225000000000001</v>
      </c>
      <c r="E13" s="45">
        <v>41.8</v>
      </c>
      <c r="F13" s="45">
        <v>42.05</v>
      </c>
      <c r="G13" s="9">
        <f t="shared" si="1"/>
        <v>41.924999999999997</v>
      </c>
    </row>
    <row r="14" spans="1:7" x14ac:dyDescent="0.3">
      <c r="A14" s="7">
        <v>390</v>
      </c>
      <c r="B14" s="45">
        <v>22.1</v>
      </c>
      <c r="C14" s="45">
        <v>22.3</v>
      </c>
      <c r="D14" s="9">
        <f t="shared" si="0"/>
        <v>22.200000000000003</v>
      </c>
      <c r="E14" s="45">
        <v>47.75</v>
      </c>
      <c r="F14" s="45">
        <v>48.1</v>
      </c>
      <c r="G14" s="9">
        <f t="shared" si="1"/>
        <v>47.924999999999997</v>
      </c>
    </row>
    <row r="15" spans="1:7" x14ac:dyDescent="0.3">
      <c r="A15" s="17">
        <v>400</v>
      </c>
      <c r="B15" s="48">
        <v>18.55</v>
      </c>
      <c r="C15" s="48">
        <v>18.8</v>
      </c>
      <c r="D15" s="10">
        <f t="shared" si="0"/>
        <v>18.675000000000001</v>
      </c>
      <c r="E15" s="48">
        <v>53.85</v>
      </c>
      <c r="F15" s="48">
        <v>55.2</v>
      </c>
      <c r="G15" s="10">
        <f t="shared" si="1"/>
        <v>54.525000000000006</v>
      </c>
    </row>
    <row r="17" spans="1:13" x14ac:dyDescent="0.3">
      <c r="A17" s="12" t="s">
        <v>28</v>
      </c>
      <c r="B17" s="3" t="s">
        <v>29</v>
      </c>
      <c r="C17" s="3" t="s">
        <v>12</v>
      </c>
      <c r="D17" s="4" t="s">
        <v>17</v>
      </c>
      <c r="F17" s="44" t="s">
        <v>0</v>
      </c>
      <c r="G17" s="44"/>
      <c r="H17" s="44"/>
      <c r="I17" s="44"/>
      <c r="J17" s="21"/>
      <c r="K17" s="21"/>
      <c r="L17" s="21"/>
      <c r="M17" s="21"/>
    </row>
    <row r="18" spans="1:13" x14ac:dyDescent="0.3">
      <c r="A18" s="7">
        <f>A10</f>
        <v>350</v>
      </c>
      <c r="B18" s="5">
        <f>A11</f>
        <v>360</v>
      </c>
      <c r="C18" s="18">
        <f>(D10-D11+G11-G10)/(B18-A18)</f>
        <v>0.94749999999999868</v>
      </c>
      <c r="D18" s="34">
        <f t="shared" ref="D18:D22" si="2">-LN(C18)/F$1</f>
        <v>0.10785668405111407</v>
      </c>
      <c r="F18" s="41" t="s">
        <v>20</v>
      </c>
      <c r="G18" s="43"/>
      <c r="J18" s="21"/>
      <c r="K18" s="21"/>
      <c r="L18" s="21"/>
      <c r="M18" s="21"/>
    </row>
    <row r="19" spans="1:13" x14ac:dyDescent="0.3">
      <c r="A19" s="7">
        <f>A9</f>
        <v>340</v>
      </c>
      <c r="B19" s="5">
        <f t="shared" ref="B19:B22" si="3">A12</f>
        <v>370</v>
      </c>
      <c r="C19" s="18">
        <f>(D9-D12+G12-G9)/(B19-A19)</f>
        <v>0.96833333333333305</v>
      </c>
      <c r="D19" s="34">
        <f t="shared" si="2"/>
        <v>6.4357796728470876E-2</v>
      </c>
      <c r="F19" s="3" t="s">
        <v>16</v>
      </c>
      <c r="J19" s="21"/>
      <c r="K19" s="21"/>
      <c r="L19" s="21"/>
      <c r="M19" s="21"/>
    </row>
    <row r="20" spans="1:13" x14ac:dyDescent="0.3">
      <c r="A20" s="7">
        <f>A8</f>
        <v>330</v>
      </c>
      <c r="B20" s="5">
        <f t="shared" si="3"/>
        <v>380</v>
      </c>
      <c r="C20" s="18">
        <f>(D8-D13+G13-G8)/(B20-A20)</f>
        <v>0.97949999999999993</v>
      </c>
      <c r="D20" s="34">
        <f t="shared" si="2"/>
        <v>4.1426083195083369E-2</v>
      </c>
      <c r="F20" s="14"/>
      <c r="G20" s="14"/>
      <c r="H20" s="14"/>
      <c r="J20" s="21"/>
      <c r="K20" s="21"/>
      <c r="L20" s="21"/>
      <c r="M20" s="21"/>
    </row>
    <row r="21" spans="1:13" x14ac:dyDescent="0.3">
      <c r="A21" s="7">
        <f>A7</f>
        <v>320</v>
      </c>
      <c r="B21" s="5">
        <f t="shared" si="3"/>
        <v>390</v>
      </c>
      <c r="C21" s="18">
        <f>(D7-D14+G14-G7)/(B21-A21)</f>
        <v>0.98857142857142843</v>
      </c>
      <c r="D21" s="34">
        <f t="shared" si="2"/>
        <v>2.2988758851470493E-2</v>
      </c>
      <c r="F21" s="27" t="s">
        <v>30</v>
      </c>
      <c r="G21" s="28">
        <f>AVERAGE(C18:C22)</f>
        <v>0.97444761904761867</v>
      </c>
      <c r="H21" s="14"/>
      <c r="J21" s="21"/>
      <c r="K21" s="21"/>
      <c r="L21" s="21"/>
      <c r="M21" s="21"/>
    </row>
    <row r="22" spans="1:13" x14ac:dyDescent="0.3">
      <c r="A22" s="17">
        <f>A6</f>
        <v>310</v>
      </c>
      <c r="B22" s="6">
        <f t="shared" si="3"/>
        <v>400</v>
      </c>
      <c r="C22" s="19">
        <f>(D6-D15+G15-G6)/(B22-A22)</f>
        <v>0.9883333333333334</v>
      </c>
      <c r="D22" s="35">
        <f t="shared" si="2"/>
        <v>2.3470512436841704E-2</v>
      </c>
      <c r="F22" s="29" t="s">
        <v>17</v>
      </c>
      <c r="G22" s="30">
        <f>-LN(G21)/F1</f>
        <v>5.1769026195697308E-2</v>
      </c>
      <c r="H22" s="14"/>
      <c r="J22" s="21"/>
      <c r="K22" s="21"/>
      <c r="L22" s="21"/>
      <c r="M22" s="21"/>
    </row>
    <row r="24" spans="1:13" x14ac:dyDescent="0.3">
      <c r="A24" s="3" t="s">
        <v>22</v>
      </c>
      <c r="B24" s="16" t="s">
        <v>19</v>
      </c>
      <c r="C24" s="3" t="s">
        <v>23</v>
      </c>
      <c r="D24" s="24" t="s">
        <v>24</v>
      </c>
    </row>
    <row r="25" spans="1:13" x14ac:dyDescent="0.3">
      <c r="A25" s="5">
        <f>A6</f>
        <v>310</v>
      </c>
      <c r="B25" s="49">
        <f>(D6-G6)/G$21 +A25</f>
        <v>364.49241084081825</v>
      </c>
      <c r="C25" s="18">
        <f>B$3/G$21-B25</f>
        <v>4.0240624725120711</v>
      </c>
      <c r="D25" s="25">
        <f>G$22-LN(B25/B$3)/F$1</f>
        <v>2.1959367672846855E-2</v>
      </c>
      <c r="F25" s="41" t="s">
        <v>31</v>
      </c>
      <c r="G25" s="42"/>
      <c r="H25" s="43"/>
    </row>
    <row r="26" spans="1:13" x14ac:dyDescent="0.3">
      <c r="A26" s="5">
        <f t="shared" ref="A26:A34" si="4">A7</f>
        <v>320</v>
      </c>
      <c r="B26" s="49">
        <f>(D7-G7)/G$21 +A26</f>
        <v>364.61501998690346</v>
      </c>
      <c r="C26" s="18">
        <f>B$3/G$21-B26</f>
        <v>3.9014533264268607</v>
      </c>
      <c r="D26" s="25">
        <f>G$22-LN(B26/B$3)/F$1</f>
        <v>2.1286714277438404E-2</v>
      </c>
      <c r="F26" s="37" t="s">
        <v>18</v>
      </c>
      <c r="G26" s="38"/>
    </row>
    <row r="27" spans="1:13" x14ac:dyDescent="0.3">
      <c r="A27" s="5">
        <f t="shared" si="4"/>
        <v>330</v>
      </c>
      <c r="B27" s="49">
        <f>(D8-G8)/G$21 +A27</f>
        <v>364.1475512378197</v>
      </c>
      <c r="C27" s="18">
        <f>B$3/G$21-B27</f>
        <v>4.3689220755106248</v>
      </c>
      <c r="D27" s="25">
        <f>G$22-LN(B27/B$3)/F$1</f>
        <v>2.3852536572147632E-2</v>
      </c>
      <c r="F27" s="37" t="s">
        <v>1</v>
      </c>
      <c r="G27" s="38"/>
    </row>
    <row r="28" spans="1:13" x14ac:dyDescent="0.3">
      <c r="A28" s="5">
        <f t="shared" si="4"/>
        <v>340</v>
      </c>
      <c r="B28" s="49">
        <f>(D9-G9)/G$21 +A28</f>
        <v>363.96229365599072</v>
      </c>
      <c r="C28" s="18">
        <f>B$3/G$21-B28</f>
        <v>4.5541796573396027</v>
      </c>
      <c r="D28" s="25">
        <f>G$22-LN(B28/B$3)/F$1</f>
        <v>2.4870281832019697E-2</v>
      </c>
      <c r="F28" s="37" t="s">
        <v>21</v>
      </c>
      <c r="G28" s="38"/>
    </row>
    <row r="29" spans="1:13" x14ac:dyDescent="0.3">
      <c r="A29" s="5">
        <f t="shared" si="4"/>
        <v>350</v>
      </c>
      <c r="B29" s="49">
        <f>(D10-G10)/G$21 +A29</f>
        <v>363.98228055943781</v>
      </c>
      <c r="C29" s="18">
        <f>B$3/G$21-B29</f>
        <v>4.534192753892512</v>
      </c>
      <c r="D29" s="25">
        <f>G$22-LN(B29/B$3)/F$1</f>
        <v>2.4760455319617174E-2</v>
      </c>
      <c r="F29" s="37" t="s">
        <v>26</v>
      </c>
      <c r="G29" s="38"/>
    </row>
    <row r="30" spans="1:13" x14ac:dyDescent="0.3">
      <c r="A30" s="5">
        <f t="shared" si="4"/>
        <v>360</v>
      </c>
      <c r="B30" s="49">
        <f>(D11-G11)/G$21 +A30</f>
        <v>364.25882306948017</v>
      </c>
      <c r="C30" s="18">
        <f>B$3/G$21-B30</f>
        <v>4.2576502438501507</v>
      </c>
      <c r="D30" s="25">
        <f>G$22-LN(B30/B$3)/F$1</f>
        <v>2.3241493964883998E-2</v>
      </c>
      <c r="F30" s="39" t="s">
        <v>32</v>
      </c>
      <c r="G30" s="40"/>
    </row>
    <row r="31" spans="1:13" x14ac:dyDescent="0.3">
      <c r="A31" s="5">
        <f t="shared" si="4"/>
        <v>370</v>
      </c>
      <c r="B31" s="49">
        <f>(D12-G12)/G$21 +A31</f>
        <v>364.15053216962968</v>
      </c>
      <c r="C31" s="18">
        <f>B$3/G$21-B31</f>
        <v>4.3659411437006383</v>
      </c>
      <c r="D31" s="25">
        <f>G$22-LN(B31/B$3)/F$1</f>
        <v>2.3836164529557197E-2</v>
      </c>
    </row>
    <row r="32" spans="1:13" x14ac:dyDescent="0.3">
      <c r="A32" s="5">
        <f t="shared" si="4"/>
        <v>380</v>
      </c>
      <c r="B32" s="49">
        <f>(D13-G13)/G$21 +A32</f>
        <v>363.8883079058221</v>
      </c>
      <c r="C32" s="18">
        <f>B$3/G$21-B32</f>
        <v>4.6281654075082201</v>
      </c>
      <c r="D32" s="25">
        <f>G$22-LN(B32/B$3)/F$1</f>
        <v>2.5276880385429582E-2</v>
      </c>
      <c r="F32" s="20" t="s">
        <v>23</v>
      </c>
      <c r="G32" s="31">
        <f>AVERAGE(C29:C31)</f>
        <v>4.3859280471477673</v>
      </c>
    </row>
    <row r="33" spans="1:7" x14ac:dyDescent="0.3">
      <c r="A33" s="5">
        <f t="shared" si="4"/>
        <v>390</v>
      </c>
      <c r="B33" s="49">
        <f>(D14-G14)/G$21 +A33</f>
        <v>363.60042808135501</v>
      </c>
      <c r="C33" s="18">
        <f>B$3/G$21-B33</f>
        <v>4.9160452319753176</v>
      </c>
      <c r="D33" s="25">
        <f>G$22-LN(B33/B$3)/F$1</f>
        <v>2.6859749371589407E-2</v>
      </c>
      <c r="F33" s="32" t="s">
        <v>24</v>
      </c>
      <c r="G33" s="33">
        <f>AVERAGE(D29:D31)</f>
        <v>2.3946037938019457E-2</v>
      </c>
    </row>
    <row r="34" spans="1:7" x14ac:dyDescent="0.3">
      <c r="A34" s="6">
        <f t="shared" si="4"/>
        <v>400</v>
      </c>
      <c r="B34" s="23">
        <f>(D15-G15)/G$21 +A34</f>
        <v>363.20992601424979</v>
      </c>
      <c r="C34" s="19">
        <f>B$3/G$21-B34</f>
        <v>5.3065472990805347</v>
      </c>
      <c r="D34" s="26">
        <f>G$22-LN(B34/B$3)/F$1</f>
        <v>2.9008877283597752E-2</v>
      </c>
    </row>
  </sheetData>
  <mergeCells count="8">
    <mergeCell ref="F27:G27"/>
    <mergeCell ref="F28:G28"/>
    <mergeCell ref="F29:G29"/>
    <mergeCell ref="F30:G30"/>
    <mergeCell ref="F17:I17"/>
    <mergeCell ref="F18:G18"/>
    <mergeCell ref="F25:H25"/>
    <mergeCell ref="F26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9B6E-8CB9-4173-9D93-F1DB9D44CF0F}">
  <dimension ref="A1:M34"/>
  <sheetViews>
    <sheetView topLeftCell="A14" zoomScale="108" workbookViewId="0">
      <selection activeCell="A29" sqref="A29:D31"/>
    </sheetView>
  </sheetViews>
  <sheetFormatPr defaultRowHeight="14.4" x14ac:dyDescent="0.3"/>
  <cols>
    <col min="1" max="1" width="15.6640625" bestFit="1" customWidth="1"/>
    <col min="2" max="2" width="11.33203125" bestFit="1" customWidth="1"/>
    <col min="3" max="3" width="10.5546875" bestFit="1" customWidth="1"/>
    <col min="4" max="4" width="10.6640625" bestFit="1" customWidth="1"/>
  </cols>
  <sheetData>
    <row r="1" spans="1:7" ht="21" x14ac:dyDescent="0.4">
      <c r="A1" s="11" t="s">
        <v>3</v>
      </c>
      <c r="B1" s="11" t="s">
        <v>38</v>
      </c>
      <c r="C1" t="s">
        <v>13</v>
      </c>
      <c r="D1" t="s">
        <v>39</v>
      </c>
      <c r="E1" t="s">
        <v>25</v>
      </c>
      <c r="F1">
        <v>1</v>
      </c>
    </row>
    <row r="2" spans="1:7" x14ac:dyDescent="0.3">
      <c r="A2" s="1" t="s">
        <v>2</v>
      </c>
      <c r="B2" s="2">
        <v>46108</v>
      </c>
    </row>
    <row r="3" spans="1:7" x14ac:dyDescent="0.3">
      <c r="A3" s="3" t="s">
        <v>5</v>
      </c>
      <c r="B3" s="4">
        <v>358.93</v>
      </c>
    </row>
    <row r="4" spans="1:7" x14ac:dyDescent="0.3">
      <c r="A4" s="1" t="s">
        <v>15</v>
      </c>
      <c r="B4" s="2">
        <v>46465</v>
      </c>
      <c r="C4" t="s">
        <v>13</v>
      </c>
      <c r="D4" t="s">
        <v>39</v>
      </c>
    </row>
    <row r="5" spans="1:7" x14ac:dyDescent="0.3">
      <c r="A5" s="3" t="s">
        <v>4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 s="15">
        <v>310</v>
      </c>
      <c r="B6" s="46">
        <v>79.25</v>
      </c>
      <c r="C6" s="46">
        <v>81.5</v>
      </c>
      <c r="D6" s="47">
        <f>(B6+C6)/2</f>
        <v>80.375</v>
      </c>
      <c r="E6" s="46">
        <v>22.2</v>
      </c>
      <c r="F6" s="46">
        <v>22.6</v>
      </c>
      <c r="G6" s="47">
        <f t="shared" ref="G6:G15" si="0">(E6+F6)/2</f>
        <v>22.4</v>
      </c>
    </row>
    <row r="7" spans="1:7" x14ac:dyDescent="0.3">
      <c r="A7" s="7">
        <v>320</v>
      </c>
      <c r="B7" s="45">
        <v>72</v>
      </c>
      <c r="C7" s="45">
        <v>73.25</v>
      </c>
      <c r="D7" s="9">
        <f t="shared" ref="D7:D15" si="1">(B7+C7)/2</f>
        <v>72.625</v>
      </c>
      <c r="E7" s="45">
        <v>25.45</v>
      </c>
      <c r="F7" s="45">
        <v>25.9</v>
      </c>
      <c r="G7" s="9">
        <f t="shared" si="0"/>
        <v>25.674999999999997</v>
      </c>
    </row>
    <row r="8" spans="1:7" x14ac:dyDescent="0.3">
      <c r="A8" s="7">
        <v>330</v>
      </c>
      <c r="B8" s="45">
        <v>65.5</v>
      </c>
      <c r="C8" s="45">
        <v>66.2</v>
      </c>
      <c r="D8" s="9">
        <f t="shared" si="1"/>
        <v>65.849999999999994</v>
      </c>
      <c r="E8" s="45">
        <v>29</v>
      </c>
      <c r="F8" s="45">
        <v>29.4</v>
      </c>
      <c r="G8" s="9">
        <f t="shared" si="0"/>
        <v>29.2</v>
      </c>
    </row>
    <row r="9" spans="1:7" x14ac:dyDescent="0.3">
      <c r="A9" s="7">
        <v>340</v>
      </c>
      <c r="B9" s="45">
        <v>61</v>
      </c>
      <c r="C9" s="45">
        <v>62.7</v>
      </c>
      <c r="D9" s="9">
        <f t="shared" si="1"/>
        <v>61.85</v>
      </c>
      <c r="E9" s="45">
        <v>32.950000000000003</v>
      </c>
      <c r="F9" s="45">
        <v>33.35</v>
      </c>
      <c r="G9" s="9">
        <f t="shared" si="0"/>
        <v>33.150000000000006</v>
      </c>
    </row>
    <row r="10" spans="1:7" x14ac:dyDescent="0.3">
      <c r="A10" s="17">
        <v>350</v>
      </c>
      <c r="B10" s="48">
        <v>55.55</v>
      </c>
      <c r="C10" s="48">
        <v>57.2</v>
      </c>
      <c r="D10" s="10">
        <f t="shared" si="1"/>
        <v>56.375</v>
      </c>
      <c r="E10" s="48">
        <v>37.200000000000003</v>
      </c>
      <c r="F10" s="48">
        <v>37.6</v>
      </c>
      <c r="G10" s="10">
        <f t="shared" si="0"/>
        <v>37.400000000000006</v>
      </c>
    </row>
    <row r="11" spans="1:7" x14ac:dyDescent="0.3">
      <c r="A11" s="15">
        <v>360</v>
      </c>
      <c r="B11" s="46">
        <v>51.35</v>
      </c>
      <c r="C11" s="46">
        <v>52.25</v>
      </c>
      <c r="D11" s="47">
        <f t="shared" si="1"/>
        <v>51.8</v>
      </c>
      <c r="E11" s="46">
        <v>41.8</v>
      </c>
      <c r="F11" s="46">
        <v>42.25</v>
      </c>
      <c r="G11" s="47">
        <f t="shared" si="0"/>
        <v>42.024999999999999</v>
      </c>
    </row>
    <row r="12" spans="1:7" x14ac:dyDescent="0.3">
      <c r="A12" s="7">
        <v>370</v>
      </c>
      <c r="B12" s="45">
        <v>46.65</v>
      </c>
      <c r="C12" s="45">
        <v>47.1</v>
      </c>
      <c r="D12" s="9">
        <f t="shared" si="1"/>
        <v>46.875</v>
      </c>
      <c r="E12" s="45">
        <v>46.8</v>
      </c>
      <c r="F12" s="45">
        <v>47.2</v>
      </c>
      <c r="G12" s="9">
        <f t="shared" si="0"/>
        <v>47</v>
      </c>
    </row>
    <row r="13" spans="1:7" x14ac:dyDescent="0.3">
      <c r="A13" s="7">
        <v>380</v>
      </c>
      <c r="B13" s="45">
        <v>42.1</v>
      </c>
      <c r="C13" s="45">
        <v>42.5</v>
      </c>
      <c r="D13" s="9">
        <f t="shared" si="1"/>
        <v>42.3</v>
      </c>
      <c r="E13" s="45">
        <v>52.15</v>
      </c>
      <c r="F13" s="45">
        <v>52.55</v>
      </c>
      <c r="G13" s="9">
        <f t="shared" si="0"/>
        <v>52.349999999999994</v>
      </c>
    </row>
    <row r="14" spans="1:7" x14ac:dyDescent="0.3">
      <c r="A14" s="7">
        <v>390</v>
      </c>
      <c r="B14" s="45">
        <v>37.9</v>
      </c>
      <c r="C14" s="45">
        <v>38.35</v>
      </c>
      <c r="D14" s="9">
        <f t="shared" si="1"/>
        <v>38.125</v>
      </c>
      <c r="E14" s="45">
        <v>57.85</v>
      </c>
      <c r="F14" s="45">
        <v>58.35</v>
      </c>
      <c r="G14" s="9">
        <f t="shared" si="0"/>
        <v>58.1</v>
      </c>
    </row>
    <row r="15" spans="1:7" x14ac:dyDescent="0.3">
      <c r="A15" s="17">
        <v>400</v>
      </c>
      <c r="B15" s="48">
        <v>34.049999999999997</v>
      </c>
      <c r="C15" s="48">
        <v>34.4</v>
      </c>
      <c r="D15" s="10">
        <f t="shared" si="1"/>
        <v>34.224999999999994</v>
      </c>
      <c r="E15" s="48">
        <v>63.95</v>
      </c>
      <c r="F15" s="48">
        <v>64.45</v>
      </c>
      <c r="G15" s="10">
        <f t="shared" si="0"/>
        <v>64.2</v>
      </c>
    </row>
    <row r="17" spans="1:13" x14ac:dyDescent="0.3">
      <c r="A17" s="12" t="s">
        <v>28</v>
      </c>
      <c r="B17" s="3" t="s">
        <v>29</v>
      </c>
      <c r="C17" s="16" t="s">
        <v>12</v>
      </c>
      <c r="D17" s="3" t="s">
        <v>17</v>
      </c>
      <c r="F17" s="44" t="s">
        <v>0</v>
      </c>
      <c r="G17" s="44"/>
      <c r="H17" s="44"/>
      <c r="I17" s="44"/>
      <c r="J17" s="21"/>
      <c r="K17" s="21"/>
      <c r="L17" s="21"/>
      <c r="M17" s="21"/>
    </row>
    <row r="18" spans="1:13" x14ac:dyDescent="0.3">
      <c r="A18" s="7">
        <f>A10</f>
        <v>350</v>
      </c>
      <c r="B18" s="5">
        <f>A11</f>
        <v>360</v>
      </c>
      <c r="C18" s="49">
        <f>(D10-D11+G11-G10)/(B18-A18)</f>
        <v>0.9199999999999996</v>
      </c>
      <c r="D18" s="18">
        <f t="shared" ref="D18:D22" si="2">-LN(C18)/F$1</f>
        <v>8.3381608939051499E-2</v>
      </c>
      <c r="F18" s="41" t="s">
        <v>20</v>
      </c>
      <c r="G18" s="43"/>
      <c r="J18" s="21"/>
      <c r="K18" s="21"/>
      <c r="L18" s="21"/>
      <c r="M18" s="21"/>
    </row>
    <row r="19" spans="1:13" x14ac:dyDescent="0.3">
      <c r="A19" s="7">
        <f>A9</f>
        <v>340</v>
      </c>
      <c r="B19" s="5">
        <f>A12</f>
        <v>370</v>
      </c>
      <c r="C19" s="49">
        <f>(D9-D12+G12-G9)/(B19-A19)</f>
        <v>0.96083333333333321</v>
      </c>
      <c r="D19" s="18">
        <f t="shared" si="2"/>
        <v>3.9954315507032788E-2</v>
      </c>
      <c r="F19" s="3" t="s">
        <v>16</v>
      </c>
      <c r="J19" s="21"/>
      <c r="K19" s="21"/>
      <c r="L19" s="21"/>
      <c r="M19" s="21"/>
    </row>
    <row r="20" spans="1:13" x14ac:dyDescent="0.3">
      <c r="A20" s="7">
        <f>A8</f>
        <v>330</v>
      </c>
      <c r="B20" s="5">
        <f>A13</f>
        <v>380</v>
      </c>
      <c r="C20" s="49">
        <f>(D8-D13+G13-G8)/(B20-A20)</f>
        <v>0.93399999999999972</v>
      </c>
      <c r="D20" s="18">
        <f t="shared" si="2"/>
        <v>6.8278840753294726E-2</v>
      </c>
      <c r="F20" s="14"/>
      <c r="G20" s="14"/>
      <c r="H20" s="14"/>
      <c r="J20" s="21"/>
      <c r="K20" s="21"/>
      <c r="L20" s="21"/>
      <c r="M20" s="21"/>
    </row>
    <row r="21" spans="1:13" x14ac:dyDescent="0.3">
      <c r="A21" s="7">
        <f>A7</f>
        <v>320</v>
      </c>
      <c r="B21" s="5">
        <f>A14</f>
        <v>390</v>
      </c>
      <c r="C21" s="49">
        <f>(D7-D14+G14-G7)/(B21-A21)</f>
        <v>0.95607142857142857</v>
      </c>
      <c r="D21" s="18">
        <f t="shared" si="2"/>
        <v>4.4922652642942783E-2</v>
      </c>
      <c r="F21" s="27" t="s">
        <v>30</v>
      </c>
      <c r="G21" s="28">
        <f>AVERAGE(C18:C22)</f>
        <v>0.94962539682539671</v>
      </c>
      <c r="H21" s="14"/>
      <c r="J21" s="21"/>
      <c r="K21" s="21"/>
      <c r="L21" s="21"/>
      <c r="M21" s="21"/>
    </row>
    <row r="22" spans="1:13" x14ac:dyDescent="0.3">
      <c r="A22" s="17">
        <f>A6</f>
        <v>310</v>
      </c>
      <c r="B22" s="6">
        <f>A15</f>
        <v>400</v>
      </c>
      <c r="C22" s="23">
        <f>(D6-D15+G15-G6)/(B22-A22)</f>
        <v>0.97722222222222244</v>
      </c>
      <c r="D22" s="19">
        <f t="shared" si="2"/>
        <v>2.3041199146697673E-2</v>
      </c>
      <c r="F22" s="29" t="s">
        <v>17</v>
      </c>
      <c r="G22" s="30">
        <f>-LN(G21)/F1</f>
        <v>5.168769128294378E-2</v>
      </c>
      <c r="H22" s="14"/>
      <c r="J22" s="21"/>
      <c r="K22" s="21"/>
      <c r="L22" s="21"/>
      <c r="M22" s="21"/>
    </row>
    <row r="24" spans="1:13" x14ac:dyDescent="0.3">
      <c r="A24" s="12" t="s">
        <v>22</v>
      </c>
      <c r="B24" s="3" t="s">
        <v>19</v>
      </c>
      <c r="C24" s="16" t="s">
        <v>23</v>
      </c>
      <c r="D24" s="24" t="s">
        <v>24</v>
      </c>
    </row>
    <row r="25" spans="1:13" x14ac:dyDescent="0.3">
      <c r="A25" s="7">
        <f t="shared" ref="A25:A34" si="3">A6</f>
        <v>310</v>
      </c>
      <c r="B25" s="56">
        <f>(D6-G6)/G$21 +A25</f>
        <v>371.05038912587088</v>
      </c>
      <c r="C25" s="22">
        <f>B$3/G$21-B25</f>
        <v>6.9197043445703343</v>
      </c>
      <c r="D25" s="57">
        <f>G$22-LN(B25/B$3)/F$1</f>
        <v>1.8477201555492422E-2</v>
      </c>
      <c r="F25" s="41" t="s">
        <v>31</v>
      </c>
      <c r="G25" s="42"/>
      <c r="H25" s="43"/>
    </row>
    <row r="26" spans="1:13" x14ac:dyDescent="0.3">
      <c r="A26" s="7">
        <f t="shared" si="3"/>
        <v>320</v>
      </c>
      <c r="B26" s="18">
        <f>(D7-G7)/G$21 +A26</f>
        <v>369.44054798550474</v>
      </c>
      <c r="C26" s="22">
        <f>B$3/G$21-B26</f>
        <v>8.5295454849364774</v>
      </c>
      <c r="D26" s="25">
        <f>G$22-LN(B26/B$3)/F$1</f>
        <v>2.2825245794578924E-2</v>
      </c>
      <c r="F26" s="37" t="s">
        <v>18</v>
      </c>
      <c r="G26" s="38"/>
    </row>
    <row r="27" spans="1:13" x14ac:dyDescent="0.3">
      <c r="A27" s="7">
        <f t="shared" si="3"/>
        <v>330</v>
      </c>
      <c r="B27" s="18">
        <f>(D8-G8)/G$21 +A27</f>
        <v>368.59416578634182</v>
      </c>
      <c r="C27" s="22">
        <f>B$3/G$21-B27</f>
        <v>9.3759276840993948</v>
      </c>
      <c r="D27" s="25">
        <f>G$22-LN(B27/B$3)/F$1</f>
        <v>2.5118857610969287E-2</v>
      </c>
      <c r="F27" s="37" t="s">
        <v>1</v>
      </c>
      <c r="G27" s="38"/>
    </row>
    <row r="28" spans="1:13" x14ac:dyDescent="0.3">
      <c r="A28" s="45">
        <f t="shared" si="3"/>
        <v>340</v>
      </c>
      <c r="B28" s="18">
        <f>(D9-G9)/G$21 +A28</f>
        <v>370.22244360349276</v>
      </c>
      <c r="C28" s="49">
        <f>B$3/G$21-B28</f>
        <v>7.7476498669484499</v>
      </c>
      <c r="D28" s="25">
        <f>G$22-LN(B28/B$3)/F$1</f>
        <v>2.07110507675905E-2</v>
      </c>
      <c r="F28" s="37" t="s">
        <v>21</v>
      </c>
      <c r="G28" s="38"/>
    </row>
    <row r="29" spans="1:13" x14ac:dyDescent="0.3">
      <c r="A29" s="45">
        <f t="shared" si="3"/>
        <v>350</v>
      </c>
      <c r="B29" s="18">
        <f>(D10-G10)/G$21 +A29</f>
        <v>369.98156332321514</v>
      </c>
      <c r="C29" s="49">
        <f>B$3/G$21-B29</f>
        <v>7.9885301472260721</v>
      </c>
      <c r="D29" s="25">
        <f>G$22-LN(B29/B$3)/F$1</f>
        <v>2.1361899145947473E-2</v>
      </c>
      <c r="F29" s="37" t="s">
        <v>26</v>
      </c>
      <c r="G29" s="38"/>
    </row>
    <row r="30" spans="1:13" x14ac:dyDescent="0.3">
      <c r="A30" s="45">
        <f t="shared" si="3"/>
        <v>360</v>
      </c>
      <c r="B30" s="18">
        <f>(D11-G11)/G$21 +A30</f>
        <v>370.29353262105025</v>
      </c>
      <c r="C30" s="49">
        <f>B$3/G$21-B30</f>
        <v>7.6765608493909667</v>
      </c>
      <c r="D30" s="25">
        <f>G$22-LN(B30/B$3)/F$1</f>
        <v>2.0519052161055828E-2</v>
      </c>
      <c r="F30" s="39" t="s">
        <v>32</v>
      </c>
      <c r="G30" s="40"/>
    </row>
    <row r="31" spans="1:13" x14ac:dyDescent="0.3">
      <c r="A31" s="45">
        <f t="shared" si="3"/>
        <v>370</v>
      </c>
      <c r="B31" s="18">
        <f>(D12-G12)/G$21 +A31</f>
        <v>369.86836914806844</v>
      </c>
      <c r="C31" s="49">
        <f>B$3/G$21-B31</f>
        <v>8.1017243223727746</v>
      </c>
      <c r="D31" s="25">
        <f>G$22-LN(B31/B$3)/F$1</f>
        <v>2.1667891404814874E-2</v>
      </c>
    </row>
    <row r="32" spans="1:13" x14ac:dyDescent="0.3">
      <c r="A32" s="7">
        <f t="shared" si="3"/>
        <v>380</v>
      </c>
      <c r="B32" s="18">
        <f>(D13-G13)/G$21 +A32</f>
        <v>369.41687950470026</v>
      </c>
      <c r="C32" s="22">
        <f>B$3/G$21-B32</f>
        <v>8.5532139657409516</v>
      </c>
      <c r="D32" s="25">
        <f>G$22-LN(B32/B$3)/F$1</f>
        <v>2.2889313583389088E-2</v>
      </c>
      <c r="F32" s="20" t="s">
        <v>23</v>
      </c>
      <c r="G32" s="31">
        <f>AVERAGE(C29:C31)</f>
        <v>7.9222717729966048</v>
      </c>
    </row>
    <row r="33" spans="1:7" x14ac:dyDescent="0.3">
      <c r="A33" s="7">
        <f t="shared" si="3"/>
        <v>390</v>
      </c>
      <c r="B33" s="18">
        <f>(D14-G14)/G$21 +A33</f>
        <v>368.96538986133214</v>
      </c>
      <c r="C33" s="22">
        <f>B$3/G$21-B33</f>
        <v>9.0047036091090717</v>
      </c>
      <c r="D33" s="25">
        <f>G$22-LN(B33/B$3)/F$1</f>
        <v>2.4112229458721459E-2</v>
      </c>
      <c r="F33" s="32" t="s">
        <v>24</v>
      </c>
      <c r="G33" s="33">
        <f>AVERAGE(D29:D31)</f>
        <v>2.1182947570606056E-2</v>
      </c>
    </row>
    <row r="34" spans="1:7" x14ac:dyDescent="0.3">
      <c r="A34" s="17">
        <f t="shared" si="3"/>
        <v>400</v>
      </c>
      <c r="B34" s="19">
        <f>(D15-G15)/G$21 +A34</f>
        <v>368.43492170680503</v>
      </c>
      <c r="C34" s="23">
        <f>B$3/G$21-B34</f>
        <v>9.5351717636361855</v>
      </c>
      <c r="D34" s="26">
        <f>G$22-LN(B34/B$3)/F$1</f>
        <v>2.5550981891318648E-2</v>
      </c>
    </row>
  </sheetData>
  <mergeCells count="8">
    <mergeCell ref="F27:G27"/>
    <mergeCell ref="F28:G28"/>
    <mergeCell ref="F29:G29"/>
    <mergeCell ref="F30:G30"/>
    <mergeCell ref="F17:I17"/>
    <mergeCell ref="F18:G18"/>
    <mergeCell ref="F25:H25"/>
    <mergeCell ref="F26:G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9740-4631-423A-974F-1EB427935A58}">
  <dimension ref="A1:L6"/>
  <sheetViews>
    <sheetView tabSelected="1" topLeftCell="A25" zoomScale="105" workbookViewId="0">
      <selection activeCell="C43" sqref="C43"/>
    </sheetView>
  </sheetViews>
  <sheetFormatPr defaultRowHeight="14.4" x14ac:dyDescent="0.3"/>
  <sheetData>
    <row r="1" spans="1:12" x14ac:dyDescent="0.3">
      <c r="A1" s="3" t="s">
        <v>37</v>
      </c>
      <c r="B1" s="16" t="s">
        <v>33</v>
      </c>
      <c r="C1" s="16" t="s">
        <v>34</v>
      </c>
      <c r="D1" s="16" t="s">
        <v>35</v>
      </c>
      <c r="E1" s="4" t="s">
        <v>36</v>
      </c>
      <c r="G1" s="41" t="s">
        <v>41</v>
      </c>
      <c r="H1" s="42"/>
      <c r="I1" s="42"/>
      <c r="J1" s="42"/>
      <c r="K1" s="43"/>
    </row>
    <row r="2" spans="1:12" x14ac:dyDescent="0.3">
      <c r="A2" s="5" t="s">
        <v>30</v>
      </c>
      <c r="B2" s="22">
        <v>0.98590476190476184</v>
      </c>
      <c r="C2" s="22">
        <v>0.98208571428571445</v>
      </c>
      <c r="D2" s="22">
        <v>0.97444761904761867</v>
      </c>
      <c r="E2" s="34">
        <v>0.94962539682539671</v>
      </c>
      <c r="G2" s="3" t="s">
        <v>37</v>
      </c>
      <c r="H2" s="16" t="s">
        <v>33</v>
      </c>
      <c r="I2" s="16" t="s">
        <v>34</v>
      </c>
      <c r="J2" s="16" t="s">
        <v>35</v>
      </c>
      <c r="K2" s="4" t="s">
        <v>36</v>
      </c>
    </row>
    <row r="3" spans="1:12" x14ac:dyDescent="0.3">
      <c r="A3" s="5" t="s">
        <v>17</v>
      </c>
      <c r="B3" s="22">
        <v>0.17034623285919606</v>
      </c>
      <c r="C3" s="22">
        <v>7.2306756053950413E-2</v>
      </c>
      <c r="D3" s="22">
        <v>5.1769026195697308E-2</v>
      </c>
      <c r="E3" s="34">
        <v>5.168769128294378E-2</v>
      </c>
      <c r="G3" s="3" t="s">
        <v>42</v>
      </c>
      <c r="H3" s="58">
        <f>B2*B4</f>
        <v>3.9276190476191024</v>
      </c>
      <c r="I3" s="58">
        <f>C2*C4</f>
        <v>4.235809523809495</v>
      </c>
      <c r="J3" s="58">
        <f>D2*D4</f>
        <v>4.273857142857314</v>
      </c>
      <c r="K3" s="59">
        <f>E2*E4</f>
        <v>7.437984126984202</v>
      </c>
    </row>
    <row r="4" spans="1:12" x14ac:dyDescent="0.3">
      <c r="A4" s="5" t="s">
        <v>23</v>
      </c>
      <c r="B4" s="22">
        <v>3.9837712519320498</v>
      </c>
      <c r="C4" s="22">
        <v>4.3130751849804296</v>
      </c>
      <c r="D4" s="22">
        <v>4.3859280471477673</v>
      </c>
      <c r="E4" s="34">
        <v>7.8325454983085194</v>
      </c>
      <c r="G4" s="3" t="s">
        <v>45</v>
      </c>
      <c r="H4" s="58" t="s">
        <v>44</v>
      </c>
      <c r="I4" s="58" t="s">
        <v>48</v>
      </c>
      <c r="J4" s="58" t="s">
        <v>49</v>
      </c>
      <c r="K4" s="59" t="s">
        <v>43</v>
      </c>
      <c r="L4" s="36"/>
    </row>
    <row r="5" spans="1:12" x14ac:dyDescent="0.3">
      <c r="A5" s="6" t="s">
        <v>24</v>
      </c>
      <c r="B5" s="23">
        <v>0.13192788205898168</v>
      </c>
      <c r="C5" s="23">
        <v>4.673504819444356E-2</v>
      </c>
      <c r="D5" s="23">
        <v>2.4000974642250587E-2</v>
      </c>
      <c r="E5" s="35">
        <v>2.0940475653501649E-2</v>
      </c>
      <c r="G5" s="5" t="s">
        <v>46</v>
      </c>
      <c r="H5" s="49">
        <f>H3-0</f>
        <v>3.9276190476191024</v>
      </c>
      <c r="I5" s="49">
        <f>I3-H3</f>
        <v>0.30819047619039264</v>
      </c>
      <c r="J5" s="49">
        <f>J3-I3</f>
        <v>3.8047619047818948E-2</v>
      </c>
      <c r="K5" s="34">
        <f>K3-J3</f>
        <v>3.164126984126888</v>
      </c>
    </row>
    <row r="6" spans="1:12" x14ac:dyDescent="0.3">
      <c r="G6" s="6" t="s">
        <v>47</v>
      </c>
      <c r="H6" s="23">
        <f>H5/B2</f>
        <v>3.9837712519320498</v>
      </c>
      <c r="I6" s="23">
        <f t="shared" ref="I6:K6" si="0">I5/C2</f>
        <v>0.31381219755807582</v>
      </c>
      <c r="J6" s="23">
        <f t="shared" si="0"/>
        <v>3.9045319937263512E-2</v>
      </c>
      <c r="K6" s="35">
        <f t="shared" si="0"/>
        <v>3.3319738443228069</v>
      </c>
    </row>
  </sheetData>
  <mergeCells count="1">
    <mergeCell ref="G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T=1m</vt:lpstr>
      <vt:lpstr>T=3m</vt:lpstr>
      <vt:lpstr>T=6m</vt:lpstr>
      <vt:lpstr>T=1y</vt:lpstr>
      <vt:lpstr>Aggregate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Angela Bortolato</cp:lastModifiedBy>
  <dcterms:created xsi:type="dcterms:W3CDTF">2022-03-18T18:09:52Z</dcterms:created>
  <dcterms:modified xsi:type="dcterms:W3CDTF">2026-03-27T21:29:12Z</dcterms:modified>
</cp:coreProperties>
</file>