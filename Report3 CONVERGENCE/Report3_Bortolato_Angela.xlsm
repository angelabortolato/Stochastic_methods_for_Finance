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22" codeName="{643B0D74-A683-FBA9-23B4-8A0AA6E0B6B9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/Users/angelabortolato/Library/Application Support/Microsoft/"/>
    </mc:Choice>
  </mc:AlternateContent>
  <xr:revisionPtr revIDLastSave="0" documentId="8_{E43CCF82-898A-A942-BCA9-0524AB9304ED}" xr6:coauthVersionLast="47" xr6:coauthVersionMax="47" xr10:uidLastSave="{00000000-0000-0000-0000-000000000000}"/>
  <bookViews>
    <workbookView xWindow="0" yWindow="660" windowWidth="29400" windowHeight="16900" xr2:uid="{00000000-000D-0000-FFFF-FFFF00000000}"/>
  </bookViews>
  <sheets>
    <sheet name="Foglio1" sheetId="3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4" i="3" l="1" a="1"/>
  <c r="D40" i="3" a="1"/>
  <c r="D36" i="3" a="1"/>
  <c r="D42" i="3" a="1"/>
  <c r="D38" i="3" a="1"/>
  <c r="D48" i="3" a="1"/>
  <c r="D44" i="3" a="1"/>
  <c r="D49" i="3" a="1"/>
  <c r="D35" i="3" a="1"/>
  <c r="D45" i="3" a="1"/>
  <c r="D41" i="3" a="1"/>
  <c r="D46" i="3" a="1"/>
  <c r="D37" i="3" a="1"/>
  <c r="D47" i="3" a="1"/>
  <c r="D43" i="3" a="1"/>
  <c r="D39" i="3" a="1"/>
  <c r="D24" i="3" a="1"/>
  <c r="D29" i="3" a="1"/>
  <c r="D25" i="3" a="1"/>
  <c r="D30" i="3" a="1"/>
  <c r="D33" i="3" a="1"/>
  <c r="D31" i="3" a="1"/>
  <c r="D27" i="3" a="1"/>
  <c r="D28" i="3" a="1"/>
  <c r="D26" i="3" a="1"/>
  <c r="D32" i="3" a="1"/>
  <c r="D10" i="3" a="1"/>
  <c r="D15" i="3" a="1"/>
  <c r="D20" i="3" a="1"/>
  <c r="D11" i="3" a="1"/>
  <c r="D16" i="3" a="1"/>
  <c r="D21" i="3" a="1"/>
  <c r="D17" i="3" a="1"/>
  <c r="D22" i="3" a="1"/>
  <c r="D19" i="3" a="1"/>
  <c r="D12" i="3" a="1"/>
  <c r="D13" i="3" a="1"/>
  <c r="D18" i="3" a="1"/>
  <c r="D23" i="3" a="1"/>
  <c r="D14" i="3" a="1"/>
  <c r="D9" i="3" a="1"/>
  <c r="C24" i="3" a="1"/>
  <c r="C39" i="3" a="1"/>
  <c r="C22" i="3" a="1"/>
  <c r="C29" i="3" a="1"/>
  <c r="C49" i="3" a="1"/>
  <c r="C11" i="3" a="1"/>
  <c r="C27" i="3" a="1"/>
  <c r="C9" i="3" a="1"/>
  <c r="C16" i="3" a="1"/>
  <c r="C32" i="3" a="1"/>
  <c r="B45" i="3" a="1"/>
  <c r="C20" i="3" a="1"/>
  <c r="C21" i="3" a="1"/>
  <c r="C41" i="3" a="1"/>
  <c r="C42" i="3" a="1"/>
  <c r="C47" i="3" a="1"/>
  <c r="C30" i="3" a="1"/>
  <c r="C38" i="3" a="1"/>
  <c r="C48" i="3" a="1"/>
  <c r="C13" i="3" a="1"/>
  <c r="C45" i="3" a="1"/>
  <c r="C37" i="3" a="1"/>
  <c r="C17" i="3" a="1"/>
  <c r="C10" i="3" a="1"/>
  <c r="C31" i="3" a="1"/>
  <c r="C36" i="3" a="1"/>
  <c r="C35" i="3" a="1"/>
  <c r="C34" i="3" a="1"/>
  <c r="C14" i="3" a="1"/>
  <c r="C33" i="3" a="1"/>
  <c r="C43" i="3" a="1"/>
  <c r="C28" i="3" a="1"/>
  <c r="C15" i="3" a="1"/>
  <c r="C26" i="3" a="1"/>
  <c r="C25" i="3" a="1"/>
  <c r="C18" i="3" a="1"/>
  <c r="C23" i="3" a="1"/>
  <c r="C46" i="3" a="1"/>
  <c r="C40" i="3" a="1"/>
  <c r="C12" i="3" a="1"/>
  <c r="C44" i="3" a="1"/>
  <c r="C19" i="3" a="1"/>
  <c r="B9" i="3" a="1"/>
  <c r="B15" i="3" a="1"/>
  <c r="B26" i="3" a="1"/>
  <c r="B37" i="3" a="1"/>
  <c r="B33" i="3" a="1"/>
  <c r="B11" i="3" a="1"/>
  <c r="B28" i="3" a="1"/>
  <c r="B29" i="3" a="1"/>
  <c r="B12" i="3" a="1"/>
  <c r="B19" i="3" a="1"/>
  <c r="B41" i="3" a="1"/>
  <c r="B25" i="3" a="1"/>
  <c r="B20" i="3" a="1"/>
  <c r="B42" i="3" a="1"/>
  <c r="B21" i="3" a="1"/>
  <c r="B32" i="3" a="1"/>
  <c r="B43" i="3" a="1"/>
  <c r="B16" i="3" a="1"/>
  <c r="B27" i="3" a="1"/>
  <c r="B38" i="3" a="1"/>
  <c r="B22" i="3" a="1"/>
  <c r="B46" i="3" a="1"/>
  <c r="B34" i="3" a="1"/>
  <c r="B40" i="3" a="1"/>
  <c r="B18" i="3" a="1"/>
  <c r="B35" i="3" a="1"/>
  <c r="B48" i="3" a="1"/>
  <c r="B14" i="3" a="1"/>
  <c r="B10" i="3" a="1"/>
  <c r="B44" i="3" a="1"/>
  <c r="B39" i="3" a="1"/>
  <c r="B17" i="3" a="1"/>
  <c r="B23" i="3" a="1"/>
  <c r="B47" i="3" a="1"/>
  <c r="B24" i="3" a="1"/>
  <c r="B30" i="3" a="1"/>
  <c r="B13" i="3" a="1"/>
  <c r="B36" i="3" a="1"/>
  <c r="B31" i="3" a="1"/>
  <c r="B49" i="3" a="1"/>
  <c r="D39" i="3" l="1"/>
  <c r="D43" i="3"/>
  <c r="D47" i="3"/>
  <c r="D37" i="3"/>
  <c r="D46" i="3"/>
  <c r="D41" i="3"/>
  <c r="D45" i="3"/>
  <c r="F45" i="3" s="1"/>
  <c r="D35" i="3"/>
  <c r="D49" i="3"/>
  <c r="D44" i="3"/>
  <c r="D48" i="3"/>
  <c r="D38" i="3"/>
  <c r="D42" i="3"/>
  <c r="D36" i="3"/>
  <c r="D40" i="3"/>
  <c r="D34" i="3"/>
  <c r="D32" i="3"/>
  <c r="D26" i="3"/>
  <c r="D28" i="3"/>
  <c r="D27" i="3"/>
  <c r="D31" i="3"/>
  <c r="D33" i="3"/>
  <c r="D30" i="3"/>
  <c r="D25" i="3"/>
  <c r="D29" i="3"/>
  <c r="D24" i="3"/>
  <c r="D14" i="3"/>
  <c r="D23" i="3"/>
  <c r="D18" i="3"/>
  <c r="D13" i="3"/>
  <c r="D12" i="3"/>
  <c r="D19" i="3"/>
  <c r="D22" i="3"/>
  <c r="D17" i="3"/>
  <c r="D21" i="3"/>
  <c r="D16" i="3"/>
  <c r="D11" i="3"/>
  <c r="D20" i="3"/>
  <c r="D15" i="3"/>
  <c r="D10" i="3"/>
  <c r="D9" i="3"/>
  <c r="B49" i="3"/>
  <c r="B31" i="3"/>
  <c r="B36" i="3"/>
  <c r="B13" i="3"/>
  <c r="E13" i="3" s="1"/>
  <c r="B30" i="3"/>
  <c r="B24" i="3"/>
  <c r="E24" i="3" s="1"/>
  <c r="B47" i="3"/>
  <c r="B23" i="3"/>
  <c r="B17" i="3"/>
  <c r="B39" i="3"/>
  <c r="B44" i="3"/>
  <c r="B10" i="3"/>
  <c r="B14" i="3"/>
  <c r="B48" i="3"/>
  <c r="B35" i="3"/>
  <c r="B18" i="3"/>
  <c r="B40" i="3"/>
  <c r="B34" i="3"/>
  <c r="B46" i="3"/>
  <c r="B22" i="3"/>
  <c r="B38" i="3"/>
  <c r="B27" i="3"/>
  <c r="B16" i="3"/>
  <c r="B43" i="3"/>
  <c r="E43" i="3" s="1"/>
  <c r="B32" i="3"/>
  <c r="E32" i="3" s="1"/>
  <c r="B21" i="3"/>
  <c r="B42" i="3"/>
  <c r="B20" i="3"/>
  <c r="B25" i="3"/>
  <c r="B41" i="3"/>
  <c r="B19" i="3"/>
  <c r="B12" i="3"/>
  <c r="B29" i="3"/>
  <c r="B28" i="3"/>
  <c r="E28" i="3" s="1"/>
  <c r="B11" i="3"/>
  <c r="B33" i="3"/>
  <c r="E33" i="3" s="1"/>
  <c r="B37" i="3"/>
  <c r="B26" i="3"/>
  <c r="B15" i="3"/>
  <c r="B9" i="3"/>
  <c r="C19" i="3"/>
  <c r="C44" i="3"/>
  <c r="C12" i="3"/>
  <c r="C40" i="3"/>
  <c r="F40" i="3" s="1"/>
  <c r="C46" i="3"/>
  <c r="F46" i="3" s="1"/>
  <c r="C23" i="3"/>
  <c r="C18" i="3"/>
  <c r="C25" i="3"/>
  <c r="C26" i="3"/>
  <c r="C15" i="3"/>
  <c r="C28" i="3"/>
  <c r="C43" i="3"/>
  <c r="C33" i="3"/>
  <c r="C14" i="3"/>
  <c r="C34" i="3"/>
  <c r="F34" i="3" s="1"/>
  <c r="C35" i="3"/>
  <c r="C36" i="3"/>
  <c r="C31" i="3"/>
  <c r="C10" i="3"/>
  <c r="C17" i="3"/>
  <c r="C37" i="3"/>
  <c r="C45" i="3"/>
  <c r="C13" i="3"/>
  <c r="C48" i="3"/>
  <c r="C38" i="3"/>
  <c r="F38" i="3" s="1"/>
  <c r="C30" i="3"/>
  <c r="C47" i="3"/>
  <c r="C42" i="3"/>
  <c r="C41" i="3"/>
  <c r="C21" i="3"/>
  <c r="C20" i="3"/>
  <c r="B45" i="3"/>
  <c r="C32" i="3"/>
  <c r="C16" i="3"/>
  <c r="C9" i="3"/>
  <c r="F9" i="3" s="1"/>
  <c r="C27" i="3"/>
  <c r="C11" i="3"/>
  <c r="C49" i="3"/>
  <c r="F49" i="3" s="1"/>
  <c r="C29" i="3"/>
  <c r="C22" i="3"/>
  <c r="C39" i="3"/>
  <c r="C24" i="3"/>
  <c r="E45" i="3"/>
  <c r="F33" i="3" l="1"/>
  <c r="E20" i="3"/>
  <c r="F42" i="3"/>
  <c r="F47" i="3"/>
  <c r="F36" i="3"/>
  <c r="E37" i="3"/>
  <c r="E34" i="3"/>
  <c r="E23" i="3"/>
  <c r="E40" i="3"/>
  <c r="F48" i="3"/>
  <c r="F12" i="3"/>
  <c r="F43" i="3"/>
  <c r="F39" i="3"/>
  <c r="F23" i="3"/>
  <c r="F10" i="3"/>
  <c r="F32" i="3"/>
  <c r="F28" i="3"/>
  <c r="F14" i="3"/>
  <c r="F20" i="3"/>
  <c r="F15" i="3"/>
  <c r="E9" i="3"/>
  <c r="E39" i="3"/>
  <c r="F41" i="3"/>
  <c r="F26" i="3"/>
  <c r="E25" i="3"/>
  <c r="E46" i="3"/>
  <c r="F44" i="3"/>
  <c r="F37" i="3"/>
  <c r="F35" i="3"/>
  <c r="F25" i="3"/>
  <c r="F31" i="3"/>
  <c r="F24" i="3"/>
  <c r="F29" i="3"/>
  <c r="F27" i="3"/>
  <c r="F30" i="3"/>
  <c r="F17" i="3"/>
  <c r="F16" i="3"/>
  <c r="F22" i="3"/>
  <c r="F13" i="3"/>
  <c r="F19" i="3"/>
  <c r="F21" i="3"/>
  <c r="F11" i="3"/>
  <c r="F18" i="3"/>
  <c r="E41" i="3"/>
  <c r="E30" i="3"/>
  <c r="E26" i="3"/>
  <c r="E42" i="3"/>
  <c r="E18" i="3"/>
  <c r="E35" i="3"/>
  <c r="E29" i="3"/>
  <c r="E16" i="3"/>
  <c r="E14" i="3"/>
  <c r="E36" i="3"/>
  <c r="E47" i="3"/>
  <c r="E21" i="3"/>
  <c r="E12" i="3"/>
  <c r="E27" i="3"/>
  <c r="E10" i="3"/>
  <c r="E31" i="3"/>
  <c r="E22" i="3"/>
  <c r="E15" i="3"/>
  <c r="E17" i="3"/>
  <c r="E11" i="3"/>
  <c r="E48" i="3"/>
  <c r="E19" i="3"/>
  <c r="E38" i="3"/>
  <c r="E44" i="3"/>
  <c r="E4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<sst xmlns="http://schemas.openxmlformats.org/spreadsheetml/2006/main" count="11" uniqueCount="11">
  <si>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S</t>
  </si>
  <si>
    <t>r</t>
  </si>
  <si>
    <t>vol</t>
  </si>
  <si>
    <t>K</t>
  </si>
  <si>
    <t>T</t>
  </si>
  <si>
    <t>n</t>
  </si>
  <si>
    <t>B&amp;S formula</t>
  </si>
  <si>
    <t>Binomial model</t>
  </si>
  <si>
    <t>LeisenReimer</t>
  </si>
  <si>
    <t>error binomial</t>
  </si>
  <si>
    <t>error LR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</si>
</sst>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2" fontId="0" fillId="0" borderId="0" xfId="0" applyNumberFormat="1" applyFill="1"/>
    <xf numFmtId="164" fontId="0" fillId="0" borderId="0" xfId="0" applyNumberFormat="1" applyFill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Call</a:t>
            </a:r>
            <a:r>
              <a:rPr lang="it-IT" baseline="0"/>
              <a:t>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Binomial model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Foglio1!$A$9:$A$49</c:f>
              <c:numCache>
                <c:formatCode>General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  <c:pt idx="16">
                  <c:v>45</c:v>
                </c:pt>
                <c:pt idx="17">
                  <c:v>50</c:v>
                </c:pt>
                <c:pt idx="18">
                  <c:v>60</c:v>
                </c:pt>
                <c:pt idx="19">
                  <c:v>70</c:v>
                </c:pt>
                <c:pt idx="20">
                  <c:v>80</c:v>
                </c:pt>
                <c:pt idx="21">
                  <c:v>90</c:v>
                </c:pt>
                <c:pt idx="22">
                  <c:v>100</c:v>
                </c:pt>
                <c:pt idx="23">
                  <c:v>150</c:v>
                </c:pt>
                <c:pt idx="24">
                  <c:v>200</c:v>
                </c:pt>
                <c:pt idx="25">
                  <c:v>250</c:v>
                </c:pt>
                <c:pt idx="26">
                  <c:v>300</c:v>
                </c:pt>
                <c:pt idx="27">
                  <c:v>350</c:v>
                </c:pt>
                <c:pt idx="28">
                  <c:v>400</c:v>
                </c:pt>
                <c:pt idx="29">
                  <c:v>450</c:v>
                </c:pt>
                <c:pt idx="30">
                  <c:v>500</c:v>
                </c:pt>
                <c:pt idx="31">
                  <c:v>550</c:v>
                </c:pt>
                <c:pt idx="32">
                  <c:v>600</c:v>
                </c:pt>
                <c:pt idx="33">
                  <c:v>650</c:v>
                </c:pt>
                <c:pt idx="34">
                  <c:v>700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</c:numCache>
            </c:numRef>
          </c:xVal>
          <c:yVal>
            <c:numRef>
              <c:f>Foglio1!$B$9:$B$49</c:f>
              <c:numCache>
                <c:formatCode>0.00</c:formatCode>
                <c:ptCount val="41"/>
                <c:pt idx="0">
                  <c:v>10.41459862337868</c:v>
                </c:pt>
                <c:pt idx="1">
                  <c:v>7.7697841484472487</c:v>
                </c:pt>
                <c:pt idx="2">
                  <c:v>9.0955389976946908</c:v>
                </c:pt>
                <c:pt idx="3">
                  <c:v>8.1336249364981317</c:v>
                </c:pt>
                <c:pt idx="4">
                  <c:v>8.8243709276863989</c:v>
                </c:pt>
                <c:pt idx="5">
                  <c:v>8.2562207592388308</c:v>
                </c:pt>
                <c:pt idx="6">
                  <c:v>8.7086912519583564</c:v>
                </c:pt>
                <c:pt idx="7">
                  <c:v>8.3156383283357886</c:v>
                </c:pt>
                <c:pt idx="8">
                  <c:v>8.6447208278529057</c:v>
                </c:pt>
                <c:pt idx="9">
                  <c:v>8.3499500153194752</c:v>
                </c:pt>
                <c:pt idx="10">
                  <c:v>8.5556492346671806</c:v>
                </c:pt>
                <c:pt idx="11">
                  <c:v>8.4122624594027133</c:v>
                </c:pt>
                <c:pt idx="12">
                  <c:v>8.5025426047605226</c:v>
                </c:pt>
                <c:pt idx="13">
                  <c:v>8.4292068024731535</c:v>
                </c:pt>
                <c:pt idx="14">
                  <c:v>8.4798774356366309</c:v>
                </c:pt>
                <c:pt idx="15">
                  <c:v>8.4361342911577779</c:v>
                </c:pt>
                <c:pt idx="16">
                  <c:v>8.467301835620562</c:v>
                </c:pt>
                <c:pt idx="17">
                  <c:v>8.4395012500087319</c:v>
                </c:pt>
                <c:pt idx="18">
                  <c:v>8.4412640417884344</c:v>
                </c:pt>
                <c:pt idx="19">
                  <c:v>8.4422422234786332</c:v>
                </c:pt>
                <c:pt idx="20">
                  <c:v>8.4427379223488686</c:v>
                </c:pt>
                <c:pt idx="21">
                  <c:v>8.4429862396440836</c:v>
                </c:pt>
                <c:pt idx="22">
                  <c:v>8.4430504401746056</c:v>
                </c:pt>
                <c:pt idx="23">
                  <c:v>8.4424282278601908</c:v>
                </c:pt>
                <c:pt idx="24">
                  <c:v>8.4414358860239158</c:v>
                </c:pt>
                <c:pt idx="25">
                  <c:v>8.4404784840441973</c:v>
                </c:pt>
                <c:pt idx="26">
                  <c:v>8.4396551496392878</c:v>
                </c:pt>
                <c:pt idx="27">
                  <c:v>8.438859207132257</c:v>
                </c:pt>
                <c:pt idx="28">
                  <c:v>8.4382435974158625</c:v>
                </c:pt>
                <c:pt idx="29">
                  <c:v>8.4376525339280164</c:v>
                </c:pt>
                <c:pt idx="30">
                  <c:v>8.4371360691531745</c:v>
                </c:pt>
                <c:pt idx="31">
                  <c:v>8.4366762502759496</c:v>
                </c:pt>
                <c:pt idx="32">
                  <c:v>8.4362400380668419</c:v>
                </c:pt>
                <c:pt idx="33">
                  <c:v>8.4358850202635978</c:v>
                </c:pt>
                <c:pt idx="34">
                  <c:v>8.4355479489352287</c:v>
                </c:pt>
                <c:pt idx="35">
                  <c:v>8.4352354214749141</c:v>
                </c:pt>
                <c:pt idx="36">
                  <c:v>8.4349049595186774</c:v>
                </c:pt>
                <c:pt idx="37">
                  <c:v>8.4346745768790328</c:v>
                </c:pt>
                <c:pt idx="38">
                  <c:v>8.4344149241113691</c:v>
                </c:pt>
                <c:pt idx="39">
                  <c:v>8.4341647134113664</c:v>
                </c:pt>
                <c:pt idx="40">
                  <c:v>8.4339654957751602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7F-7A48-AA32-FAB9BDF408AE}"/>
            </c:ext>
          </c:extLst>
        </c:ser>
        <c:ser>
          <c:idx val="1"/>
          <c:order val="1"/>
          <c:tx>
            <c:v>B&amp;S formula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Foglio1!$A$9:$A$49</c:f>
              <c:numCache>
                <c:formatCode>General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  <c:pt idx="16">
                  <c:v>45</c:v>
                </c:pt>
                <c:pt idx="17">
                  <c:v>50</c:v>
                </c:pt>
                <c:pt idx="18">
                  <c:v>60</c:v>
                </c:pt>
                <c:pt idx="19">
                  <c:v>70</c:v>
                </c:pt>
                <c:pt idx="20">
                  <c:v>80</c:v>
                </c:pt>
                <c:pt idx="21">
                  <c:v>90</c:v>
                </c:pt>
                <c:pt idx="22">
                  <c:v>100</c:v>
                </c:pt>
                <c:pt idx="23">
                  <c:v>150</c:v>
                </c:pt>
                <c:pt idx="24">
                  <c:v>200</c:v>
                </c:pt>
                <c:pt idx="25">
                  <c:v>250</c:v>
                </c:pt>
                <c:pt idx="26">
                  <c:v>300</c:v>
                </c:pt>
                <c:pt idx="27">
                  <c:v>350</c:v>
                </c:pt>
                <c:pt idx="28">
                  <c:v>400</c:v>
                </c:pt>
                <c:pt idx="29">
                  <c:v>450</c:v>
                </c:pt>
                <c:pt idx="30">
                  <c:v>500</c:v>
                </c:pt>
                <c:pt idx="31">
                  <c:v>550</c:v>
                </c:pt>
                <c:pt idx="32">
                  <c:v>600</c:v>
                </c:pt>
                <c:pt idx="33">
                  <c:v>650</c:v>
                </c:pt>
                <c:pt idx="34">
                  <c:v>700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</c:numCache>
            </c:numRef>
          </c:xVal>
          <c:yVal>
            <c:numRef>
              <c:f>Foglio1!$C$9:$C$49</c:f>
              <c:numCache>
                <c:formatCode>0.00</c:formatCode>
                <c:ptCount val="41"/>
                <c:pt idx="0">
                  <c:v>8.4333273843895213</c:v>
                </c:pt>
                <c:pt idx="1">
                  <c:v>8.4333273843895213</c:v>
                </c:pt>
                <c:pt idx="2">
                  <c:v>8.4333273843895213</c:v>
                </c:pt>
                <c:pt idx="3">
                  <c:v>8.4333273843895213</c:v>
                </c:pt>
                <c:pt idx="4">
                  <c:v>8.4333273843895213</c:v>
                </c:pt>
                <c:pt idx="5">
                  <c:v>8.4333273843895213</c:v>
                </c:pt>
                <c:pt idx="6">
                  <c:v>8.4333273843895213</c:v>
                </c:pt>
                <c:pt idx="7">
                  <c:v>8.4333273843895213</c:v>
                </c:pt>
                <c:pt idx="8">
                  <c:v>8.4333273843895213</c:v>
                </c:pt>
                <c:pt idx="9">
                  <c:v>8.4333273843895213</c:v>
                </c:pt>
                <c:pt idx="10">
                  <c:v>8.4333273843895213</c:v>
                </c:pt>
                <c:pt idx="11">
                  <c:v>8.4333273843895213</c:v>
                </c:pt>
                <c:pt idx="12">
                  <c:v>8.4333273843895213</c:v>
                </c:pt>
                <c:pt idx="13">
                  <c:v>8.4333273843895213</c:v>
                </c:pt>
                <c:pt idx="14">
                  <c:v>8.4333273843895213</c:v>
                </c:pt>
                <c:pt idx="15">
                  <c:v>8.4333273843895213</c:v>
                </c:pt>
                <c:pt idx="16">
                  <c:v>8.4333273843895213</c:v>
                </c:pt>
                <c:pt idx="17">
                  <c:v>8.4333273843895213</c:v>
                </c:pt>
                <c:pt idx="18">
                  <c:v>8.4333273843895213</c:v>
                </c:pt>
                <c:pt idx="19">
                  <c:v>8.4333273843895213</c:v>
                </c:pt>
                <c:pt idx="20">
                  <c:v>8.4333273843895213</c:v>
                </c:pt>
                <c:pt idx="21">
                  <c:v>8.4333273843895213</c:v>
                </c:pt>
                <c:pt idx="22">
                  <c:v>8.4333273843895213</c:v>
                </c:pt>
                <c:pt idx="23">
                  <c:v>8.4333273843895213</c:v>
                </c:pt>
                <c:pt idx="24">
                  <c:v>8.4333273843895213</c:v>
                </c:pt>
                <c:pt idx="25">
                  <c:v>8.4333273843895213</c:v>
                </c:pt>
                <c:pt idx="26">
                  <c:v>8.4333273843895213</c:v>
                </c:pt>
                <c:pt idx="27">
                  <c:v>8.4333273843895213</c:v>
                </c:pt>
                <c:pt idx="28">
                  <c:v>8.4333273843895213</c:v>
                </c:pt>
                <c:pt idx="29">
                  <c:v>8.4333273843895213</c:v>
                </c:pt>
                <c:pt idx="30">
                  <c:v>8.4333273843895213</c:v>
                </c:pt>
                <c:pt idx="31">
                  <c:v>8.4333273843895213</c:v>
                </c:pt>
                <c:pt idx="32">
                  <c:v>8.4333273843895213</c:v>
                </c:pt>
                <c:pt idx="33">
                  <c:v>8.4333273843895213</c:v>
                </c:pt>
                <c:pt idx="34">
                  <c:v>8.4333273843895213</c:v>
                </c:pt>
                <c:pt idx="35">
                  <c:v>8.4333273843895213</c:v>
                </c:pt>
                <c:pt idx="36">
                  <c:v>8.4333273843895213</c:v>
                </c:pt>
                <c:pt idx="37">
                  <c:v>8.4333273843895213</c:v>
                </c:pt>
                <c:pt idx="38">
                  <c:v>8.4333273843895213</c:v>
                </c:pt>
                <c:pt idx="39">
                  <c:v>8.4333273843895213</c:v>
                </c:pt>
                <c:pt idx="40">
                  <c:v>8.4333273843895213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7F-7A48-AA32-FAB9BDF408AE}"/>
            </c:ext>
          </c:extLst>
        </c:ser>
        <c:ser>
          <c:idx val="2"/>
          <c:order val="2"/>
          <c:tx>
            <c:v>LeisenReimer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Foglio1!$A$9:$A$49</c:f>
              <c:numCache>
                <c:formatCode>General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  <c:pt idx="16">
                  <c:v>45</c:v>
                </c:pt>
                <c:pt idx="17">
                  <c:v>50</c:v>
                </c:pt>
                <c:pt idx="18">
                  <c:v>60</c:v>
                </c:pt>
                <c:pt idx="19">
                  <c:v>70</c:v>
                </c:pt>
                <c:pt idx="20">
                  <c:v>80</c:v>
                </c:pt>
                <c:pt idx="21">
                  <c:v>90</c:v>
                </c:pt>
                <c:pt idx="22">
                  <c:v>100</c:v>
                </c:pt>
                <c:pt idx="23">
                  <c:v>150</c:v>
                </c:pt>
                <c:pt idx="24">
                  <c:v>200</c:v>
                </c:pt>
                <c:pt idx="25">
                  <c:v>250</c:v>
                </c:pt>
                <c:pt idx="26">
                  <c:v>300</c:v>
                </c:pt>
                <c:pt idx="27">
                  <c:v>350</c:v>
                </c:pt>
                <c:pt idx="28">
                  <c:v>400</c:v>
                </c:pt>
                <c:pt idx="29">
                  <c:v>450</c:v>
                </c:pt>
                <c:pt idx="30">
                  <c:v>500</c:v>
                </c:pt>
                <c:pt idx="31">
                  <c:v>550</c:v>
                </c:pt>
                <c:pt idx="32">
                  <c:v>600</c:v>
                </c:pt>
                <c:pt idx="33">
                  <c:v>650</c:v>
                </c:pt>
                <c:pt idx="34">
                  <c:v>700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</c:numCache>
            </c:numRef>
          </c:xVal>
          <c:yVal>
            <c:numRef>
              <c:f>Foglio1!$D$9:$D$49</c:f>
              <c:numCache>
                <c:formatCode>0.00</c:formatCode>
                <c:ptCount val="41"/>
                <c:pt idx="0">
                  <c:v>8.2654449509773738</c:v>
                </c:pt>
                <c:pt idx="1">
                  <c:v>8.4032328381098278</c:v>
                </c:pt>
                <c:pt idx="2">
                  <c:v>8.4032328381098278</c:v>
                </c:pt>
                <c:pt idx="3">
                  <c:v>8.4209343027405499</c:v>
                </c:pt>
                <c:pt idx="4">
                  <c:v>8.4209343027405499</c:v>
                </c:pt>
                <c:pt idx="5">
                  <c:v>8.4265692233797633</c:v>
                </c:pt>
                <c:pt idx="6">
                  <c:v>8.4265692233797633</c:v>
                </c:pt>
                <c:pt idx="7">
                  <c:v>8.4290713834427642</c:v>
                </c:pt>
                <c:pt idx="8">
                  <c:v>8.4290713834427642</c:v>
                </c:pt>
                <c:pt idx="9">
                  <c:v>8.4303997829055852</c:v>
                </c:pt>
                <c:pt idx="10">
                  <c:v>8.4316966308156438</c:v>
                </c:pt>
                <c:pt idx="11">
                  <c:v>8.4324686288538455</c:v>
                </c:pt>
                <c:pt idx="12">
                  <c:v>8.4327122618048218</c:v>
                </c:pt>
                <c:pt idx="13">
                  <c:v>8.432919800629822</c:v>
                </c:pt>
                <c:pt idx="14">
                  <c:v>8.433004056018639</c:v>
                </c:pt>
                <c:pt idx="15">
                  <c:v>8.4330879745364058</c:v>
                </c:pt>
                <c:pt idx="16">
                  <c:v>8.43312654504685</c:v>
                </c:pt>
                <c:pt idx="17">
                  <c:v>8.4331685069462683</c:v>
                </c:pt>
                <c:pt idx="18">
                  <c:v>8.4332131998401341</c:v>
                </c:pt>
                <c:pt idx="19">
                  <c:v>8.4332405490921545</c:v>
                </c:pt>
                <c:pt idx="20">
                  <c:v>8.433258492749367</c:v>
                </c:pt>
                <c:pt idx="21">
                  <c:v>8.4332708969339709</c:v>
                </c:pt>
                <c:pt idx="22">
                  <c:v>8.4332798276508569</c:v>
                </c:pt>
                <c:pt idx="23">
                  <c:v>8.4333012153764102</c:v>
                </c:pt>
                <c:pt idx="24">
                  <c:v>8.4333088027920713</c:v>
                </c:pt>
                <c:pt idx="25">
                  <c:v>8.4333123398667666</c:v>
                </c:pt>
                <c:pt idx="26">
                  <c:v>8.433314269818915</c:v>
                </c:pt>
                <c:pt idx="27">
                  <c:v>8.4333154370698562</c:v>
                </c:pt>
                <c:pt idx="28">
                  <c:v>8.4333161963531271</c:v>
                </c:pt>
                <c:pt idx="29">
                  <c:v>8.433316717800345</c:v>
                </c:pt>
                <c:pt idx="30">
                  <c:v>8.4333170912687283</c:v>
                </c:pt>
                <c:pt idx="31">
                  <c:v>8.4333173678888897</c:v>
                </c:pt>
                <c:pt idx="32">
                  <c:v>8.4333175784877312</c:v>
                </c:pt>
                <c:pt idx="33">
                  <c:v>8.433317742507251</c:v>
                </c:pt>
                <c:pt idx="34">
                  <c:v>8.4333178727344063</c:v>
                </c:pt>
                <c:pt idx="35">
                  <c:v>8.4333179778400638</c:v>
                </c:pt>
                <c:pt idx="36">
                  <c:v>8.4333180638812451</c:v>
                </c:pt>
                <c:pt idx="37">
                  <c:v>8.4333181352534847</c:v>
                </c:pt>
                <c:pt idx="38">
                  <c:v>8.4333181950634373</c:v>
                </c:pt>
                <c:pt idx="39">
                  <c:v>8.4333182457322433</c:v>
                </c:pt>
                <c:pt idx="40">
                  <c:v>8.4333182889605744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68-7E49-B627-9BD85BBCF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091264"/>
        <c:axId val="405933568"/>
      </c:scatterChart>
      <c:valAx>
        <c:axId val="44209126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05933568"/>
        <c:crosses val="autoZero"/>
        <c:crossBetween val="midCat"/>
      </c:valAx>
      <c:valAx>
        <c:axId val="405933568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Call 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42091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Absolute</a:t>
            </a:r>
            <a:r>
              <a:rPr lang="it-IT" baseline="0"/>
              <a:t> error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v>Binomial model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name>Power law (Binomial)</c:name>
            <c:spPr>
              <a:ln w="19050" cap="rnd">
                <a:solidFill>
                  <a:schemeClr val="accent2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Foglio1!$A$9:$A$49</c:f>
              <c:numCache>
                <c:formatCode>General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  <c:pt idx="16">
                  <c:v>45</c:v>
                </c:pt>
                <c:pt idx="17">
                  <c:v>50</c:v>
                </c:pt>
                <c:pt idx="18">
                  <c:v>60</c:v>
                </c:pt>
                <c:pt idx="19">
                  <c:v>70</c:v>
                </c:pt>
                <c:pt idx="20">
                  <c:v>80</c:v>
                </c:pt>
                <c:pt idx="21">
                  <c:v>90</c:v>
                </c:pt>
                <c:pt idx="22">
                  <c:v>100</c:v>
                </c:pt>
                <c:pt idx="23">
                  <c:v>150</c:v>
                </c:pt>
                <c:pt idx="24">
                  <c:v>200</c:v>
                </c:pt>
                <c:pt idx="25">
                  <c:v>250</c:v>
                </c:pt>
                <c:pt idx="26">
                  <c:v>300</c:v>
                </c:pt>
                <c:pt idx="27">
                  <c:v>350</c:v>
                </c:pt>
                <c:pt idx="28">
                  <c:v>400</c:v>
                </c:pt>
                <c:pt idx="29">
                  <c:v>450</c:v>
                </c:pt>
                <c:pt idx="30">
                  <c:v>500</c:v>
                </c:pt>
                <c:pt idx="31">
                  <c:v>550</c:v>
                </c:pt>
                <c:pt idx="32">
                  <c:v>600</c:v>
                </c:pt>
                <c:pt idx="33">
                  <c:v>650</c:v>
                </c:pt>
                <c:pt idx="34">
                  <c:v>700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</c:numCache>
            </c:numRef>
          </c:xVal>
          <c:yVal>
            <c:numRef>
              <c:f>Foglio1!$E$9:$E$49</c:f>
              <c:numCache>
                <c:formatCode>0.000</c:formatCode>
                <c:ptCount val="41"/>
                <c:pt idx="0">
                  <c:v>1.9812712389891587</c:v>
                </c:pt>
                <c:pt idx="1">
                  <c:v>0.6635432359422726</c:v>
                </c:pt>
                <c:pt idx="2">
                  <c:v>0.66221161330516942</c:v>
                </c:pt>
                <c:pt idx="3">
                  <c:v>0.29970244789138967</c:v>
                </c:pt>
                <c:pt idx="4">
                  <c:v>0.39104354329687752</c:v>
                </c:pt>
                <c:pt idx="5">
                  <c:v>0.17710662515069053</c:v>
                </c:pt>
                <c:pt idx="6">
                  <c:v>0.27536386756883502</c:v>
                </c:pt>
                <c:pt idx="7">
                  <c:v>0.1176890560537327</c:v>
                </c:pt>
                <c:pt idx="8">
                  <c:v>0.2113934434633844</c:v>
                </c:pt>
                <c:pt idx="9">
                  <c:v>8.3377369070046115E-2</c:v>
                </c:pt>
                <c:pt idx="10">
                  <c:v>0.12232185027765929</c:v>
                </c:pt>
                <c:pt idx="11">
                  <c:v>2.1064924986808009E-2</c:v>
                </c:pt>
                <c:pt idx="12">
                  <c:v>6.9215220371001251E-2</c:v>
                </c:pt>
                <c:pt idx="13">
                  <c:v>4.1205819163678825E-3</c:v>
                </c:pt>
                <c:pt idx="14">
                  <c:v>4.6550051247109536E-2</c:v>
                </c:pt>
                <c:pt idx="15">
                  <c:v>2.8069067682565674E-3</c:v>
                </c:pt>
                <c:pt idx="16">
                  <c:v>3.3974451231040703E-2</c:v>
                </c:pt>
                <c:pt idx="17">
                  <c:v>6.1738656192105168E-3</c:v>
                </c:pt>
                <c:pt idx="18">
                  <c:v>7.9366573989130274E-3</c:v>
                </c:pt>
                <c:pt idx="19">
                  <c:v>8.9148390891118368E-3</c:v>
                </c:pt>
                <c:pt idx="20">
                  <c:v>9.4105379593472094E-3</c:v>
                </c:pt>
                <c:pt idx="21">
                  <c:v>9.6588552545622264E-3</c:v>
                </c:pt>
                <c:pt idx="22">
                  <c:v>9.7230557850842558E-3</c:v>
                </c:pt>
                <c:pt idx="23">
                  <c:v>9.1008434706694175E-3</c:v>
                </c:pt>
                <c:pt idx="24">
                  <c:v>8.1085016343944716E-3</c:v>
                </c:pt>
                <c:pt idx="25">
                  <c:v>7.1510996546759742E-3</c:v>
                </c:pt>
                <c:pt idx="26">
                  <c:v>6.327765249766415E-3</c:v>
                </c:pt>
                <c:pt idx="27">
                  <c:v>5.5318227427356703E-3</c:v>
                </c:pt>
                <c:pt idx="28">
                  <c:v>4.9162130263411541E-3</c:v>
                </c:pt>
                <c:pt idx="29">
                  <c:v>4.3251495384950545E-3</c:v>
                </c:pt>
                <c:pt idx="30">
                  <c:v>3.8086847636531473E-3</c:v>
                </c:pt>
                <c:pt idx="31">
                  <c:v>3.3488658864282428E-3</c:v>
                </c:pt>
                <c:pt idx="32">
                  <c:v>2.9126536773205203E-3</c:v>
                </c:pt>
                <c:pt idx="33">
                  <c:v>2.5576358740764249E-3</c:v>
                </c:pt>
                <c:pt idx="34">
                  <c:v>2.2205645457074041E-3</c:v>
                </c:pt>
                <c:pt idx="35">
                  <c:v>1.9080370853927775E-3</c:v>
                </c:pt>
                <c:pt idx="36">
                  <c:v>1.5775751291560169E-3</c:v>
                </c:pt>
                <c:pt idx="37">
                  <c:v>1.3471924895114284E-3</c:v>
                </c:pt>
                <c:pt idx="38">
                  <c:v>1.087539721847719E-3</c:v>
                </c:pt>
                <c:pt idx="39">
                  <c:v>8.3732902184507907E-4</c:v>
                </c:pt>
                <c:pt idx="40">
                  <c:v>6.3811138563885095E-4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06-CF42-BDEF-4B3BDD7C05AB}"/>
            </c:ext>
          </c:extLst>
        </c:ser>
        <c:ser>
          <c:idx val="4"/>
          <c:order val="1"/>
          <c:tx>
            <c:v>LeisenReimer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trendline>
            <c:name>Power law (LeisenReimer)</c:nam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we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</c:trendlineLbl>
          </c:trendline>
          <c:xVal>
            <c:numRef>
              <c:f>Foglio1!$A$9:$A$49</c:f>
              <c:numCache>
                <c:formatCode>General</c:formatCode>
                <c:ptCount val="4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15</c:v>
                </c:pt>
                <c:pt idx="11">
                  <c:v>20</c:v>
                </c:pt>
                <c:pt idx="12">
                  <c:v>25</c:v>
                </c:pt>
                <c:pt idx="13">
                  <c:v>30</c:v>
                </c:pt>
                <c:pt idx="14">
                  <c:v>35</c:v>
                </c:pt>
                <c:pt idx="15">
                  <c:v>40</c:v>
                </c:pt>
                <c:pt idx="16">
                  <c:v>45</c:v>
                </c:pt>
                <c:pt idx="17">
                  <c:v>50</c:v>
                </c:pt>
                <c:pt idx="18">
                  <c:v>60</c:v>
                </c:pt>
                <c:pt idx="19">
                  <c:v>70</c:v>
                </c:pt>
                <c:pt idx="20">
                  <c:v>80</c:v>
                </c:pt>
                <c:pt idx="21">
                  <c:v>90</c:v>
                </c:pt>
                <c:pt idx="22">
                  <c:v>100</c:v>
                </c:pt>
                <c:pt idx="23">
                  <c:v>150</c:v>
                </c:pt>
                <c:pt idx="24">
                  <c:v>200</c:v>
                </c:pt>
                <c:pt idx="25">
                  <c:v>250</c:v>
                </c:pt>
                <c:pt idx="26">
                  <c:v>300</c:v>
                </c:pt>
                <c:pt idx="27">
                  <c:v>350</c:v>
                </c:pt>
                <c:pt idx="28">
                  <c:v>400</c:v>
                </c:pt>
                <c:pt idx="29">
                  <c:v>450</c:v>
                </c:pt>
                <c:pt idx="30">
                  <c:v>500</c:v>
                </c:pt>
                <c:pt idx="31">
                  <c:v>550</c:v>
                </c:pt>
                <c:pt idx="32">
                  <c:v>600</c:v>
                </c:pt>
                <c:pt idx="33">
                  <c:v>650</c:v>
                </c:pt>
                <c:pt idx="34">
                  <c:v>700</c:v>
                </c:pt>
                <c:pt idx="35">
                  <c:v>750</c:v>
                </c:pt>
                <c:pt idx="36">
                  <c:v>800</c:v>
                </c:pt>
                <c:pt idx="37">
                  <c:v>850</c:v>
                </c:pt>
                <c:pt idx="38">
                  <c:v>900</c:v>
                </c:pt>
                <c:pt idx="39">
                  <c:v>950</c:v>
                </c:pt>
                <c:pt idx="40">
                  <c:v>1000</c:v>
                </c:pt>
              </c:numCache>
            </c:numRef>
          </c:xVal>
          <c:yVal>
            <c:numRef>
              <c:f>Foglio1!$F$9:$F$49</c:f>
              <c:numCache>
                <c:formatCode>0.000</c:formatCode>
                <c:ptCount val="41"/>
                <c:pt idx="0">
                  <c:v>0.16788243341214759</c:v>
                </c:pt>
                <c:pt idx="1">
                  <c:v>3.0094546279693546E-2</c:v>
                </c:pt>
                <c:pt idx="2">
                  <c:v>3.0094546279693546E-2</c:v>
                </c:pt>
                <c:pt idx="3">
                  <c:v>1.239308164897146E-2</c:v>
                </c:pt>
                <c:pt idx="4">
                  <c:v>1.239308164897146E-2</c:v>
                </c:pt>
                <c:pt idx="5">
                  <c:v>6.7581610097580125E-3</c:v>
                </c:pt>
                <c:pt idx="6">
                  <c:v>6.7581610097580125E-3</c:v>
                </c:pt>
                <c:pt idx="7">
                  <c:v>4.2560009467571547E-3</c:v>
                </c:pt>
                <c:pt idx="8">
                  <c:v>4.2560009467571547E-3</c:v>
                </c:pt>
                <c:pt idx="9">
                  <c:v>2.9276014839361153E-3</c:v>
                </c:pt>
                <c:pt idx="10">
                  <c:v>1.6307535738775414E-3</c:v>
                </c:pt>
                <c:pt idx="11">
                  <c:v>8.5875553567582585E-4</c:v>
                </c:pt>
                <c:pt idx="12">
                  <c:v>6.1512258469953451E-4</c:v>
                </c:pt>
                <c:pt idx="13">
                  <c:v>4.0758375969929261E-4</c:v>
                </c:pt>
                <c:pt idx="14">
                  <c:v>3.2332837088233646E-4</c:v>
                </c:pt>
                <c:pt idx="15">
                  <c:v>2.3940985311554641E-4</c:v>
                </c:pt>
                <c:pt idx="16">
                  <c:v>2.0083934267134396E-4</c:v>
                </c:pt>
                <c:pt idx="17">
                  <c:v>1.5887744325304709E-4</c:v>
                </c:pt>
                <c:pt idx="18">
                  <c:v>1.1418454938727507E-4</c:v>
                </c:pt>
                <c:pt idx="19">
                  <c:v>8.6835297366860686E-5</c:v>
                </c:pt>
                <c:pt idx="20">
                  <c:v>6.88916401543338E-5</c:v>
                </c:pt>
                <c:pt idx="21">
                  <c:v>5.648745555042467E-5</c:v>
                </c:pt>
                <c:pt idx="22">
                  <c:v>4.7556738664411569E-5</c:v>
                </c:pt>
                <c:pt idx="23">
                  <c:v>2.6169013111143613E-5</c:v>
                </c:pt>
                <c:pt idx="24">
                  <c:v>1.858159745005139E-5</c:v>
                </c:pt>
                <c:pt idx="25">
                  <c:v>1.504452275469248E-5</c:v>
                </c:pt>
                <c:pt idx="26">
                  <c:v>1.3114570606376219E-5</c:v>
                </c:pt>
                <c:pt idx="27">
                  <c:v>1.1947319665139844E-5</c:v>
                </c:pt>
                <c:pt idx="28">
                  <c:v>1.1188036394216283E-5</c:v>
                </c:pt>
                <c:pt idx="29">
                  <c:v>1.066658917636687E-5</c:v>
                </c:pt>
                <c:pt idx="30">
                  <c:v>1.0293120793036792E-5</c:v>
                </c:pt>
                <c:pt idx="31">
                  <c:v>1.0016500631593317E-5</c:v>
                </c:pt>
                <c:pt idx="32">
                  <c:v>9.8059017901164225E-6</c:v>
                </c:pt>
                <c:pt idx="33">
                  <c:v>9.6418822703725482E-6</c:v>
                </c:pt>
                <c:pt idx="34">
                  <c:v>9.511655115090889E-6</c:v>
                </c:pt>
                <c:pt idx="35">
                  <c:v>9.4065494575801267E-6</c:v>
                </c:pt>
                <c:pt idx="36">
                  <c:v>9.3205082762892744E-6</c:v>
                </c:pt>
                <c:pt idx="37">
                  <c:v>9.2491360366153685E-6</c:v>
                </c:pt>
                <c:pt idx="38">
                  <c:v>9.1893260840691937E-6</c:v>
                </c:pt>
                <c:pt idx="39">
                  <c:v>9.1386572780294273E-6</c:v>
                </c:pt>
                <c:pt idx="40">
                  <c:v>9.0954289468925253E-6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106-CF42-BDEF-4B3BDD7C0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184128"/>
        <c:axId val="1876181888"/>
      </c:scatterChart>
      <c:valAx>
        <c:axId val="187618412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 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76181888"/>
        <c:crosses val="autoZero"/>
        <c:crossBetween val="midCat"/>
      </c:valAx>
      <c:valAx>
        <c:axId val="187618188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Error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76184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190356</xdr:colOff>
      <xdr:row>7</xdr:row>
      <xdr:rowOff>168458</xdr:rowOff>
    </xdr:from>
    <xdr:to>
      <xdr:col>12</xdr:col>
      <xdr:colOff>708939</xdr:colOff>
      <xdr:row>28</xdr:row>
      <xdr:rowOff>71238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4D0EE4D0-7D7D-D8B2-8CDC-EC3AB997BE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192186</xdr:colOff>
      <xdr:row>28</xdr:row>
      <xdr:rowOff>72602</xdr:rowOff>
    </xdr:from>
    <xdr:to>
      <xdr:col>12</xdr:col>
      <xdr:colOff>696815</xdr:colOff>
      <xdr:row>47</xdr:row>
      <xdr:rowOff>89910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97D3C413-75EF-6F9F-EFB7-EFFF5B0A50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900E3-D037-FF43-A95F-45DA502BFAEE}">
  <sheetPr codeName="Foglio2"/>
  <dimension ref="A1:F49"/>
  <sheetViews>
    <sheetView tabSelected="1" zoomScale="113" zoomScaleNormal="113" workbookViewId="0">
      <selection activeCell="F9" sqref="F9"/>
    </sheetView>
  </sheetViews>
  <sheetFormatPr baseColWidth="10" defaultRowHeight="15" x14ac:dyDescent="0.2"/>
  <sheetData>
    <row r="1" spans="1:6" x14ac:dyDescent="0.2">
      <c r="A1" t="s">
        <v>0</v>
      </c>
      <c r="B1">
        <v>100</v>
      </c>
    </row>
    <row r="2" spans="1:6" x14ac:dyDescent="0.2">
      <c r="A2" t="s">
        <v>1</v>
      </c>
      <c r="B2">
        <v>0.01</v>
      </c>
    </row>
    <row r="3" spans="1:6" x14ac:dyDescent="0.2">
      <c r="A3" t="s">
        <v>2</v>
      </c>
      <c r="B3">
        <v>0.2</v>
      </c>
    </row>
    <row r="4" spans="1:6" x14ac:dyDescent="0.2">
      <c r="A4" t="s">
        <v>4</v>
      </c>
      <c r="B4">
        <v>1</v>
      </c>
    </row>
    <row r="5" spans="1:6" x14ac:dyDescent="0.2">
      <c r="A5" t="s">
        <v>3</v>
      </c>
      <c r="B5">
        <v>100</v>
      </c>
    </row>
    <row r="8" spans="1:6" s="1" customFormat="1" x14ac:dyDescent="0.2">
      <c r="A8" s="1" t="s">
        <v>5</v>
      </c>
      <c r="B8" s="1" t="s">
        <v>7</v>
      </c>
      <c r="C8" s="1" t="s">
        <v>6</v>
      </c>
      <c r="D8" s="1" t="s">
        <v>8</v>
      </c>
      <c r="E8" s="1" t="s">
        <v>9</v>
      </c>
      <c r="F8" s="1" t="s">
        <v>10</v>
      </c>
    </row>
    <row r="9" spans="1:6" s="1" customFormat="1" x14ac:dyDescent="0.2">
      <c r="A9" s="1">
        <v>1</v>
      </c>
      <c r="B9" s="2" cm="1">
        <f t="array" ref="B9">Bi_Call_Eur(B$1,B$5,B$4,B$2,B$3,A9)</f>
        <v>10.41459862337868</v>
      </c>
      <c r="C9" s="2" cm="1">
        <f t="array" ref="C9">BS_Call_Eur(B$1,B$5,B$4,B$2,B$3)</f>
        <v>8.4333273843895213</v>
      </c>
      <c r="D9" s="2" cm="1">
        <f t="array" ref="D9">LR_Call_Eur(B$1,B$5,B$4,B$2,B$3,A9)</f>
        <v>8.2654449509773738</v>
      </c>
      <c r="E9" s="3">
        <f>ABS(C9-B9)</f>
        <v>1.9812712389891587</v>
      </c>
      <c r="F9" s="3">
        <f>ABS(D9-C9)</f>
        <v>0.16788243341214759</v>
      </c>
    </row>
    <row r="10" spans="1:6" s="1" customFormat="1" x14ac:dyDescent="0.2">
      <c r="A10" s="1">
        <v>2</v>
      </c>
      <c r="B10" s="2" cm="1">
        <f t="array" ref="B10">Bi_Call_Eur(B$1,B$5,B$4,B$2,B$3,A10)</f>
        <v>7.7697841484472487</v>
      </c>
      <c r="C10" s="2" cm="1">
        <f t="array" ref="C10">BS_Call_Eur(B$1,B$5,B$4,B$2,B$3)</f>
        <v>8.4333273843895213</v>
      </c>
      <c r="D10" s="2" cm="1">
        <f t="array" ref="D10">LR_Call_Eur(B$1,B$5,B$4,B$2,B$3,A10)</f>
        <v>8.4032328381098278</v>
      </c>
      <c r="E10" s="3">
        <f t="shared" ref="E10:E49" si="0">ABS(C10-B10)</f>
        <v>0.6635432359422726</v>
      </c>
      <c r="F10" s="3">
        <f t="shared" ref="F10:F49" si="1">ABS(D10-C10)</f>
        <v>3.0094546279693546E-2</v>
      </c>
    </row>
    <row r="11" spans="1:6" s="1" customFormat="1" x14ac:dyDescent="0.2">
      <c r="A11" s="1">
        <v>3</v>
      </c>
      <c r="B11" s="2" cm="1">
        <f t="array" ref="B11">Bi_Call_Eur(B$1,B$5,B$4,B$2,B$3,A11)</f>
        <v>9.0955389976946908</v>
      </c>
      <c r="C11" s="2" cm="1">
        <f t="array" ref="C11">BS_Call_Eur(B$1,B$5,B$4,B$2,B$3)</f>
        <v>8.4333273843895213</v>
      </c>
      <c r="D11" s="2" cm="1">
        <f t="array" ref="D11">LR_Call_Eur(B$1,B$5,B$4,B$2,B$3,A11)</f>
        <v>8.4032328381098278</v>
      </c>
      <c r="E11" s="3">
        <f t="shared" si="0"/>
        <v>0.66221161330516942</v>
      </c>
      <c r="F11" s="3">
        <f t="shared" si="1"/>
        <v>3.0094546279693546E-2</v>
      </c>
    </row>
    <row r="12" spans="1:6" s="1" customFormat="1" x14ac:dyDescent="0.2">
      <c r="A12" s="1">
        <v>4</v>
      </c>
      <c r="B12" s="2" cm="1">
        <f t="array" ref="B12">Bi_Call_Eur(B$1,B$5,B$4,B$2,B$3,A12)</f>
        <v>8.1336249364981317</v>
      </c>
      <c r="C12" s="2" cm="1">
        <f t="array" ref="C12">BS_Call_Eur(B$1,B$5,B$4,B$2,B$3)</f>
        <v>8.4333273843895213</v>
      </c>
      <c r="D12" s="2" cm="1">
        <f t="array" ref="D12">LR_Call_Eur(B$1,B$5,B$4,B$2,B$3,A12)</f>
        <v>8.4209343027405499</v>
      </c>
      <c r="E12" s="3">
        <f t="shared" si="0"/>
        <v>0.29970244789138967</v>
      </c>
      <c r="F12" s="3">
        <f t="shared" si="1"/>
        <v>1.239308164897146E-2</v>
      </c>
    </row>
    <row r="13" spans="1:6" s="1" customFormat="1" x14ac:dyDescent="0.2">
      <c r="A13" s="1">
        <v>5</v>
      </c>
      <c r="B13" s="2" cm="1">
        <f t="array" ref="B13">Bi_Call_Eur(B$1,B$5,B$4,B$2,B$3,A13)</f>
        <v>8.8243709276863989</v>
      </c>
      <c r="C13" s="2" cm="1">
        <f t="array" ref="C13">BS_Call_Eur(B$1,B$5,B$4,B$2,B$3)</f>
        <v>8.4333273843895213</v>
      </c>
      <c r="D13" s="2" cm="1">
        <f t="array" ref="D13">LR_Call_Eur(B$1,B$5,B$4,B$2,B$3,A13)</f>
        <v>8.4209343027405499</v>
      </c>
      <c r="E13" s="3">
        <f t="shared" si="0"/>
        <v>0.39104354329687752</v>
      </c>
      <c r="F13" s="3">
        <f t="shared" si="1"/>
        <v>1.239308164897146E-2</v>
      </c>
    </row>
    <row r="14" spans="1:6" s="1" customFormat="1" x14ac:dyDescent="0.2">
      <c r="A14" s="1">
        <v>6</v>
      </c>
      <c r="B14" s="2" cm="1">
        <f t="array" ref="B14">Bi_Call_Eur(B$1,B$5,B$4,B$2,B$3,A14)</f>
        <v>8.2562207592388308</v>
      </c>
      <c r="C14" s="2" cm="1">
        <f t="array" ref="C14">BS_Call_Eur(B$1,B$5,B$4,B$2,B$3)</f>
        <v>8.4333273843895213</v>
      </c>
      <c r="D14" s="2" cm="1">
        <f t="array" ref="D14">LR_Call_Eur(B$1,B$5,B$4,B$2,B$3,A14)</f>
        <v>8.4265692233797633</v>
      </c>
      <c r="E14" s="3">
        <f t="shared" si="0"/>
        <v>0.17710662515069053</v>
      </c>
      <c r="F14" s="3">
        <f t="shared" si="1"/>
        <v>6.7581610097580125E-3</v>
      </c>
    </row>
    <row r="15" spans="1:6" s="1" customFormat="1" x14ac:dyDescent="0.2">
      <c r="A15" s="1">
        <v>7</v>
      </c>
      <c r="B15" s="2" cm="1">
        <f t="array" ref="B15">Bi_Call_Eur(B$1,B$5,B$4,B$2,B$3,A15)</f>
        <v>8.7086912519583564</v>
      </c>
      <c r="C15" s="2" cm="1">
        <f t="array" ref="C15">BS_Call_Eur(B$1,B$5,B$4,B$2,B$3)</f>
        <v>8.4333273843895213</v>
      </c>
      <c r="D15" s="2" cm="1">
        <f t="array" ref="D15">LR_Call_Eur(B$1,B$5,B$4,B$2,B$3,A15)</f>
        <v>8.4265692233797633</v>
      </c>
      <c r="E15" s="3">
        <f t="shared" si="0"/>
        <v>0.27536386756883502</v>
      </c>
      <c r="F15" s="3">
        <f t="shared" si="1"/>
        <v>6.7581610097580125E-3</v>
      </c>
    </row>
    <row r="16" spans="1:6" s="1" customFormat="1" x14ac:dyDescent="0.2">
      <c r="A16" s="1">
        <v>8</v>
      </c>
      <c r="B16" s="2" cm="1">
        <f t="array" ref="B16">Bi_Call_Eur(B$1,B$5,B$4,B$2,B$3,A16)</f>
        <v>8.3156383283357886</v>
      </c>
      <c r="C16" s="2" cm="1">
        <f t="array" ref="C16">BS_Call_Eur(B$1,B$5,B$4,B$2,B$3)</f>
        <v>8.4333273843895213</v>
      </c>
      <c r="D16" s="2" cm="1">
        <f t="array" ref="D16">LR_Call_Eur(B$1,B$5,B$4,B$2,B$3,A16)</f>
        <v>8.4290713834427642</v>
      </c>
      <c r="E16" s="3">
        <f t="shared" si="0"/>
        <v>0.1176890560537327</v>
      </c>
      <c r="F16" s="3">
        <f t="shared" si="1"/>
        <v>4.2560009467571547E-3</v>
      </c>
    </row>
    <row r="17" spans="1:6" s="1" customFormat="1" x14ac:dyDescent="0.2">
      <c r="A17" s="1">
        <v>9</v>
      </c>
      <c r="B17" s="2" cm="1">
        <f t="array" ref="B17">Bi_Call_Eur(B$1,B$5,B$4,B$2,B$3,A17)</f>
        <v>8.6447208278529057</v>
      </c>
      <c r="C17" s="2" cm="1">
        <f t="array" ref="C17">BS_Call_Eur(B$1,B$5,B$4,B$2,B$3)</f>
        <v>8.4333273843895213</v>
      </c>
      <c r="D17" s="2" cm="1">
        <f t="array" ref="D17">LR_Call_Eur(B$1,B$5,B$4,B$2,B$3,A17)</f>
        <v>8.4290713834427642</v>
      </c>
      <c r="E17" s="3">
        <f t="shared" si="0"/>
        <v>0.2113934434633844</v>
      </c>
      <c r="F17" s="3">
        <f t="shared" si="1"/>
        <v>4.2560009467571547E-3</v>
      </c>
    </row>
    <row r="18" spans="1:6" s="1" customFormat="1" x14ac:dyDescent="0.2">
      <c r="A18" s="1">
        <v>10</v>
      </c>
      <c r="B18" s="2" cm="1">
        <f t="array" ref="B18">Bi_Call_Eur(B$1,B$5,B$4,B$2,B$3,A18)</f>
        <v>8.3499500153194752</v>
      </c>
      <c r="C18" s="2" cm="1">
        <f t="array" ref="C18">BS_Call_Eur(B$1,B$5,B$4,B$2,B$3)</f>
        <v>8.4333273843895213</v>
      </c>
      <c r="D18" s="2" cm="1">
        <f t="array" ref="D18">LR_Call_Eur(B$1,B$5,B$4,B$2,B$3,A18)</f>
        <v>8.4303997829055852</v>
      </c>
      <c r="E18" s="3">
        <f t="shared" si="0"/>
        <v>8.3377369070046115E-2</v>
      </c>
      <c r="F18" s="3">
        <f t="shared" si="1"/>
        <v>2.9276014839361153E-3</v>
      </c>
    </row>
    <row r="19" spans="1:6" s="1" customFormat="1" x14ac:dyDescent="0.2">
      <c r="A19" s="1">
        <v>15</v>
      </c>
      <c r="B19" s="2" cm="1">
        <f t="array" ref="B19">Bi_Call_Eur(B$1,B$5,B$4,B$2,B$3,A19)</f>
        <v>8.5556492346671806</v>
      </c>
      <c r="C19" s="2" cm="1">
        <f t="array" ref="C19">BS_Call_Eur(B$1,B$5,B$4,B$2,B$3)</f>
        <v>8.4333273843895213</v>
      </c>
      <c r="D19" s="2" cm="1">
        <f t="array" ref="D19">LR_Call_Eur(B$1,B$5,B$4,B$2,B$3,A19)</f>
        <v>8.4316966308156438</v>
      </c>
      <c r="E19" s="3">
        <f t="shared" si="0"/>
        <v>0.12232185027765929</v>
      </c>
      <c r="F19" s="3">
        <f t="shared" si="1"/>
        <v>1.6307535738775414E-3</v>
      </c>
    </row>
    <row r="20" spans="1:6" s="1" customFormat="1" x14ac:dyDescent="0.2">
      <c r="A20" s="1">
        <v>20</v>
      </c>
      <c r="B20" s="2" cm="1">
        <f t="array" ref="B20">Bi_Call_Eur(B$1,B$5,B$4,B$2,B$3,A20)</f>
        <v>8.4122624594027133</v>
      </c>
      <c r="C20" s="2" cm="1">
        <f t="array" ref="C20">BS_Call_Eur(B$1,B$5,B$4,B$2,B$3)</f>
        <v>8.4333273843895213</v>
      </c>
      <c r="D20" s="2" cm="1">
        <f t="array" ref="D20">LR_Call_Eur(B$1,B$5,B$4,B$2,B$3,A20)</f>
        <v>8.4324686288538455</v>
      </c>
      <c r="E20" s="3">
        <f t="shared" si="0"/>
        <v>2.1064924986808009E-2</v>
      </c>
      <c r="F20" s="3">
        <f t="shared" si="1"/>
        <v>8.5875553567582585E-4</v>
      </c>
    </row>
    <row r="21" spans="1:6" s="1" customFormat="1" x14ac:dyDescent="0.2">
      <c r="A21" s="1">
        <v>25</v>
      </c>
      <c r="B21" s="2" cm="1">
        <f t="array" ref="B21">Bi_Call_Eur(B$1,B$5,B$4,B$2,B$3,A21)</f>
        <v>8.5025426047605226</v>
      </c>
      <c r="C21" s="2" cm="1">
        <f t="array" ref="C21">BS_Call_Eur(B$1,B$5,B$4,B$2,B$3)</f>
        <v>8.4333273843895213</v>
      </c>
      <c r="D21" s="2" cm="1">
        <f t="array" ref="D21">LR_Call_Eur(B$1,B$5,B$4,B$2,B$3,A21)</f>
        <v>8.4327122618048218</v>
      </c>
      <c r="E21" s="3">
        <f t="shared" si="0"/>
        <v>6.9215220371001251E-2</v>
      </c>
      <c r="F21" s="3">
        <f t="shared" si="1"/>
        <v>6.1512258469953451E-4</v>
      </c>
    </row>
    <row r="22" spans="1:6" s="1" customFormat="1" x14ac:dyDescent="0.2">
      <c r="A22" s="1">
        <v>30</v>
      </c>
      <c r="B22" s="2" cm="1">
        <f t="array" ref="B22">Bi_Call_Eur(B$1,B$5,B$4,B$2,B$3,A22)</f>
        <v>8.4292068024731535</v>
      </c>
      <c r="C22" s="2" cm="1">
        <f t="array" ref="C22">BS_Call_Eur(B$1,B$5,B$4,B$2,B$3)</f>
        <v>8.4333273843895213</v>
      </c>
      <c r="D22" s="2" cm="1">
        <f t="array" ref="D22">LR_Call_Eur(B$1,B$5,B$4,B$2,B$3,A22)</f>
        <v>8.432919800629822</v>
      </c>
      <c r="E22" s="3">
        <f t="shared" si="0"/>
        <v>4.1205819163678825E-3</v>
      </c>
      <c r="F22" s="3">
        <f t="shared" si="1"/>
        <v>4.0758375969929261E-4</v>
      </c>
    </row>
    <row r="23" spans="1:6" s="1" customFormat="1" x14ac:dyDescent="0.2">
      <c r="A23" s="1">
        <v>35</v>
      </c>
      <c r="B23" s="2" cm="1">
        <f t="array" ref="B23">Bi_Call_Eur(B$1,B$5,B$4,B$2,B$3,A23)</f>
        <v>8.4798774356366309</v>
      </c>
      <c r="C23" s="2" cm="1">
        <f t="array" ref="C23">BS_Call_Eur(B$1,B$5,B$4,B$2,B$3)</f>
        <v>8.4333273843895213</v>
      </c>
      <c r="D23" s="2" cm="1">
        <f t="array" ref="D23">LR_Call_Eur(B$1,B$5,B$4,B$2,B$3,A23)</f>
        <v>8.433004056018639</v>
      </c>
      <c r="E23" s="3">
        <f t="shared" si="0"/>
        <v>4.6550051247109536E-2</v>
      </c>
      <c r="F23" s="3">
        <f t="shared" si="1"/>
        <v>3.2332837088233646E-4</v>
      </c>
    </row>
    <row r="24" spans="1:6" s="1" customFormat="1" x14ac:dyDescent="0.2">
      <c r="A24" s="1">
        <v>40</v>
      </c>
      <c r="B24" s="2" cm="1">
        <f t="array" ref="B24">Bi_Call_Eur(B$1,B$5,B$4,B$2,B$3,A24)</f>
        <v>8.4361342911577779</v>
      </c>
      <c r="C24" s="2" cm="1">
        <f t="array" ref="C24">BS_Call_Eur(B$1,B$5,B$4,B$2,B$3)</f>
        <v>8.4333273843895213</v>
      </c>
      <c r="D24" s="2" cm="1">
        <f t="array" ref="D24">LR_Call_Eur(B$1,B$5,B$4,B$2,B$3,A24)</f>
        <v>8.4330879745364058</v>
      </c>
      <c r="E24" s="3">
        <f t="shared" si="0"/>
        <v>2.8069067682565674E-3</v>
      </c>
      <c r="F24" s="3">
        <f t="shared" si="1"/>
        <v>2.3940985311554641E-4</v>
      </c>
    </row>
    <row r="25" spans="1:6" s="1" customFormat="1" x14ac:dyDescent="0.2">
      <c r="A25" s="1">
        <v>45</v>
      </c>
      <c r="B25" s="2" cm="1">
        <f t="array" ref="B25">Bi_Call_Eur(B$1,B$5,B$4,B$2,B$3,A25)</f>
        <v>8.467301835620562</v>
      </c>
      <c r="C25" s="2" cm="1">
        <f t="array" ref="C25">BS_Call_Eur(B$1,B$5,B$4,B$2,B$3)</f>
        <v>8.4333273843895213</v>
      </c>
      <c r="D25" s="2" cm="1">
        <f t="array" ref="D25">LR_Call_Eur(B$1,B$5,B$4,B$2,B$3,A25)</f>
        <v>8.43312654504685</v>
      </c>
      <c r="E25" s="3">
        <f t="shared" si="0"/>
        <v>3.3974451231040703E-2</v>
      </c>
      <c r="F25" s="3">
        <f t="shared" si="1"/>
        <v>2.0083934267134396E-4</v>
      </c>
    </row>
    <row r="26" spans="1:6" s="1" customFormat="1" x14ac:dyDescent="0.2">
      <c r="A26" s="1">
        <v>50</v>
      </c>
      <c r="B26" s="2" cm="1">
        <f t="array" ref="B26">Bi_Call_Eur(B$1,B$5,B$4,B$2,B$3,A26)</f>
        <v>8.4395012500087319</v>
      </c>
      <c r="C26" s="2" cm="1">
        <f t="array" ref="C26">BS_Call_Eur(B$1,B$5,B$4,B$2,B$3)</f>
        <v>8.4333273843895213</v>
      </c>
      <c r="D26" s="2" cm="1">
        <f t="array" ref="D26">LR_Call_Eur(B$1,B$5,B$4,B$2,B$3,A26)</f>
        <v>8.4331685069462683</v>
      </c>
      <c r="E26" s="3">
        <f t="shared" si="0"/>
        <v>6.1738656192105168E-3</v>
      </c>
      <c r="F26" s="3">
        <f t="shared" si="1"/>
        <v>1.5887744325304709E-4</v>
      </c>
    </row>
    <row r="27" spans="1:6" s="1" customFormat="1" x14ac:dyDescent="0.2">
      <c r="A27" s="1">
        <v>60</v>
      </c>
      <c r="B27" s="2" cm="1">
        <f t="array" ref="B27">Bi_Call_Eur(B$1,B$5,B$4,B$2,B$3,A27)</f>
        <v>8.4412640417884344</v>
      </c>
      <c r="C27" s="2" cm="1">
        <f t="array" ref="C27">BS_Call_Eur(B$1,B$5,B$4,B$2,B$3)</f>
        <v>8.4333273843895213</v>
      </c>
      <c r="D27" s="2" cm="1">
        <f t="array" ref="D27">LR_Call_Eur(B$1,B$5,B$4,B$2,B$3,A27)</f>
        <v>8.4332131998401341</v>
      </c>
      <c r="E27" s="3">
        <f t="shared" si="0"/>
        <v>7.9366573989130274E-3</v>
      </c>
      <c r="F27" s="3">
        <f t="shared" si="1"/>
        <v>1.1418454938727507E-4</v>
      </c>
    </row>
    <row r="28" spans="1:6" s="1" customFormat="1" x14ac:dyDescent="0.2">
      <c r="A28" s="1">
        <v>70</v>
      </c>
      <c r="B28" s="2" cm="1">
        <f t="array" ref="B28">Bi_Call_Eur(B$1,B$5,B$4,B$2,B$3,A28)</f>
        <v>8.4422422234786332</v>
      </c>
      <c r="C28" s="2" cm="1">
        <f t="array" ref="C28">BS_Call_Eur(B$1,B$5,B$4,B$2,B$3)</f>
        <v>8.4333273843895213</v>
      </c>
      <c r="D28" s="2" cm="1">
        <f t="array" ref="D28">LR_Call_Eur(B$1,B$5,B$4,B$2,B$3,A28)</f>
        <v>8.4332405490921545</v>
      </c>
      <c r="E28" s="3">
        <f t="shared" si="0"/>
        <v>8.9148390891118368E-3</v>
      </c>
      <c r="F28" s="3">
        <f t="shared" si="1"/>
        <v>8.6835297366860686E-5</v>
      </c>
    </row>
    <row r="29" spans="1:6" s="1" customFormat="1" x14ac:dyDescent="0.2">
      <c r="A29" s="1">
        <v>80</v>
      </c>
      <c r="B29" s="2" cm="1">
        <f t="array" ref="B29">Bi_Call_Eur(B$1,B$5,B$4,B$2,B$3,A29)</f>
        <v>8.4427379223488686</v>
      </c>
      <c r="C29" s="2" cm="1">
        <f t="array" ref="C29">BS_Call_Eur(B$1,B$5,B$4,B$2,B$3)</f>
        <v>8.4333273843895213</v>
      </c>
      <c r="D29" s="2" cm="1">
        <f t="array" ref="D29">LR_Call_Eur(B$1,B$5,B$4,B$2,B$3,A29)</f>
        <v>8.433258492749367</v>
      </c>
      <c r="E29" s="3">
        <f t="shared" si="0"/>
        <v>9.4105379593472094E-3</v>
      </c>
      <c r="F29" s="3">
        <f t="shared" si="1"/>
        <v>6.88916401543338E-5</v>
      </c>
    </row>
    <row r="30" spans="1:6" s="1" customFormat="1" x14ac:dyDescent="0.2">
      <c r="A30" s="1">
        <v>90</v>
      </c>
      <c r="B30" s="2" cm="1">
        <f t="array" ref="B30">Bi_Call_Eur(B$1,B$5,B$4,B$2,B$3,A30)</f>
        <v>8.4429862396440836</v>
      </c>
      <c r="C30" s="2" cm="1">
        <f t="array" ref="C30">BS_Call_Eur(B$1,B$5,B$4,B$2,B$3)</f>
        <v>8.4333273843895213</v>
      </c>
      <c r="D30" s="2" cm="1">
        <f t="array" ref="D30">LR_Call_Eur(B$1,B$5,B$4,B$2,B$3,A30)</f>
        <v>8.4332708969339709</v>
      </c>
      <c r="E30" s="3">
        <f t="shared" si="0"/>
        <v>9.6588552545622264E-3</v>
      </c>
      <c r="F30" s="3">
        <f t="shared" si="1"/>
        <v>5.648745555042467E-5</v>
      </c>
    </row>
    <row r="31" spans="1:6" s="1" customFormat="1" x14ac:dyDescent="0.2">
      <c r="A31" s="1">
        <v>100</v>
      </c>
      <c r="B31" s="2" cm="1">
        <f t="array" ref="B31">Bi_Call_Eur(B$1,B$5,B$4,B$2,B$3,A31)</f>
        <v>8.4430504401746056</v>
      </c>
      <c r="C31" s="2" cm="1">
        <f t="array" ref="C31">BS_Call_Eur(B$1,B$5,B$4,B$2,B$3)</f>
        <v>8.4333273843895213</v>
      </c>
      <c r="D31" s="2" cm="1">
        <f t="array" ref="D31">LR_Call_Eur(B$1,B$5,B$4,B$2,B$3,A31)</f>
        <v>8.4332798276508569</v>
      </c>
      <c r="E31" s="3">
        <f t="shared" si="0"/>
        <v>9.7230557850842558E-3</v>
      </c>
      <c r="F31" s="3">
        <f t="shared" si="1"/>
        <v>4.7556738664411569E-5</v>
      </c>
    </row>
    <row r="32" spans="1:6" s="1" customFormat="1" x14ac:dyDescent="0.2">
      <c r="A32" s="1">
        <v>150</v>
      </c>
      <c r="B32" s="2" cm="1">
        <f t="array" ref="B32">Bi_Call_Eur(B$1,B$5,B$4,B$2,B$3,A32)</f>
        <v>8.4424282278601908</v>
      </c>
      <c r="C32" s="2" cm="1">
        <f t="array" ref="C32">BS_Call_Eur(B$1,B$5,B$4,B$2,B$3)</f>
        <v>8.4333273843895213</v>
      </c>
      <c r="D32" s="2" cm="1">
        <f t="array" ref="D32">LR_Call_Eur(B$1,B$5,B$4,B$2,B$3,A32)</f>
        <v>8.4333012153764102</v>
      </c>
      <c r="E32" s="3">
        <f t="shared" si="0"/>
        <v>9.1008434706694175E-3</v>
      </c>
      <c r="F32" s="3">
        <f t="shared" si="1"/>
        <v>2.6169013111143613E-5</v>
      </c>
    </row>
    <row r="33" spans="1:6" s="1" customFormat="1" x14ac:dyDescent="0.2">
      <c r="A33" s="1">
        <v>200</v>
      </c>
      <c r="B33" s="2" cm="1">
        <f t="array" ref="B33">Bi_Call_Eur(B$1,B$5,B$4,B$2,B$3,A33)</f>
        <v>8.4414358860239158</v>
      </c>
      <c r="C33" s="2" cm="1">
        <f t="array" ref="C33">BS_Call_Eur(B$1,B$5,B$4,B$2,B$3)</f>
        <v>8.4333273843895213</v>
      </c>
      <c r="D33" s="2" cm="1">
        <f t="array" ref="D33">LR_Call_Eur(B$1,B$5,B$4,B$2,B$3,A33)</f>
        <v>8.4333088027920713</v>
      </c>
      <c r="E33" s="3">
        <f t="shared" si="0"/>
        <v>8.1085016343944716E-3</v>
      </c>
      <c r="F33" s="3">
        <f t="shared" si="1"/>
        <v>1.858159745005139E-5</v>
      </c>
    </row>
    <row r="34" spans="1:6" s="1" customFormat="1" x14ac:dyDescent="0.2">
      <c r="A34" s="1">
        <v>250</v>
      </c>
      <c r="B34" s="2" cm="1">
        <f t="array" ref="B34">Bi_Call_Eur(B$1,B$5,B$4,B$2,B$3,A34)</f>
        <v>8.4404784840441973</v>
      </c>
      <c r="C34" s="2" cm="1">
        <f t="array" ref="C34">BS_Call_Eur(B$1,B$5,B$4,B$2,B$3)</f>
        <v>8.4333273843895213</v>
      </c>
      <c r="D34" s="2" cm="1">
        <f t="array" ref="D34">LR_Call_Eur(B$1,B$5,B$4,B$2,B$3,A34)</f>
        <v>8.4333123398667666</v>
      </c>
      <c r="E34" s="3">
        <f t="shared" si="0"/>
        <v>7.1510996546759742E-3</v>
      </c>
      <c r="F34" s="3">
        <f t="shared" si="1"/>
        <v>1.504452275469248E-5</v>
      </c>
    </row>
    <row r="35" spans="1:6" s="1" customFormat="1" x14ac:dyDescent="0.2">
      <c r="A35" s="1">
        <v>300</v>
      </c>
      <c r="B35" s="2" cm="1">
        <f t="array" ref="B35">Bi_Call_Eur(B$1,B$5,B$4,B$2,B$3,A35)</f>
        <v>8.4396551496392878</v>
      </c>
      <c r="C35" s="2" cm="1">
        <f t="array" ref="C35">BS_Call_Eur(B$1,B$5,B$4,B$2,B$3)</f>
        <v>8.4333273843895213</v>
      </c>
      <c r="D35" s="2" cm="1">
        <f t="array" ref="D35">LR_Call_Eur(B$1,B$5,B$4,B$2,B$3,A35)</f>
        <v>8.433314269818915</v>
      </c>
      <c r="E35" s="3">
        <f t="shared" si="0"/>
        <v>6.327765249766415E-3</v>
      </c>
      <c r="F35" s="3">
        <f t="shared" si="1"/>
        <v>1.3114570606376219E-5</v>
      </c>
    </row>
    <row r="36" spans="1:6" s="1" customFormat="1" x14ac:dyDescent="0.2">
      <c r="A36" s="1">
        <v>350</v>
      </c>
      <c r="B36" s="2" cm="1">
        <f t="array" ref="B36">Bi_Call_Eur(B$1,B$5,B$4,B$2,B$3,A36)</f>
        <v>8.438859207132257</v>
      </c>
      <c r="C36" s="2" cm="1">
        <f t="array" ref="C36">BS_Call_Eur(B$1,B$5,B$4,B$2,B$3)</f>
        <v>8.4333273843895213</v>
      </c>
      <c r="D36" s="2" cm="1">
        <f t="array" ref="D36">LR_Call_Eur(B$1,B$5,B$4,B$2,B$3,A36)</f>
        <v>8.4333154370698562</v>
      </c>
      <c r="E36" s="3">
        <f t="shared" si="0"/>
        <v>5.5318227427356703E-3</v>
      </c>
      <c r="F36" s="3">
        <f t="shared" si="1"/>
        <v>1.1947319665139844E-5</v>
      </c>
    </row>
    <row r="37" spans="1:6" s="1" customFormat="1" x14ac:dyDescent="0.2">
      <c r="A37" s="1">
        <v>400</v>
      </c>
      <c r="B37" s="2" cm="1">
        <f t="array" ref="B37">Bi_Call_Eur(B$1,B$5,B$4,B$2,B$3,A37)</f>
        <v>8.4382435974158625</v>
      </c>
      <c r="C37" s="2" cm="1">
        <f t="array" ref="C37">BS_Call_Eur(B$1,B$5,B$4,B$2,B$3)</f>
        <v>8.4333273843895213</v>
      </c>
      <c r="D37" s="2" cm="1">
        <f t="array" ref="D37">LR_Call_Eur(B$1,B$5,B$4,B$2,B$3,A37)</f>
        <v>8.4333161963531271</v>
      </c>
      <c r="E37" s="3">
        <f t="shared" si="0"/>
        <v>4.9162130263411541E-3</v>
      </c>
      <c r="F37" s="3">
        <f t="shared" si="1"/>
        <v>1.1188036394216283E-5</v>
      </c>
    </row>
    <row r="38" spans="1:6" s="1" customFormat="1" x14ac:dyDescent="0.2">
      <c r="A38" s="1">
        <v>450</v>
      </c>
      <c r="B38" s="2" cm="1">
        <f t="array" ref="B38">Bi_Call_Eur(B$1,B$5,B$4,B$2,B$3,A38)</f>
        <v>8.4376525339280164</v>
      </c>
      <c r="C38" s="2" cm="1">
        <f t="array" ref="C38">BS_Call_Eur(B$1,B$5,B$4,B$2,B$3)</f>
        <v>8.4333273843895213</v>
      </c>
      <c r="D38" s="2" cm="1">
        <f t="array" ref="D38">LR_Call_Eur(B$1,B$5,B$4,B$2,B$3,A38)</f>
        <v>8.433316717800345</v>
      </c>
      <c r="E38" s="3">
        <f t="shared" si="0"/>
        <v>4.3251495384950545E-3</v>
      </c>
      <c r="F38" s="3">
        <f t="shared" si="1"/>
        <v>1.066658917636687E-5</v>
      </c>
    </row>
    <row r="39" spans="1:6" s="1" customFormat="1" x14ac:dyDescent="0.2">
      <c r="A39" s="1">
        <v>500</v>
      </c>
      <c r="B39" s="2" cm="1">
        <f t="array" ref="B39">Bi_Call_Eur(B$1,B$5,B$4,B$2,B$3,A39)</f>
        <v>8.4371360691531745</v>
      </c>
      <c r="C39" s="2" cm="1">
        <f t="array" ref="C39">BS_Call_Eur(B$1,B$5,B$4,B$2,B$3)</f>
        <v>8.4333273843895213</v>
      </c>
      <c r="D39" s="2" cm="1">
        <f t="array" ref="D39">LR_Call_Eur(B$1,B$5,B$4,B$2,B$3,A39)</f>
        <v>8.4333170912687283</v>
      </c>
      <c r="E39" s="3">
        <f t="shared" si="0"/>
        <v>3.8086847636531473E-3</v>
      </c>
      <c r="F39" s="3">
        <f t="shared" si="1"/>
        <v>1.0293120793036792E-5</v>
      </c>
    </row>
    <row r="40" spans="1:6" s="1" customFormat="1" x14ac:dyDescent="0.2">
      <c r="A40" s="1">
        <v>550</v>
      </c>
      <c r="B40" s="2" cm="1">
        <f t="array" ref="B40">Bi_Call_Eur(B$1,B$5,B$4,B$2,B$3,A40)</f>
        <v>8.4366762502759496</v>
      </c>
      <c r="C40" s="2" cm="1">
        <f t="array" ref="C40">BS_Call_Eur(B$1,B$5,B$4,B$2,B$3)</f>
        <v>8.4333273843895213</v>
      </c>
      <c r="D40" s="2" cm="1">
        <f t="array" ref="D40">LR_Call_Eur(B$1,B$5,B$4,B$2,B$3,A40)</f>
        <v>8.4333173678888897</v>
      </c>
      <c r="E40" s="3">
        <f t="shared" si="0"/>
        <v>3.3488658864282428E-3</v>
      </c>
      <c r="F40" s="3">
        <f t="shared" si="1"/>
        <v>1.0016500631593317E-5</v>
      </c>
    </row>
    <row r="41" spans="1:6" s="1" customFormat="1" x14ac:dyDescent="0.2">
      <c r="A41" s="1">
        <v>600</v>
      </c>
      <c r="B41" s="2" cm="1">
        <f t="array" ref="B41">Bi_Call_Eur(B$1,B$5,B$4,B$2,B$3,A41)</f>
        <v>8.4362400380668419</v>
      </c>
      <c r="C41" s="2" cm="1">
        <f t="array" ref="C41">BS_Call_Eur(B$1,B$5,B$4,B$2,B$3)</f>
        <v>8.4333273843895213</v>
      </c>
      <c r="D41" s="2" cm="1">
        <f t="array" ref="D41">LR_Call_Eur(B$1,B$5,B$4,B$2,B$3,A41)</f>
        <v>8.4333175784877312</v>
      </c>
      <c r="E41" s="3">
        <f t="shared" si="0"/>
        <v>2.9126536773205203E-3</v>
      </c>
      <c r="F41" s="3">
        <f t="shared" si="1"/>
        <v>9.8059017901164225E-6</v>
      </c>
    </row>
    <row r="42" spans="1:6" s="1" customFormat="1" x14ac:dyDescent="0.2">
      <c r="A42" s="1">
        <v>650</v>
      </c>
      <c r="B42" s="2" cm="1">
        <f t="array" ref="B42">Bi_Call_Eur(B$1,B$5,B$4,B$2,B$3,A42)</f>
        <v>8.4358850202635978</v>
      </c>
      <c r="C42" s="2" cm="1">
        <f t="array" ref="C42">BS_Call_Eur(B$1,B$5,B$4,B$2,B$3)</f>
        <v>8.4333273843895213</v>
      </c>
      <c r="D42" s="2" cm="1">
        <f t="array" ref="D42">LR_Call_Eur(B$1,B$5,B$4,B$2,B$3,A42)</f>
        <v>8.433317742507251</v>
      </c>
      <c r="E42" s="3">
        <f t="shared" si="0"/>
        <v>2.5576358740764249E-3</v>
      </c>
      <c r="F42" s="3">
        <f t="shared" si="1"/>
        <v>9.6418822703725482E-6</v>
      </c>
    </row>
    <row r="43" spans="1:6" s="1" customFormat="1" x14ac:dyDescent="0.2">
      <c r="A43" s="1">
        <v>700</v>
      </c>
      <c r="B43" s="2" cm="1">
        <f t="array" ref="B43">Bi_Call_Eur(B$1,B$5,B$4,B$2,B$3,A43)</f>
        <v>8.4355479489352287</v>
      </c>
      <c r="C43" s="2" cm="1">
        <f t="array" ref="C43">BS_Call_Eur(B$1,B$5,B$4,B$2,B$3)</f>
        <v>8.4333273843895213</v>
      </c>
      <c r="D43" s="2" cm="1">
        <f t="array" ref="D43">LR_Call_Eur(B$1,B$5,B$4,B$2,B$3,A43)</f>
        <v>8.4333178727344063</v>
      </c>
      <c r="E43" s="3">
        <f t="shared" si="0"/>
        <v>2.2205645457074041E-3</v>
      </c>
      <c r="F43" s="3">
        <f t="shared" si="1"/>
        <v>9.511655115090889E-6</v>
      </c>
    </row>
    <row r="44" spans="1:6" s="1" customFormat="1" x14ac:dyDescent="0.2">
      <c r="A44" s="1">
        <v>750</v>
      </c>
      <c r="B44" s="2" cm="1">
        <f t="array" ref="B44">Bi_Call_Eur(B$1,B$5,B$4,B$2,B$3,A44)</f>
        <v>8.4352354214749141</v>
      </c>
      <c r="C44" s="2" cm="1">
        <f t="array" ref="C44">BS_Call_Eur(B$1,B$5,B$4,B$2,B$3)</f>
        <v>8.4333273843895213</v>
      </c>
      <c r="D44" s="2" cm="1">
        <f t="array" ref="D44">LR_Call_Eur(B$1,B$5,B$4,B$2,B$3,A44)</f>
        <v>8.4333179778400638</v>
      </c>
      <c r="E44" s="3">
        <f t="shared" si="0"/>
        <v>1.9080370853927775E-3</v>
      </c>
      <c r="F44" s="3">
        <f t="shared" si="1"/>
        <v>9.4065494575801267E-6</v>
      </c>
    </row>
    <row r="45" spans="1:6" s="1" customFormat="1" x14ac:dyDescent="0.2">
      <c r="A45" s="1">
        <v>800</v>
      </c>
      <c r="B45" s="2" cm="1">
        <f t="array" ref="B45">Bi_Call_Eur(B$1,B$5,B$4,B$2,B$3,A45)</f>
        <v>8.4349049595186774</v>
      </c>
      <c r="C45" s="2" cm="1">
        <f t="array" ref="C45">BS_Call_Eur(B$1,B$5,B$4,B$2,B$3)</f>
        <v>8.4333273843895213</v>
      </c>
      <c r="D45" s="2" cm="1">
        <f t="array" ref="D45">LR_Call_Eur(B$1,B$5,B$4,B$2,B$3,A45)</f>
        <v>8.4333180638812451</v>
      </c>
      <c r="E45" s="3">
        <f t="shared" si="0"/>
        <v>1.5775751291560169E-3</v>
      </c>
      <c r="F45" s="3">
        <f t="shared" si="1"/>
        <v>9.3205082762892744E-6</v>
      </c>
    </row>
    <row r="46" spans="1:6" s="1" customFormat="1" x14ac:dyDescent="0.2">
      <c r="A46" s="1">
        <v>850</v>
      </c>
      <c r="B46" s="2" cm="1">
        <f t="array" ref="B46">Bi_Call_Eur(B$1,B$5,B$4,B$2,B$3,A46)</f>
        <v>8.4346745768790328</v>
      </c>
      <c r="C46" s="2" cm="1">
        <f t="array" ref="C46">BS_Call_Eur(B$1,B$5,B$4,B$2,B$3)</f>
        <v>8.4333273843895213</v>
      </c>
      <c r="D46" s="2" cm="1">
        <f t="array" ref="D46">LR_Call_Eur(B$1,B$5,B$4,B$2,B$3,A46)</f>
        <v>8.4333181352534847</v>
      </c>
      <c r="E46" s="3">
        <f t="shared" si="0"/>
        <v>1.3471924895114284E-3</v>
      </c>
      <c r="F46" s="3">
        <f t="shared" si="1"/>
        <v>9.2491360366153685E-6</v>
      </c>
    </row>
    <row r="47" spans="1:6" s="1" customFormat="1" x14ac:dyDescent="0.2">
      <c r="A47" s="1">
        <v>900</v>
      </c>
      <c r="B47" s="2" cm="1">
        <f t="array" ref="B47">Bi_Call_Eur(B$1,B$5,B$4,B$2,B$3,A47)</f>
        <v>8.4344149241113691</v>
      </c>
      <c r="C47" s="2" cm="1">
        <f t="array" ref="C47">BS_Call_Eur(B$1,B$5,B$4,B$2,B$3)</f>
        <v>8.4333273843895213</v>
      </c>
      <c r="D47" s="2" cm="1">
        <f t="array" ref="D47">LR_Call_Eur(B$1,B$5,B$4,B$2,B$3,A47)</f>
        <v>8.4333181950634373</v>
      </c>
      <c r="E47" s="3">
        <f t="shared" si="0"/>
        <v>1.087539721847719E-3</v>
      </c>
      <c r="F47" s="3">
        <f t="shared" si="1"/>
        <v>9.1893260840691937E-6</v>
      </c>
    </row>
    <row r="48" spans="1:6" s="1" customFormat="1" x14ac:dyDescent="0.2">
      <c r="A48" s="1">
        <v>950</v>
      </c>
      <c r="B48" s="2" cm="1">
        <f t="array" ref="B48">Bi_Call_Eur(B$1,B$5,B$4,B$2,B$3,A48)</f>
        <v>8.4341647134113664</v>
      </c>
      <c r="C48" s="2" cm="1">
        <f t="array" ref="C48">BS_Call_Eur(B$1,B$5,B$4,B$2,B$3)</f>
        <v>8.4333273843895213</v>
      </c>
      <c r="D48" s="2" cm="1">
        <f t="array" ref="D48">LR_Call_Eur(B$1,B$5,B$4,B$2,B$3,A48)</f>
        <v>8.4333182457322433</v>
      </c>
      <c r="E48" s="3">
        <f t="shared" si="0"/>
        <v>8.3732902184507907E-4</v>
      </c>
      <c r="F48" s="3">
        <f t="shared" si="1"/>
        <v>9.1386572780294273E-6</v>
      </c>
    </row>
    <row r="49" spans="1:6" s="1" customFormat="1" x14ac:dyDescent="0.2">
      <c r="A49" s="1">
        <v>1000</v>
      </c>
      <c r="B49" s="2" cm="1">
        <f t="array" ref="B49">Bi_Call_Eur(B$1,B$5,B$4,B$2,B$3,A49)</f>
        <v>8.4339654957751602</v>
      </c>
      <c r="C49" s="2" cm="1">
        <f t="array" ref="C49">BS_Call_Eur(B$1,B$5,B$4,B$2,B$3)</f>
        <v>8.4333273843895213</v>
      </c>
      <c r="D49" s="2" cm="1">
        <f t="array" ref="D49">LR_Call_Eur(B$1,B$5,B$4,B$2,B$3,A49)</f>
        <v>8.4333182889605744</v>
      </c>
      <c r="E49" s="3">
        <f t="shared" si="0"/>
        <v>6.3811138563885095E-4</v>
      </c>
      <c r="F49" s="3">
        <f t="shared" si="1"/>
        <v>9.0954289468925253E-6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Martino</dc:creator>
  <cp:lastModifiedBy>Angela Bortolato</cp:lastModifiedBy>
  <dcterms:created xsi:type="dcterms:W3CDTF">2022-03-18T18:09:52Z</dcterms:created>
  <dcterms:modified xsi:type="dcterms:W3CDTF">2026-04-01T14:49:17Z</dcterms:modified>
</cp:coreProperties>
</file>